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92CFA077-C222-41B0-A5A1-519F9B8041FD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results" sheetId="1" r:id="rId1"/>
    <sheet name="race_data" sheetId="2" r:id="rId2"/>
    <sheet name="intermediate_data" sheetId="3" r:id="rId3"/>
  </sheets>
  <calcPr calcId="191029"/>
</workbook>
</file>

<file path=xl/calcChain.xml><?xml version="1.0" encoding="utf-8"?>
<calcChain xmlns="http://schemas.openxmlformats.org/spreadsheetml/2006/main">
  <c r="J246" i="3" l="1"/>
  <c r="I246" i="3"/>
  <c r="H246" i="3"/>
  <c r="B196" i="3"/>
  <c r="J186" i="3"/>
  <c r="D163" i="3"/>
  <c r="J157" i="3"/>
  <c r="G150" i="3"/>
  <c r="B149" i="3"/>
  <c r="C140" i="3"/>
  <c r="I136" i="3"/>
  <c r="G136" i="3"/>
  <c r="F136" i="3"/>
  <c r="D133" i="3"/>
  <c r="B133" i="3"/>
  <c r="J128" i="3"/>
  <c r="C125" i="3"/>
  <c r="D122" i="3"/>
  <c r="I118" i="3"/>
  <c r="F113" i="3"/>
  <c r="H112" i="3"/>
  <c r="E112" i="3"/>
  <c r="D112" i="3"/>
  <c r="J109" i="3"/>
  <c r="C107" i="3"/>
  <c r="B105" i="3"/>
  <c r="E102" i="3"/>
  <c r="E100" i="3"/>
  <c r="C100" i="3"/>
  <c r="B100" i="3"/>
  <c r="H96" i="3"/>
  <c r="G96" i="3"/>
  <c r="F96" i="3"/>
  <c r="D92" i="3"/>
  <c r="I85" i="3"/>
  <c r="H85" i="3"/>
  <c r="G83" i="3"/>
  <c r="D82" i="3"/>
  <c r="D80" i="3"/>
  <c r="I79" i="3"/>
  <c r="H79" i="3"/>
  <c r="F76" i="3"/>
  <c r="B76" i="3"/>
  <c r="D74" i="3"/>
  <c r="C74" i="3"/>
  <c r="B74" i="3"/>
  <c r="B71" i="3"/>
  <c r="H68" i="3"/>
  <c r="D68" i="3"/>
  <c r="C67" i="3"/>
  <c r="F64" i="3"/>
  <c r="B64" i="3"/>
  <c r="E61" i="3"/>
  <c r="D60" i="3"/>
  <c r="C60" i="3"/>
  <c r="B60" i="3"/>
  <c r="G57" i="3"/>
  <c r="F57" i="3"/>
  <c r="E57" i="3"/>
  <c r="E56" i="3"/>
  <c r="I54" i="3"/>
  <c r="H53" i="3"/>
  <c r="G53" i="3"/>
  <c r="F53" i="3"/>
  <c r="E53" i="3"/>
  <c r="J50" i="3"/>
  <c r="I50" i="3"/>
  <c r="I49" i="3"/>
  <c r="B49" i="3"/>
  <c r="J44" i="3"/>
  <c r="F44" i="3"/>
  <c r="J43" i="3"/>
  <c r="I43" i="3"/>
  <c r="H43" i="3"/>
  <c r="F42" i="3"/>
  <c r="E42" i="3"/>
  <c r="D42" i="3"/>
  <c r="J37" i="3"/>
  <c r="B36" i="3"/>
  <c r="H35" i="3"/>
  <c r="D34" i="3"/>
  <c r="C34" i="3"/>
  <c r="B34" i="3"/>
  <c r="L34" i="3" s="1"/>
  <c r="E32" i="3"/>
  <c r="C32" i="3"/>
  <c r="B32" i="3"/>
  <c r="H30" i="3"/>
  <c r="G30" i="3"/>
  <c r="F30" i="3"/>
  <c r="E30" i="3"/>
  <c r="I28" i="3"/>
  <c r="G28" i="3"/>
  <c r="F28" i="3"/>
  <c r="E28" i="3"/>
  <c r="D28" i="3"/>
  <c r="J26" i="3"/>
  <c r="I26" i="3"/>
  <c r="E26" i="3"/>
  <c r="J24" i="3"/>
  <c r="I24" i="3"/>
  <c r="H24" i="3"/>
  <c r="B23" i="3"/>
  <c r="I22" i="3"/>
  <c r="E21" i="3"/>
  <c r="D21" i="3"/>
  <c r="C21" i="3"/>
  <c r="B21" i="3"/>
  <c r="F19" i="3"/>
  <c r="D19" i="3"/>
  <c r="C19" i="3"/>
  <c r="B19" i="3"/>
  <c r="D18" i="3"/>
  <c r="I17" i="3"/>
  <c r="H17" i="3"/>
  <c r="G17" i="3"/>
  <c r="F17" i="3"/>
  <c r="B17" i="3"/>
  <c r="D16" i="3"/>
  <c r="J15" i="3"/>
  <c r="H15" i="3"/>
  <c r="G15" i="3"/>
  <c r="F15" i="3"/>
  <c r="E15" i="3"/>
  <c r="J13" i="3"/>
  <c r="F13" i="3"/>
  <c r="B12" i="3"/>
  <c r="I10" i="3"/>
  <c r="H10" i="3"/>
  <c r="E10" i="3"/>
  <c r="D10" i="3"/>
  <c r="J9" i="3"/>
  <c r="D9" i="3"/>
  <c r="B9" i="3"/>
  <c r="M9" i="3" s="1"/>
  <c r="F7" i="3"/>
  <c r="I6" i="3"/>
  <c r="H6" i="3"/>
  <c r="D6" i="3"/>
  <c r="J5" i="3"/>
  <c r="I5" i="3"/>
  <c r="H5" i="3"/>
  <c r="G5" i="3"/>
  <c r="F5" i="3"/>
  <c r="B5" i="3"/>
  <c r="J4" i="3"/>
  <c r="G4" i="3"/>
  <c r="F4" i="3"/>
  <c r="E4" i="3"/>
  <c r="D4" i="3"/>
  <c r="H3" i="3"/>
  <c r="G3" i="3"/>
  <c r="F3" i="3"/>
  <c r="E3" i="3"/>
  <c r="J2" i="3"/>
  <c r="I2" i="3"/>
  <c r="H2" i="3"/>
  <c r="G2" i="3"/>
  <c r="F2" i="3"/>
  <c r="B2" i="3"/>
  <c r="N36" i="2"/>
  <c r="M36" i="2"/>
  <c r="I36" i="2"/>
  <c r="H36" i="2"/>
  <c r="D36" i="2"/>
  <c r="C36" i="2"/>
  <c r="AH35" i="2"/>
  <c r="AG35" i="2"/>
  <c r="AC35" i="2"/>
  <c r="AB35" i="2"/>
  <c r="X35" i="2"/>
  <c r="W35" i="2"/>
  <c r="S35" i="2"/>
  <c r="R35" i="2"/>
  <c r="N35" i="2"/>
  <c r="M35" i="2"/>
  <c r="I35" i="2"/>
  <c r="H35" i="2"/>
  <c r="D35" i="2"/>
  <c r="C35" i="2"/>
  <c r="AR34" i="2"/>
  <c r="AQ34" i="2"/>
  <c r="AM34" i="2"/>
  <c r="AL34" i="2"/>
  <c r="AH34" i="2"/>
  <c r="AG34" i="2"/>
  <c r="AC34" i="2"/>
  <c r="AB34" i="2"/>
  <c r="X34" i="2"/>
  <c r="W34" i="2"/>
  <c r="S34" i="2"/>
  <c r="R34" i="2"/>
  <c r="N34" i="2"/>
  <c r="M34" i="2"/>
  <c r="I34" i="2"/>
  <c r="H34" i="2"/>
  <c r="D34" i="2"/>
  <c r="C34" i="2"/>
  <c r="AR33" i="2"/>
  <c r="AQ33" i="2"/>
  <c r="AM33" i="2"/>
  <c r="AL33" i="2"/>
  <c r="AH33" i="2"/>
  <c r="AG33" i="2"/>
  <c r="AC33" i="2"/>
  <c r="AB33" i="2"/>
  <c r="X33" i="2"/>
  <c r="W33" i="2"/>
  <c r="S33" i="2"/>
  <c r="R33" i="2"/>
  <c r="N33" i="2"/>
  <c r="M33" i="2"/>
  <c r="I33" i="2"/>
  <c r="H33" i="2"/>
  <c r="D33" i="2"/>
  <c r="C33" i="2"/>
  <c r="AR32" i="2"/>
  <c r="AQ32" i="2"/>
  <c r="AM32" i="2"/>
  <c r="AL32" i="2"/>
  <c r="AH32" i="2"/>
  <c r="AG32" i="2"/>
  <c r="AC32" i="2"/>
  <c r="AB32" i="2"/>
  <c r="X32" i="2"/>
  <c r="W32" i="2"/>
  <c r="S32" i="2"/>
  <c r="R32" i="2"/>
  <c r="N32" i="2"/>
  <c r="M32" i="2"/>
  <c r="I32" i="2"/>
  <c r="H32" i="2"/>
  <c r="D32" i="2"/>
  <c r="C32" i="2"/>
  <c r="AR31" i="2"/>
  <c r="AQ31" i="2"/>
  <c r="AM31" i="2"/>
  <c r="AL31" i="2"/>
  <c r="AH31" i="2"/>
  <c r="AG31" i="2"/>
  <c r="AC31" i="2"/>
  <c r="AB31" i="2"/>
  <c r="X31" i="2"/>
  <c r="W31" i="2"/>
  <c r="S31" i="2"/>
  <c r="R31" i="2"/>
  <c r="N31" i="2"/>
  <c r="M31" i="2"/>
  <c r="I31" i="2"/>
  <c r="H31" i="2"/>
  <c r="D31" i="2"/>
  <c r="C31" i="2"/>
  <c r="AR30" i="2"/>
  <c r="AQ30" i="2"/>
  <c r="AM30" i="2"/>
  <c r="AL30" i="2"/>
  <c r="AH30" i="2"/>
  <c r="AG30" i="2"/>
  <c r="AC30" i="2"/>
  <c r="AB30" i="2"/>
  <c r="X30" i="2"/>
  <c r="W30" i="2"/>
  <c r="S30" i="2"/>
  <c r="R30" i="2"/>
  <c r="N30" i="2"/>
  <c r="M30" i="2"/>
  <c r="I30" i="2"/>
  <c r="H30" i="2"/>
  <c r="D30" i="2"/>
  <c r="C30" i="2"/>
  <c r="AR29" i="2"/>
  <c r="AQ29" i="2"/>
  <c r="AM29" i="2"/>
  <c r="AL29" i="2"/>
  <c r="AH29" i="2"/>
  <c r="AG29" i="2"/>
  <c r="AC29" i="2"/>
  <c r="AB29" i="2"/>
  <c r="X29" i="2"/>
  <c r="W29" i="2"/>
  <c r="S29" i="2"/>
  <c r="R29" i="2"/>
  <c r="N29" i="2"/>
  <c r="M29" i="2"/>
  <c r="I29" i="2"/>
  <c r="H29" i="2"/>
  <c r="D29" i="2"/>
  <c r="C29" i="2"/>
  <c r="AR28" i="2"/>
  <c r="AQ28" i="2"/>
  <c r="AM28" i="2"/>
  <c r="AL28" i="2"/>
  <c r="AH28" i="2"/>
  <c r="AG28" i="2"/>
  <c r="AC28" i="2"/>
  <c r="G235" i="3" s="1"/>
  <c r="AB28" i="2"/>
  <c r="X28" i="2"/>
  <c r="W28" i="2"/>
  <c r="S28" i="2"/>
  <c r="R28" i="2"/>
  <c r="N28" i="2"/>
  <c r="M28" i="2"/>
  <c r="I28" i="2"/>
  <c r="H28" i="2"/>
  <c r="D28" i="2"/>
  <c r="C28" i="2"/>
  <c r="AR27" i="2"/>
  <c r="AQ27" i="2"/>
  <c r="AM27" i="2"/>
  <c r="AL27" i="2"/>
  <c r="AH27" i="2"/>
  <c r="AG27" i="2"/>
  <c r="AC27" i="2"/>
  <c r="AB27" i="2"/>
  <c r="X27" i="2"/>
  <c r="W27" i="2"/>
  <c r="S27" i="2"/>
  <c r="R27" i="2"/>
  <c r="N27" i="2"/>
  <c r="M27" i="2"/>
  <c r="I27" i="2"/>
  <c r="H27" i="2"/>
  <c r="D27" i="2"/>
  <c r="C27" i="2"/>
  <c r="AR26" i="2"/>
  <c r="AQ26" i="2"/>
  <c r="AM26" i="2"/>
  <c r="AL26" i="2"/>
  <c r="AH26" i="2"/>
  <c r="AG26" i="2"/>
  <c r="AC26" i="2"/>
  <c r="G213" i="3" s="1"/>
  <c r="AB26" i="2"/>
  <c r="X26" i="2"/>
  <c r="F215" i="3" s="1"/>
  <c r="W26" i="2"/>
  <c r="S26" i="2"/>
  <c r="E215" i="3" s="1"/>
  <c r="R26" i="2"/>
  <c r="N26" i="2"/>
  <c r="M26" i="2"/>
  <c r="I26" i="2"/>
  <c r="H26" i="2"/>
  <c r="D26" i="2"/>
  <c r="C26" i="2"/>
  <c r="AR25" i="2"/>
  <c r="J201" i="3" s="1"/>
  <c r="AQ25" i="2"/>
  <c r="AM25" i="2"/>
  <c r="AL25" i="2"/>
  <c r="AH25" i="2"/>
  <c r="AG25" i="2"/>
  <c r="AC25" i="2"/>
  <c r="AB25" i="2"/>
  <c r="X25" i="2"/>
  <c r="W25" i="2"/>
  <c r="S25" i="2"/>
  <c r="R25" i="2"/>
  <c r="N25" i="2"/>
  <c r="M25" i="2"/>
  <c r="I25" i="2"/>
  <c r="H25" i="2"/>
  <c r="D25" i="2"/>
  <c r="C25" i="2"/>
  <c r="AR24" i="2"/>
  <c r="AQ24" i="2"/>
  <c r="AM24" i="2"/>
  <c r="AL24" i="2"/>
  <c r="AH24" i="2"/>
  <c r="AG24" i="2"/>
  <c r="AC24" i="2"/>
  <c r="G198" i="3" s="1"/>
  <c r="AB24" i="2"/>
  <c r="X24" i="2"/>
  <c r="W24" i="2"/>
  <c r="S24" i="2"/>
  <c r="E189" i="3" s="1"/>
  <c r="R24" i="2"/>
  <c r="N24" i="2"/>
  <c r="M24" i="2"/>
  <c r="I24" i="2"/>
  <c r="H24" i="2"/>
  <c r="D24" i="2"/>
  <c r="C24" i="2"/>
  <c r="AR23" i="2"/>
  <c r="AQ23" i="2"/>
  <c r="AM23" i="2"/>
  <c r="I201" i="3" s="1"/>
  <c r="AL23" i="2"/>
  <c r="AH23" i="2"/>
  <c r="AG23" i="2"/>
  <c r="AC23" i="2"/>
  <c r="AB23" i="2"/>
  <c r="X23" i="2"/>
  <c r="W23" i="2"/>
  <c r="S23" i="2"/>
  <c r="R23" i="2"/>
  <c r="N23" i="2"/>
  <c r="M23" i="2"/>
  <c r="I23" i="2"/>
  <c r="H23" i="2"/>
  <c r="D23" i="2"/>
  <c r="C23" i="2"/>
  <c r="AR22" i="2"/>
  <c r="AQ22" i="2"/>
  <c r="AM22" i="2"/>
  <c r="AL22" i="2"/>
  <c r="AH22" i="2"/>
  <c r="AG22" i="2"/>
  <c r="AC22" i="2"/>
  <c r="G181" i="3" s="1"/>
  <c r="AB22" i="2"/>
  <c r="X22" i="2"/>
  <c r="W22" i="2"/>
  <c r="S22" i="2"/>
  <c r="E174" i="3" s="1"/>
  <c r="R22" i="2"/>
  <c r="N22" i="2"/>
  <c r="M22" i="2"/>
  <c r="I22" i="2"/>
  <c r="H22" i="2"/>
  <c r="D22" i="2"/>
  <c r="C22" i="2"/>
  <c r="AR21" i="2"/>
  <c r="J165" i="3" s="1"/>
  <c r="AQ21" i="2"/>
  <c r="AM21" i="2"/>
  <c r="I176" i="3" s="1"/>
  <c r="AL21" i="2"/>
  <c r="AH21" i="2"/>
  <c r="AG21" i="2"/>
  <c r="AC21" i="2"/>
  <c r="AB21" i="2"/>
  <c r="X21" i="2"/>
  <c r="W21" i="2"/>
  <c r="S21" i="2"/>
  <c r="R21" i="2"/>
  <c r="N21" i="2"/>
  <c r="M21" i="2"/>
  <c r="I21" i="2"/>
  <c r="H21" i="2"/>
  <c r="D21" i="2"/>
  <c r="C21" i="2"/>
  <c r="AR20" i="2"/>
  <c r="AQ20" i="2"/>
  <c r="AM20" i="2"/>
  <c r="AL20" i="2"/>
  <c r="AH20" i="2"/>
  <c r="AG20" i="2"/>
  <c r="AC20" i="2"/>
  <c r="G154" i="3" s="1"/>
  <c r="AB20" i="2"/>
  <c r="X20" i="2"/>
  <c r="F169" i="3" s="1"/>
  <c r="W20" i="2"/>
  <c r="S20" i="2"/>
  <c r="E163" i="3" s="1"/>
  <c r="R20" i="2"/>
  <c r="N20" i="2"/>
  <c r="M20" i="2"/>
  <c r="I20" i="2"/>
  <c r="H20" i="2"/>
  <c r="D20" i="2"/>
  <c r="C20" i="2"/>
  <c r="AR19" i="2"/>
  <c r="J159" i="3" s="1"/>
  <c r="AQ19" i="2"/>
  <c r="AM19" i="2"/>
  <c r="I164" i="3" s="1"/>
  <c r="AL19" i="2"/>
  <c r="AH19" i="2"/>
  <c r="H99" i="3" s="1"/>
  <c r="AG19" i="2"/>
  <c r="AC19" i="2"/>
  <c r="G185" i="3" s="1"/>
  <c r="AB19" i="2"/>
  <c r="X19" i="2"/>
  <c r="F166" i="3" s="1"/>
  <c r="W19" i="2"/>
  <c r="S19" i="2"/>
  <c r="R19" i="2"/>
  <c r="N19" i="2"/>
  <c r="D83" i="3" s="1"/>
  <c r="M19" i="2"/>
  <c r="I19" i="2"/>
  <c r="C93" i="3" s="1"/>
  <c r="H19" i="2"/>
  <c r="D19" i="2"/>
  <c r="B147" i="3" s="1"/>
  <c r="C19" i="2"/>
  <c r="AR18" i="2"/>
  <c r="J167" i="3" s="1"/>
  <c r="AQ18" i="2"/>
  <c r="AM18" i="2"/>
  <c r="I107" i="3" s="1"/>
  <c r="AL18" i="2"/>
  <c r="AH18" i="2"/>
  <c r="AG18" i="2"/>
  <c r="AC18" i="2"/>
  <c r="AB18" i="2"/>
  <c r="X18" i="2"/>
  <c r="W18" i="2"/>
  <c r="S18" i="2"/>
  <c r="R18" i="2"/>
  <c r="N18" i="2"/>
  <c r="M18" i="2"/>
  <c r="I18" i="2"/>
  <c r="H18" i="2"/>
  <c r="D18" i="2"/>
  <c r="C18" i="2"/>
  <c r="AR17" i="2"/>
  <c r="J143" i="3" s="1"/>
  <c r="AQ17" i="2"/>
  <c r="AM17" i="2"/>
  <c r="I131" i="3" s="1"/>
  <c r="AL17" i="2"/>
  <c r="AH17" i="2"/>
  <c r="AG17" i="2"/>
  <c r="AC17" i="2"/>
  <c r="AB17" i="2"/>
  <c r="X17" i="2"/>
  <c r="W17" i="2"/>
  <c r="S17" i="2"/>
  <c r="R17" i="2"/>
  <c r="N17" i="2"/>
  <c r="M17" i="2"/>
  <c r="I17" i="2"/>
  <c r="H17" i="2"/>
  <c r="D17" i="2"/>
  <c r="C17" i="2"/>
  <c r="AR16" i="2"/>
  <c r="AQ16" i="2"/>
  <c r="AM16" i="2"/>
  <c r="AL16" i="2"/>
  <c r="AH16" i="2"/>
  <c r="AG16" i="2"/>
  <c r="AC16" i="2"/>
  <c r="AB16" i="2"/>
  <c r="X16" i="2"/>
  <c r="W16" i="2"/>
  <c r="S16" i="2"/>
  <c r="R16" i="2"/>
  <c r="N16" i="2"/>
  <c r="M16" i="2"/>
  <c r="I16" i="2"/>
  <c r="H16" i="2"/>
  <c r="D16" i="2"/>
  <c r="C16" i="2"/>
  <c r="AR15" i="2"/>
  <c r="J118" i="3" s="1"/>
  <c r="AQ15" i="2"/>
  <c r="AM15" i="2"/>
  <c r="I114" i="3" s="1"/>
  <c r="AL15" i="2"/>
  <c r="AH15" i="2"/>
  <c r="AG15" i="2"/>
  <c r="AC15" i="2"/>
  <c r="AB15" i="2"/>
  <c r="X15" i="2"/>
  <c r="W15" i="2"/>
  <c r="S15" i="2"/>
  <c r="R15" i="2"/>
  <c r="N15" i="2"/>
  <c r="M15" i="2"/>
  <c r="I15" i="2"/>
  <c r="H15" i="2"/>
  <c r="D15" i="2"/>
  <c r="C15" i="2"/>
  <c r="AR14" i="2"/>
  <c r="AQ14" i="2"/>
  <c r="AM14" i="2"/>
  <c r="AL14" i="2"/>
  <c r="AH14" i="2"/>
  <c r="AG14" i="2"/>
  <c r="AC14" i="2"/>
  <c r="AB14" i="2"/>
  <c r="X14" i="2"/>
  <c r="W14" i="2"/>
  <c r="S14" i="2"/>
  <c r="R14" i="2"/>
  <c r="N14" i="2"/>
  <c r="M14" i="2"/>
  <c r="I14" i="2"/>
  <c r="H14" i="2"/>
  <c r="D14" i="2"/>
  <c r="C14" i="2"/>
  <c r="AR13" i="2"/>
  <c r="J96" i="3" s="1"/>
  <c r="AQ13" i="2"/>
  <c r="AM13" i="2"/>
  <c r="I95" i="3" s="1"/>
  <c r="AL13" i="2"/>
  <c r="AH13" i="2"/>
  <c r="AG13" i="2"/>
  <c r="AC13" i="2"/>
  <c r="AB13" i="2"/>
  <c r="X13" i="2"/>
  <c r="W13" i="2"/>
  <c r="S13" i="2"/>
  <c r="R13" i="2"/>
  <c r="N13" i="2"/>
  <c r="M13" i="2"/>
  <c r="I13" i="2"/>
  <c r="H13" i="2"/>
  <c r="D13" i="2"/>
  <c r="C13" i="2"/>
  <c r="AR12" i="2"/>
  <c r="AQ12" i="2"/>
  <c r="AM12" i="2"/>
  <c r="AL12" i="2"/>
  <c r="AH12" i="2"/>
  <c r="AG12" i="2"/>
  <c r="AC12" i="2"/>
  <c r="AB12" i="2"/>
  <c r="X12" i="2"/>
  <c r="W12" i="2"/>
  <c r="S12" i="2"/>
  <c r="R12" i="2"/>
  <c r="N12" i="2"/>
  <c r="M12" i="2"/>
  <c r="I12" i="2"/>
  <c r="H12" i="2"/>
  <c r="D12" i="2"/>
  <c r="C12" i="2"/>
  <c r="AR11" i="2"/>
  <c r="J72" i="3" s="1"/>
  <c r="AQ11" i="2"/>
  <c r="AM11" i="2"/>
  <c r="I81" i="3" s="1"/>
  <c r="AL11" i="2"/>
  <c r="AH11" i="2"/>
  <c r="AG11" i="2"/>
  <c r="AC11" i="2"/>
  <c r="AB11" i="2"/>
  <c r="X11" i="2"/>
  <c r="W11" i="2"/>
  <c r="S11" i="2"/>
  <c r="R11" i="2"/>
  <c r="N11" i="2"/>
  <c r="M11" i="2"/>
  <c r="I11" i="2"/>
  <c r="H11" i="2"/>
  <c r="D11" i="2"/>
  <c r="C11" i="2"/>
  <c r="AR10" i="2"/>
  <c r="AQ10" i="2"/>
  <c r="AM10" i="2"/>
  <c r="AL10" i="2"/>
  <c r="AH10" i="2"/>
  <c r="AG10" i="2"/>
  <c r="AC10" i="2"/>
  <c r="G54" i="3" s="1"/>
  <c r="AB10" i="2"/>
  <c r="X10" i="2"/>
  <c r="F31" i="3" s="1"/>
  <c r="W10" i="2"/>
  <c r="S10" i="2"/>
  <c r="E72" i="3" s="1"/>
  <c r="R10" i="2"/>
  <c r="N10" i="2"/>
  <c r="M10" i="2"/>
  <c r="I10" i="2"/>
  <c r="H10" i="2"/>
  <c r="D10" i="2"/>
  <c r="C10" i="2"/>
  <c r="AR9" i="2"/>
  <c r="J68" i="3" s="1"/>
  <c r="AQ9" i="2"/>
  <c r="AM9" i="2"/>
  <c r="I66" i="3" s="1"/>
  <c r="AL9" i="2"/>
  <c r="AH9" i="2"/>
  <c r="AG9" i="2"/>
  <c r="AC9" i="2"/>
  <c r="AB9" i="2"/>
  <c r="X9" i="2"/>
  <c r="W9" i="2"/>
  <c r="S9" i="2"/>
  <c r="R9" i="2"/>
  <c r="N9" i="2"/>
  <c r="M9" i="2"/>
  <c r="I9" i="2"/>
  <c r="H9" i="2"/>
  <c r="D9" i="2"/>
  <c r="C9" i="2"/>
  <c r="AR8" i="2"/>
  <c r="AQ8" i="2"/>
  <c r="AM8" i="2"/>
  <c r="AL8" i="2"/>
  <c r="AH8" i="2"/>
  <c r="AG8" i="2"/>
  <c r="AC8" i="2"/>
  <c r="AB8" i="2"/>
  <c r="X8" i="2"/>
  <c r="W8" i="2"/>
  <c r="S8" i="2"/>
  <c r="R8" i="2"/>
  <c r="N8" i="2"/>
  <c r="M8" i="2"/>
  <c r="I8" i="2"/>
  <c r="H8" i="2"/>
  <c r="D8" i="2"/>
  <c r="C8" i="2"/>
  <c r="AR7" i="2"/>
  <c r="J39" i="3" s="1"/>
  <c r="AQ7" i="2"/>
  <c r="AM7" i="2"/>
  <c r="I51" i="3" s="1"/>
  <c r="AL7" i="2"/>
  <c r="AH7" i="2"/>
  <c r="AG7" i="2"/>
  <c r="AC7" i="2"/>
  <c r="AB7" i="2"/>
  <c r="X7" i="2"/>
  <c r="W7" i="2"/>
  <c r="S7" i="2"/>
  <c r="R7" i="2"/>
  <c r="N7" i="2"/>
  <c r="M7" i="2"/>
  <c r="I7" i="2"/>
  <c r="H7" i="2"/>
  <c r="D7" i="2"/>
  <c r="C7" i="2"/>
  <c r="AR6" i="2"/>
  <c r="AQ6" i="2"/>
  <c r="AM6" i="2"/>
  <c r="AL6" i="2"/>
  <c r="AH6" i="2"/>
  <c r="AG6" i="2"/>
  <c r="AC6" i="2"/>
  <c r="G25" i="3" s="1"/>
  <c r="AB6" i="2"/>
  <c r="X6" i="2"/>
  <c r="W6" i="2"/>
  <c r="S6" i="2"/>
  <c r="R6" i="2"/>
  <c r="N6" i="2"/>
  <c r="M6" i="2"/>
  <c r="I6" i="2"/>
  <c r="H6" i="2"/>
  <c r="D6" i="2"/>
  <c r="C6" i="2"/>
  <c r="AR5" i="2"/>
  <c r="J33" i="3" s="1"/>
  <c r="AQ5" i="2"/>
  <c r="AM5" i="2"/>
  <c r="I33" i="3" s="1"/>
  <c r="AL5" i="2"/>
  <c r="AH5" i="2"/>
  <c r="AG5" i="2"/>
  <c r="AC5" i="2"/>
  <c r="AB5" i="2"/>
  <c r="X5" i="2"/>
  <c r="W5" i="2"/>
  <c r="S5" i="2"/>
  <c r="R5" i="2"/>
  <c r="N5" i="2"/>
  <c r="M5" i="2"/>
  <c r="I5" i="2"/>
  <c r="H5" i="2"/>
  <c r="D5" i="2"/>
  <c r="C5" i="2"/>
  <c r="AR4" i="2"/>
  <c r="AQ4" i="2"/>
  <c r="AM4" i="2"/>
  <c r="AL4" i="2"/>
  <c r="AH4" i="2"/>
  <c r="AG4" i="2"/>
  <c r="AC4" i="2"/>
  <c r="AB4" i="2"/>
  <c r="X4" i="2"/>
  <c r="W4" i="2"/>
  <c r="S4" i="2"/>
  <c r="R4" i="2"/>
  <c r="N4" i="2"/>
  <c r="M4" i="2"/>
  <c r="I4" i="2"/>
  <c r="H4" i="2"/>
  <c r="D4" i="2"/>
  <c r="C4" i="2"/>
  <c r="AR3" i="2"/>
  <c r="J11" i="3" s="1"/>
  <c r="AQ3" i="2"/>
  <c r="AM3" i="2"/>
  <c r="I11" i="3" s="1"/>
  <c r="AL3" i="2"/>
  <c r="AH3" i="2"/>
  <c r="AG3" i="2"/>
  <c r="AC3" i="2"/>
  <c r="AB3" i="2"/>
  <c r="X3" i="2"/>
  <c r="W3" i="2"/>
  <c r="S3" i="2"/>
  <c r="R3" i="2"/>
  <c r="N3" i="2"/>
  <c r="M3" i="2"/>
  <c r="I3" i="2"/>
  <c r="H3" i="2"/>
  <c r="D3" i="2"/>
  <c r="C3" i="2"/>
  <c r="AO1" i="2"/>
  <c r="AJ1" i="2"/>
  <c r="AE1" i="2"/>
  <c r="Z1" i="2"/>
  <c r="U1" i="2"/>
  <c r="P1" i="2"/>
  <c r="K1" i="2"/>
  <c r="F1" i="2"/>
  <c r="A1" i="2"/>
  <c r="F24" i="1" a="1"/>
  <c r="F25" i="1" a="1"/>
  <c r="E24" i="1" a="1"/>
  <c r="D24" i="1" a="1"/>
  <c r="H24" i="1" a="1"/>
  <c r="F23" i="1" a="1"/>
  <c r="E21" i="1" a="1"/>
  <c r="D19" i="1" a="1"/>
  <c r="C17" i="1"/>
  <c r="K10" i="1"/>
  <c r="I9" i="1" a="1"/>
  <c r="D6" i="1"/>
  <c r="K4" i="1"/>
  <c r="I3" i="1" a="1"/>
  <c r="D20" i="1" a="1"/>
  <c r="C18" i="1"/>
  <c r="J10" i="1"/>
  <c r="G8" i="1" a="1"/>
  <c r="J4" i="1"/>
  <c r="C19" i="1"/>
  <c r="K11" i="1"/>
  <c r="I10" i="1" a="1"/>
  <c r="D7" i="1"/>
  <c r="I4" i="1" a="1"/>
  <c r="H19" i="1" a="1"/>
  <c r="G17" i="1" a="1"/>
  <c r="K6" i="1"/>
  <c r="F10" i="1"/>
  <c r="G5" i="1" a="1"/>
  <c r="K8" i="1"/>
  <c r="D25" i="1" a="1"/>
  <c r="F5" i="1"/>
  <c r="E22" i="1" a="1"/>
  <c r="F7" i="1"/>
  <c r="E23" i="1" a="1"/>
  <c r="H17" i="1" a="1"/>
  <c r="K5" i="1"/>
  <c r="G19" i="1" a="1"/>
  <c r="K7" i="1"/>
  <c r="F18" i="1" a="1"/>
  <c r="H23" i="1" a="1"/>
  <c r="D4" i="1"/>
  <c r="H4" i="1" s="1"/>
  <c r="E18" i="1" a="1"/>
  <c r="D21" i="1" a="1"/>
  <c r="D23" i="1" a="1"/>
  <c r="I11" i="1" a="1"/>
  <c r="D8" i="1"/>
  <c r="H8" i="1" s="1"/>
  <c r="H21" i="1" a="1"/>
  <c r="C24" i="1"/>
  <c r="G24" i="1" s="1" a="1"/>
  <c r="G11" i="1" a="1"/>
  <c r="F4" i="1"/>
  <c r="F19" i="1" a="1"/>
  <c r="H6" i="1"/>
  <c r="F11" i="1"/>
  <c r="D22" i="1" a="1"/>
  <c r="C20" i="1"/>
  <c r="H18" i="1" a="1"/>
  <c r="J11" i="1"/>
  <c r="G9" i="1" a="1"/>
  <c r="F8" i="1"/>
  <c r="J5" i="1"/>
  <c r="G3" i="1" a="1"/>
  <c r="C21" i="1"/>
  <c r="G21" i="1" s="1" a="1"/>
  <c r="I5" i="1" a="1"/>
  <c r="F17" i="1" a="1"/>
  <c r="H22" i="1" a="1"/>
  <c r="D10" i="1"/>
  <c r="H10" i="1" s="1"/>
  <c r="I7" i="1" a="1"/>
  <c r="F20" i="1" a="1"/>
  <c r="J8" i="1"/>
  <c r="H25" i="1" a="1"/>
  <c r="C22" i="1"/>
  <c r="H20" i="1" a="1"/>
  <c r="G18" i="1" a="1"/>
  <c r="G10" i="1" a="1"/>
  <c r="F9" i="1"/>
  <c r="J6" i="1"/>
  <c r="G4" i="1" a="1"/>
  <c r="F3" i="1"/>
  <c r="C23" i="1"/>
  <c r="D9" i="1"/>
  <c r="H9" i="1" s="1"/>
  <c r="I6" i="1" a="1"/>
  <c r="D3" i="1"/>
  <c r="H3" i="1" s="1"/>
  <c r="G20" i="1" a="1"/>
  <c r="J7" i="1"/>
  <c r="E25" i="1" a="1"/>
  <c r="E17" i="1" a="1"/>
  <c r="G22" i="1" a="1"/>
  <c r="G6" i="1" a="1"/>
  <c r="C25" i="1"/>
  <c r="G25" i="1" s="1" a="1"/>
  <c r="D18" i="1" a="1"/>
  <c r="F6" i="1"/>
  <c r="D17" i="1" a="1"/>
  <c r="D5" i="1"/>
  <c r="H5" i="1" s="1"/>
  <c r="J9" i="1"/>
  <c r="G7" i="1" a="1"/>
  <c r="G23" i="1" a="1"/>
  <c r="J3" i="1"/>
  <c r="K9" i="1"/>
  <c r="I8" i="1" a="1"/>
  <c r="E19" i="1" a="1"/>
  <c r="D11" i="1"/>
  <c r="H11" i="1" s="1"/>
  <c r="K3" i="1"/>
  <c r="F22" i="1" a="1"/>
  <c r="F21" i="1" a="1"/>
  <c r="E20" i="1" a="1"/>
  <c r="H7" i="1"/>
  <c r="E20" i="1" l="1"/>
  <c r="F21" i="1"/>
  <c r="F22" i="1"/>
  <c r="L3" i="1"/>
  <c r="E19" i="1"/>
  <c r="I8" i="1"/>
  <c r="L9" i="1"/>
  <c r="G23" i="1"/>
  <c r="G7" i="1"/>
  <c r="D17" i="1"/>
  <c r="D18" i="1"/>
  <c r="G25" i="1"/>
  <c r="G6" i="1"/>
  <c r="G22" i="1"/>
  <c r="E17" i="1"/>
  <c r="E25" i="1"/>
  <c r="G20" i="1"/>
  <c r="I6" i="1"/>
  <c r="G4" i="1"/>
  <c r="G10" i="1"/>
  <c r="G18" i="1"/>
  <c r="H20" i="1"/>
  <c r="H25" i="1"/>
  <c r="F20" i="1"/>
  <c r="I7" i="1"/>
  <c r="H22" i="1"/>
  <c r="F17" i="1"/>
  <c r="I5" i="1"/>
  <c r="G21" i="1"/>
  <c r="G3" i="1"/>
  <c r="G9" i="1"/>
  <c r="H18" i="1"/>
  <c r="D22" i="1"/>
  <c r="F19" i="1"/>
  <c r="G11" i="1"/>
  <c r="G24" i="1"/>
  <c r="H21" i="1"/>
  <c r="I11" i="1"/>
  <c r="D23" i="1"/>
  <c r="D21" i="1"/>
  <c r="E18" i="1"/>
  <c r="H23" i="1"/>
  <c r="F18" i="1"/>
  <c r="L7" i="1"/>
  <c r="G19" i="1"/>
  <c r="L5" i="1"/>
  <c r="H17" i="1"/>
  <c r="E23" i="1"/>
  <c r="E22" i="1"/>
  <c r="D25" i="1"/>
  <c r="L8" i="1"/>
  <c r="G5" i="1"/>
  <c r="L6" i="1"/>
  <c r="G17" i="1"/>
  <c r="H19" i="1"/>
  <c r="I4" i="1"/>
  <c r="I10" i="1"/>
  <c r="L11" i="1"/>
  <c r="G8" i="1"/>
  <c r="D20" i="1"/>
  <c r="I3" i="1"/>
  <c r="L4" i="1"/>
  <c r="I9" i="1"/>
  <c r="L10" i="1"/>
  <c r="D19" i="1"/>
  <c r="E21" i="1"/>
  <c r="F23" i="1"/>
  <c r="H24" i="1"/>
  <c r="D24" i="1"/>
  <c r="E24" i="1"/>
  <c r="F25" i="1"/>
  <c r="F24" i="1"/>
  <c r="R74" i="3"/>
  <c r="AC74" i="3"/>
  <c r="Q74" i="3"/>
  <c r="Z74" i="3"/>
  <c r="K74" i="3"/>
  <c r="O74" i="3"/>
  <c r="N74" i="3"/>
  <c r="M74" i="3"/>
  <c r="AA74" i="3"/>
  <c r="L74" i="3"/>
  <c r="Q2" i="3"/>
  <c r="P2" i="3"/>
  <c r="O2" i="3"/>
  <c r="X2" i="3"/>
  <c r="S2" i="3"/>
  <c r="Z2" i="3"/>
  <c r="R2" i="3"/>
  <c r="K2" i="3"/>
  <c r="L23" i="3"/>
  <c r="M60" i="3"/>
  <c r="L60" i="3"/>
  <c r="K60" i="3"/>
  <c r="R60" i="3"/>
  <c r="K5" i="3"/>
  <c r="R5" i="3"/>
  <c r="Q5" i="3"/>
  <c r="P5" i="3"/>
  <c r="N5" i="3"/>
  <c r="U5" i="3"/>
  <c r="T5" i="3"/>
  <c r="S5" i="3"/>
  <c r="O5" i="3"/>
  <c r="Q32" i="3"/>
  <c r="S21" i="3"/>
  <c r="N21" i="3"/>
  <c r="L21" i="3"/>
  <c r="Q21" i="3"/>
  <c r="M21" i="3"/>
  <c r="K21" i="3"/>
  <c r="X100" i="3"/>
  <c r="L100" i="3"/>
  <c r="N100" i="3"/>
  <c r="M100" i="3"/>
  <c r="K100" i="3"/>
  <c r="AC64" i="3"/>
  <c r="AD64" i="3" s="1"/>
  <c r="Q64" i="3"/>
  <c r="O64" i="3"/>
  <c r="K64" i="3"/>
  <c r="S64" i="3"/>
  <c r="R64" i="3"/>
  <c r="M64" i="3"/>
  <c r="L64" i="3"/>
  <c r="X17" i="3"/>
  <c r="L17" i="3"/>
  <c r="W17" i="3"/>
  <c r="K17" i="3"/>
  <c r="R17" i="3"/>
  <c r="P17" i="3"/>
  <c r="Q17" i="3"/>
  <c r="O17" i="3"/>
  <c r="AF74" i="3"/>
  <c r="U147" i="3"/>
  <c r="K147" i="3"/>
  <c r="Q147" i="3"/>
  <c r="P147" i="3"/>
  <c r="V147" i="3"/>
  <c r="O147" i="3"/>
  <c r="N147" i="3"/>
  <c r="L147" i="3"/>
  <c r="L19" i="3"/>
  <c r="K19" i="3"/>
  <c r="Y19" i="3"/>
  <c r="W19" i="3"/>
  <c r="S19" i="3"/>
  <c r="R19" i="3"/>
  <c r="Q19" i="3"/>
  <c r="O19" i="3"/>
  <c r="M19" i="3"/>
  <c r="S36" i="3"/>
  <c r="K36" i="3"/>
  <c r="R36" i="3"/>
  <c r="Q36" i="3"/>
  <c r="M36" i="3"/>
  <c r="R49" i="3"/>
  <c r="P49" i="3"/>
  <c r="O49" i="3"/>
  <c r="N49" i="3"/>
  <c r="M49" i="3"/>
  <c r="K49" i="3"/>
  <c r="L133" i="3"/>
  <c r="I3" i="3"/>
  <c r="H4" i="3"/>
  <c r="C8" i="3"/>
  <c r="F12" i="3"/>
  <c r="F14" i="3"/>
  <c r="B16" i="3"/>
  <c r="B18" i="3"/>
  <c r="I21" i="3"/>
  <c r="I23" i="3"/>
  <c r="AC23" i="3" s="1"/>
  <c r="AD23" i="3" s="1"/>
  <c r="E25" i="3"/>
  <c r="E27" i="3"/>
  <c r="L32" i="3"/>
  <c r="H34" i="3"/>
  <c r="E41" i="3"/>
  <c r="J42" i="3"/>
  <c r="H70" i="3"/>
  <c r="G76" i="3"/>
  <c r="J79" i="3"/>
  <c r="J89" i="3"/>
  <c r="B93" i="3"/>
  <c r="F95" i="3"/>
  <c r="G113" i="3"/>
  <c r="E122" i="3"/>
  <c r="M133" i="3"/>
  <c r="H150" i="3"/>
  <c r="C154" i="3"/>
  <c r="C181" i="3"/>
  <c r="C196" i="3"/>
  <c r="J3" i="3"/>
  <c r="I4" i="3"/>
  <c r="D8" i="3"/>
  <c r="K9" i="3"/>
  <c r="G12" i="3"/>
  <c r="G14" i="3"/>
  <c r="C16" i="3"/>
  <c r="C18" i="3"/>
  <c r="J21" i="3"/>
  <c r="J23" i="3"/>
  <c r="F25" i="3"/>
  <c r="F27" i="3"/>
  <c r="B29" i="3"/>
  <c r="B31" i="3"/>
  <c r="I34" i="3"/>
  <c r="G40" i="3"/>
  <c r="I41" i="3"/>
  <c r="C47" i="3"/>
  <c r="E48" i="3"/>
  <c r="H76" i="3"/>
  <c r="H81" i="3"/>
  <c r="G95" i="3"/>
  <c r="D101" i="3"/>
  <c r="F111" i="3"/>
  <c r="I113" i="3"/>
  <c r="F122" i="3"/>
  <c r="I150" i="3"/>
  <c r="D154" i="3"/>
  <c r="F163" i="3"/>
  <c r="B170" i="3"/>
  <c r="B189" i="3"/>
  <c r="I196" i="3"/>
  <c r="Y34" i="3"/>
  <c r="S149" i="3"/>
  <c r="K149" i="3"/>
  <c r="AB149" i="3"/>
  <c r="AA149" i="3"/>
  <c r="M149" i="3"/>
  <c r="AA34" i="3"/>
  <c r="P196" i="3"/>
  <c r="Q196" i="3"/>
  <c r="O196" i="3"/>
  <c r="N196" i="3"/>
  <c r="AC196" i="3"/>
  <c r="AD196" i="3" s="1"/>
  <c r="K196" i="3"/>
  <c r="H293" i="3"/>
  <c r="H281" i="3"/>
  <c r="H292" i="3"/>
  <c r="H280" i="3"/>
  <c r="H291" i="3"/>
  <c r="H279" i="3"/>
  <c r="H290" i="3"/>
  <c r="H278" i="3"/>
  <c r="H289" i="3"/>
  <c r="H277" i="3"/>
  <c r="H288" i="3"/>
  <c r="H276" i="3"/>
  <c r="H299" i="3"/>
  <c r="H287" i="3"/>
  <c r="H275" i="3"/>
  <c r="H298" i="3"/>
  <c r="H286" i="3"/>
  <c r="H274" i="3"/>
  <c r="H297" i="3"/>
  <c r="H285" i="3"/>
  <c r="H273" i="3"/>
  <c r="H296" i="3"/>
  <c r="H284" i="3"/>
  <c r="H295" i="3"/>
  <c r="H283" i="3"/>
  <c r="H294" i="3"/>
  <c r="H282" i="3"/>
  <c r="H269" i="3"/>
  <c r="H257" i="3"/>
  <c r="H245" i="3"/>
  <c r="H233" i="3"/>
  <c r="H221" i="3"/>
  <c r="H268" i="3"/>
  <c r="H256" i="3"/>
  <c r="H244" i="3"/>
  <c r="H232" i="3"/>
  <c r="H267" i="3"/>
  <c r="H255" i="3"/>
  <c r="H243" i="3"/>
  <c r="H231" i="3"/>
  <c r="H219" i="3"/>
  <c r="H266" i="3"/>
  <c r="H254" i="3"/>
  <c r="H242" i="3"/>
  <c r="H230" i="3"/>
  <c r="H261" i="3"/>
  <c r="H241" i="3"/>
  <c r="H225" i="3"/>
  <c r="H207" i="3"/>
  <c r="H260" i="3"/>
  <c r="H240" i="3"/>
  <c r="H224" i="3"/>
  <c r="H206" i="3"/>
  <c r="H259" i="3"/>
  <c r="H239" i="3"/>
  <c r="H223" i="3"/>
  <c r="H217" i="3"/>
  <c r="H205" i="3"/>
  <c r="H258" i="3"/>
  <c r="H238" i="3"/>
  <c r="H222" i="3"/>
  <c r="H216" i="3"/>
  <c r="H253" i="3"/>
  <c r="H237" i="3"/>
  <c r="H229" i="3"/>
  <c r="H211" i="3"/>
  <c r="H201" i="3"/>
  <c r="H196" i="3"/>
  <c r="H272" i="3"/>
  <c r="H264" i="3"/>
  <c r="H248" i="3"/>
  <c r="H210" i="3"/>
  <c r="H195" i="3"/>
  <c r="H209" i="3"/>
  <c r="H202" i="3"/>
  <c r="H194" i="3"/>
  <c r="H182" i="3"/>
  <c r="H170" i="3"/>
  <c r="H158" i="3"/>
  <c r="H220" i="3"/>
  <c r="H203" i="3"/>
  <c r="H192" i="3"/>
  <c r="H250" i="3"/>
  <c r="H249" i="3"/>
  <c r="H226" i="3"/>
  <c r="H189" i="3"/>
  <c r="H176" i="3"/>
  <c r="H252" i="3"/>
  <c r="H228" i="3"/>
  <c r="H214" i="3"/>
  <c r="H165" i="3"/>
  <c r="H263" i="3"/>
  <c r="H251" i="3"/>
  <c r="H227" i="3"/>
  <c r="H187" i="3"/>
  <c r="H177" i="3"/>
  <c r="H171" i="3"/>
  <c r="H148" i="3"/>
  <c r="H136" i="3"/>
  <c r="H265" i="3"/>
  <c r="H208" i="3"/>
  <c r="H185" i="3"/>
  <c r="H178" i="3"/>
  <c r="H172" i="3"/>
  <c r="H146" i="3"/>
  <c r="H262" i="3"/>
  <c r="H234" i="3"/>
  <c r="H156" i="3"/>
  <c r="H142" i="3"/>
  <c r="H218" i="3"/>
  <c r="H199" i="3"/>
  <c r="H169" i="3"/>
  <c r="H159" i="3"/>
  <c r="H149" i="3"/>
  <c r="H134" i="3"/>
  <c r="H128" i="3"/>
  <c r="H116" i="3"/>
  <c r="H104" i="3"/>
  <c r="H92" i="3"/>
  <c r="H247" i="3"/>
  <c r="H191" i="3"/>
  <c r="H179" i="3"/>
  <c r="H154" i="3"/>
  <c r="H147" i="3"/>
  <c r="H140" i="3"/>
  <c r="H193" i="3"/>
  <c r="H180" i="3"/>
  <c r="H152" i="3"/>
  <c r="H138" i="3"/>
  <c r="H113" i="3"/>
  <c r="H101" i="3"/>
  <c r="H89" i="3"/>
  <c r="H184" i="3"/>
  <c r="H190" i="3"/>
  <c r="H167" i="3"/>
  <c r="H132" i="3"/>
  <c r="H124" i="3"/>
  <c r="H105" i="3"/>
  <c r="H271" i="3"/>
  <c r="H183" i="3"/>
  <c r="H175" i="3"/>
  <c r="H123" i="3"/>
  <c r="H110" i="3"/>
  <c r="H103" i="3"/>
  <c r="H163" i="3"/>
  <c r="H133" i="3"/>
  <c r="H125" i="3"/>
  <c r="H122" i="3"/>
  <c r="H117" i="3"/>
  <c r="H188" i="3"/>
  <c r="H145" i="3"/>
  <c r="H130" i="3"/>
  <c r="H118" i="3"/>
  <c r="H121" i="3"/>
  <c r="H109" i="3"/>
  <c r="H100" i="3"/>
  <c r="H73" i="3"/>
  <c r="H61" i="3"/>
  <c r="H49" i="3"/>
  <c r="Q49" i="3" s="1"/>
  <c r="H37" i="3"/>
  <c r="H204" i="3"/>
  <c r="H173" i="3"/>
  <c r="H155" i="3"/>
  <c r="H141" i="3"/>
  <c r="H108" i="3"/>
  <c r="H72" i="3"/>
  <c r="H60" i="3"/>
  <c r="H48" i="3"/>
  <c r="H36" i="3"/>
  <c r="H197" i="3"/>
  <c r="H160" i="3"/>
  <c r="H119" i="3"/>
  <c r="H97" i="3"/>
  <c r="H90" i="3"/>
  <c r="H84" i="3"/>
  <c r="H83" i="3"/>
  <c r="H71" i="3"/>
  <c r="H59" i="3"/>
  <c r="H47" i="3"/>
  <c r="H270" i="3"/>
  <c r="H157" i="3"/>
  <c r="H144" i="3"/>
  <c r="H236" i="3"/>
  <c r="H186" i="3"/>
  <c r="H151" i="3"/>
  <c r="H137" i="3"/>
  <c r="H58" i="3"/>
  <c r="H55" i="3"/>
  <c r="H52" i="3"/>
  <c r="H33" i="3"/>
  <c r="H21" i="3"/>
  <c r="V21" i="3" s="1"/>
  <c r="H9" i="3"/>
  <c r="H91" i="3"/>
  <c r="H45" i="3"/>
  <c r="H42" i="3"/>
  <c r="H39" i="3"/>
  <c r="H32" i="3"/>
  <c r="H20" i="3"/>
  <c r="H8" i="3"/>
  <c r="H212" i="3"/>
  <c r="H168" i="3"/>
  <c r="H166" i="3"/>
  <c r="H162" i="3"/>
  <c r="H115" i="3"/>
  <c r="H80" i="3"/>
  <c r="H77" i="3"/>
  <c r="H74" i="3"/>
  <c r="H31" i="3"/>
  <c r="H19" i="3"/>
  <c r="H174" i="3"/>
  <c r="H153" i="3"/>
  <c r="H139" i="3"/>
  <c r="H131" i="3"/>
  <c r="H126" i="3"/>
  <c r="H120" i="3"/>
  <c r="H114" i="3"/>
  <c r="H66" i="3"/>
  <c r="H51" i="3"/>
  <c r="H29" i="3"/>
  <c r="H26" i="3"/>
  <c r="H23" i="3"/>
  <c r="H129" i="3"/>
  <c r="H62" i="3"/>
  <c r="H44" i="3"/>
  <c r="H16" i="3"/>
  <c r="H13" i="3"/>
  <c r="H7" i="3"/>
  <c r="H235" i="3"/>
  <c r="H213" i="3"/>
  <c r="H198" i="3"/>
  <c r="H98" i="3"/>
  <c r="H94" i="3"/>
  <c r="H67" i="3"/>
  <c r="H40" i="3"/>
  <c r="H87" i="3"/>
  <c r="H82" i="3"/>
  <c r="H75" i="3"/>
  <c r="H63" i="3"/>
  <c r="H164" i="3"/>
  <c r="H127" i="3"/>
  <c r="H93" i="3"/>
  <c r="H56" i="3"/>
  <c r="H41" i="3"/>
  <c r="H28" i="3"/>
  <c r="H25" i="3"/>
  <c r="H22" i="3"/>
  <c r="H107" i="3"/>
  <c r="H102" i="3"/>
  <c r="H64" i="3"/>
  <c r="H181" i="3"/>
  <c r="H135" i="3"/>
  <c r="H106" i="3"/>
  <c r="H86" i="3"/>
  <c r="H57" i="3"/>
  <c r="I56" i="3"/>
  <c r="I57" i="3"/>
  <c r="I68" i="3"/>
  <c r="C298" i="3"/>
  <c r="C286" i="3"/>
  <c r="C274" i="3"/>
  <c r="C297" i="3"/>
  <c r="C285" i="3"/>
  <c r="C273" i="3"/>
  <c r="C296" i="3"/>
  <c r="C284" i="3"/>
  <c r="C295" i="3"/>
  <c r="C283" i="3"/>
  <c r="C294" i="3"/>
  <c r="C282" i="3"/>
  <c r="C293" i="3"/>
  <c r="C281" i="3"/>
  <c r="C292" i="3"/>
  <c r="C280" i="3"/>
  <c r="C291" i="3"/>
  <c r="C279" i="3"/>
  <c r="C290" i="3"/>
  <c r="C278" i="3"/>
  <c r="C289" i="3"/>
  <c r="C277" i="3"/>
  <c r="C288" i="3"/>
  <c r="C276" i="3"/>
  <c r="C299" i="3"/>
  <c r="C287" i="3"/>
  <c r="C275" i="3"/>
  <c r="C262" i="3"/>
  <c r="C250" i="3"/>
  <c r="C238" i="3"/>
  <c r="C226" i="3"/>
  <c r="C261" i="3"/>
  <c r="C249" i="3"/>
  <c r="C237" i="3"/>
  <c r="C225" i="3"/>
  <c r="C272" i="3"/>
  <c r="C260" i="3"/>
  <c r="C248" i="3"/>
  <c r="C236" i="3"/>
  <c r="C224" i="3"/>
  <c r="C271" i="3"/>
  <c r="C259" i="3"/>
  <c r="C247" i="3"/>
  <c r="C235" i="3"/>
  <c r="C223" i="3"/>
  <c r="C266" i="3"/>
  <c r="C246" i="3"/>
  <c r="C230" i="3"/>
  <c r="C212" i="3"/>
  <c r="C200" i="3"/>
  <c r="C265" i="3"/>
  <c r="C245" i="3"/>
  <c r="C229" i="3"/>
  <c r="C211" i="3"/>
  <c r="C264" i="3"/>
  <c r="C244" i="3"/>
  <c r="C228" i="3"/>
  <c r="C210" i="3"/>
  <c r="C263" i="3"/>
  <c r="C243" i="3"/>
  <c r="C227" i="3"/>
  <c r="C219" i="3"/>
  <c r="C209" i="3"/>
  <c r="C270" i="3"/>
  <c r="C254" i="3"/>
  <c r="C216" i="3"/>
  <c r="C221" i="3"/>
  <c r="C215" i="3"/>
  <c r="C256" i="3"/>
  <c r="C240" i="3"/>
  <c r="C232" i="3"/>
  <c r="C218" i="3"/>
  <c r="C214" i="3"/>
  <c r="C199" i="3"/>
  <c r="C187" i="3"/>
  <c r="C175" i="3"/>
  <c r="C163" i="3"/>
  <c r="C258" i="3"/>
  <c r="C242" i="3"/>
  <c r="C234" i="3"/>
  <c r="C208" i="3"/>
  <c r="C197" i="3"/>
  <c r="C185" i="3"/>
  <c r="C193" i="3"/>
  <c r="C188" i="3"/>
  <c r="C174" i="3"/>
  <c r="C168" i="3"/>
  <c r="C203" i="3"/>
  <c r="C192" i="3"/>
  <c r="C186" i="3"/>
  <c r="C180" i="3"/>
  <c r="C206" i="3"/>
  <c r="C184" i="3"/>
  <c r="C169" i="3"/>
  <c r="C153" i="3"/>
  <c r="C141" i="3"/>
  <c r="C129" i="3"/>
  <c r="C251" i="3"/>
  <c r="C170" i="3"/>
  <c r="C164" i="3"/>
  <c r="C151" i="3"/>
  <c r="C139" i="3"/>
  <c r="C267" i="3"/>
  <c r="C239" i="3"/>
  <c r="C217" i="3"/>
  <c r="C204" i="3"/>
  <c r="C166" i="3"/>
  <c r="C155" i="3"/>
  <c r="C131" i="3"/>
  <c r="C122" i="3"/>
  <c r="C257" i="3"/>
  <c r="C207" i="3"/>
  <c r="C183" i="3"/>
  <c r="C176" i="3"/>
  <c r="C157" i="3"/>
  <c r="C146" i="3"/>
  <c r="C126" i="3"/>
  <c r="C121" i="3"/>
  <c r="C109" i="3"/>
  <c r="C97" i="3"/>
  <c r="C252" i="3"/>
  <c r="C190" i="3"/>
  <c r="C167" i="3"/>
  <c r="C137" i="3"/>
  <c r="C132" i="3"/>
  <c r="C120" i="3"/>
  <c r="C222" i="3"/>
  <c r="C191" i="3"/>
  <c r="C149" i="3"/>
  <c r="C133" i="3"/>
  <c r="C118" i="3"/>
  <c r="C106" i="3"/>
  <c r="C94" i="3"/>
  <c r="C220" i="3"/>
  <c r="C213" i="3"/>
  <c r="C172" i="3"/>
  <c r="C269" i="3"/>
  <c r="C201" i="3"/>
  <c r="C116" i="3"/>
  <c r="C171" i="3"/>
  <c r="C130" i="3"/>
  <c r="C202" i="3"/>
  <c r="C179" i="3"/>
  <c r="C160" i="3"/>
  <c r="C148" i="3"/>
  <c r="C138" i="3"/>
  <c r="C114" i="3"/>
  <c r="C194" i="3"/>
  <c r="C177" i="3"/>
  <c r="C162" i="3"/>
  <c r="C128" i="3"/>
  <c r="C117" i="3"/>
  <c r="C241" i="3"/>
  <c r="C178" i="3"/>
  <c r="C161" i="3"/>
  <c r="C152" i="3"/>
  <c r="C145" i="3"/>
  <c r="C104" i="3"/>
  <c r="C101" i="3"/>
  <c r="C78" i="3"/>
  <c r="C66" i="3"/>
  <c r="C54" i="3"/>
  <c r="C42" i="3"/>
  <c r="C135" i="3"/>
  <c r="C111" i="3"/>
  <c r="C98" i="3"/>
  <c r="C96" i="3"/>
  <c r="C89" i="3"/>
  <c r="C77" i="3"/>
  <c r="C65" i="3"/>
  <c r="C53" i="3"/>
  <c r="C41" i="3"/>
  <c r="C110" i="3"/>
  <c r="C76" i="3"/>
  <c r="C64" i="3"/>
  <c r="C52" i="3"/>
  <c r="C40" i="3"/>
  <c r="C82" i="3"/>
  <c r="C79" i="3"/>
  <c r="C253" i="3"/>
  <c r="C182" i="3"/>
  <c r="C150" i="3"/>
  <c r="C102" i="3"/>
  <c r="C87" i="3"/>
  <c r="C75" i="3"/>
  <c r="C72" i="3"/>
  <c r="C69" i="3"/>
  <c r="C26" i="3"/>
  <c r="C14" i="3"/>
  <c r="C173" i="3"/>
  <c r="C165" i="3"/>
  <c r="C144" i="3"/>
  <c r="C143" i="3"/>
  <c r="C136" i="3"/>
  <c r="C113" i="3"/>
  <c r="C108" i="3"/>
  <c r="C62" i="3"/>
  <c r="C59" i="3"/>
  <c r="C56" i="3"/>
  <c r="C25" i="3"/>
  <c r="C13" i="3"/>
  <c r="C231" i="3"/>
  <c r="C205" i="3"/>
  <c r="C158" i="3"/>
  <c r="C88" i="3"/>
  <c r="C86" i="3"/>
  <c r="C49" i="3"/>
  <c r="C46" i="3"/>
  <c r="C43" i="3"/>
  <c r="C24" i="3"/>
  <c r="C12" i="3"/>
  <c r="C123" i="3"/>
  <c r="C99" i="3"/>
  <c r="C85" i="3"/>
  <c r="C83" i="3"/>
  <c r="C81" i="3"/>
  <c r="C50" i="3"/>
  <c r="C4" i="3"/>
  <c r="C95" i="3"/>
  <c r="C58" i="3"/>
  <c r="C33" i="3"/>
  <c r="C30" i="3"/>
  <c r="C27" i="3"/>
  <c r="C3" i="3"/>
  <c r="C268" i="3"/>
  <c r="C195" i="3"/>
  <c r="C134" i="3"/>
  <c r="C91" i="3"/>
  <c r="C51" i="3"/>
  <c r="C36" i="3"/>
  <c r="AB36" i="3" s="1"/>
  <c r="C23" i="3"/>
  <c r="C20" i="3"/>
  <c r="C17" i="3"/>
  <c r="Z17" i="3" s="1"/>
  <c r="C11" i="3"/>
  <c r="C5" i="3"/>
  <c r="C2" i="3"/>
  <c r="AC2" i="3" s="1"/>
  <c r="C115" i="3"/>
  <c r="C198" i="3"/>
  <c r="C103" i="3"/>
  <c r="C90" i="3"/>
  <c r="C70" i="3"/>
  <c r="C55" i="3"/>
  <c r="C9" i="3"/>
  <c r="C6" i="3"/>
  <c r="C233" i="3"/>
  <c r="C127" i="3"/>
  <c r="C124" i="3"/>
  <c r="C84" i="3"/>
  <c r="C73" i="3"/>
  <c r="C63" i="3"/>
  <c r="C48" i="3"/>
  <c r="C105" i="3"/>
  <c r="C71" i="3"/>
  <c r="C44" i="3"/>
  <c r="L9" i="3"/>
  <c r="H12" i="3"/>
  <c r="K23" i="3"/>
  <c r="G27" i="3"/>
  <c r="C29" i="3"/>
  <c r="C31" i="3"/>
  <c r="N32" i="3"/>
  <c r="J34" i="3"/>
  <c r="C39" i="3"/>
  <c r="B46" i="3"/>
  <c r="G47" i="3"/>
  <c r="J62" i="3"/>
  <c r="J66" i="3"/>
  <c r="F69" i="3"/>
  <c r="W76" i="3"/>
  <c r="H95" i="3"/>
  <c r="B97" i="3"/>
  <c r="I99" i="3"/>
  <c r="E101" i="3"/>
  <c r="G111" i="3"/>
  <c r="J113" i="3"/>
  <c r="C119" i="3"/>
  <c r="C142" i="3"/>
  <c r="C159" i="3"/>
  <c r="I170" i="3"/>
  <c r="C189" i="3"/>
  <c r="J210" i="3"/>
  <c r="C255" i="3"/>
  <c r="F8" i="3"/>
  <c r="B11" i="3"/>
  <c r="J12" i="3"/>
  <c r="I14" i="3"/>
  <c r="F16" i="3"/>
  <c r="E18" i="3"/>
  <c r="B20" i="3"/>
  <c r="I25" i="3"/>
  <c r="H27" i="3"/>
  <c r="E29" i="3"/>
  <c r="D31" i="3"/>
  <c r="O32" i="3"/>
  <c r="B38" i="3"/>
  <c r="F46" i="3"/>
  <c r="E58" i="3"/>
  <c r="G69" i="3"/>
  <c r="G88" i="3"/>
  <c r="F101" i="3"/>
  <c r="H111" i="3"/>
  <c r="G119" i="3"/>
  <c r="J130" i="3"/>
  <c r="F143" i="3"/>
  <c r="G200" i="3"/>
  <c r="S34" i="3"/>
  <c r="R34" i="3"/>
  <c r="Q34" i="3"/>
  <c r="N34" i="3"/>
  <c r="AB34" i="3"/>
  <c r="M34" i="3"/>
  <c r="Z34" i="3"/>
  <c r="K34" i="3"/>
  <c r="O71" i="3"/>
  <c r="N71" i="3"/>
  <c r="M71" i="3"/>
  <c r="L71" i="3"/>
  <c r="K71" i="3"/>
  <c r="S9" i="3"/>
  <c r="V9" i="3"/>
  <c r="U9" i="3"/>
  <c r="Q9" i="3"/>
  <c r="Q23" i="3"/>
  <c r="E129" i="3"/>
  <c r="E73" i="3"/>
  <c r="E66" i="3"/>
  <c r="E105" i="3"/>
  <c r="E97" i="3"/>
  <c r="E67" i="3"/>
  <c r="E37" i="3"/>
  <c r="E142" i="3"/>
  <c r="E140" i="3"/>
  <c r="E93" i="3"/>
  <c r="E82" i="3"/>
  <c r="E80" i="3"/>
  <c r="E60" i="3"/>
  <c r="T60" i="3" s="1"/>
  <c r="E45" i="3"/>
  <c r="I86" i="3"/>
  <c r="I78" i="3"/>
  <c r="I76" i="3"/>
  <c r="E8" i="3"/>
  <c r="J52" i="3"/>
  <c r="J53" i="3"/>
  <c r="J38" i="3"/>
  <c r="J49" i="3"/>
  <c r="J181" i="3"/>
  <c r="J176" i="3"/>
  <c r="B7" i="3"/>
  <c r="G8" i="3"/>
  <c r="N9" i="3"/>
  <c r="H11" i="3"/>
  <c r="N12" i="3"/>
  <c r="J14" i="3"/>
  <c r="J16" i="3"/>
  <c r="F18" i="3"/>
  <c r="F20" i="3"/>
  <c r="B22" i="3"/>
  <c r="B24" i="3"/>
  <c r="I27" i="3"/>
  <c r="I29" i="3"/>
  <c r="E31" i="3"/>
  <c r="E33" i="3"/>
  <c r="P34" i="3"/>
  <c r="C38" i="3"/>
  <c r="B45" i="3"/>
  <c r="G46" i="3"/>
  <c r="F54" i="3"/>
  <c r="B61" i="3"/>
  <c r="H65" i="3"/>
  <c r="H69" i="3"/>
  <c r="F72" i="3"/>
  <c r="H78" i="3"/>
  <c r="G86" i="3"/>
  <c r="H88" i="3"/>
  <c r="G106" i="3"/>
  <c r="I111" i="3"/>
  <c r="G143" i="3"/>
  <c r="H200" i="3"/>
  <c r="AB76" i="3"/>
  <c r="P76" i="3"/>
  <c r="O76" i="3"/>
  <c r="S76" i="3"/>
  <c r="K76" i="3"/>
  <c r="Q105" i="3"/>
  <c r="M105" i="3"/>
  <c r="L105" i="3"/>
  <c r="K105" i="3"/>
  <c r="Y105" i="3"/>
  <c r="B299" i="3"/>
  <c r="B287" i="3"/>
  <c r="B275" i="3"/>
  <c r="B298" i="3"/>
  <c r="B286" i="3"/>
  <c r="B274" i="3"/>
  <c r="B297" i="3"/>
  <c r="B285" i="3"/>
  <c r="B273" i="3"/>
  <c r="B296" i="3"/>
  <c r="B284" i="3"/>
  <c r="B295" i="3"/>
  <c r="B283" i="3"/>
  <c r="B294" i="3"/>
  <c r="B282" i="3"/>
  <c r="B293" i="3"/>
  <c r="B281" i="3"/>
  <c r="B292" i="3"/>
  <c r="B280" i="3"/>
  <c r="B291" i="3"/>
  <c r="B279" i="3"/>
  <c r="B290" i="3"/>
  <c r="B278" i="3"/>
  <c r="B289" i="3"/>
  <c r="B277" i="3"/>
  <c r="B288" i="3"/>
  <c r="B276" i="3"/>
  <c r="B263" i="3"/>
  <c r="B251" i="3"/>
  <c r="B239" i="3"/>
  <c r="B227" i="3"/>
  <c r="B262" i="3"/>
  <c r="B250" i="3"/>
  <c r="B238" i="3"/>
  <c r="B226" i="3"/>
  <c r="B261" i="3"/>
  <c r="B249" i="3"/>
  <c r="B237" i="3"/>
  <c r="B225" i="3"/>
  <c r="B272" i="3"/>
  <c r="B260" i="3"/>
  <c r="B248" i="3"/>
  <c r="B236" i="3"/>
  <c r="B224" i="3"/>
  <c r="B267" i="3"/>
  <c r="B247" i="3"/>
  <c r="B231" i="3"/>
  <c r="B213" i="3"/>
  <c r="B201" i="3"/>
  <c r="B266" i="3"/>
  <c r="B246" i="3"/>
  <c r="B230" i="3"/>
  <c r="B212" i="3"/>
  <c r="B265" i="3"/>
  <c r="B245" i="3"/>
  <c r="B229" i="3"/>
  <c r="B211" i="3"/>
  <c r="B264" i="3"/>
  <c r="B244" i="3"/>
  <c r="B228" i="3"/>
  <c r="B210" i="3"/>
  <c r="B259" i="3"/>
  <c r="B243" i="3"/>
  <c r="B235" i="3"/>
  <c r="B217" i="3"/>
  <c r="B204" i="3"/>
  <c r="B270" i="3"/>
  <c r="B254" i="3"/>
  <c r="B216" i="3"/>
  <c r="B221" i="3"/>
  <c r="B215" i="3"/>
  <c r="B188" i="3"/>
  <c r="B176" i="3"/>
  <c r="B164" i="3"/>
  <c r="B223" i="3"/>
  <c r="B219" i="3"/>
  <c r="B209" i="3"/>
  <c r="B198" i="3"/>
  <c r="B186" i="3"/>
  <c r="B271" i="3"/>
  <c r="B218" i="3"/>
  <c r="B202" i="3"/>
  <c r="B194" i="3"/>
  <c r="B179" i="3"/>
  <c r="B193" i="3"/>
  <c r="B174" i="3"/>
  <c r="B168" i="3"/>
  <c r="B203" i="3"/>
  <c r="B192" i="3"/>
  <c r="B180" i="3"/>
  <c r="B163" i="3"/>
  <c r="B157" i="3"/>
  <c r="B154" i="3"/>
  <c r="B142" i="3"/>
  <c r="B130" i="3"/>
  <c r="B240" i="3"/>
  <c r="B214" i="3"/>
  <c r="B191" i="3"/>
  <c r="B181" i="3"/>
  <c r="B158" i="3"/>
  <c r="B152" i="3"/>
  <c r="B140" i="3"/>
  <c r="B206" i="3"/>
  <c r="B205" i="3"/>
  <c r="B200" i="3"/>
  <c r="B175" i="3"/>
  <c r="B160" i="3"/>
  <c r="B148" i="3"/>
  <c r="B141" i="3"/>
  <c r="B125" i="3"/>
  <c r="B123" i="3"/>
  <c r="B242" i="3"/>
  <c r="B234" i="3"/>
  <c r="B208" i="3"/>
  <c r="B197" i="3"/>
  <c r="B166" i="3"/>
  <c r="B155" i="3"/>
  <c r="B139" i="3"/>
  <c r="B131" i="3"/>
  <c r="B122" i="3"/>
  <c r="B110" i="3"/>
  <c r="B98" i="3"/>
  <c r="B257" i="3"/>
  <c r="B207" i="3"/>
  <c r="B183" i="3"/>
  <c r="B153" i="3"/>
  <c r="B146" i="3"/>
  <c r="B126" i="3"/>
  <c r="B121" i="3"/>
  <c r="B255" i="3"/>
  <c r="B232" i="3"/>
  <c r="B199" i="3"/>
  <c r="B184" i="3"/>
  <c r="B177" i="3"/>
  <c r="B169" i="3"/>
  <c r="B162" i="3"/>
  <c r="B159" i="3"/>
  <c r="B144" i="3"/>
  <c r="B127" i="3"/>
  <c r="B119" i="3"/>
  <c r="B107" i="3"/>
  <c r="B95" i="3"/>
  <c r="B252" i="3"/>
  <c r="B185" i="3"/>
  <c r="B222" i="3"/>
  <c r="B220" i="3"/>
  <c r="B172" i="3"/>
  <c r="B111" i="3"/>
  <c r="B269" i="3"/>
  <c r="B116" i="3"/>
  <c r="B109" i="3"/>
  <c r="B102" i="3"/>
  <c r="B171" i="3"/>
  <c r="B256" i="3"/>
  <c r="B187" i="3"/>
  <c r="B156" i="3"/>
  <c r="B115" i="3"/>
  <c r="B112" i="3"/>
  <c r="B138" i="3"/>
  <c r="B128" i="3"/>
  <c r="B117" i="3"/>
  <c r="B91" i="3"/>
  <c r="B86" i="3"/>
  <c r="B79" i="3"/>
  <c r="B67" i="3"/>
  <c r="B55" i="3"/>
  <c r="B43" i="3"/>
  <c r="B241" i="3"/>
  <c r="B178" i="3"/>
  <c r="B161" i="3"/>
  <c r="B145" i="3"/>
  <c r="B104" i="3"/>
  <c r="B101" i="3"/>
  <c r="B78" i="3"/>
  <c r="B66" i="3"/>
  <c r="B54" i="3"/>
  <c r="B42" i="3"/>
  <c r="B135" i="3"/>
  <c r="B118" i="3"/>
  <c r="B96" i="3"/>
  <c r="B89" i="3"/>
  <c r="B77" i="3"/>
  <c r="B65" i="3"/>
  <c r="B53" i="3"/>
  <c r="B41" i="3"/>
  <c r="B190" i="3"/>
  <c r="B258" i="3"/>
  <c r="B82" i="3"/>
  <c r="B40" i="3"/>
  <c r="B37" i="3"/>
  <c r="B27" i="3"/>
  <c r="B15" i="3"/>
  <c r="B253" i="3"/>
  <c r="B182" i="3"/>
  <c r="B151" i="3"/>
  <c r="B150" i="3"/>
  <c r="B137" i="3"/>
  <c r="B106" i="3"/>
  <c r="B87" i="3"/>
  <c r="B75" i="3"/>
  <c r="B72" i="3"/>
  <c r="B69" i="3"/>
  <c r="B26" i="3"/>
  <c r="B14" i="3"/>
  <c r="B173" i="3"/>
  <c r="B165" i="3"/>
  <c r="B143" i="3"/>
  <c r="B136" i="3"/>
  <c r="B113" i="3"/>
  <c r="B108" i="3"/>
  <c r="B62" i="3"/>
  <c r="B59" i="3"/>
  <c r="B56" i="3"/>
  <c r="B25" i="3"/>
  <c r="B13" i="3"/>
  <c r="B88" i="3"/>
  <c r="B57" i="3"/>
  <c r="B39" i="3"/>
  <c r="B8" i="3"/>
  <c r="B99" i="3"/>
  <c r="B85" i="3"/>
  <c r="B83" i="3"/>
  <c r="B81" i="3"/>
  <c r="B50" i="3"/>
  <c r="B4" i="3"/>
  <c r="B167" i="3"/>
  <c r="B114" i="3"/>
  <c r="B58" i="3"/>
  <c r="B33" i="3"/>
  <c r="B30" i="3"/>
  <c r="B3" i="3"/>
  <c r="B268" i="3"/>
  <c r="B195" i="3"/>
  <c r="B134" i="3"/>
  <c r="B120" i="3"/>
  <c r="B94" i="3"/>
  <c r="B51" i="3"/>
  <c r="B132" i="3"/>
  <c r="B47" i="3"/>
  <c r="B129" i="3"/>
  <c r="B103" i="3"/>
  <c r="B90" i="3"/>
  <c r="B70" i="3"/>
  <c r="B52" i="3"/>
  <c r="B233" i="3"/>
  <c r="B124" i="3"/>
  <c r="B84" i="3"/>
  <c r="B73" i="3"/>
  <c r="B63" i="3"/>
  <c r="B48" i="3"/>
  <c r="I106" i="3"/>
  <c r="I104" i="3"/>
  <c r="I101" i="3"/>
  <c r="I96" i="3"/>
  <c r="H14" i="3"/>
  <c r="D297" i="3"/>
  <c r="D285" i="3"/>
  <c r="D273" i="3"/>
  <c r="D296" i="3"/>
  <c r="D284" i="3"/>
  <c r="D295" i="3"/>
  <c r="D283" i="3"/>
  <c r="D294" i="3"/>
  <c r="D282" i="3"/>
  <c r="D293" i="3"/>
  <c r="D281" i="3"/>
  <c r="D292" i="3"/>
  <c r="D280" i="3"/>
  <c r="D291" i="3"/>
  <c r="D279" i="3"/>
  <c r="D290" i="3"/>
  <c r="D278" i="3"/>
  <c r="D289" i="3"/>
  <c r="D277" i="3"/>
  <c r="D288" i="3"/>
  <c r="D276" i="3"/>
  <c r="D299" i="3"/>
  <c r="D287" i="3"/>
  <c r="D275" i="3"/>
  <c r="D298" i="3"/>
  <c r="D286" i="3"/>
  <c r="D274" i="3"/>
  <c r="D261" i="3"/>
  <c r="D249" i="3"/>
  <c r="D237" i="3"/>
  <c r="D225" i="3"/>
  <c r="D272" i="3"/>
  <c r="D260" i="3"/>
  <c r="D248" i="3"/>
  <c r="D236" i="3"/>
  <c r="D224" i="3"/>
  <c r="D271" i="3"/>
  <c r="D259" i="3"/>
  <c r="D247" i="3"/>
  <c r="D235" i="3"/>
  <c r="D223" i="3"/>
  <c r="D270" i="3"/>
  <c r="D258" i="3"/>
  <c r="D246" i="3"/>
  <c r="D234" i="3"/>
  <c r="D222" i="3"/>
  <c r="D265" i="3"/>
  <c r="D245" i="3"/>
  <c r="D229" i="3"/>
  <c r="D211" i="3"/>
  <c r="D264" i="3"/>
  <c r="D244" i="3"/>
  <c r="D228" i="3"/>
  <c r="D210" i="3"/>
  <c r="D263" i="3"/>
  <c r="D243" i="3"/>
  <c r="D227" i="3"/>
  <c r="D219" i="3"/>
  <c r="D209" i="3"/>
  <c r="D262" i="3"/>
  <c r="D242" i="3"/>
  <c r="D226" i="3"/>
  <c r="D208" i="3"/>
  <c r="D221" i="3"/>
  <c r="D215" i="3"/>
  <c r="D256" i="3"/>
  <c r="D240" i="3"/>
  <c r="D232" i="3"/>
  <c r="D218" i="3"/>
  <c r="D214" i="3"/>
  <c r="D199" i="3"/>
  <c r="D267" i="3"/>
  <c r="D251" i="3"/>
  <c r="D213" i="3"/>
  <c r="D200" i="3"/>
  <c r="D198" i="3"/>
  <c r="D186" i="3"/>
  <c r="D174" i="3"/>
  <c r="D162" i="3"/>
  <c r="D269" i="3"/>
  <c r="D253" i="3"/>
  <c r="D207" i="3"/>
  <c r="D201" i="3"/>
  <c r="D196" i="3"/>
  <c r="M196" i="3" s="1"/>
  <c r="D184" i="3"/>
  <c r="D212" i="3"/>
  <c r="D203" i="3"/>
  <c r="D192" i="3"/>
  <c r="D180" i="3"/>
  <c r="D206" i="3"/>
  <c r="D169" i="3"/>
  <c r="D239" i="3"/>
  <c r="D217" i="3"/>
  <c r="D204" i="3"/>
  <c r="D191" i="3"/>
  <c r="D181" i="3"/>
  <c r="D175" i="3"/>
  <c r="D158" i="3"/>
  <c r="D152" i="3"/>
  <c r="D140" i="3"/>
  <c r="D128" i="3"/>
  <c r="D241" i="3"/>
  <c r="D189" i="3"/>
  <c r="D182" i="3"/>
  <c r="D176" i="3"/>
  <c r="D159" i="3"/>
  <c r="D150" i="3"/>
  <c r="D138" i="3"/>
  <c r="D257" i="3"/>
  <c r="D197" i="3"/>
  <c r="D183" i="3"/>
  <c r="D157" i="3"/>
  <c r="D146" i="3"/>
  <c r="D139" i="3"/>
  <c r="D126" i="3"/>
  <c r="D121" i="3"/>
  <c r="D252" i="3"/>
  <c r="D190" i="3"/>
  <c r="D167" i="3"/>
  <c r="D153" i="3"/>
  <c r="D137" i="3"/>
  <c r="D132" i="3"/>
  <c r="D120" i="3"/>
  <c r="D108" i="3"/>
  <c r="D96" i="3"/>
  <c r="D255" i="3"/>
  <c r="D194" i="3"/>
  <c r="D187" i="3"/>
  <c r="D177" i="3"/>
  <c r="D151" i="3"/>
  <c r="D144" i="3"/>
  <c r="D127" i="3"/>
  <c r="D119" i="3"/>
  <c r="D250" i="3"/>
  <c r="D178" i="3"/>
  <c r="D170" i="3"/>
  <c r="D156" i="3"/>
  <c r="D142" i="3"/>
  <c r="D117" i="3"/>
  <c r="D105" i="3"/>
  <c r="D93" i="3"/>
  <c r="D171" i="3"/>
  <c r="D130" i="3"/>
  <c r="D109" i="3"/>
  <c r="D202" i="3"/>
  <c r="D179" i="3"/>
  <c r="D160" i="3"/>
  <c r="D148" i="3"/>
  <c r="D114" i="3"/>
  <c r="D107" i="3"/>
  <c r="D100" i="3"/>
  <c r="W100" i="3" s="1"/>
  <c r="D266" i="3"/>
  <c r="D254" i="3"/>
  <c r="D216" i="3"/>
  <c r="D193" i="3"/>
  <c r="D155" i="3"/>
  <c r="D145" i="3"/>
  <c r="D141" i="3"/>
  <c r="D131" i="3"/>
  <c r="D238" i="3"/>
  <c r="D168" i="3"/>
  <c r="D161" i="3"/>
  <c r="D116" i="3"/>
  <c r="D104" i="3"/>
  <c r="D135" i="3"/>
  <c r="D111" i="3"/>
  <c r="D98" i="3"/>
  <c r="D89" i="3"/>
  <c r="D77" i="3"/>
  <c r="D65" i="3"/>
  <c r="D53" i="3"/>
  <c r="D41" i="3"/>
  <c r="D118" i="3"/>
  <c r="D110" i="3"/>
  <c r="D76" i="3"/>
  <c r="D64" i="3"/>
  <c r="D52" i="3"/>
  <c r="D40" i="3"/>
  <c r="D230" i="3"/>
  <c r="D188" i="3"/>
  <c r="D172" i="3"/>
  <c r="D125" i="3"/>
  <c r="D123" i="3"/>
  <c r="D103" i="3"/>
  <c r="D94" i="3"/>
  <c r="D87" i="3"/>
  <c r="D75" i="3"/>
  <c r="D63" i="3"/>
  <c r="D51" i="3"/>
  <c r="D39" i="3"/>
  <c r="D102" i="3"/>
  <c r="D72" i="3"/>
  <c r="D173" i="3"/>
  <c r="D165" i="3"/>
  <c r="D143" i="3"/>
  <c r="D136" i="3"/>
  <c r="D113" i="3"/>
  <c r="D106" i="3"/>
  <c r="D62" i="3"/>
  <c r="D59" i="3"/>
  <c r="D56" i="3"/>
  <c r="D25" i="3"/>
  <c r="D13" i="3"/>
  <c r="D231" i="3"/>
  <c r="D205" i="3"/>
  <c r="D88" i="3"/>
  <c r="D86" i="3"/>
  <c r="D49" i="3"/>
  <c r="D46" i="3"/>
  <c r="D43" i="3"/>
  <c r="D24" i="3"/>
  <c r="D12" i="3"/>
  <c r="D220" i="3"/>
  <c r="D99" i="3"/>
  <c r="D90" i="3"/>
  <c r="D85" i="3"/>
  <c r="D81" i="3"/>
  <c r="D78" i="3"/>
  <c r="D36" i="3"/>
  <c r="U36" i="3" s="1"/>
  <c r="D35" i="3"/>
  <c r="D23" i="3"/>
  <c r="D95" i="3"/>
  <c r="D58" i="3"/>
  <c r="D33" i="3"/>
  <c r="D30" i="3"/>
  <c r="D27" i="3"/>
  <c r="D3" i="3"/>
  <c r="D268" i="3"/>
  <c r="D195" i="3"/>
  <c r="D134" i="3"/>
  <c r="D91" i="3"/>
  <c r="D69" i="3"/>
  <c r="D54" i="3"/>
  <c r="D20" i="3"/>
  <c r="D17" i="3"/>
  <c r="D14" i="3"/>
  <c r="D11" i="3"/>
  <c r="D5" i="3"/>
  <c r="D2" i="3"/>
  <c r="M2" i="3" s="1"/>
  <c r="D115" i="3"/>
  <c r="D47" i="3"/>
  <c r="D185" i="3"/>
  <c r="D79" i="3"/>
  <c r="D70" i="3"/>
  <c r="D55" i="3"/>
  <c r="D233" i="3"/>
  <c r="D129" i="3"/>
  <c r="D124" i="3"/>
  <c r="D84" i="3"/>
  <c r="D73" i="3"/>
  <c r="D66" i="3"/>
  <c r="D48" i="3"/>
  <c r="D32" i="3"/>
  <c r="D29" i="3"/>
  <c r="D26" i="3"/>
  <c r="D164" i="3"/>
  <c r="D71" i="3"/>
  <c r="D44" i="3"/>
  <c r="D166" i="3"/>
  <c r="D149" i="3"/>
  <c r="D147" i="3"/>
  <c r="W147" i="3" s="1"/>
  <c r="D97" i="3"/>
  <c r="D67" i="3"/>
  <c r="D37" i="3"/>
  <c r="C7" i="3"/>
  <c r="J8" i="3"/>
  <c r="O9" i="3"/>
  <c r="B10" i="3"/>
  <c r="C15" i="3"/>
  <c r="G18" i="3"/>
  <c r="J20" i="3"/>
  <c r="C22" i="3"/>
  <c r="F24" i="3"/>
  <c r="J27" i="3"/>
  <c r="B28" i="3"/>
  <c r="T34" i="3"/>
  <c r="B35" i="3"/>
  <c r="D38" i="3"/>
  <c r="C45" i="3"/>
  <c r="H46" i="3"/>
  <c r="D50" i="3"/>
  <c r="C57" i="3"/>
  <c r="C61" i="3"/>
  <c r="I65" i="3"/>
  <c r="B68" i="3"/>
  <c r="I69" i="3"/>
  <c r="B80" i="3"/>
  <c r="E83" i="3"/>
  <c r="B92" i="3"/>
  <c r="J131" i="3"/>
  <c r="H143" i="3"/>
  <c r="C147" i="3"/>
  <c r="F161" i="3"/>
  <c r="I200" i="3"/>
  <c r="G215" i="3"/>
  <c r="T32" i="3"/>
  <c r="S32" i="3"/>
  <c r="K32" i="3"/>
  <c r="K133" i="3"/>
  <c r="S133" i="3"/>
  <c r="R133" i="3"/>
  <c r="AC133" i="3"/>
  <c r="V133" i="3"/>
  <c r="U133" i="3"/>
  <c r="Q133" i="3"/>
  <c r="O133" i="3"/>
  <c r="P12" i="3"/>
  <c r="AA12" i="3"/>
  <c r="O12" i="3"/>
  <c r="M12" i="3"/>
  <c r="K12" i="3"/>
  <c r="Q71" i="3"/>
  <c r="E166" i="3"/>
  <c r="E156" i="3"/>
  <c r="E154" i="3"/>
  <c r="I53" i="3"/>
  <c r="I38" i="3"/>
  <c r="F59" i="3"/>
  <c r="F147" i="3"/>
  <c r="F93" i="3"/>
  <c r="F82" i="3"/>
  <c r="F80" i="3"/>
  <c r="F60" i="3"/>
  <c r="F45" i="3"/>
  <c r="F117" i="3"/>
  <c r="F102" i="3"/>
  <c r="F56" i="3"/>
  <c r="F41" i="3"/>
  <c r="G98" i="3"/>
  <c r="G97" i="3"/>
  <c r="G67" i="3"/>
  <c r="G140" i="3"/>
  <c r="G56" i="3"/>
  <c r="G41" i="3"/>
  <c r="G107" i="3"/>
  <c r="G104" i="3"/>
  <c r="G101" i="3"/>
  <c r="G64" i="3"/>
  <c r="J78" i="3"/>
  <c r="J76" i="3"/>
  <c r="B6" i="3"/>
  <c r="D7" i="3"/>
  <c r="C10" i="3"/>
  <c r="S12" i="3"/>
  <c r="D15" i="3"/>
  <c r="H18" i="3"/>
  <c r="D22" i="3"/>
  <c r="O23" i="3"/>
  <c r="G24" i="3"/>
  <c r="C28" i="3"/>
  <c r="G31" i="3"/>
  <c r="C35" i="3"/>
  <c r="C37" i="3"/>
  <c r="H38" i="3"/>
  <c r="B44" i="3"/>
  <c r="D45" i="3"/>
  <c r="H50" i="3"/>
  <c r="H54" i="3"/>
  <c r="D57" i="3"/>
  <c r="D61" i="3"/>
  <c r="J65" i="3"/>
  <c r="C68" i="3"/>
  <c r="C80" i="3"/>
  <c r="F83" i="3"/>
  <c r="C92" i="3"/>
  <c r="F104" i="3"/>
  <c r="E109" i="3"/>
  <c r="C112" i="3"/>
  <c r="E117" i="3"/>
  <c r="F128" i="3"/>
  <c r="F135" i="3"/>
  <c r="C156" i="3"/>
  <c r="H161" i="3"/>
  <c r="H215" i="3"/>
  <c r="E296" i="3"/>
  <c r="E284" i="3"/>
  <c r="E295" i="3"/>
  <c r="E283" i="3"/>
  <c r="E294" i="3"/>
  <c r="E282" i="3"/>
  <c r="E293" i="3"/>
  <c r="E281" i="3"/>
  <c r="E292" i="3"/>
  <c r="E280" i="3"/>
  <c r="E291" i="3"/>
  <c r="E279" i="3"/>
  <c r="E290" i="3"/>
  <c r="E278" i="3"/>
  <c r="E289" i="3"/>
  <c r="E277" i="3"/>
  <c r="E288" i="3"/>
  <c r="E276" i="3"/>
  <c r="E299" i="3"/>
  <c r="E287" i="3"/>
  <c r="E275" i="3"/>
  <c r="E298" i="3"/>
  <c r="E286" i="3"/>
  <c r="E274" i="3"/>
  <c r="E297" i="3"/>
  <c r="E285" i="3"/>
  <c r="E273" i="3"/>
  <c r="E272" i="3"/>
  <c r="E260" i="3"/>
  <c r="E248" i="3"/>
  <c r="E236" i="3"/>
  <c r="E224" i="3"/>
  <c r="E271" i="3"/>
  <c r="E259" i="3"/>
  <c r="E247" i="3"/>
  <c r="E235" i="3"/>
  <c r="E223" i="3"/>
  <c r="E270" i="3"/>
  <c r="E258" i="3"/>
  <c r="E246" i="3"/>
  <c r="E234" i="3"/>
  <c r="E222" i="3"/>
  <c r="E269" i="3"/>
  <c r="E257" i="3"/>
  <c r="E245" i="3"/>
  <c r="E233" i="3"/>
  <c r="E221" i="3"/>
  <c r="E264" i="3"/>
  <c r="E244" i="3"/>
  <c r="E228" i="3"/>
  <c r="E210" i="3"/>
  <c r="E263" i="3"/>
  <c r="E243" i="3"/>
  <c r="E227" i="3"/>
  <c r="E219" i="3"/>
  <c r="E209" i="3"/>
  <c r="E262" i="3"/>
  <c r="E242" i="3"/>
  <c r="E226" i="3"/>
  <c r="E208" i="3"/>
  <c r="E261" i="3"/>
  <c r="E241" i="3"/>
  <c r="E225" i="3"/>
  <c r="E207" i="3"/>
  <c r="E256" i="3"/>
  <c r="E240" i="3"/>
  <c r="E232" i="3"/>
  <c r="E218" i="3"/>
  <c r="E214" i="3"/>
  <c r="E199" i="3"/>
  <c r="E267" i="3"/>
  <c r="E251" i="3"/>
  <c r="E213" i="3"/>
  <c r="E200" i="3"/>
  <c r="E198" i="3"/>
  <c r="E212" i="3"/>
  <c r="E197" i="3"/>
  <c r="E185" i="3"/>
  <c r="E173" i="3"/>
  <c r="E161" i="3"/>
  <c r="E206" i="3"/>
  <c r="E195" i="3"/>
  <c r="E183" i="3"/>
  <c r="E237" i="3"/>
  <c r="E186" i="3"/>
  <c r="E169" i="3"/>
  <c r="E239" i="3"/>
  <c r="E217" i="3"/>
  <c r="E204" i="3"/>
  <c r="E191" i="3"/>
  <c r="E184" i="3"/>
  <c r="E181" i="3"/>
  <c r="E175" i="3"/>
  <c r="E250" i="3"/>
  <c r="E238" i="3"/>
  <c r="E170" i="3"/>
  <c r="E164" i="3"/>
  <c r="E151" i="3"/>
  <c r="E139" i="3"/>
  <c r="E127" i="3"/>
  <c r="E253" i="3"/>
  <c r="E252" i="3"/>
  <c r="E229" i="3"/>
  <c r="E211" i="3"/>
  <c r="E171" i="3"/>
  <c r="E165" i="3"/>
  <c r="E149" i="3"/>
  <c r="N149" i="3" s="1"/>
  <c r="E137" i="3"/>
  <c r="E249" i="3"/>
  <c r="E190" i="3"/>
  <c r="E176" i="3"/>
  <c r="E167" i="3"/>
  <c r="E153" i="3"/>
  <c r="E132" i="3"/>
  <c r="E120" i="3"/>
  <c r="E255" i="3"/>
  <c r="E194" i="3"/>
  <c r="E187" i="3"/>
  <c r="E177" i="3"/>
  <c r="E144" i="3"/>
  <c r="E119" i="3"/>
  <c r="E107" i="3"/>
  <c r="E95" i="3"/>
  <c r="E168" i="3"/>
  <c r="E162" i="3"/>
  <c r="E159" i="3"/>
  <c r="E133" i="3"/>
  <c r="E118" i="3"/>
  <c r="E268" i="3"/>
  <c r="E196" i="3"/>
  <c r="E147" i="3"/>
  <c r="E134" i="3"/>
  <c r="E128" i="3"/>
  <c r="E116" i="3"/>
  <c r="E104" i="3"/>
  <c r="E92" i="3"/>
  <c r="E201" i="3"/>
  <c r="E202" i="3"/>
  <c r="E179" i="3"/>
  <c r="E160" i="3"/>
  <c r="E148" i="3"/>
  <c r="E114" i="3"/>
  <c r="E266" i="3"/>
  <c r="E254" i="3"/>
  <c r="E216" i="3"/>
  <c r="E193" i="3"/>
  <c r="E155" i="3"/>
  <c r="E145" i="3"/>
  <c r="E141" i="3"/>
  <c r="E138" i="3"/>
  <c r="E131" i="3"/>
  <c r="E192" i="3"/>
  <c r="E158" i="3"/>
  <c r="E152" i="3"/>
  <c r="E178" i="3"/>
  <c r="E135" i="3"/>
  <c r="E111" i="3"/>
  <c r="E110" i="3"/>
  <c r="E96" i="3"/>
  <c r="E76" i="3"/>
  <c r="E64" i="3"/>
  <c r="N64" i="3" s="1"/>
  <c r="E52" i="3"/>
  <c r="E40" i="3"/>
  <c r="E230" i="3"/>
  <c r="E188" i="3"/>
  <c r="E172" i="3"/>
  <c r="E125" i="3"/>
  <c r="E123" i="3"/>
  <c r="E103" i="3"/>
  <c r="E94" i="3"/>
  <c r="E87" i="3"/>
  <c r="E75" i="3"/>
  <c r="E63" i="3"/>
  <c r="E51" i="3"/>
  <c r="E39" i="3"/>
  <c r="E130" i="3"/>
  <c r="E74" i="3"/>
  <c r="X74" i="3" s="1"/>
  <c r="E62" i="3"/>
  <c r="E50" i="3"/>
  <c r="E38" i="3"/>
  <c r="E265" i="3"/>
  <c r="E182" i="3"/>
  <c r="E150" i="3"/>
  <c r="E143" i="3"/>
  <c r="E136" i="3"/>
  <c r="E113" i="3"/>
  <c r="E106" i="3"/>
  <c r="E98" i="3"/>
  <c r="E231" i="3"/>
  <c r="E205" i="3"/>
  <c r="E108" i="3"/>
  <c r="E88" i="3"/>
  <c r="E86" i="3"/>
  <c r="E49" i="3"/>
  <c r="E46" i="3"/>
  <c r="E43" i="3"/>
  <c r="E24" i="3"/>
  <c r="E12" i="3"/>
  <c r="E220" i="3"/>
  <c r="E99" i="3"/>
  <c r="E90" i="3"/>
  <c r="E85" i="3"/>
  <c r="E81" i="3"/>
  <c r="E78" i="3"/>
  <c r="E36" i="3"/>
  <c r="E35" i="3"/>
  <c r="E23" i="3"/>
  <c r="E11" i="3"/>
  <c r="E180" i="3"/>
  <c r="E157" i="3"/>
  <c r="E124" i="3"/>
  <c r="E89" i="3"/>
  <c r="E84" i="3"/>
  <c r="E71" i="3"/>
  <c r="E68" i="3"/>
  <c r="E65" i="3"/>
  <c r="E34" i="3"/>
  <c r="X34" i="3" s="1"/>
  <c r="E22" i="3"/>
  <c r="E7" i="3"/>
  <c r="J10" i="3"/>
  <c r="I12" i="3"/>
  <c r="E13" i="3"/>
  <c r="I15" i="3"/>
  <c r="E16" i="3"/>
  <c r="E19" i="3"/>
  <c r="V19" i="3" s="1"/>
  <c r="G35" i="3"/>
  <c r="I37" i="3"/>
  <c r="F40" i="3"/>
  <c r="E44" i="3"/>
  <c r="I52" i="3"/>
  <c r="E59" i="3"/>
  <c r="J60" i="3"/>
  <c r="S60" i="3" s="1"/>
  <c r="G63" i="3"/>
  <c r="F67" i="3"/>
  <c r="G80" i="3"/>
  <c r="G82" i="3"/>
  <c r="J86" i="3"/>
  <c r="F97" i="3"/>
  <c r="I102" i="3"/>
  <c r="J104" i="3"/>
  <c r="I105" i="3"/>
  <c r="J106" i="3"/>
  <c r="E121" i="3"/>
  <c r="J224" i="3"/>
  <c r="I292" i="3"/>
  <c r="I280" i="3"/>
  <c r="I291" i="3"/>
  <c r="I279" i="3"/>
  <c r="I290" i="3"/>
  <c r="I278" i="3"/>
  <c r="I289" i="3"/>
  <c r="I277" i="3"/>
  <c r="I288" i="3"/>
  <c r="I276" i="3"/>
  <c r="I299" i="3"/>
  <c r="I287" i="3"/>
  <c r="I275" i="3"/>
  <c r="I298" i="3"/>
  <c r="I286" i="3"/>
  <c r="I274" i="3"/>
  <c r="I297" i="3"/>
  <c r="I285" i="3"/>
  <c r="I273" i="3"/>
  <c r="I296" i="3"/>
  <c r="I284" i="3"/>
  <c r="I295" i="3"/>
  <c r="I283" i="3"/>
  <c r="I294" i="3"/>
  <c r="I282" i="3"/>
  <c r="I293" i="3"/>
  <c r="I281" i="3"/>
  <c r="I268" i="3"/>
  <c r="I256" i="3"/>
  <c r="I244" i="3"/>
  <c r="I232" i="3"/>
  <c r="I220" i="3"/>
  <c r="I267" i="3"/>
  <c r="I255" i="3"/>
  <c r="I243" i="3"/>
  <c r="I231" i="3"/>
  <c r="I266" i="3"/>
  <c r="I254" i="3"/>
  <c r="I242" i="3"/>
  <c r="I230" i="3"/>
  <c r="I218" i="3"/>
  <c r="I265" i="3"/>
  <c r="I253" i="3"/>
  <c r="I241" i="3"/>
  <c r="I229" i="3"/>
  <c r="I260" i="3"/>
  <c r="I240" i="3"/>
  <c r="I224" i="3"/>
  <c r="I206" i="3"/>
  <c r="I259" i="3"/>
  <c r="I239" i="3"/>
  <c r="I223" i="3"/>
  <c r="I217" i="3"/>
  <c r="I205" i="3"/>
  <c r="I258" i="3"/>
  <c r="I238" i="3"/>
  <c r="I222" i="3"/>
  <c r="I216" i="3"/>
  <c r="I204" i="3"/>
  <c r="I257" i="3"/>
  <c r="I237" i="3"/>
  <c r="I221" i="3"/>
  <c r="I215" i="3"/>
  <c r="I272" i="3"/>
  <c r="I264" i="3"/>
  <c r="I248" i="3"/>
  <c r="I210" i="3"/>
  <c r="I195" i="3"/>
  <c r="I209" i="3"/>
  <c r="I202" i="3"/>
  <c r="I194" i="3"/>
  <c r="I250" i="3"/>
  <c r="I234" i="3"/>
  <c r="I226" i="3"/>
  <c r="I219" i="3"/>
  <c r="I208" i="3"/>
  <c r="I193" i="3"/>
  <c r="I181" i="3"/>
  <c r="I169" i="3"/>
  <c r="I157" i="3"/>
  <c r="I252" i="3"/>
  <c r="I236" i="3"/>
  <c r="I228" i="3"/>
  <c r="I191" i="3"/>
  <c r="I261" i="3"/>
  <c r="I214" i="3"/>
  <c r="I182" i="3"/>
  <c r="I165" i="3"/>
  <c r="I263" i="3"/>
  <c r="I251" i="3"/>
  <c r="I227" i="3"/>
  <c r="I187" i="3"/>
  <c r="I177" i="3"/>
  <c r="I171" i="3"/>
  <c r="I262" i="3"/>
  <c r="I166" i="3"/>
  <c r="I160" i="3"/>
  <c r="I147" i="3"/>
  <c r="I135" i="3"/>
  <c r="I199" i="3"/>
  <c r="I190" i="3"/>
  <c r="I167" i="3"/>
  <c r="I161" i="3"/>
  <c r="I145" i="3"/>
  <c r="I207" i="3"/>
  <c r="I203" i="3"/>
  <c r="I178" i="3"/>
  <c r="I159" i="3"/>
  <c r="I149" i="3"/>
  <c r="I134" i="3"/>
  <c r="I128" i="3"/>
  <c r="I247" i="3"/>
  <c r="I179" i="3"/>
  <c r="I154" i="3"/>
  <c r="I140" i="3"/>
  <c r="I115" i="3"/>
  <c r="I103" i="3"/>
  <c r="I91" i="3"/>
  <c r="I270" i="3"/>
  <c r="I188" i="3"/>
  <c r="I184" i="3"/>
  <c r="I129" i="3"/>
  <c r="I245" i="3"/>
  <c r="I211" i="3"/>
  <c r="I185" i="3"/>
  <c r="I172" i="3"/>
  <c r="I158" i="3"/>
  <c r="I143" i="3"/>
  <c r="I130" i="3"/>
  <c r="I124" i="3"/>
  <c r="I112" i="3"/>
  <c r="I100" i="3"/>
  <c r="I88" i="3"/>
  <c r="I269" i="3"/>
  <c r="I192" i="3"/>
  <c r="I271" i="3"/>
  <c r="I183" i="3"/>
  <c r="I175" i="3"/>
  <c r="I123" i="3"/>
  <c r="I110" i="3"/>
  <c r="I163" i="3"/>
  <c r="I133" i="3"/>
  <c r="I125" i="3"/>
  <c r="I122" i="3"/>
  <c r="I117" i="3"/>
  <c r="I249" i="3"/>
  <c r="I189" i="3"/>
  <c r="I174" i="3"/>
  <c r="I156" i="3"/>
  <c r="I142" i="3"/>
  <c r="I121" i="3"/>
  <c r="I152" i="3"/>
  <c r="I138" i="3"/>
  <c r="I109" i="3"/>
  <c r="I173" i="3"/>
  <c r="I155" i="3"/>
  <c r="I141" i="3"/>
  <c r="I108" i="3"/>
  <c r="I92" i="3"/>
  <c r="I72" i="3"/>
  <c r="I60" i="3"/>
  <c r="I48" i="3"/>
  <c r="I36" i="3"/>
  <c r="I197" i="3"/>
  <c r="I148" i="3"/>
  <c r="I119" i="3"/>
  <c r="I97" i="3"/>
  <c r="I90" i="3"/>
  <c r="I84" i="3"/>
  <c r="I83" i="3"/>
  <c r="I71" i="3"/>
  <c r="I59" i="3"/>
  <c r="I47" i="3"/>
  <c r="I233" i="3"/>
  <c r="I144" i="3"/>
  <c r="I132" i="3"/>
  <c r="I127" i="3"/>
  <c r="I82" i="3"/>
  <c r="I70" i="3"/>
  <c r="I58" i="3"/>
  <c r="I46" i="3"/>
  <c r="I186" i="3"/>
  <c r="I180" i="3"/>
  <c r="I151" i="3"/>
  <c r="I137" i="3"/>
  <c r="I89" i="3"/>
  <c r="I116" i="3"/>
  <c r="I45" i="3"/>
  <c r="I42" i="3"/>
  <c r="I39" i="3"/>
  <c r="I32" i="3"/>
  <c r="I20" i="3"/>
  <c r="I8" i="3"/>
  <c r="I212" i="3"/>
  <c r="I168" i="3"/>
  <c r="I162" i="3"/>
  <c r="I80" i="3"/>
  <c r="I77" i="3"/>
  <c r="I74" i="3"/>
  <c r="I31" i="3"/>
  <c r="I19" i="3"/>
  <c r="I7" i="3"/>
  <c r="I225" i="3"/>
  <c r="I153" i="3"/>
  <c r="I146" i="3"/>
  <c r="I139" i="3"/>
  <c r="I126" i="3"/>
  <c r="I120" i="3"/>
  <c r="I93" i="3"/>
  <c r="I67" i="3"/>
  <c r="I64" i="3"/>
  <c r="I61" i="3"/>
  <c r="I30" i="3"/>
  <c r="I18" i="3"/>
  <c r="F295" i="3"/>
  <c r="F283" i="3"/>
  <c r="F294" i="3"/>
  <c r="F282" i="3"/>
  <c r="F293" i="3"/>
  <c r="F281" i="3"/>
  <c r="F292" i="3"/>
  <c r="F280" i="3"/>
  <c r="F291" i="3"/>
  <c r="F279" i="3"/>
  <c r="F290" i="3"/>
  <c r="F278" i="3"/>
  <c r="F289" i="3"/>
  <c r="F277" i="3"/>
  <c r="F288" i="3"/>
  <c r="F276" i="3"/>
  <c r="F299" i="3"/>
  <c r="F287" i="3"/>
  <c r="F275" i="3"/>
  <c r="F298" i="3"/>
  <c r="F286" i="3"/>
  <c r="F274" i="3"/>
  <c r="F297" i="3"/>
  <c r="F285" i="3"/>
  <c r="F273" i="3"/>
  <c r="F296" i="3"/>
  <c r="F284" i="3"/>
  <c r="F271" i="3"/>
  <c r="F259" i="3"/>
  <c r="F247" i="3"/>
  <c r="F235" i="3"/>
  <c r="F223" i="3"/>
  <c r="F270" i="3"/>
  <c r="F258" i="3"/>
  <c r="F246" i="3"/>
  <c r="F234" i="3"/>
  <c r="F222" i="3"/>
  <c r="F269" i="3"/>
  <c r="F257" i="3"/>
  <c r="F245" i="3"/>
  <c r="F233" i="3"/>
  <c r="F221" i="3"/>
  <c r="F268" i="3"/>
  <c r="F256" i="3"/>
  <c r="F244" i="3"/>
  <c r="F232" i="3"/>
  <c r="F263" i="3"/>
  <c r="F243" i="3"/>
  <c r="F227" i="3"/>
  <c r="F219" i="3"/>
  <c r="F209" i="3"/>
  <c r="F262" i="3"/>
  <c r="F242" i="3"/>
  <c r="F226" i="3"/>
  <c r="F208" i="3"/>
  <c r="F261" i="3"/>
  <c r="F241" i="3"/>
  <c r="F225" i="3"/>
  <c r="F207" i="3"/>
  <c r="F260" i="3"/>
  <c r="F240" i="3"/>
  <c r="F224" i="3"/>
  <c r="F206" i="3"/>
  <c r="F267" i="3"/>
  <c r="F251" i="3"/>
  <c r="F213" i="3"/>
  <c r="F200" i="3"/>
  <c r="F198" i="3"/>
  <c r="F212" i="3"/>
  <c r="F197" i="3"/>
  <c r="F253" i="3"/>
  <c r="F237" i="3"/>
  <c r="F229" i="3"/>
  <c r="F211" i="3"/>
  <c r="F201" i="3"/>
  <c r="F196" i="3"/>
  <c r="F184" i="3"/>
  <c r="F172" i="3"/>
  <c r="F160" i="3"/>
  <c r="F255" i="3"/>
  <c r="F239" i="3"/>
  <c r="F231" i="3"/>
  <c r="F205" i="3"/>
  <c r="F202" i="3"/>
  <c r="F194" i="3"/>
  <c r="F272" i="3"/>
  <c r="F248" i="3"/>
  <c r="F217" i="3"/>
  <c r="F204" i="3"/>
  <c r="F191" i="3"/>
  <c r="F181" i="3"/>
  <c r="F175" i="3"/>
  <c r="F250" i="3"/>
  <c r="F238" i="3"/>
  <c r="F170" i="3"/>
  <c r="F164" i="3"/>
  <c r="F249" i="3"/>
  <c r="F189" i="3"/>
  <c r="F182" i="3"/>
  <c r="F176" i="3"/>
  <c r="F159" i="3"/>
  <c r="F150" i="3"/>
  <c r="F138" i="3"/>
  <c r="F126" i="3"/>
  <c r="F264" i="3"/>
  <c r="F187" i="3"/>
  <c r="F177" i="3"/>
  <c r="F148" i="3"/>
  <c r="F252" i="3"/>
  <c r="F144" i="3"/>
  <c r="F137" i="3"/>
  <c r="F119" i="3"/>
  <c r="F168" i="3"/>
  <c r="F162" i="3"/>
  <c r="F151" i="3"/>
  <c r="F133" i="3"/>
  <c r="F127" i="3"/>
  <c r="F118" i="3"/>
  <c r="F106" i="3"/>
  <c r="F94" i="3"/>
  <c r="F265" i="3"/>
  <c r="F203" i="3"/>
  <c r="F178" i="3"/>
  <c r="F156" i="3"/>
  <c r="F149" i="3"/>
  <c r="F142" i="3"/>
  <c r="F210" i="3"/>
  <c r="F179" i="3"/>
  <c r="F171" i="3"/>
  <c r="F154" i="3"/>
  <c r="F140" i="3"/>
  <c r="F115" i="3"/>
  <c r="F103" i="3"/>
  <c r="F91" i="3"/>
  <c r="F218" i="3"/>
  <c r="F266" i="3"/>
  <c r="F254" i="3"/>
  <c r="F216" i="3"/>
  <c r="F193" i="3"/>
  <c r="F155" i="3"/>
  <c r="F145" i="3"/>
  <c r="F141" i="3"/>
  <c r="F131" i="3"/>
  <c r="F107" i="3"/>
  <c r="F192" i="3"/>
  <c r="F158" i="3"/>
  <c r="F152" i="3"/>
  <c r="F112" i="3"/>
  <c r="F105" i="3"/>
  <c r="F98" i="3"/>
  <c r="F190" i="3"/>
  <c r="F183" i="3"/>
  <c r="F167" i="3"/>
  <c r="F132" i="3"/>
  <c r="F124" i="3"/>
  <c r="F214" i="3"/>
  <c r="F199" i="3"/>
  <c r="F110" i="3"/>
  <c r="F230" i="3"/>
  <c r="F188" i="3"/>
  <c r="F125" i="3"/>
  <c r="F123" i="3"/>
  <c r="F87" i="3"/>
  <c r="F75" i="3"/>
  <c r="F63" i="3"/>
  <c r="F51" i="3"/>
  <c r="F39" i="3"/>
  <c r="F130" i="3"/>
  <c r="F74" i="3"/>
  <c r="F62" i="3"/>
  <c r="F50" i="3"/>
  <c r="F38" i="3"/>
  <c r="F121" i="3"/>
  <c r="F109" i="3"/>
  <c r="F100" i="3"/>
  <c r="O100" i="3" s="1"/>
  <c r="F92" i="3"/>
  <c r="F73" i="3"/>
  <c r="F61" i="3"/>
  <c r="F49" i="3"/>
  <c r="F37" i="3"/>
  <c r="F173" i="3"/>
  <c r="F165" i="3"/>
  <c r="F108" i="3"/>
  <c r="F88" i="3"/>
  <c r="F86" i="3"/>
  <c r="F220" i="3"/>
  <c r="F99" i="3"/>
  <c r="F90" i="3"/>
  <c r="F85" i="3"/>
  <c r="F81" i="3"/>
  <c r="F78" i="3"/>
  <c r="F36" i="3"/>
  <c r="F35" i="3"/>
  <c r="F23" i="3"/>
  <c r="F11" i="3"/>
  <c r="F180" i="3"/>
  <c r="F157" i="3"/>
  <c r="F89" i="3"/>
  <c r="F84" i="3"/>
  <c r="F71" i="3"/>
  <c r="F68" i="3"/>
  <c r="F65" i="3"/>
  <c r="F34" i="3"/>
  <c r="O34" i="3" s="1"/>
  <c r="F22" i="3"/>
  <c r="F10" i="3"/>
  <c r="F236" i="3"/>
  <c r="F186" i="3"/>
  <c r="F116" i="3"/>
  <c r="F58" i="3"/>
  <c r="F55" i="3"/>
  <c r="F52" i="3"/>
  <c r="F33" i="3"/>
  <c r="F21" i="3"/>
  <c r="O21" i="3" s="1"/>
  <c r="E6" i="3"/>
  <c r="G7" i="3"/>
  <c r="E9" i="3"/>
  <c r="G13" i="3"/>
  <c r="G16" i="3"/>
  <c r="G19" i="3"/>
  <c r="J22" i="3"/>
  <c r="J25" i="3"/>
  <c r="F26" i="3"/>
  <c r="J28" i="3"/>
  <c r="F29" i="3"/>
  <c r="F32" i="3"/>
  <c r="I35" i="3"/>
  <c r="J41" i="3"/>
  <c r="G44" i="3"/>
  <c r="F48" i="3"/>
  <c r="E55" i="3"/>
  <c r="J56" i="3"/>
  <c r="G59" i="3"/>
  <c r="I63" i="3"/>
  <c r="F66" i="3"/>
  <c r="E70" i="3"/>
  <c r="I73" i="3"/>
  <c r="I75" i="3"/>
  <c r="E77" i="3"/>
  <c r="E79" i="3"/>
  <c r="I87" i="3"/>
  <c r="F120" i="3"/>
  <c r="E126" i="3"/>
  <c r="F129" i="3"/>
  <c r="F139" i="3"/>
  <c r="E146" i="3"/>
  <c r="F153" i="3"/>
  <c r="J164" i="3"/>
  <c r="F174" i="3"/>
  <c r="F185" i="3"/>
  <c r="F6" i="3"/>
  <c r="F9" i="3"/>
  <c r="AB9" i="3" s="1"/>
  <c r="G23" i="3"/>
  <c r="G26" i="3"/>
  <c r="G29" i="3"/>
  <c r="J32" i="3"/>
  <c r="J35" i="3"/>
  <c r="J36" i="3"/>
  <c r="T36" i="3" s="1"/>
  <c r="I40" i="3"/>
  <c r="F43" i="3"/>
  <c r="E47" i="3"/>
  <c r="G51" i="3"/>
  <c r="I55" i="3"/>
  <c r="J63" i="3"/>
  <c r="G66" i="3"/>
  <c r="F70" i="3"/>
  <c r="J73" i="3"/>
  <c r="J75" i="3"/>
  <c r="F77" i="3"/>
  <c r="F79" i="3"/>
  <c r="I94" i="3"/>
  <c r="I98" i="3"/>
  <c r="F114" i="3"/>
  <c r="E115" i="3"/>
  <c r="G120" i="3"/>
  <c r="G126" i="3"/>
  <c r="G131" i="3"/>
  <c r="G139" i="3"/>
  <c r="F146" i="3"/>
  <c r="G153" i="3"/>
  <c r="G174" i="3"/>
  <c r="I198" i="3"/>
  <c r="I213" i="3"/>
  <c r="I235" i="3"/>
  <c r="J291" i="3"/>
  <c r="J279" i="3"/>
  <c r="J290" i="3"/>
  <c r="J278" i="3"/>
  <c r="J289" i="3"/>
  <c r="J277" i="3"/>
  <c r="J288" i="3"/>
  <c r="J276" i="3"/>
  <c r="J299" i="3"/>
  <c r="J287" i="3"/>
  <c r="J275" i="3"/>
  <c r="J298" i="3"/>
  <c r="J286" i="3"/>
  <c r="J274" i="3"/>
  <c r="J297" i="3"/>
  <c r="J285" i="3"/>
  <c r="J273" i="3"/>
  <c r="J296" i="3"/>
  <c r="J284" i="3"/>
  <c r="J295" i="3"/>
  <c r="J283" i="3"/>
  <c r="J294" i="3"/>
  <c r="J282" i="3"/>
  <c r="J293" i="3"/>
  <c r="J281" i="3"/>
  <c r="J292" i="3"/>
  <c r="J280" i="3"/>
  <c r="J267" i="3"/>
  <c r="J255" i="3"/>
  <c r="J243" i="3"/>
  <c r="J231" i="3"/>
  <c r="J219" i="3"/>
  <c r="J266" i="3"/>
  <c r="J254" i="3"/>
  <c r="J242" i="3"/>
  <c r="J230" i="3"/>
  <c r="J265" i="3"/>
  <c r="J253" i="3"/>
  <c r="J241" i="3"/>
  <c r="J229" i="3"/>
  <c r="J264" i="3"/>
  <c r="J252" i="3"/>
  <c r="J240" i="3"/>
  <c r="J228" i="3"/>
  <c r="J259" i="3"/>
  <c r="J239" i="3"/>
  <c r="J223" i="3"/>
  <c r="J217" i="3"/>
  <c r="J205" i="3"/>
  <c r="J258" i="3"/>
  <c r="J238" i="3"/>
  <c r="J222" i="3"/>
  <c r="J216" i="3"/>
  <c r="J204" i="3"/>
  <c r="J257" i="3"/>
  <c r="J237" i="3"/>
  <c r="J221" i="3"/>
  <c r="J215" i="3"/>
  <c r="J272" i="3"/>
  <c r="J256" i="3"/>
  <c r="J236" i="3"/>
  <c r="J220" i="3"/>
  <c r="J214" i="3"/>
  <c r="J209" i="3"/>
  <c r="J202" i="3"/>
  <c r="J194" i="3"/>
  <c r="J250" i="3"/>
  <c r="J234" i="3"/>
  <c r="J226" i="3"/>
  <c r="J208" i="3"/>
  <c r="J193" i="3"/>
  <c r="J269" i="3"/>
  <c r="J261" i="3"/>
  <c r="J245" i="3"/>
  <c r="J207" i="3"/>
  <c r="J203" i="3"/>
  <c r="J192" i="3"/>
  <c r="J180" i="3"/>
  <c r="J168" i="3"/>
  <c r="J156" i="3"/>
  <c r="J271" i="3"/>
  <c r="J263" i="3"/>
  <c r="J247" i="3"/>
  <c r="J190" i="3"/>
  <c r="J251" i="3"/>
  <c r="J227" i="3"/>
  <c r="J206" i="3"/>
  <c r="J187" i="3"/>
  <c r="J177" i="3"/>
  <c r="J171" i="3"/>
  <c r="J262" i="3"/>
  <c r="J166" i="3"/>
  <c r="J211" i="3"/>
  <c r="J185" i="3"/>
  <c r="J178" i="3"/>
  <c r="J172" i="3"/>
  <c r="J146" i="3"/>
  <c r="J134" i="3"/>
  <c r="J213" i="3"/>
  <c r="J200" i="3"/>
  <c r="J198" i="3"/>
  <c r="J183" i="3"/>
  <c r="J179" i="3"/>
  <c r="J173" i="3"/>
  <c r="J144" i="3"/>
  <c r="J218" i="3"/>
  <c r="J199" i="3"/>
  <c r="J169" i="3"/>
  <c r="J154" i="3"/>
  <c r="J140" i="3"/>
  <c r="J270" i="3"/>
  <c r="J191" i="3"/>
  <c r="J188" i="3"/>
  <c r="J184" i="3"/>
  <c r="J147" i="3"/>
  <c r="J129" i="3"/>
  <c r="J114" i="3"/>
  <c r="J102" i="3"/>
  <c r="J90" i="3"/>
  <c r="J196" i="3"/>
  <c r="S196" i="3" s="1"/>
  <c r="J170" i="3"/>
  <c r="J161" i="3"/>
  <c r="J152" i="3"/>
  <c r="J145" i="3"/>
  <c r="J138" i="3"/>
  <c r="J135" i="3"/>
  <c r="J235" i="3"/>
  <c r="J150" i="3"/>
  <c r="J136" i="3"/>
  <c r="J123" i="3"/>
  <c r="J111" i="3"/>
  <c r="J99" i="3"/>
  <c r="J87" i="3"/>
  <c r="J232" i="3"/>
  <c r="J175" i="3"/>
  <c r="J163" i="3"/>
  <c r="J133" i="3"/>
  <c r="J125" i="3"/>
  <c r="J122" i="3"/>
  <c r="J117" i="3"/>
  <c r="J249" i="3"/>
  <c r="J189" i="3"/>
  <c r="J174" i="3"/>
  <c r="J142" i="3"/>
  <c r="J121" i="3"/>
  <c r="J108" i="3"/>
  <c r="J101" i="3"/>
  <c r="J244" i="3"/>
  <c r="J195" i="3"/>
  <c r="J182" i="3"/>
  <c r="J153" i="3"/>
  <c r="J149" i="3"/>
  <c r="J139" i="3"/>
  <c r="J126" i="3"/>
  <c r="J120" i="3"/>
  <c r="J115" i="3"/>
  <c r="J260" i="3"/>
  <c r="J155" i="3"/>
  <c r="J141" i="3"/>
  <c r="J103" i="3"/>
  <c r="J197" i="3"/>
  <c r="J148" i="3"/>
  <c r="J119" i="3"/>
  <c r="J97" i="3"/>
  <c r="J84" i="3"/>
  <c r="J83" i="3"/>
  <c r="J71" i="3"/>
  <c r="J59" i="3"/>
  <c r="J47" i="3"/>
  <c r="J233" i="3"/>
  <c r="J160" i="3"/>
  <c r="J132" i="3"/>
  <c r="J127" i="3"/>
  <c r="J82" i="3"/>
  <c r="J70" i="3"/>
  <c r="J58" i="3"/>
  <c r="J46" i="3"/>
  <c r="J248" i="3"/>
  <c r="J151" i="3"/>
  <c r="J137" i="3"/>
  <c r="J107" i="3"/>
  <c r="J95" i="3"/>
  <c r="J88" i="3"/>
  <c r="J85" i="3"/>
  <c r="J81" i="3"/>
  <c r="J69" i="3"/>
  <c r="J57" i="3"/>
  <c r="J45" i="3"/>
  <c r="J116" i="3"/>
  <c r="J212" i="3"/>
  <c r="J162" i="3"/>
  <c r="J91" i="3"/>
  <c r="J80" i="3"/>
  <c r="J77" i="3"/>
  <c r="J74" i="3"/>
  <c r="S74" i="3" s="1"/>
  <c r="J31" i="3"/>
  <c r="J19" i="3"/>
  <c r="J7" i="3"/>
  <c r="J225" i="3"/>
  <c r="J158" i="3"/>
  <c r="J124" i="3"/>
  <c r="J110" i="3"/>
  <c r="J93" i="3"/>
  <c r="J67" i="3"/>
  <c r="J64" i="3"/>
  <c r="J61" i="3"/>
  <c r="J30" i="3"/>
  <c r="J18" i="3"/>
  <c r="J6" i="3"/>
  <c r="J112" i="3"/>
  <c r="J105" i="3"/>
  <c r="S105" i="3" s="1"/>
  <c r="J100" i="3"/>
  <c r="J92" i="3"/>
  <c r="J54" i="3"/>
  <c r="J51" i="3"/>
  <c r="J48" i="3"/>
  <c r="J29" i="3"/>
  <c r="J17" i="3"/>
  <c r="S17" i="3" s="1"/>
  <c r="G294" i="3"/>
  <c r="G282" i="3"/>
  <c r="G293" i="3"/>
  <c r="G281" i="3"/>
  <c r="G292" i="3"/>
  <c r="G280" i="3"/>
  <c r="G291" i="3"/>
  <c r="G279" i="3"/>
  <c r="G290" i="3"/>
  <c r="G278" i="3"/>
  <c r="G289" i="3"/>
  <c r="G277" i="3"/>
  <c r="G288" i="3"/>
  <c r="G276" i="3"/>
  <c r="G299" i="3"/>
  <c r="G287" i="3"/>
  <c r="G275" i="3"/>
  <c r="G298" i="3"/>
  <c r="G286" i="3"/>
  <c r="G274" i="3"/>
  <c r="G297" i="3"/>
  <c r="G285" i="3"/>
  <c r="G273" i="3"/>
  <c r="G296" i="3"/>
  <c r="G284" i="3"/>
  <c r="G295" i="3"/>
  <c r="G283" i="3"/>
  <c r="G270" i="3"/>
  <c r="G258" i="3"/>
  <c r="G246" i="3"/>
  <c r="G234" i="3"/>
  <c r="G222" i="3"/>
  <c r="G269" i="3"/>
  <c r="G257" i="3"/>
  <c r="G245" i="3"/>
  <c r="G233" i="3"/>
  <c r="G221" i="3"/>
  <c r="G268" i="3"/>
  <c r="G256" i="3"/>
  <c r="G244" i="3"/>
  <c r="G232" i="3"/>
  <c r="G220" i="3"/>
  <c r="G267" i="3"/>
  <c r="G255" i="3"/>
  <c r="G243" i="3"/>
  <c r="G231" i="3"/>
  <c r="G262" i="3"/>
  <c r="G242" i="3"/>
  <c r="G226" i="3"/>
  <c r="G208" i="3"/>
  <c r="G261" i="3"/>
  <c r="G241" i="3"/>
  <c r="G225" i="3"/>
  <c r="G207" i="3"/>
  <c r="G260" i="3"/>
  <c r="G240" i="3"/>
  <c r="G224" i="3"/>
  <c r="G206" i="3"/>
  <c r="G259" i="3"/>
  <c r="G239" i="3"/>
  <c r="G223" i="3"/>
  <c r="G217" i="3"/>
  <c r="G205" i="3"/>
  <c r="G212" i="3"/>
  <c r="G197" i="3"/>
  <c r="G253" i="3"/>
  <c r="G237" i="3"/>
  <c r="G229" i="3"/>
  <c r="G211" i="3"/>
  <c r="G201" i="3"/>
  <c r="G196" i="3"/>
  <c r="G272" i="3"/>
  <c r="G264" i="3"/>
  <c r="G248" i="3"/>
  <c r="G210" i="3"/>
  <c r="G195" i="3"/>
  <c r="G183" i="3"/>
  <c r="G171" i="3"/>
  <c r="G159" i="3"/>
  <c r="G266" i="3"/>
  <c r="G250" i="3"/>
  <c r="G193" i="3"/>
  <c r="G238" i="3"/>
  <c r="G209" i="3"/>
  <c r="G184" i="3"/>
  <c r="G170" i="3"/>
  <c r="G164" i="3"/>
  <c r="G249" i="3"/>
  <c r="G189" i="3"/>
  <c r="G182" i="3"/>
  <c r="G176" i="3"/>
  <c r="G252" i="3"/>
  <c r="G228" i="3"/>
  <c r="G214" i="3"/>
  <c r="G165" i="3"/>
  <c r="G149" i="3"/>
  <c r="P149" i="3" s="1"/>
  <c r="G137" i="3"/>
  <c r="G125" i="3"/>
  <c r="G254" i="3"/>
  <c r="G230" i="3"/>
  <c r="G216" i="3"/>
  <c r="G166" i="3"/>
  <c r="G160" i="3"/>
  <c r="G147" i="3"/>
  <c r="G194" i="3"/>
  <c r="G187" i="3"/>
  <c r="G177" i="3"/>
  <c r="G168" i="3"/>
  <c r="G162" i="3"/>
  <c r="G151" i="3"/>
  <c r="G133" i="3"/>
  <c r="G127" i="3"/>
  <c r="G265" i="3"/>
  <c r="G203" i="3"/>
  <c r="G178" i="3"/>
  <c r="G156" i="3"/>
  <c r="G142" i="3"/>
  <c r="G117" i="3"/>
  <c r="G105" i="3"/>
  <c r="G93" i="3"/>
  <c r="G218" i="3"/>
  <c r="G199" i="3"/>
  <c r="G169" i="3"/>
  <c r="G134" i="3"/>
  <c r="G128" i="3"/>
  <c r="G263" i="3"/>
  <c r="G227" i="3"/>
  <c r="G219" i="3"/>
  <c r="G202" i="3"/>
  <c r="G188" i="3"/>
  <c r="G161" i="3"/>
  <c r="G145" i="3"/>
  <c r="G135" i="3"/>
  <c r="G129" i="3"/>
  <c r="G114" i="3"/>
  <c r="G102" i="3"/>
  <c r="G90" i="3"/>
  <c r="G247" i="3"/>
  <c r="G191" i="3"/>
  <c r="G179" i="3"/>
  <c r="G192" i="3"/>
  <c r="G158" i="3"/>
  <c r="G152" i="3"/>
  <c r="G138" i="3"/>
  <c r="G112" i="3"/>
  <c r="G190" i="3"/>
  <c r="G167" i="3"/>
  <c r="G132" i="3"/>
  <c r="G124" i="3"/>
  <c r="G271" i="3"/>
  <c r="G175" i="3"/>
  <c r="G123" i="3"/>
  <c r="G172" i="3"/>
  <c r="G130" i="3"/>
  <c r="G118" i="3"/>
  <c r="G103" i="3"/>
  <c r="G94" i="3"/>
  <c r="G74" i="3"/>
  <c r="P74" i="3" s="1"/>
  <c r="G62" i="3"/>
  <c r="G50" i="3"/>
  <c r="G38" i="3"/>
  <c r="G121" i="3"/>
  <c r="G109" i="3"/>
  <c r="G100" i="3"/>
  <c r="AA100" i="3" s="1"/>
  <c r="G92" i="3"/>
  <c r="G73" i="3"/>
  <c r="G61" i="3"/>
  <c r="G49" i="3"/>
  <c r="G37" i="3"/>
  <c r="G204" i="3"/>
  <c r="G173" i="3"/>
  <c r="G155" i="3"/>
  <c r="G148" i="3"/>
  <c r="G141" i="3"/>
  <c r="G108" i="3"/>
  <c r="G72" i="3"/>
  <c r="G60" i="3"/>
  <c r="G48" i="3"/>
  <c r="G36" i="3"/>
  <c r="P36" i="3" s="1"/>
  <c r="G99" i="3"/>
  <c r="G87" i="3"/>
  <c r="G85" i="3"/>
  <c r="G81" i="3"/>
  <c r="G78" i="3"/>
  <c r="G75" i="3"/>
  <c r="G180" i="3"/>
  <c r="G157" i="3"/>
  <c r="G144" i="3"/>
  <c r="G89" i="3"/>
  <c r="G84" i="3"/>
  <c r="G71" i="3"/>
  <c r="P71" i="3" s="1"/>
  <c r="G68" i="3"/>
  <c r="G65" i="3"/>
  <c r="G34" i="3"/>
  <c r="G22" i="3"/>
  <c r="G10" i="3"/>
  <c r="G236" i="3"/>
  <c r="G186" i="3"/>
  <c r="G116" i="3"/>
  <c r="G58" i="3"/>
  <c r="G55" i="3"/>
  <c r="G52" i="3"/>
  <c r="G33" i="3"/>
  <c r="G21" i="3"/>
  <c r="G9" i="3"/>
  <c r="P9" i="3" s="1"/>
  <c r="G163" i="3"/>
  <c r="G122" i="3"/>
  <c r="G110" i="3"/>
  <c r="G91" i="3"/>
  <c r="G45" i="3"/>
  <c r="G42" i="3"/>
  <c r="G39" i="3"/>
  <c r="G32" i="3"/>
  <c r="P32" i="3" s="1"/>
  <c r="G20" i="3"/>
  <c r="E2" i="3"/>
  <c r="N2" i="3" s="1"/>
  <c r="E5" i="3"/>
  <c r="G6" i="3"/>
  <c r="I9" i="3"/>
  <c r="G11" i="3"/>
  <c r="I13" i="3"/>
  <c r="E14" i="3"/>
  <c r="I16" i="3"/>
  <c r="E17" i="3"/>
  <c r="AC17" i="3" s="1"/>
  <c r="E20" i="3"/>
  <c r="J40" i="3"/>
  <c r="G43" i="3"/>
  <c r="I44" i="3"/>
  <c r="F47" i="3"/>
  <c r="E54" i="3"/>
  <c r="J55" i="3"/>
  <c r="I62" i="3"/>
  <c r="E69" i="3"/>
  <c r="G70" i="3"/>
  <c r="G77" i="3"/>
  <c r="G79" i="3"/>
  <c r="E91" i="3"/>
  <c r="J94" i="3"/>
  <c r="J98" i="3"/>
  <c r="G115" i="3"/>
  <c r="F134" i="3"/>
  <c r="G146" i="3"/>
  <c r="F195" i="3"/>
  <c r="E203" i="3"/>
  <c r="F228" i="3"/>
  <c r="G251" i="3"/>
  <c r="J268" i="3"/>
  <c r="AL2" i="3" l="1"/>
  <c r="AJ2" i="3"/>
  <c r="AD2" i="3"/>
  <c r="AK2" i="3"/>
  <c r="AI2" i="3"/>
  <c r="AH2" i="3"/>
  <c r="AD17" i="3"/>
  <c r="AK17" i="3"/>
  <c r="AH17" i="3"/>
  <c r="AI17" i="3"/>
  <c r="AJ17" i="3"/>
  <c r="AI101" i="3"/>
  <c r="AK40" i="3"/>
  <c r="AK174" i="3"/>
  <c r="AG211" i="3"/>
  <c r="AI219" i="3"/>
  <c r="AL54" i="3"/>
  <c r="AG146" i="3"/>
  <c r="AH242" i="3"/>
  <c r="AH259" i="3"/>
  <c r="AH293" i="3"/>
  <c r="AK92" i="3"/>
  <c r="AG106" i="3"/>
  <c r="AG40" i="3"/>
  <c r="AG179" i="3"/>
  <c r="AG120" i="3"/>
  <c r="AG184" i="3"/>
  <c r="AG232" i="3"/>
  <c r="T73" i="3"/>
  <c r="S73" i="3"/>
  <c r="R73" i="3"/>
  <c r="O73" i="3"/>
  <c r="AC73" i="3"/>
  <c r="AF73" i="3" s="1"/>
  <c r="N73" i="3"/>
  <c r="AB73" i="3"/>
  <c r="M73" i="3"/>
  <c r="AA73" i="3"/>
  <c r="L73" i="3"/>
  <c r="K73" i="3"/>
  <c r="Z73" i="3"/>
  <c r="Y73" i="3"/>
  <c r="X73" i="3"/>
  <c r="W73" i="3"/>
  <c r="V73" i="3"/>
  <c r="U73" i="3"/>
  <c r="Q73" i="3"/>
  <c r="P73" i="3"/>
  <c r="S50" i="3"/>
  <c r="R50" i="3"/>
  <c r="AC50" i="3"/>
  <c r="Q50" i="3"/>
  <c r="P50" i="3"/>
  <c r="O50" i="3"/>
  <c r="N50" i="3"/>
  <c r="X50" i="3"/>
  <c r="W50" i="3"/>
  <c r="V50" i="3"/>
  <c r="U50" i="3"/>
  <c r="T50" i="3"/>
  <c r="M50" i="3"/>
  <c r="L50" i="3"/>
  <c r="K50" i="3"/>
  <c r="Z50" i="3"/>
  <c r="AB50" i="3"/>
  <c r="AA50" i="3"/>
  <c r="Y50" i="3"/>
  <c r="R75" i="3"/>
  <c r="AC75" i="3"/>
  <c r="AG75" i="3" s="1"/>
  <c r="Q75" i="3"/>
  <c r="AB75" i="3"/>
  <c r="P75" i="3"/>
  <c r="V75" i="3"/>
  <c r="U75" i="3"/>
  <c r="T75" i="3"/>
  <c r="S75" i="3"/>
  <c r="K75" i="3"/>
  <c r="AA75" i="3"/>
  <c r="Z75" i="3"/>
  <c r="Y75" i="3"/>
  <c r="X75" i="3"/>
  <c r="N75" i="3"/>
  <c r="M75" i="3"/>
  <c r="L75" i="3"/>
  <c r="W75" i="3"/>
  <c r="O75" i="3"/>
  <c r="AA54" i="3"/>
  <c r="O54" i="3"/>
  <c r="Z54" i="3"/>
  <c r="N54" i="3"/>
  <c r="Y54" i="3"/>
  <c r="M54" i="3"/>
  <c r="AD54" i="3"/>
  <c r="L54" i="3"/>
  <c r="AC54" i="3"/>
  <c r="K54" i="3"/>
  <c r="AB54" i="3"/>
  <c r="W54" i="3"/>
  <c r="V54" i="3"/>
  <c r="U54" i="3"/>
  <c r="T54" i="3"/>
  <c r="S54" i="3"/>
  <c r="R54" i="3"/>
  <c r="Q54" i="3"/>
  <c r="X54" i="3"/>
  <c r="P54" i="3"/>
  <c r="V102" i="3"/>
  <c r="S102" i="3"/>
  <c r="P102" i="3"/>
  <c r="AC102" i="3"/>
  <c r="AG102" i="3" s="1"/>
  <c r="N102" i="3"/>
  <c r="AB102" i="3"/>
  <c r="M102" i="3"/>
  <c r="AA102" i="3"/>
  <c r="L102" i="3"/>
  <c r="Z102" i="3"/>
  <c r="K102" i="3"/>
  <c r="Y102" i="3"/>
  <c r="X102" i="3"/>
  <c r="W102" i="3"/>
  <c r="U102" i="3"/>
  <c r="T102" i="3"/>
  <c r="R102" i="3"/>
  <c r="Q102" i="3"/>
  <c r="O102" i="3"/>
  <c r="R126" i="3"/>
  <c r="Q126" i="3"/>
  <c r="AC126" i="3"/>
  <c r="AL126" i="3" s="1"/>
  <c r="P126" i="3"/>
  <c r="AB126" i="3"/>
  <c r="O126" i="3"/>
  <c r="Z126" i="3"/>
  <c r="M126" i="3"/>
  <c r="L126" i="3"/>
  <c r="K126" i="3"/>
  <c r="X126" i="3"/>
  <c r="W126" i="3"/>
  <c r="V126" i="3"/>
  <c r="U126" i="3"/>
  <c r="T126" i="3"/>
  <c r="S126" i="3"/>
  <c r="N126" i="3"/>
  <c r="AA126" i="3"/>
  <c r="Y126" i="3"/>
  <c r="U157" i="3"/>
  <c r="AB157" i="3"/>
  <c r="O157" i="3"/>
  <c r="Z157" i="3"/>
  <c r="M157" i="3"/>
  <c r="S157" i="3"/>
  <c r="R157" i="3"/>
  <c r="Q157" i="3"/>
  <c r="N157" i="3"/>
  <c r="W157" i="3"/>
  <c r="V157" i="3"/>
  <c r="T157" i="3"/>
  <c r="AC157" i="3"/>
  <c r="AL157" i="3" s="1"/>
  <c r="AA157" i="3"/>
  <c r="Y157" i="3"/>
  <c r="X157" i="3"/>
  <c r="L157" i="3"/>
  <c r="P157" i="3"/>
  <c r="K157" i="3"/>
  <c r="AB285" i="3"/>
  <c r="P285" i="3"/>
  <c r="AA285" i="3"/>
  <c r="O285" i="3"/>
  <c r="Z285" i="3"/>
  <c r="N285" i="3"/>
  <c r="Y285" i="3"/>
  <c r="M285" i="3"/>
  <c r="X285" i="3"/>
  <c r="L285" i="3"/>
  <c r="W285" i="3"/>
  <c r="K285" i="3"/>
  <c r="V285" i="3"/>
  <c r="U285" i="3"/>
  <c r="T285" i="3"/>
  <c r="S285" i="3"/>
  <c r="R285" i="3"/>
  <c r="AC285" i="3"/>
  <c r="AG285" i="3" s="1"/>
  <c r="Q285" i="3"/>
  <c r="AI291" i="3"/>
  <c r="AL124" i="3"/>
  <c r="AL116" i="3"/>
  <c r="AL144" i="3"/>
  <c r="AL211" i="3"/>
  <c r="AL271" i="3"/>
  <c r="AL226" i="3"/>
  <c r="AL221" i="3"/>
  <c r="AL259" i="3"/>
  <c r="AH139" i="3"/>
  <c r="AL22" i="3"/>
  <c r="AH116" i="3"/>
  <c r="AH180" i="3"/>
  <c r="AH196" i="3"/>
  <c r="AH245" i="3"/>
  <c r="AK83" i="3"/>
  <c r="AK108" i="3"/>
  <c r="AK249" i="3"/>
  <c r="AK269" i="3"/>
  <c r="AK129" i="3"/>
  <c r="AK134" i="3"/>
  <c r="R147" i="3"/>
  <c r="AK293" i="3"/>
  <c r="AK298" i="3"/>
  <c r="AG13" i="3"/>
  <c r="AG159" i="3"/>
  <c r="AG252" i="3"/>
  <c r="AG191" i="3"/>
  <c r="AG185" i="3"/>
  <c r="AG282" i="3"/>
  <c r="AE112" i="3"/>
  <c r="AF45" i="3"/>
  <c r="S10" i="3"/>
  <c r="AD10" i="3"/>
  <c r="R10" i="3"/>
  <c r="AB10" i="3"/>
  <c r="N10" i="3"/>
  <c r="AA10" i="3"/>
  <c r="M10" i="3"/>
  <c r="Z10" i="3"/>
  <c r="L10" i="3"/>
  <c r="X10" i="3"/>
  <c r="W10" i="3"/>
  <c r="V10" i="3"/>
  <c r="U10" i="3"/>
  <c r="K10" i="3"/>
  <c r="T10" i="3"/>
  <c r="Q10" i="3"/>
  <c r="P10" i="3"/>
  <c r="O10" i="3"/>
  <c r="Y10" i="3"/>
  <c r="AC10" i="3"/>
  <c r="AL10" i="3" s="1"/>
  <c r="U49" i="3"/>
  <c r="T49" i="3"/>
  <c r="AC49" i="3"/>
  <c r="AL49" i="3" s="1"/>
  <c r="Z49" i="3"/>
  <c r="AA49" i="3"/>
  <c r="Y49" i="3"/>
  <c r="V49" i="3"/>
  <c r="X49" i="3"/>
  <c r="AF148" i="3"/>
  <c r="AF170" i="3"/>
  <c r="AF108" i="3"/>
  <c r="AF198" i="3"/>
  <c r="AF261" i="3"/>
  <c r="AF290" i="3"/>
  <c r="AF296" i="3"/>
  <c r="Y84" i="3"/>
  <c r="M84" i="3"/>
  <c r="W84" i="3"/>
  <c r="V84" i="3"/>
  <c r="U84" i="3"/>
  <c r="AB84" i="3"/>
  <c r="K84" i="3"/>
  <c r="AA84" i="3"/>
  <c r="Z84" i="3"/>
  <c r="X84" i="3"/>
  <c r="P84" i="3"/>
  <c r="O84" i="3"/>
  <c r="N84" i="3"/>
  <c r="L84" i="3"/>
  <c r="AD84" i="3"/>
  <c r="AC84" i="3"/>
  <c r="AL84" i="3" s="1"/>
  <c r="T84" i="3"/>
  <c r="S84" i="3"/>
  <c r="R84" i="3"/>
  <c r="Q84" i="3"/>
  <c r="AC120" i="3"/>
  <c r="AK120" i="3" s="1"/>
  <c r="Q120" i="3"/>
  <c r="AB120" i="3"/>
  <c r="P120" i="3"/>
  <c r="AA120" i="3"/>
  <c r="O120" i="3"/>
  <c r="Y120" i="3"/>
  <c r="M120" i="3"/>
  <c r="L120" i="3"/>
  <c r="K120" i="3"/>
  <c r="W120" i="3"/>
  <c r="V120" i="3"/>
  <c r="U120" i="3"/>
  <c r="T120" i="3"/>
  <c r="S120" i="3"/>
  <c r="R120" i="3"/>
  <c r="N120" i="3"/>
  <c r="Z120" i="3"/>
  <c r="X120" i="3"/>
  <c r="X81" i="3"/>
  <c r="L81" i="3"/>
  <c r="W81" i="3"/>
  <c r="K81" i="3"/>
  <c r="V81" i="3"/>
  <c r="Y81" i="3"/>
  <c r="U81" i="3"/>
  <c r="T81" i="3"/>
  <c r="S81" i="3"/>
  <c r="AC81" i="3"/>
  <c r="AK81" i="3" s="1"/>
  <c r="AB81" i="3"/>
  <c r="AA81" i="3"/>
  <c r="Z81" i="3"/>
  <c r="R81" i="3"/>
  <c r="Q81" i="3"/>
  <c r="P81" i="3"/>
  <c r="O81" i="3"/>
  <c r="N81" i="3"/>
  <c r="M81" i="3"/>
  <c r="S62" i="3"/>
  <c r="AD62" i="3"/>
  <c r="R62" i="3"/>
  <c r="AC62" i="3"/>
  <c r="Q62" i="3"/>
  <c r="V62" i="3"/>
  <c r="U62" i="3"/>
  <c r="T62" i="3"/>
  <c r="AA62" i="3"/>
  <c r="Z62" i="3"/>
  <c r="Y62" i="3"/>
  <c r="X62" i="3"/>
  <c r="W62" i="3"/>
  <c r="P62" i="3"/>
  <c r="O62" i="3"/>
  <c r="N62" i="3"/>
  <c r="M62" i="3"/>
  <c r="L62" i="3"/>
  <c r="K62" i="3"/>
  <c r="AB62" i="3"/>
  <c r="Y87" i="3"/>
  <c r="M87" i="3"/>
  <c r="V87" i="3"/>
  <c r="T87" i="3"/>
  <c r="S87" i="3"/>
  <c r="R87" i="3"/>
  <c r="Z87" i="3"/>
  <c r="X87" i="3"/>
  <c r="W87" i="3"/>
  <c r="U87" i="3"/>
  <c r="L87" i="3"/>
  <c r="K87" i="3"/>
  <c r="AC87" i="3"/>
  <c r="AD87" i="3" s="1"/>
  <c r="AB87" i="3"/>
  <c r="O87" i="3"/>
  <c r="N87" i="3"/>
  <c r="AA87" i="3"/>
  <c r="Q87" i="3"/>
  <c r="P87" i="3"/>
  <c r="S258" i="3"/>
  <c r="AD258" i="3"/>
  <c r="R258" i="3"/>
  <c r="AC258" i="3"/>
  <c r="AI258" i="3" s="1"/>
  <c r="Q258" i="3"/>
  <c r="AB258" i="3"/>
  <c r="P258" i="3"/>
  <c r="AA258" i="3"/>
  <c r="K258" i="3"/>
  <c r="Z258" i="3"/>
  <c r="Y258" i="3"/>
  <c r="X258" i="3"/>
  <c r="O258" i="3"/>
  <c r="N258" i="3"/>
  <c r="M258" i="3"/>
  <c r="W258" i="3"/>
  <c r="V258" i="3"/>
  <c r="U258" i="3"/>
  <c r="L258" i="3"/>
  <c r="T258" i="3"/>
  <c r="AA66" i="3"/>
  <c r="O66" i="3"/>
  <c r="Z66" i="3"/>
  <c r="N66" i="3"/>
  <c r="Y66" i="3"/>
  <c r="M66" i="3"/>
  <c r="R66" i="3"/>
  <c r="Q66" i="3"/>
  <c r="P66" i="3"/>
  <c r="AC66" i="3"/>
  <c r="AK66" i="3" s="1"/>
  <c r="AB66" i="3"/>
  <c r="X66" i="3"/>
  <c r="W66" i="3"/>
  <c r="V66" i="3"/>
  <c r="U66" i="3"/>
  <c r="T66" i="3"/>
  <c r="S66" i="3"/>
  <c r="L66" i="3"/>
  <c r="K66" i="3"/>
  <c r="Z86" i="3"/>
  <c r="W86" i="3"/>
  <c r="K86" i="3"/>
  <c r="AC86" i="3"/>
  <c r="AK86" i="3" s="1"/>
  <c r="O86" i="3"/>
  <c r="AB86" i="3"/>
  <c r="N86" i="3"/>
  <c r="AA86" i="3"/>
  <c r="M86" i="3"/>
  <c r="V86" i="3"/>
  <c r="U86" i="3"/>
  <c r="T86" i="3"/>
  <c r="S86" i="3"/>
  <c r="R86" i="3"/>
  <c r="Q86" i="3"/>
  <c r="P86" i="3"/>
  <c r="L86" i="3"/>
  <c r="Y86" i="3"/>
  <c r="X86" i="3"/>
  <c r="AA109" i="3"/>
  <c r="O109" i="3"/>
  <c r="X109" i="3"/>
  <c r="L109" i="3"/>
  <c r="R109" i="3"/>
  <c r="Q109" i="3"/>
  <c r="Z109" i="3"/>
  <c r="Y109" i="3"/>
  <c r="W109" i="3"/>
  <c r="V109" i="3"/>
  <c r="U109" i="3"/>
  <c r="T109" i="3"/>
  <c r="S109" i="3"/>
  <c r="P109" i="3"/>
  <c r="AC109" i="3"/>
  <c r="AL109" i="3" s="1"/>
  <c r="AB109" i="3"/>
  <c r="N109" i="3"/>
  <c r="M109" i="3"/>
  <c r="K109" i="3"/>
  <c r="AC127" i="3"/>
  <c r="AF127" i="3" s="1"/>
  <c r="Q127" i="3"/>
  <c r="T127" i="3"/>
  <c r="S127" i="3"/>
  <c r="R127" i="3"/>
  <c r="AB127" i="3"/>
  <c r="O127" i="3"/>
  <c r="N127" i="3"/>
  <c r="M127" i="3"/>
  <c r="L127" i="3"/>
  <c r="P127" i="3"/>
  <c r="K127" i="3"/>
  <c r="X127" i="3"/>
  <c r="W127" i="3"/>
  <c r="V127" i="3"/>
  <c r="U127" i="3"/>
  <c r="AA127" i="3"/>
  <c r="Z127" i="3"/>
  <c r="Y127" i="3"/>
  <c r="V146" i="3"/>
  <c r="T146" i="3"/>
  <c r="R146" i="3"/>
  <c r="Q146" i="3"/>
  <c r="AD146" i="3"/>
  <c r="P146" i="3"/>
  <c r="AB146" i="3"/>
  <c r="N146" i="3"/>
  <c r="M146" i="3"/>
  <c r="L146" i="3"/>
  <c r="K146" i="3"/>
  <c r="Z146" i="3"/>
  <c r="Y146" i="3"/>
  <c r="X146" i="3"/>
  <c r="W146" i="3"/>
  <c r="U146" i="3"/>
  <c r="S146" i="3"/>
  <c r="O146" i="3"/>
  <c r="AC146" i="3"/>
  <c r="AA146" i="3"/>
  <c r="S197" i="3"/>
  <c r="AD197" i="3"/>
  <c r="R197" i="3"/>
  <c r="AC197" i="3"/>
  <c r="AI197" i="3" s="1"/>
  <c r="Q197" i="3"/>
  <c r="AA197" i="3"/>
  <c r="O197" i="3"/>
  <c r="P197" i="3"/>
  <c r="N197" i="3"/>
  <c r="M197" i="3"/>
  <c r="AB197" i="3"/>
  <c r="K197" i="3"/>
  <c r="Z197" i="3"/>
  <c r="Y197" i="3"/>
  <c r="W197" i="3"/>
  <c r="X197" i="3"/>
  <c r="V197" i="3"/>
  <c r="U197" i="3"/>
  <c r="T197" i="3"/>
  <c r="L197" i="3"/>
  <c r="U206" i="3"/>
  <c r="T206" i="3"/>
  <c r="S206" i="3"/>
  <c r="R206" i="3"/>
  <c r="AC206" i="3"/>
  <c r="AE206" i="3" s="1"/>
  <c r="M206" i="3"/>
  <c r="AB206" i="3"/>
  <c r="L206" i="3"/>
  <c r="AA206" i="3"/>
  <c r="K206" i="3"/>
  <c r="Y206" i="3"/>
  <c r="Z206" i="3"/>
  <c r="Q206" i="3"/>
  <c r="P206" i="3"/>
  <c r="O206" i="3"/>
  <c r="N206" i="3"/>
  <c r="X206" i="3"/>
  <c r="W206" i="3"/>
  <c r="V206" i="3"/>
  <c r="AA163" i="3"/>
  <c r="O163" i="3"/>
  <c r="R163" i="3"/>
  <c r="AC163" i="3"/>
  <c r="AD163" i="3" s="1"/>
  <c r="P163" i="3"/>
  <c r="Z163" i="3"/>
  <c r="M163" i="3"/>
  <c r="S163" i="3"/>
  <c r="Q163" i="3"/>
  <c r="N163" i="3"/>
  <c r="K163" i="3"/>
  <c r="Y163" i="3"/>
  <c r="X163" i="3"/>
  <c r="W163" i="3"/>
  <c r="V163" i="3"/>
  <c r="U163" i="3"/>
  <c r="T163" i="3"/>
  <c r="L163" i="3"/>
  <c r="AB163" i="3"/>
  <c r="AB186" i="3"/>
  <c r="P186" i="3"/>
  <c r="Z186" i="3"/>
  <c r="N186" i="3"/>
  <c r="S186" i="3"/>
  <c r="R186" i="3"/>
  <c r="Q186" i="3"/>
  <c r="AC186" i="3"/>
  <c r="AL186" i="3" s="1"/>
  <c r="M186" i="3"/>
  <c r="W186" i="3"/>
  <c r="V186" i="3"/>
  <c r="U186" i="3"/>
  <c r="O186" i="3"/>
  <c r="AA186" i="3"/>
  <c r="Y186" i="3"/>
  <c r="X186" i="3"/>
  <c r="T186" i="3"/>
  <c r="L186" i="3"/>
  <c r="K186" i="3"/>
  <c r="S270" i="3"/>
  <c r="AD270" i="3"/>
  <c r="R270" i="3"/>
  <c r="AC270" i="3"/>
  <c r="Q270" i="3"/>
  <c r="AB270" i="3"/>
  <c r="P270" i="3"/>
  <c r="O270" i="3"/>
  <c r="N270" i="3"/>
  <c r="M270" i="3"/>
  <c r="L270" i="3"/>
  <c r="AA270" i="3"/>
  <c r="Z270" i="3"/>
  <c r="Y270" i="3"/>
  <c r="W270" i="3"/>
  <c r="X270" i="3"/>
  <c r="K270" i="3"/>
  <c r="V270" i="3"/>
  <c r="U270" i="3"/>
  <c r="T270" i="3"/>
  <c r="T245" i="3"/>
  <c r="S245" i="3"/>
  <c r="R245" i="3"/>
  <c r="AC245" i="3"/>
  <c r="AI245" i="3" s="1"/>
  <c r="Q245" i="3"/>
  <c r="X245" i="3"/>
  <c r="W245" i="3"/>
  <c r="V245" i="3"/>
  <c r="U245" i="3"/>
  <c r="L245" i="3"/>
  <c r="K245" i="3"/>
  <c r="AB245" i="3"/>
  <c r="AA245" i="3"/>
  <c r="Z245" i="3"/>
  <c r="P245" i="3"/>
  <c r="Y245" i="3"/>
  <c r="O245" i="3"/>
  <c r="N245" i="3"/>
  <c r="M245" i="3"/>
  <c r="AC236" i="3"/>
  <c r="AD236" i="3" s="1"/>
  <c r="Q236" i="3"/>
  <c r="AB236" i="3"/>
  <c r="P236" i="3"/>
  <c r="AA236" i="3"/>
  <c r="O236" i="3"/>
  <c r="Z236" i="3"/>
  <c r="N236" i="3"/>
  <c r="M236" i="3"/>
  <c r="L236" i="3"/>
  <c r="K236" i="3"/>
  <c r="U236" i="3"/>
  <c r="T236" i="3"/>
  <c r="S236" i="3"/>
  <c r="Y236" i="3"/>
  <c r="X236" i="3"/>
  <c r="W236" i="3"/>
  <c r="V236" i="3"/>
  <c r="R236" i="3"/>
  <c r="Z227" i="3"/>
  <c r="N227" i="3"/>
  <c r="Y227" i="3"/>
  <c r="M227" i="3"/>
  <c r="X227" i="3"/>
  <c r="L227" i="3"/>
  <c r="W227" i="3"/>
  <c r="K227" i="3"/>
  <c r="V227" i="3"/>
  <c r="U227" i="3"/>
  <c r="T227" i="3"/>
  <c r="S227" i="3"/>
  <c r="AC227" i="3"/>
  <c r="AL227" i="3" s="1"/>
  <c r="AB227" i="3"/>
  <c r="R227" i="3"/>
  <c r="AA227" i="3"/>
  <c r="Q227" i="3"/>
  <c r="P227" i="3"/>
  <c r="O227" i="3"/>
  <c r="U280" i="3"/>
  <c r="T280" i="3"/>
  <c r="S280" i="3"/>
  <c r="R280" i="3"/>
  <c r="AC280" i="3"/>
  <c r="AE280" i="3" s="1"/>
  <c r="Q280" i="3"/>
  <c r="AB280" i="3"/>
  <c r="P280" i="3"/>
  <c r="AA280" i="3"/>
  <c r="O280" i="3"/>
  <c r="Z280" i="3"/>
  <c r="N280" i="3"/>
  <c r="Y280" i="3"/>
  <c r="M280" i="3"/>
  <c r="X280" i="3"/>
  <c r="L280" i="3"/>
  <c r="W280" i="3"/>
  <c r="K280" i="3"/>
  <c r="V280" i="3"/>
  <c r="AB297" i="3"/>
  <c r="P297" i="3"/>
  <c r="AA297" i="3"/>
  <c r="O297" i="3"/>
  <c r="Z297" i="3"/>
  <c r="N297" i="3"/>
  <c r="Y297" i="3"/>
  <c r="M297" i="3"/>
  <c r="X297" i="3"/>
  <c r="L297" i="3"/>
  <c r="W297" i="3"/>
  <c r="K297" i="3"/>
  <c r="V297" i="3"/>
  <c r="U297" i="3"/>
  <c r="T297" i="3"/>
  <c r="S297" i="3"/>
  <c r="R297" i="3"/>
  <c r="AC297" i="3"/>
  <c r="AL297" i="3" s="1"/>
  <c r="Q297" i="3"/>
  <c r="AG33" i="3"/>
  <c r="L2" i="3"/>
  <c r="S49" i="3"/>
  <c r="AH60" i="3"/>
  <c r="O60" i="3"/>
  <c r="AI55" i="3"/>
  <c r="AI142" i="3"/>
  <c r="AI224" i="3"/>
  <c r="AL162" i="3"/>
  <c r="AH89" i="3"/>
  <c r="AH281" i="3"/>
  <c r="AK230" i="3"/>
  <c r="AG16" i="3"/>
  <c r="AG230" i="3"/>
  <c r="X4" i="3"/>
  <c r="L4" i="3"/>
  <c r="AC4" i="3"/>
  <c r="P4" i="3"/>
  <c r="AB4" i="3"/>
  <c r="O4" i="3"/>
  <c r="AA4" i="3"/>
  <c r="N4" i="3"/>
  <c r="Y4" i="3"/>
  <c r="K4" i="3"/>
  <c r="S4" i="3"/>
  <c r="R4" i="3"/>
  <c r="Q4" i="3"/>
  <c r="Z4" i="3"/>
  <c r="V4" i="3"/>
  <c r="M4" i="3"/>
  <c r="AD4" i="3"/>
  <c r="W4" i="3"/>
  <c r="U4" i="3"/>
  <c r="T4" i="3"/>
  <c r="AA42" i="3"/>
  <c r="O42" i="3"/>
  <c r="Z42" i="3"/>
  <c r="N42" i="3"/>
  <c r="Y42" i="3"/>
  <c r="M42" i="3"/>
  <c r="X42" i="3"/>
  <c r="W42" i="3"/>
  <c r="V42" i="3"/>
  <c r="T42" i="3"/>
  <c r="S42" i="3"/>
  <c r="R42" i="3"/>
  <c r="P42" i="3"/>
  <c r="L42" i="3"/>
  <c r="K42" i="3"/>
  <c r="AD42" i="3"/>
  <c r="AC42" i="3"/>
  <c r="AB42" i="3"/>
  <c r="U42" i="3"/>
  <c r="Q42" i="3"/>
  <c r="AB121" i="3"/>
  <c r="P121" i="3"/>
  <c r="AA121" i="3"/>
  <c r="O121" i="3"/>
  <c r="Z121" i="3"/>
  <c r="N121" i="3"/>
  <c r="X121" i="3"/>
  <c r="L121" i="3"/>
  <c r="K121" i="3"/>
  <c r="AC121" i="3"/>
  <c r="AK121" i="3" s="1"/>
  <c r="M121" i="3"/>
  <c r="T121" i="3"/>
  <c r="S121" i="3"/>
  <c r="R121" i="3"/>
  <c r="Q121" i="3"/>
  <c r="Y121" i="3"/>
  <c r="W121" i="3"/>
  <c r="V121" i="3"/>
  <c r="U121" i="3"/>
  <c r="W218" i="3"/>
  <c r="K218" i="3"/>
  <c r="U218" i="3"/>
  <c r="AC218" i="3"/>
  <c r="AK218" i="3" s="1"/>
  <c r="O218" i="3"/>
  <c r="AB218" i="3"/>
  <c r="N218" i="3"/>
  <c r="AA218" i="3"/>
  <c r="M218" i="3"/>
  <c r="Z218" i="3"/>
  <c r="L218" i="3"/>
  <c r="Y218" i="3"/>
  <c r="X218" i="3"/>
  <c r="V218" i="3"/>
  <c r="S218" i="3"/>
  <c r="T218" i="3"/>
  <c r="AD218" i="3"/>
  <c r="R218" i="3"/>
  <c r="Q218" i="3"/>
  <c r="P218" i="3"/>
  <c r="V279" i="3"/>
  <c r="U279" i="3"/>
  <c r="T279" i="3"/>
  <c r="S279" i="3"/>
  <c r="R279" i="3"/>
  <c r="AC279" i="3"/>
  <c r="AK279" i="3" s="1"/>
  <c r="Q279" i="3"/>
  <c r="AB279" i="3"/>
  <c r="P279" i="3"/>
  <c r="AA279" i="3"/>
  <c r="O279" i="3"/>
  <c r="Z279" i="3"/>
  <c r="N279" i="3"/>
  <c r="Y279" i="3"/>
  <c r="M279" i="3"/>
  <c r="X279" i="3"/>
  <c r="L279" i="3"/>
  <c r="W279" i="3"/>
  <c r="K279" i="3"/>
  <c r="AJ111" i="3"/>
  <c r="AI58" i="3"/>
  <c r="AI179" i="3"/>
  <c r="AI266" i="3"/>
  <c r="AK198" i="3"/>
  <c r="AH184" i="3"/>
  <c r="AH233" i="3"/>
  <c r="Y71" i="3"/>
  <c r="R71" i="3"/>
  <c r="W71" i="3"/>
  <c r="AK239" i="3"/>
  <c r="AK281" i="3"/>
  <c r="AK291" i="3"/>
  <c r="AG220" i="3"/>
  <c r="AG39" i="3"/>
  <c r="AG133" i="3"/>
  <c r="W133" i="3"/>
  <c r="AB133" i="3"/>
  <c r="AA133" i="3"/>
  <c r="Z133" i="3"/>
  <c r="Y133" i="3"/>
  <c r="X133" i="3"/>
  <c r="AG173" i="3"/>
  <c r="AG219" i="3"/>
  <c r="AG236" i="3"/>
  <c r="AB147" i="3"/>
  <c r="U71" i="3"/>
  <c r="W23" i="3"/>
  <c r="AD94" i="3"/>
  <c r="R94" i="3"/>
  <c r="AA94" i="3"/>
  <c r="O94" i="3"/>
  <c r="U94" i="3"/>
  <c r="T94" i="3"/>
  <c r="S94" i="3"/>
  <c r="N94" i="3"/>
  <c r="M94" i="3"/>
  <c r="L94" i="3"/>
  <c r="AC94" i="3"/>
  <c r="AH94" i="3" s="1"/>
  <c r="K94" i="3"/>
  <c r="AB94" i="3"/>
  <c r="Z94" i="3"/>
  <c r="Y94" i="3"/>
  <c r="V94" i="3"/>
  <c r="X94" i="3"/>
  <c r="W94" i="3"/>
  <c r="Q94" i="3"/>
  <c r="P94" i="3"/>
  <c r="V59" i="3"/>
  <c r="U59" i="3"/>
  <c r="T59" i="3"/>
  <c r="S59" i="3"/>
  <c r="R59" i="3"/>
  <c r="Q59" i="3"/>
  <c r="L59" i="3"/>
  <c r="AC59" i="3"/>
  <c r="AH59" i="3" s="1"/>
  <c r="K59" i="3"/>
  <c r="AB59" i="3"/>
  <c r="AA59" i="3"/>
  <c r="Z59" i="3"/>
  <c r="Y59" i="3"/>
  <c r="X59" i="3"/>
  <c r="W59" i="3"/>
  <c r="P59" i="3"/>
  <c r="O59" i="3"/>
  <c r="N59" i="3"/>
  <c r="M59" i="3"/>
  <c r="W82" i="3"/>
  <c r="K82" i="3"/>
  <c r="V82" i="3"/>
  <c r="U82" i="3"/>
  <c r="R82" i="3"/>
  <c r="Q82" i="3"/>
  <c r="P82" i="3"/>
  <c r="O82" i="3"/>
  <c r="N82" i="3"/>
  <c r="M82" i="3"/>
  <c r="L82" i="3"/>
  <c r="AC82" i="3"/>
  <c r="AF82" i="3" s="1"/>
  <c r="AB82" i="3"/>
  <c r="AA82" i="3"/>
  <c r="S82" i="3"/>
  <c r="Z82" i="3"/>
  <c r="Y82" i="3"/>
  <c r="X82" i="3"/>
  <c r="T82" i="3"/>
  <c r="Z79" i="3"/>
  <c r="N79" i="3"/>
  <c r="Y79" i="3"/>
  <c r="M79" i="3"/>
  <c r="X79" i="3"/>
  <c r="L79" i="3"/>
  <c r="R79" i="3"/>
  <c r="Q79" i="3"/>
  <c r="P79" i="3"/>
  <c r="AD79" i="3"/>
  <c r="O79" i="3"/>
  <c r="AC79" i="3"/>
  <c r="AB79" i="3"/>
  <c r="AA79" i="3"/>
  <c r="W79" i="3"/>
  <c r="V79" i="3"/>
  <c r="U79" i="3"/>
  <c r="T79" i="3"/>
  <c r="S79" i="3"/>
  <c r="K79" i="3"/>
  <c r="R119" i="3"/>
  <c r="AC119" i="3"/>
  <c r="AF119" i="3" s="1"/>
  <c r="Q119" i="3"/>
  <c r="AB119" i="3"/>
  <c r="P119" i="3"/>
  <c r="Z119" i="3"/>
  <c r="N119" i="3"/>
  <c r="M119" i="3"/>
  <c r="L119" i="3"/>
  <c r="K119" i="3"/>
  <c r="O119" i="3"/>
  <c r="V119" i="3"/>
  <c r="U119" i="3"/>
  <c r="T119" i="3"/>
  <c r="S119" i="3"/>
  <c r="AA119" i="3"/>
  <c r="Y119" i="3"/>
  <c r="X119" i="3"/>
  <c r="W119" i="3"/>
  <c r="X166" i="3"/>
  <c r="L166" i="3"/>
  <c r="Y166" i="3"/>
  <c r="K166" i="3"/>
  <c r="W166" i="3"/>
  <c r="V166" i="3"/>
  <c r="T166" i="3"/>
  <c r="U166" i="3"/>
  <c r="S166" i="3"/>
  <c r="R166" i="3"/>
  <c r="P166" i="3"/>
  <c r="O166" i="3"/>
  <c r="N166" i="3"/>
  <c r="M166" i="3"/>
  <c r="AD166" i="3"/>
  <c r="AC166" i="3"/>
  <c r="AH166" i="3" s="1"/>
  <c r="AB166" i="3"/>
  <c r="AA166" i="3"/>
  <c r="Z166" i="3"/>
  <c r="Q166" i="3"/>
  <c r="V205" i="3"/>
  <c r="U205" i="3"/>
  <c r="T205" i="3"/>
  <c r="S205" i="3"/>
  <c r="AD205" i="3"/>
  <c r="N205" i="3"/>
  <c r="AC205" i="3"/>
  <c r="M205" i="3"/>
  <c r="AB205" i="3"/>
  <c r="L205" i="3"/>
  <c r="Z205" i="3"/>
  <c r="R205" i="3"/>
  <c r="Q205" i="3"/>
  <c r="P205" i="3"/>
  <c r="K205" i="3"/>
  <c r="AA205" i="3"/>
  <c r="O205" i="3"/>
  <c r="Y205" i="3"/>
  <c r="X205" i="3"/>
  <c r="W205" i="3"/>
  <c r="R271" i="3"/>
  <c r="AC271" i="3"/>
  <c r="AH271" i="3" s="1"/>
  <c r="Q271" i="3"/>
  <c r="AB271" i="3"/>
  <c r="P271" i="3"/>
  <c r="AA271" i="3"/>
  <c r="O271" i="3"/>
  <c r="N271" i="3"/>
  <c r="M271" i="3"/>
  <c r="L271" i="3"/>
  <c r="K271" i="3"/>
  <c r="V271" i="3"/>
  <c r="U271" i="3"/>
  <c r="T271" i="3"/>
  <c r="Z271" i="3"/>
  <c r="Y271" i="3"/>
  <c r="X271" i="3"/>
  <c r="S271" i="3"/>
  <c r="W271" i="3"/>
  <c r="W254" i="3"/>
  <c r="K254" i="3"/>
  <c r="V254" i="3"/>
  <c r="U254" i="3"/>
  <c r="T254" i="3"/>
  <c r="O254" i="3"/>
  <c r="N254" i="3"/>
  <c r="AC254" i="3"/>
  <c r="AG254" i="3" s="1"/>
  <c r="M254" i="3"/>
  <c r="AB254" i="3"/>
  <c r="L254" i="3"/>
  <c r="AA254" i="3"/>
  <c r="Z254" i="3"/>
  <c r="Y254" i="3"/>
  <c r="S254" i="3"/>
  <c r="X254" i="3"/>
  <c r="R254" i="3"/>
  <c r="Q254" i="3"/>
  <c r="P254" i="3"/>
  <c r="X229" i="3"/>
  <c r="L229" i="3"/>
  <c r="W229" i="3"/>
  <c r="K229" i="3"/>
  <c r="V229" i="3"/>
  <c r="U229" i="3"/>
  <c r="T229" i="3"/>
  <c r="S229" i="3"/>
  <c r="R229" i="3"/>
  <c r="Q229" i="3"/>
  <c r="AB229" i="3"/>
  <c r="P229" i="3"/>
  <c r="O229" i="3"/>
  <c r="N229" i="3"/>
  <c r="M229" i="3"/>
  <c r="AC229" i="3"/>
  <c r="AI229" i="3" s="1"/>
  <c r="AA229" i="3"/>
  <c r="Z229" i="3"/>
  <c r="Y229" i="3"/>
  <c r="AC224" i="3"/>
  <c r="Q224" i="3"/>
  <c r="AB224" i="3"/>
  <c r="P224" i="3"/>
  <c r="AA224" i="3"/>
  <c r="O224" i="3"/>
  <c r="Z224" i="3"/>
  <c r="N224" i="3"/>
  <c r="Y224" i="3"/>
  <c r="X224" i="3"/>
  <c r="W224" i="3"/>
  <c r="V224" i="3"/>
  <c r="U224" i="3"/>
  <c r="AD224" i="3"/>
  <c r="M224" i="3"/>
  <c r="L224" i="3"/>
  <c r="K224" i="3"/>
  <c r="T224" i="3"/>
  <c r="S224" i="3"/>
  <c r="R224" i="3"/>
  <c r="AA262" i="3"/>
  <c r="O262" i="3"/>
  <c r="Z262" i="3"/>
  <c r="N262" i="3"/>
  <c r="Y262" i="3"/>
  <c r="M262" i="3"/>
  <c r="X262" i="3"/>
  <c r="L262" i="3"/>
  <c r="W262" i="3"/>
  <c r="V262" i="3"/>
  <c r="U262" i="3"/>
  <c r="T262" i="3"/>
  <c r="AC262" i="3"/>
  <c r="AJ262" i="3" s="1"/>
  <c r="S262" i="3"/>
  <c r="K262" i="3"/>
  <c r="AB262" i="3"/>
  <c r="R262" i="3"/>
  <c r="Q262" i="3"/>
  <c r="P262" i="3"/>
  <c r="V291" i="3"/>
  <c r="U291" i="3"/>
  <c r="T291" i="3"/>
  <c r="S291" i="3"/>
  <c r="AD291" i="3"/>
  <c r="R291" i="3"/>
  <c r="AC291" i="3"/>
  <c r="Q291" i="3"/>
  <c r="AB291" i="3"/>
  <c r="P291" i="3"/>
  <c r="AA291" i="3"/>
  <c r="O291" i="3"/>
  <c r="Z291" i="3"/>
  <c r="N291" i="3"/>
  <c r="Y291" i="3"/>
  <c r="M291" i="3"/>
  <c r="X291" i="3"/>
  <c r="L291" i="3"/>
  <c r="W291" i="3"/>
  <c r="K291" i="3"/>
  <c r="AE196" i="3"/>
  <c r="L196" i="3"/>
  <c r="AA196" i="3"/>
  <c r="T196" i="3"/>
  <c r="X196" i="3"/>
  <c r="W196" i="3"/>
  <c r="V196" i="3"/>
  <c r="AB196" i="3"/>
  <c r="U196" i="3"/>
  <c r="AG17" i="3"/>
  <c r="N17" i="3"/>
  <c r="AI42" i="3"/>
  <c r="AI116" i="3"/>
  <c r="AI157" i="3"/>
  <c r="AI108" i="3"/>
  <c r="AI109" i="3"/>
  <c r="AI191" i="3"/>
  <c r="AI178" i="3"/>
  <c r="AI234" i="3"/>
  <c r="AL92" i="3"/>
  <c r="AL268" i="3"/>
  <c r="AI77" i="3"/>
  <c r="AK16" i="3"/>
  <c r="AI141" i="3"/>
  <c r="AI271" i="3"/>
  <c r="AI247" i="3"/>
  <c r="AI203" i="3"/>
  <c r="AI166" i="3"/>
  <c r="AI182" i="3"/>
  <c r="AI171" i="3"/>
  <c r="AI246" i="3"/>
  <c r="AI298" i="3"/>
  <c r="S100" i="3"/>
  <c r="AL45" i="3"/>
  <c r="AL58" i="3"/>
  <c r="AL97" i="3"/>
  <c r="AL166" i="3"/>
  <c r="AL156" i="3"/>
  <c r="AL234" i="3"/>
  <c r="AL219" i="3"/>
  <c r="AL295" i="3"/>
  <c r="AL32" i="3"/>
  <c r="AI19" i="3"/>
  <c r="P19" i="3"/>
  <c r="AA19" i="3"/>
  <c r="Z19" i="3"/>
  <c r="AH186" i="3"/>
  <c r="AH11" i="3"/>
  <c r="AH182" i="3"/>
  <c r="AH201" i="3"/>
  <c r="AH206" i="3"/>
  <c r="AH209" i="3"/>
  <c r="AK146" i="3"/>
  <c r="AK46" i="3"/>
  <c r="AK84" i="3"/>
  <c r="AK141" i="3"/>
  <c r="AK117" i="3"/>
  <c r="AK184" i="3"/>
  <c r="R149" i="3"/>
  <c r="AK261" i="3"/>
  <c r="AK206" i="3"/>
  <c r="AK282" i="3"/>
  <c r="AK275" i="3"/>
  <c r="AK292" i="3"/>
  <c r="AI63" i="3"/>
  <c r="R12" i="3"/>
  <c r="AG63" i="3"/>
  <c r="AG64" i="3"/>
  <c r="AG141" i="3"/>
  <c r="AG201" i="3"/>
  <c r="AG162" i="3"/>
  <c r="AG253" i="3"/>
  <c r="AG260" i="3"/>
  <c r="AG288" i="3"/>
  <c r="AG294" i="3"/>
  <c r="AG109" i="3"/>
  <c r="Y44" i="3"/>
  <c r="M44" i="3"/>
  <c r="X44" i="3"/>
  <c r="L44" i="3"/>
  <c r="W44" i="3"/>
  <c r="K44" i="3"/>
  <c r="P44" i="3"/>
  <c r="O44" i="3"/>
  <c r="AC44" i="3"/>
  <c r="AD44" i="3" s="1"/>
  <c r="N44" i="3"/>
  <c r="AB44" i="3"/>
  <c r="Z44" i="3"/>
  <c r="V44" i="3"/>
  <c r="U44" i="3"/>
  <c r="S44" i="3"/>
  <c r="Q44" i="3"/>
  <c r="R44" i="3"/>
  <c r="AA44" i="3"/>
  <c r="T44" i="3"/>
  <c r="T133" i="3"/>
  <c r="AE45" i="3"/>
  <c r="AF79" i="3"/>
  <c r="AF91" i="3"/>
  <c r="AF36" i="3"/>
  <c r="Y36" i="3"/>
  <c r="AF123" i="3"/>
  <c r="AF53" i="3"/>
  <c r="AF178" i="3"/>
  <c r="AF120" i="3"/>
  <c r="AF183" i="3"/>
  <c r="AF152" i="3"/>
  <c r="AF203" i="3"/>
  <c r="AF273" i="3"/>
  <c r="T124" i="3"/>
  <c r="Z124" i="3"/>
  <c r="M124" i="3"/>
  <c r="Y124" i="3"/>
  <c r="L124" i="3"/>
  <c r="X124" i="3"/>
  <c r="K124" i="3"/>
  <c r="V124" i="3"/>
  <c r="AC124" i="3"/>
  <c r="AD124" i="3" s="1"/>
  <c r="AB124" i="3"/>
  <c r="AA124" i="3"/>
  <c r="S124" i="3"/>
  <c r="R124" i="3"/>
  <c r="Q124" i="3"/>
  <c r="P124" i="3"/>
  <c r="O124" i="3"/>
  <c r="N124" i="3"/>
  <c r="W124" i="3"/>
  <c r="U124" i="3"/>
  <c r="V134" i="3"/>
  <c r="W134" i="3"/>
  <c r="U134" i="3"/>
  <c r="T134" i="3"/>
  <c r="R134" i="3"/>
  <c r="M134" i="3"/>
  <c r="AC134" i="3"/>
  <c r="AD134" i="3" s="1"/>
  <c r="L134" i="3"/>
  <c r="AB134" i="3"/>
  <c r="K134" i="3"/>
  <c r="Q134" i="3"/>
  <c r="P134" i="3"/>
  <c r="O134" i="3"/>
  <c r="N134" i="3"/>
  <c r="AA134" i="3"/>
  <c r="Z134" i="3"/>
  <c r="Y134" i="3"/>
  <c r="X134" i="3"/>
  <c r="S134" i="3"/>
  <c r="V83" i="3"/>
  <c r="U83" i="3"/>
  <c r="T83" i="3"/>
  <c r="AC83" i="3"/>
  <c r="N83" i="3"/>
  <c r="AB83" i="3"/>
  <c r="M83" i="3"/>
  <c r="AA83" i="3"/>
  <c r="L83" i="3"/>
  <c r="Z83" i="3"/>
  <c r="K83" i="3"/>
  <c r="Y83" i="3"/>
  <c r="X83" i="3"/>
  <c r="W83" i="3"/>
  <c r="S83" i="3"/>
  <c r="R83" i="3"/>
  <c r="Q83" i="3"/>
  <c r="P83" i="3"/>
  <c r="AD83" i="3"/>
  <c r="O83" i="3"/>
  <c r="AB108" i="3"/>
  <c r="P108" i="3"/>
  <c r="Y108" i="3"/>
  <c r="M108" i="3"/>
  <c r="Z108" i="3"/>
  <c r="K108" i="3"/>
  <c r="X108" i="3"/>
  <c r="L108" i="3"/>
  <c r="AC108" i="3"/>
  <c r="AH108" i="3" s="1"/>
  <c r="AA108" i="3"/>
  <c r="W108" i="3"/>
  <c r="V108" i="3"/>
  <c r="U108" i="3"/>
  <c r="T108" i="3"/>
  <c r="S108" i="3"/>
  <c r="R108" i="3"/>
  <c r="Q108" i="3"/>
  <c r="O108" i="3"/>
  <c r="N108" i="3"/>
  <c r="R106" i="3"/>
  <c r="AA106" i="3"/>
  <c r="O106" i="3"/>
  <c r="AB106" i="3"/>
  <c r="M106" i="3"/>
  <c r="Z106" i="3"/>
  <c r="L106" i="3"/>
  <c r="Q106" i="3"/>
  <c r="P106" i="3"/>
  <c r="N106" i="3"/>
  <c r="K106" i="3"/>
  <c r="AC106" i="3"/>
  <c r="AD106" i="3" s="1"/>
  <c r="Y106" i="3"/>
  <c r="X106" i="3"/>
  <c r="W106" i="3"/>
  <c r="V106" i="3"/>
  <c r="U106" i="3"/>
  <c r="T106" i="3"/>
  <c r="S106" i="3"/>
  <c r="X190" i="3"/>
  <c r="L190" i="3"/>
  <c r="V190" i="3"/>
  <c r="AC190" i="3"/>
  <c r="O190" i="3"/>
  <c r="AB190" i="3"/>
  <c r="N190" i="3"/>
  <c r="AA190" i="3"/>
  <c r="M190" i="3"/>
  <c r="Y190" i="3"/>
  <c r="Z190" i="3"/>
  <c r="W190" i="3"/>
  <c r="U190" i="3"/>
  <c r="S190" i="3"/>
  <c r="K190" i="3"/>
  <c r="AD190" i="3"/>
  <c r="T190" i="3"/>
  <c r="R190" i="3"/>
  <c r="Q190" i="3"/>
  <c r="P190" i="3"/>
  <c r="AA78" i="3"/>
  <c r="O78" i="3"/>
  <c r="Z78" i="3"/>
  <c r="N78" i="3"/>
  <c r="Y78" i="3"/>
  <c r="M78" i="3"/>
  <c r="V78" i="3"/>
  <c r="U78" i="3"/>
  <c r="T78" i="3"/>
  <c r="S78" i="3"/>
  <c r="R78" i="3"/>
  <c r="Q78" i="3"/>
  <c r="P78" i="3"/>
  <c r="L78" i="3"/>
  <c r="K78" i="3"/>
  <c r="X78" i="3"/>
  <c r="AD78" i="3"/>
  <c r="W78" i="3"/>
  <c r="AC78" i="3"/>
  <c r="AB78" i="3"/>
  <c r="U91" i="3"/>
  <c r="R91" i="3"/>
  <c r="P91" i="3"/>
  <c r="AC91" i="3"/>
  <c r="AH91" i="3" s="1"/>
  <c r="O91" i="3"/>
  <c r="AB91" i="3"/>
  <c r="N91" i="3"/>
  <c r="K91" i="3"/>
  <c r="AA91" i="3"/>
  <c r="Z91" i="3"/>
  <c r="Y91" i="3"/>
  <c r="X91" i="3"/>
  <c r="W91" i="3"/>
  <c r="V91" i="3"/>
  <c r="L91" i="3"/>
  <c r="T91" i="3"/>
  <c r="S91" i="3"/>
  <c r="Q91" i="3"/>
  <c r="M91" i="3"/>
  <c r="T116" i="3"/>
  <c r="AC116" i="3"/>
  <c r="Q116" i="3"/>
  <c r="R116" i="3"/>
  <c r="P116" i="3"/>
  <c r="AD116" i="3"/>
  <c r="O116" i="3"/>
  <c r="W116" i="3"/>
  <c r="V116" i="3"/>
  <c r="U116" i="3"/>
  <c r="S116" i="3"/>
  <c r="AB116" i="3"/>
  <c r="N116" i="3"/>
  <c r="M116" i="3"/>
  <c r="L116" i="3"/>
  <c r="K116" i="3"/>
  <c r="AA116" i="3"/>
  <c r="Z116" i="3"/>
  <c r="Y116" i="3"/>
  <c r="X116" i="3"/>
  <c r="X144" i="3"/>
  <c r="L144" i="3"/>
  <c r="V144" i="3"/>
  <c r="T144" i="3"/>
  <c r="S144" i="3"/>
  <c r="R144" i="3"/>
  <c r="P144" i="3"/>
  <c r="Y144" i="3"/>
  <c r="W144" i="3"/>
  <c r="U144" i="3"/>
  <c r="N144" i="3"/>
  <c r="M144" i="3"/>
  <c r="K144" i="3"/>
  <c r="AA144" i="3"/>
  <c r="Z144" i="3"/>
  <c r="Q144" i="3"/>
  <c r="O144" i="3"/>
  <c r="AC144" i="3"/>
  <c r="AD144" i="3" s="1"/>
  <c r="AB144" i="3"/>
  <c r="AA153" i="3"/>
  <c r="O153" i="3"/>
  <c r="Y153" i="3"/>
  <c r="M153" i="3"/>
  <c r="S153" i="3"/>
  <c r="R153" i="3"/>
  <c r="Q153" i="3"/>
  <c r="AC153" i="3"/>
  <c r="AE153" i="3" s="1"/>
  <c r="N153" i="3"/>
  <c r="L153" i="3"/>
  <c r="K153" i="3"/>
  <c r="Z153" i="3"/>
  <c r="X153" i="3"/>
  <c r="W153" i="3"/>
  <c r="V153" i="3"/>
  <c r="U153" i="3"/>
  <c r="T153" i="3"/>
  <c r="P153" i="3"/>
  <c r="AB153" i="3"/>
  <c r="S208" i="3"/>
  <c r="AD208" i="3"/>
  <c r="R208" i="3"/>
  <c r="AC208" i="3"/>
  <c r="AF208" i="3" s="1"/>
  <c r="Q208" i="3"/>
  <c r="AB208" i="3"/>
  <c r="P208" i="3"/>
  <c r="AA208" i="3"/>
  <c r="K208" i="3"/>
  <c r="Z208" i="3"/>
  <c r="Y208" i="3"/>
  <c r="W208" i="3"/>
  <c r="O208" i="3"/>
  <c r="N208" i="3"/>
  <c r="M208" i="3"/>
  <c r="L208" i="3"/>
  <c r="X208" i="3"/>
  <c r="V208" i="3"/>
  <c r="U208" i="3"/>
  <c r="T208" i="3"/>
  <c r="AB140" i="3"/>
  <c r="P140" i="3"/>
  <c r="Z140" i="3"/>
  <c r="N140" i="3"/>
  <c r="X140" i="3"/>
  <c r="W140" i="3"/>
  <c r="V140" i="3"/>
  <c r="T140" i="3"/>
  <c r="S140" i="3"/>
  <c r="R140" i="3"/>
  <c r="Q140" i="3"/>
  <c r="U140" i="3"/>
  <c r="O140" i="3"/>
  <c r="M140" i="3"/>
  <c r="L140" i="3"/>
  <c r="AC140" i="3"/>
  <c r="AE140" i="3" s="1"/>
  <c r="AA140" i="3"/>
  <c r="Y140" i="3"/>
  <c r="K140" i="3"/>
  <c r="V180" i="3"/>
  <c r="Q180" i="3"/>
  <c r="AC180" i="3"/>
  <c r="AE180" i="3" s="1"/>
  <c r="P180" i="3"/>
  <c r="AB180" i="3"/>
  <c r="O180" i="3"/>
  <c r="Z180" i="3"/>
  <c r="M180" i="3"/>
  <c r="N180" i="3"/>
  <c r="L180" i="3"/>
  <c r="K180" i="3"/>
  <c r="AA180" i="3"/>
  <c r="Y180" i="3"/>
  <c r="X180" i="3"/>
  <c r="W180" i="3"/>
  <c r="U180" i="3"/>
  <c r="T180" i="3"/>
  <c r="S180" i="3"/>
  <c r="R180" i="3"/>
  <c r="AD198" i="3"/>
  <c r="R198" i="3"/>
  <c r="AC198" i="3"/>
  <c r="AI198" i="3" s="1"/>
  <c r="Q198" i="3"/>
  <c r="AB198" i="3"/>
  <c r="P198" i="3"/>
  <c r="Z198" i="3"/>
  <c r="N198" i="3"/>
  <c r="O198" i="3"/>
  <c r="M198" i="3"/>
  <c r="L198" i="3"/>
  <c r="AA198" i="3"/>
  <c r="V198" i="3"/>
  <c r="U198" i="3"/>
  <c r="T198" i="3"/>
  <c r="K198" i="3"/>
  <c r="Y198" i="3"/>
  <c r="X198" i="3"/>
  <c r="W198" i="3"/>
  <c r="S198" i="3"/>
  <c r="W204" i="3"/>
  <c r="K204" i="3"/>
  <c r="V204" i="3"/>
  <c r="U204" i="3"/>
  <c r="Q204" i="3"/>
  <c r="P204" i="3"/>
  <c r="O204" i="3"/>
  <c r="AB204" i="3"/>
  <c r="M204" i="3"/>
  <c r="AC204" i="3"/>
  <c r="AG204" i="3" s="1"/>
  <c r="AA204" i="3"/>
  <c r="Z204" i="3"/>
  <c r="X204" i="3"/>
  <c r="Y204" i="3"/>
  <c r="T204" i="3"/>
  <c r="S204" i="3"/>
  <c r="R204" i="3"/>
  <c r="N204" i="3"/>
  <c r="L204" i="3"/>
  <c r="X265" i="3"/>
  <c r="L265" i="3"/>
  <c r="W265" i="3"/>
  <c r="K265" i="3"/>
  <c r="V265" i="3"/>
  <c r="U265" i="3"/>
  <c r="T265" i="3"/>
  <c r="S265" i="3"/>
  <c r="R265" i="3"/>
  <c r="Q265" i="3"/>
  <c r="AB265" i="3"/>
  <c r="AA265" i="3"/>
  <c r="Z265" i="3"/>
  <c r="P265" i="3"/>
  <c r="Y265" i="3"/>
  <c r="O265" i="3"/>
  <c r="N265" i="3"/>
  <c r="M265" i="3"/>
  <c r="AC265" i="3"/>
  <c r="AG265" i="3" s="1"/>
  <c r="AC248" i="3"/>
  <c r="AD248" i="3" s="1"/>
  <c r="Q248" i="3"/>
  <c r="AB248" i="3"/>
  <c r="P248" i="3"/>
  <c r="AA248" i="3"/>
  <c r="O248" i="3"/>
  <c r="Z248" i="3"/>
  <c r="N248" i="3"/>
  <c r="U248" i="3"/>
  <c r="T248" i="3"/>
  <c r="S248" i="3"/>
  <c r="R248" i="3"/>
  <c r="Y248" i="3"/>
  <c r="X248" i="3"/>
  <c r="W248" i="3"/>
  <c r="M248" i="3"/>
  <c r="V248" i="3"/>
  <c r="L248" i="3"/>
  <c r="K248" i="3"/>
  <c r="Z239" i="3"/>
  <c r="N239" i="3"/>
  <c r="Y239" i="3"/>
  <c r="M239" i="3"/>
  <c r="X239" i="3"/>
  <c r="L239" i="3"/>
  <c r="W239" i="3"/>
  <c r="K239" i="3"/>
  <c r="AD239" i="3"/>
  <c r="AC239" i="3"/>
  <c r="AG239" i="3" s="1"/>
  <c r="AB239" i="3"/>
  <c r="AA239" i="3"/>
  <c r="R239" i="3"/>
  <c r="Q239" i="3"/>
  <c r="P239" i="3"/>
  <c r="O239" i="3"/>
  <c r="V239" i="3"/>
  <c r="U239" i="3"/>
  <c r="T239" i="3"/>
  <c r="S239" i="3"/>
  <c r="U292" i="3"/>
  <c r="T292" i="3"/>
  <c r="S292" i="3"/>
  <c r="R292" i="3"/>
  <c r="AC292" i="3"/>
  <c r="AF292" i="3" s="1"/>
  <c r="Q292" i="3"/>
  <c r="AB292" i="3"/>
  <c r="P292" i="3"/>
  <c r="AA292" i="3"/>
  <c r="O292" i="3"/>
  <c r="Z292" i="3"/>
  <c r="N292" i="3"/>
  <c r="Y292" i="3"/>
  <c r="M292" i="3"/>
  <c r="X292" i="3"/>
  <c r="L292" i="3"/>
  <c r="W292" i="3"/>
  <c r="K292" i="3"/>
  <c r="V292" i="3"/>
  <c r="AA274" i="3"/>
  <c r="O274" i="3"/>
  <c r="Z274" i="3"/>
  <c r="N274" i="3"/>
  <c r="Y274" i="3"/>
  <c r="M274" i="3"/>
  <c r="X274" i="3"/>
  <c r="L274" i="3"/>
  <c r="W274" i="3"/>
  <c r="K274" i="3"/>
  <c r="V274" i="3"/>
  <c r="U274" i="3"/>
  <c r="T274" i="3"/>
  <c r="S274" i="3"/>
  <c r="R274" i="3"/>
  <c r="AC274" i="3"/>
  <c r="AI274" i="3" s="1"/>
  <c r="Q274" i="3"/>
  <c r="AB274" i="3"/>
  <c r="P274" i="3"/>
  <c r="U17" i="3"/>
  <c r="AG156" i="3"/>
  <c r="AG60" i="3"/>
  <c r="Y60" i="3"/>
  <c r="AC60" i="3"/>
  <c r="X60" i="3"/>
  <c r="N60" i="3"/>
  <c r="W60" i="3"/>
  <c r="AB60" i="3"/>
  <c r="V60" i="3"/>
  <c r="AL210" i="3"/>
  <c r="AJ121" i="3"/>
  <c r="AG166" i="3"/>
  <c r="AE189" i="3"/>
  <c r="AK21" i="3"/>
  <c r="R21" i="3"/>
  <c r="W18" i="3"/>
  <c r="K18" i="3"/>
  <c r="V18" i="3"/>
  <c r="U18" i="3"/>
  <c r="P18" i="3"/>
  <c r="O18" i="3"/>
  <c r="AC18" i="3"/>
  <c r="AF18" i="3" s="1"/>
  <c r="N18" i="3"/>
  <c r="AA18" i="3"/>
  <c r="L18" i="3"/>
  <c r="R18" i="3"/>
  <c r="AB18" i="3"/>
  <c r="Z18" i="3"/>
  <c r="S18" i="3"/>
  <c r="Y18" i="3"/>
  <c r="X18" i="3"/>
  <c r="T18" i="3"/>
  <c r="Q18" i="3"/>
  <c r="M18" i="3"/>
  <c r="T21" i="3"/>
  <c r="V31" i="3"/>
  <c r="U31" i="3"/>
  <c r="T31" i="3"/>
  <c r="O31" i="3"/>
  <c r="AC31" i="3"/>
  <c r="AH31" i="3" s="1"/>
  <c r="N31" i="3"/>
  <c r="AB31" i="3"/>
  <c r="M31" i="3"/>
  <c r="Z31" i="3"/>
  <c r="K31" i="3"/>
  <c r="Q31" i="3"/>
  <c r="AA31" i="3"/>
  <c r="Y31" i="3"/>
  <c r="S31" i="3"/>
  <c r="R31" i="3"/>
  <c r="X31" i="3"/>
  <c r="W31" i="3"/>
  <c r="L31" i="3"/>
  <c r="P31" i="3"/>
  <c r="AL79" i="3"/>
  <c r="AI92" i="3"/>
  <c r="AI228" i="3"/>
  <c r="AL282" i="3"/>
  <c r="AK94" i="3"/>
  <c r="AH55" i="3"/>
  <c r="AH123" i="3"/>
  <c r="AH150" i="3"/>
  <c r="AH247" i="3"/>
  <c r="AK59" i="3"/>
  <c r="AG130" i="3"/>
  <c r="AK23" i="3"/>
  <c r="Z60" i="3"/>
  <c r="S93" i="3"/>
  <c r="AB93" i="3"/>
  <c r="P93" i="3"/>
  <c r="AC93" i="3"/>
  <c r="AE93" i="3" s="1"/>
  <c r="N93" i="3"/>
  <c r="AA93" i="3"/>
  <c r="M93" i="3"/>
  <c r="Z93" i="3"/>
  <c r="L93" i="3"/>
  <c r="O93" i="3"/>
  <c r="K93" i="3"/>
  <c r="U93" i="3"/>
  <c r="T93" i="3"/>
  <c r="R93" i="3"/>
  <c r="Q93" i="3"/>
  <c r="Y93" i="3"/>
  <c r="X93" i="3"/>
  <c r="W93" i="3"/>
  <c r="V93" i="3"/>
  <c r="AA60" i="3"/>
  <c r="AL89" i="3"/>
  <c r="AF22" i="3"/>
  <c r="AI119" i="3"/>
  <c r="AK4" i="3"/>
  <c r="AL94" i="3"/>
  <c r="AI60" i="3"/>
  <c r="P60" i="3"/>
  <c r="AI290" i="3"/>
  <c r="S71" i="3"/>
  <c r="AH220" i="3"/>
  <c r="AH216" i="3"/>
  <c r="AH191" i="3"/>
  <c r="AG99" i="3"/>
  <c r="AG160" i="3"/>
  <c r="AG181" i="3"/>
  <c r="AG257" i="3"/>
  <c r="AG281" i="3"/>
  <c r="AI41" i="3"/>
  <c r="AD63" i="3"/>
  <c r="R63" i="3"/>
  <c r="AC63" i="3"/>
  <c r="Q63" i="3"/>
  <c r="AB63" i="3"/>
  <c r="P63" i="3"/>
  <c r="O63" i="3"/>
  <c r="N63" i="3"/>
  <c r="M63" i="3"/>
  <c r="K63" i="3"/>
  <c r="AA63" i="3"/>
  <c r="Z63" i="3"/>
  <c r="Y63" i="3"/>
  <c r="X63" i="3"/>
  <c r="W63" i="3"/>
  <c r="V63" i="3"/>
  <c r="U63" i="3"/>
  <c r="T63" i="3"/>
  <c r="S63" i="3"/>
  <c r="L63" i="3"/>
  <c r="U72" i="3"/>
  <c r="T72" i="3"/>
  <c r="S72" i="3"/>
  <c r="V72" i="3"/>
  <c r="R72" i="3"/>
  <c r="Q72" i="3"/>
  <c r="P72" i="3"/>
  <c r="Z72" i="3"/>
  <c r="Y72" i="3"/>
  <c r="X72" i="3"/>
  <c r="W72" i="3"/>
  <c r="O72" i="3"/>
  <c r="N72" i="3"/>
  <c r="M72" i="3"/>
  <c r="K72" i="3"/>
  <c r="AC72" i="3"/>
  <c r="AD72" i="3" s="1"/>
  <c r="AB72" i="3"/>
  <c r="L72" i="3"/>
  <c r="AA72" i="3"/>
  <c r="Z67" i="3"/>
  <c r="N67" i="3"/>
  <c r="Y67" i="3"/>
  <c r="M67" i="3"/>
  <c r="X67" i="3"/>
  <c r="L67" i="3"/>
  <c r="AC67" i="3"/>
  <c r="AE67" i="3" s="1"/>
  <c r="K67" i="3"/>
  <c r="AB67" i="3"/>
  <c r="AA67" i="3"/>
  <c r="P67" i="3"/>
  <c r="O67" i="3"/>
  <c r="W67" i="3"/>
  <c r="V67" i="3"/>
  <c r="Q67" i="3"/>
  <c r="U67" i="3"/>
  <c r="T67" i="3"/>
  <c r="S67" i="3"/>
  <c r="R67" i="3"/>
  <c r="Y155" i="3"/>
  <c r="M155" i="3"/>
  <c r="W155" i="3"/>
  <c r="K155" i="3"/>
  <c r="Q155" i="3"/>
  <c r="P155" i="3"/>
  <c r="AC155" i="3"/>
  <c r="AE155" i="3" s="1"/>
  <c r="O155" i="3"/>
  <c r="AA155" i="3"/>
  <c r="L155" i="3"/>
  <c r="Z155" i="3"/>
  <c r="X155" i="3"/>
  <c r="V155" i="3"/>
  <c r="AB155" i="3"/>
  <c r="U155" i="3"/>
  <c r="T155" i="3"/>
  <c r="S155" i="3"/>
  <c r="R155" i="3"/>
  <c r="N155" i="3"/>
  <c r="W216" i="3"/>
  <c r="K216" i="3"/>
  <c r="V216" i="3"/>
  <c r="U216" i="3"/>
  <c r="T216" i="3"/>
  <c r="S216" i="3"/>
  <c r="R216" i="3"/>
  <c r="Q216" i="3"/>
  <c r="O216" i="3"/>
  <c r="P216" i="3"/>
  <c r="N216" i="3"/>
  <c r="M216" i="3"/>
  <c r="AC216" i="3"/>
  <c r="AK216" i="3" s="1"/>
  <c r="AA216" i="3"/>
  <c r="L216" i="3"/>
  <c r="AB216" i="3"/>
  <c r="Z216" i="3"/>
  <c r="Y216" i="3"/>
  <c r="X216" i="3"/>
  <c r="AA250" i="3"/>
  <c r="O250" i="3"/>
  <c r="Z250" i="3"/>
  <c r="N250" i="3"/>
  <c r="Y250" i="3"/>
  <c r="M250" i="3"/>
  <c r="X250" i="3"/>
  <c r="L250" i="3"/>
  <c r="S250" i="3"/>
  <c r="R250" i="3"/>
  <c r="Q250" i="3"/>
  <c r="P250" i="3"/>
  <c r="K250" i="3"/>
  <c r="W250" i="3"/>
  <c r="V250" i="3"/>
  <c r="U250" i="3"/>
  <c r="AC250" i="3"/>
  <c r="AH250" i="3" s="1"/>
  <c r="AB250" i="3"/>
  <c r="T250" i="3"/>
  <c r="AI144" i="3"/>
  <c r="AI123" i="3"/>
  <c r="AL110" i="3"/>
  <c r="AL189" i="3"/>
  <c r="AL254" i="3"/>
  <c r="AK63" i="3"/>
  <c r="O149" i="3"/>
  <c r="AI251" i="3"/>
  <c r="AI91" i="3"/>
  <c r="AI124" i="3"/>
  <c r="AI265" i="3"/>
  <c r="AL57" i="3"/>
  <c r="S147" i="3"/>
  <c r="AL240" i="3"/>
  <c r="AL288" i="3"/>
  <c r="AI29" i="3"/>
  <c r="AI16" i="3"/>
  <c r="AH144" i="3"/>
  <c r="AH211" i="3"/>
  <c r="AH277" i="3"/>
  <c r="AK90" i="3"/>
  <c r="R100" i="3"/>
  <c r="AK166" i="3"/>
  <c r="AK250" i="3"/>
  <c r="AL60" i="3"/>
  <c r="N76" i="3"/>
  <c r="AH102" i="3"/>
  <c r="AI89" i="3"/>
  <c r="AI194" i="3"/>
  <c r="AI297" i="3"/>
  <c r="AL178" i="3"/>
  <c r="AK211" i="3"/>
  <c r="AK208" i="3"/>
  <c r="AK274" i="3"/>
  <c r="AG89" i="3"/>
  <c r="AG161" i="3"/>
  <c r="AG224" i="3"/>
  <c r="AJ54" i="3"/>
  <c r="AF133" i="3"/>
  <c r="AD133" i="3"/>
  <c r="R51" i="3"/>
  <c r="AC51" i="3"/>
  <c r="AK51" i="3" s="1"/>
  <c r="Q51" i="3"/>
  <c r="AB51" i="3"/>
  <c r="P51" i="3"/>
  <c r="AA51" i="3"/>
  <c r="L51" i="3"/>
  <c r="Z51" i="3"/>
  <c r="K51" i="3"/>
  <c r="Y51" i="3"/>
  <c r="X51" i="3"/>
  <c r="W51" i="3"/>
  <c r="V51" i="3"/>
  <c r="U51" i="3"/>
  <c r="T51" i="3"/>
  <c r="O51" i="3"/>
  <c r="N51" i="3"/>
  <c r="M51" i="3"/>
  <c r="S51" i="3"/>
  <c r="AC40" i="3"/>
  <c r="AL40" i="3" s="1"/>
  <c r="Q40" i="3"/>
  <c r="AB40" i="3"/>
  <c r="P40" i="3"/>
  <c r="AA40" i="3"/>
  <c r="O40" i="3"/>
  <c r="T40" i="3"/>
  <c r="S40" i="3"/>
  <c r="R40" i="3"/>
  <c r="AD40" i="3"/>
  <c r="Z40" i="3"/>
  <c r="X40" i="3"/>
  <c r="W40" i="3"/>
  <c r="V40" i="3"/>
  <c r="U40" i="3"/>
  <c r="N40" i="3"/>
  <c r="M40" i="3"/>
  <c r="L40" i="3"/>
  <c r="K40" i="3"/>
  <c r="Y40" i="3"/>
  <c r="AC107" i="3"/>
  <c r="AG107" i="3" s="1"/>
  <c r="Q107" i="3"/>
  <c r="Z107" i="3"/>
  <c r="N107" i="3"/>
  <c r="T107" i="3"/>
  <c r="S107" i="3"/>
  <c r="M107" i="3"/>
  <c r="L107" i="3"/>
  <c r="AB107" i="3"/>
  <c r="K107" i="3"/>
  <c r="AA107" i="3"/>
  <c r="U107" i="3"/>
  <c r="R107" i="3"/>
  <c r="P107" i="3"/>
  <c r="O107" i="3"/>
  <c r="Y107" i="3"/>
  <c r="X107" i="3"/>
  <c r="W107" i="3"/>
  <c r="V107" i="3"/>
  <c r="Z154" i="3"/>
  <c r="N154" i="3"/>
  <c r="X154" i="3"/>
  <c r="L154" i="3"/>
  <c r="Y154" i="3"/>
  <c r="W154" i="3"/>
  <c r="V154" i="3"/>
  <c r="T154" i="3"/>
  <c r="S154" i="3"/>
  <c r="R154" i="3"/>
  <c r="Q154" i="3"/>
  <c r="U154" i="3"/>
  <c r="P154" i="3"/>
  <c r="O154" i="3"/>
  <c r="M154" i="3"/>
  <c r="AC154" i="3"/>
  <c r="AI154" i="3" s="1"/>
  <c r="AB154" i="3"/>
  <c r="AA154" i="3"/>
  <c r="K154" i="3"/>
  <c r="V267" i="3"/>
  <c r="U267" i="3"/>
  <c r="T267" i="3"/>
  <c r="S267" i="3"/>
  <c r="R267" i="3"/>
  <c r="Q267" i="3"/>
  <c r="P267" i="3"/>
  <c r="O267" i="3"/>
  <c r="AC267" i="3"/>
  <c r="AE267" i="3" s="1"/>
  <c r="AB267" i="3"/>
  <c r="Z267" i="3"/>
  <c r="AA267" i="3"/>
  <c r="Y267" i="3"/>
  <c r="X267" i="3"/>
  <c r="N267" i="3"/>
  <c r="W267" i="3"/>
  <c r="M267" i="3"/>
  <c r="L267" i="3"/>
  <c r="K267" i="3"/>
  <c r="AB273" i="3"/>
  <c r="P273" i="3"/>
  <c r="AA273" i="3"/>
  <c r="O273" i="3"/>
  <c r="Z273" i="3"/>
  <c r="N273" i="3"/>
  <c r="Y273" i="3"/>
  <c r="M273" i="3"/>
  <c r="X273" i="3"/>
  <c r="L273" i="3"/>
  <c r="W273" i="3"/>
  <c r="K273" i="3"/>
  <c r="V273" i="3"/>
  <c r="U273" i="3"/>
  <c r="T273" i="3"/>
  <c r="S273" i="3"/>
  <c r="AD273" i="3"/>
  <c r="R273" i="3"/>
  <c r="AC273" i="3"/>
  <c r="Q273" i="3"/>
  <c r="R23" i="3"/>
  <c r="AA71" i="3"/>
  <c r="V100" i="3"/>
  <c r="P100" i="3"/>
  <c r="AI147" i="3"/>
  <c r="AI255" i="3"/>
  <c r="AL208" i="3"/>
  <c r="AL287" i="3"/>
  <c r="AH159" i="3"/>
  <c r="AK180" i="3"/>
  <c r="AI148" i="3"/>
  <c r="AI90" i="3"/>
  <c r="AI216" i="3"/>
  <c r="AG55" i="3"/>
  <c r="AH23" i="3"/>
  <c r="AH110" i="3"/>
  <c r="AH283" i="3"/>
  <c r="AK159" i="3"/>
  <c r="AK257" i="3"/>
  <c r="AK231" i="3"/>
  <c r="AL224" i="3"/>
  <c r="AG11" i="3"/>
  <c r="AG43" i="3"/>
  <c r="AG283" i="3"/>
  <c r="AH104" i="3"/>
  <c r="AF38" i="3"/>
  <c r="AF29" i="3"/>
  <c r="AF134" i="3"/>
  <c r="AF197" i="3"/>
  <c r="AF211" i="3"/>
  <c r="AF285" i="3"/>
  <c r="AE73" i="3"/>
  <c r="AE268" i="3"/>
  <c r="AE13" i="3"/>
  <c r="AE40" i="3"/>
  <c r="AC149" i="3"/>
  <c r="AD149" i="3" s="1"/>
  <c r="Y149" i="3"/>
  <c r="X149" i="3"/>
  <c r="W149" i="3"/>
  <c r="T149" i="3"/>
  <c r="U149" i="3"/>
  <c r="V149" i="3"/>
  <c r="L149" i="3"/>
  <c r="AE217" i="3"/>
  <c r="AE249" i="3"/>
  <c r="AE295" i="3"/>
  <c r="AJ198" i="3"/>
  <c r="AJ51" i="3"/>
  <c r="AJ77" i="3"/>
  <c r="AJ45" i="3"/>
  <c r="AJ144" i="3"/>
  <c r="AJ133" i="3"/>
  <c r="AJ190" i="3"/>
  <c r="AJ148" i="3"/>
  <c r="AJ189" i="3"/>
  <c r="AJ209" i="3"/>
  <c r="AJ216" i="3"/>
  <c r="AJ260" i="3"/>
  <c r="AJ255" i="3"/>
  <c r="Y17" i="3"/>
  <c r="AB100" i="3"/>
  <c r="U21" i="3"/>
  <c r="U60" i="3"/>
  <c r="AE116" i="3"/>
  <c r="AE157" i="3"/>
  <c r="AE221" i="3"/>
  <c r="AE247" i="3"/>
  <c r="AE290" i="3"/>
  <c r="AE296" i="3"/>
  <c r="AJ106" i="3"/>
  <c r="AJ127" i="3"/>
  <c r="AJ235" i="3"/>
  <c r="W9" i="3"/>
  <c r="AJ270" i="3"/>
  <c r="Q100" i="3"/>
  <c r="AJ103" i="3"/>
  <c r="AJ89" i="3"/>
  <c r="AJ247" i="3"/>
  <c r="AJ156" i="3"/>
  <c r="AJ225" i="3"/>
  <c r="AJ295" i="3"/>
  <c r="AJ276" i="3"/>
  <c r="Y196" i="3"/>
  <c r="Y189" i="3"/>
  <c r="M189" i="3"/>
  <c r="W189" i="3"/>
  <c r="K189" i="3"/>
  <c r="V189" i="3"/>
  <c r="U189" i="3"/>
  <c r="T189" i="3"/>
  <c r="R189" i="3"/>
  <c r="S189" i="3"/>
  <c r="Q189" i="3"/>
  <c r="P189" i="3"/>
  <c r="N189" i="3"/>
  <c r="O189" i="3"/>
  <c r="L189" i="3"/>
  <c r="AB189" i="3"/>
  <c r="AA189" i="3"/>
  <c r="Z189" i="3"/>
  <c r="X189" i="3"/>
  <c r="AD189" i="3"/>
  <c r="AC189" i="3"/>
  <c r="AG189" i="3" s="1"/>
  <c r="AH64" i="3"/>
  <c r="AE74" i="3"/>
  <c r="AD74" i="3"/>
  <c r="AB23" i="3"/>
  <c r="AI32" i="3"/>
  <c r="AI211" i="3"/>
  <c r="AL193" i="3"/>
  <c r="AH98" i="3"/>
  <c r="AH172" i="3"/>
  <c r="AH287" i="3"/>
  <c r="AK247" i="3"/>
  <c r="AK272" i="3"/>
  <c r="AG287" i="3"/>
  <c r="Y56" i="3"/>
  <c r="M56" i="3"/>
  <c r="X56" i="3"/>
  <c r="L56" i="3"/>
  <c r="W56" i="3"/>
  <c r="K56" i="3"/>
  <c r="S56" i="3"/>
  <c r="R56" i="3"/>
  <c r="Q56" i="3"/>
  <c r="O56" i="3"/>
  <c r="N56" i="3"/>
  <c r="AC56" i="3"/>
  <c r="AG56" i="3" s="1"/>
  <c r="AB56" i="3"/>
  <c r="AA56" i="3"/>
  <c r="Z56" i="3"/>
  <c r="V56" i="3"/>
  <c r="U56" i="3"/>
  <c r="T56" i="3"/>
  <c r="P56" i="3"/>
  <c r="S171" i="3"/>
  <c r="W171" i="3"/>
  <c r="V171" i="3"/>
  <c r="U171" i="3"/>
  <c r="R171" i="3"/>
  <c r="N171" i="3"/>
  <c r="M171" i="3"/>
  <c r="AC171" i="3"/>
  <c r="AD171" i="3" s="1"/>
  <c r="L171" i="3"/>
  <c r="AA171" i="3"/>
  <c r="K171" i="3"/>
  <c r="T171" i="3"/>
  <c r="Q171" i="3"/>
  <c r="P171" i="3"/>
  <c r="O171" i="3"/>
  <c r="AB171" i="3"/>
  <c r="Z171" i="3"/>
  <c r="Y171" i="3"/>
  <c r="X171" i="3"/>
  <c r="AA200" i="3"/>
  <c r="O200" i="3"/>
  <c r="S200" i="3"/>
  <c r="R200" i="3"/>
  <c r="Q200" i="3"/>
  <c r="AB200" i="3"/>
  <c r="N200" i="3"/>
  <c r="P200" i="3"/>
  <c r="M200" i="3"/>
  <c r="L200" i="3"/>
  <c r="AC200" i="3"/>
  <c r="AF200" i="3" s="1"/>
  <c r="Z200" i="3"/>
  <c r="Y200" i="3"/>
  <c r="W200" i="3"/>
  <c r="X200" i="3"/>
  <c r="V200" i="3"/>
  <c r="U200" i="3"/>
  <c r="T200" i="3"/>
  <c r="K200" i="3"/>
  <c r="AB211" i="3"/>
  <c r="P211" i="3"/>
  <c r="AA211" i="3"/>
  <c r="O211" i="3"/>
  <c r="Z211" i="3"/>
  <c r="N211" i="3"/>
  <c r="Y211" i="3"/>
  <c r="M211" i="3"/>
  <c r="X211" i="3"/>
  <c r="W211" i="3"/>
  <c r="V211" i="3"/>
  <c r="T211" i="3"/>
  <c r="L211" i="3"/>
  <c r="K211" i="3"/>
  <c r="U211" i="3"/>
  <c r="S211" i="3"/>
  <c r="R211" i="3"/>
  <c r="Q211" i="3"/>
  <c r="AD211" i="3"/>
  <c r="AC211" i="3"/>
  <c r="X29" i="3"/>
  <c r="L29" i="3"/>
  <c r="W29" i="3"/>
  <c r="K29" i="3"/>
  <c r="V29" i="3"/>
  <c r="Z29" i="3"/>
  <c r="Y29" i="3"/>
  <c r="U29" i="3"/>
  <c r="S29" i="3"/>
  <c r="N29" i="3"/>
  <c r="T29" i="3"/>
  <c r="M29" i="3"/>
  <c r="Q29" i="3"/>
  <c r="AC29" i="3"/>
  <c r="AJ29" i="3" s="1"/>
  <c r="R29" i="3"/>
  <c r="AB29" i="3"/>
  <c r="AA29" i="3"/>
  <c r="P29" i="3"/>
  <c r="O29" i="3"/>
  <c r="AG91" i="3"/>
  <c r="AL83" i="3"/>
  <c r="AL239" i="3"/>
  <c r="AL36" i="3"/>
  <c r="AH157" i="3"/>
  <c r="AH105" i="3"/>
  <c r="O105" i="3"/>
  <c r="AI236" i="3"/>
  <c r="AI189" i="3"/>
  <c r="AI225" i="3"/>
  <c r="AL225" i="3"/>
  <c r="AL119" i="3"/>
  <c r="AL235" i="3"/>
  <c r="AL262" i="3"/>
  <c r="AH146" i="3"/>
  <c r="AH236" i="3"/>
  <c r="AH62" i="3"/>
  <c r="AH189" i="3"/>
  <c r="AH224" i="3"/>
  <c r="AH296" i="3"/>
  <c r="AK155" i="3"/>
  <c r="AK224" i="3"/>
  <c r="AK287" i="3"/>
  <c r="AG92" i="3"/>
  <c r="AG167" i="3"/>
  <c r="AG217" i="3"/>
  <c r="AG207" i="3"/>
  <c r="AG246" i="3"/>
  <c r="AG277" i="3"/>
  <c r="T92" i="3"/>
  <c r="AC92" i="3"/>
  <c r="AF92" i="3" s="1"/>
  <c r="Q92" i="3"/>
  <c r="W92" i="3"/>
  <c r="V92" i="3"/>
  <c r="U92" i="3"/>
  <c r="M92" i="3"/>
  <c r="AD92" i="3"/>
  <c r="L92" i="3"/>
  <c r="AB92" i="3"/>
  <c r="K92" i="3"/>
  <c r="AA92" i="3"/>
  <c r="Z92" i="3"/>
  <c r="Y92" i="3"/>
  <c r="X92" i="3"/>
  <c r="S92" i="3"/>
  <c r="R92" i="3"/>
  <c r="P92" i="3"/>
  <c r="O92" i="3"/>
  <c r="N92" i="3"/>
  <c r="AF78" i="3"/>
  <c r="AF259" i="3"/>
  <c r="AF291" i="3"/>
  <c r="AJ78" i="3"/>
  <c r="AE115" i="3"/>
  <c r="AE99" i="3"/>
  <c r="AE184" i="3"/>
  <c r="AE208" i="3"/>
  <c r="AJ57" i="3"/>
  <c r="Y32" i="3"/>
  <c r="AG83" i="3"/>
  <c r="R35" i="3"/>
  <c r="AC35" i="3"/>
  <c r="AJ35" i="3" s="1"/>
  <c r="Q35" i="3"/>
  <c r="AB35" i="3"/>
  <c r="P35" i="3"/>
  <c r="Z35" i="3"/>
  <c r="K35" i="3"/>
  <c r="Y35" i="3"/>
  <c r="X35" i="3"/>
  <c r="V35" i="3"/>
  <c r="U35" i="3"/>
  <c r="T35" i="3"/>
  <c r="M35" i="3"/>
  <c r="O35" i="3"/>
  <c r="AA35" i="3"/>
  <c r="W35" i="3"/>
  <c r="S35" i="3"/>
  <c r="N35" i="3"/>
  <c r="L35" i="3"/>
  <c r="AF32" i="3"/>
  <c r="AA32" i="3"/>
  <c r="W32" i="3"/>
  <c r="M32" i="3"/>
  <c r="X32" i="3"/>
  <c r="V32" i="3"/>
  <c r="AB32" i="3"/>
  <c r="AC32" i="3"/>
  <c r="U32" i="3"/>
  <c r="AF205" i="3"/>
  <c r="AF173" i="3"/>
  <c r="AF172" i="3"/>
  <c r="AF77" i="3"/>
  <c r="AF145" i="3"/>
  <c r="AF202" i="3"/>
  <c r="AF184" i="3"/>
  <c r="AF251" i="3"/>
  <c r="AF242" i="3"/>
  <c r="AF271" i="3"/>
  <c r="AF298" i="3"/>
  <c r="AF297" i="3"/>
  <c r="N105" i="3"/>
  <c r="AE84" i="3"/>
  <c r="AE2" i="3"/>
  <c r="V2" i="3"/>
  <c r="U2" i="3"/>
  <c r="AB2" i="3"/>
  <c r="W2" i="3"/>
  <c r="AA2" i="3"/>
  <c r="T2" i="3"/>
  <c r="Y2" i="3"/>
  <c r="AE117" i="3"/>
  <c r="AE191" i="3"/>
  <c r="AE146" i="3"/>
  <c r="AE239" i="3"/>
  <c r="AE244" i="3"/>
  <c r="AE261" i="3"/>
  <c r="AJ213" i="3"/>
  <c r="AJ66" i="3"/>
  <c r="AJ36" i="3"/>
  <c r="AJ184" i="3"/>
  <c r="AJ191" i="3"/>
  <c r="AJ142" i="3"/>
  <c r="AJ226" i="3"/>
  <c r="AJ195" i="3"/>
  <c r="AJ283" i="3"/>
  <c r="AA23" i="3"/>
  <c r="AK196" i="3"/>
  <c r="R196" i="3"/>
  <c r="Q76" i="3"/>
  <c r="AC100" i="3"/>
  <c r="AK100" i="3" s="1"/>
  <c r="AB21" i="3"/>
  <c r="Y76" i="3"/>
  <c r="AB12" i="3"/>
  <c r="Y80" i="3"/>
  <c r="M80" i="3"/>
  <c r="X80" i="3"/>
  <c r="L80" i="3"/>
  <c r="W80" i="3"/>
  <c r="K80" i="3"/>
  <c r="AC80" i="3"/>
  <c r="AF80" i="3" s="1"/>
  <c r="N80" i="3"/>
  <c r="AB80" i="3"/>
  <c r="AA80" i="3"/>
  <c r="Z80" i="3"/>
  <c r="R80" i="3"/>
  <c r="Q80" i="3"/>
  <c r="P80" i="3"/>
  <c r="O80" i="3"/>
  <c r="V80" i="3"/>
  <c r="U80" i="3"/>
  <c r="T80" i="3"/>
  <c r="S80" i="3"/>
  <c r="AF188" i="3"/>
  <c r="AF89" i="3"/>
  <c r="AF155" i="3"/>
  <c r="AG66" i="3"/>
  <c r="AA97" i="3"/>
  <c r="O97" i="3"/>
  <c r="X97" i="3"/>
  <c r="L97" i="3"/>
  <c r="AC97" i="3"/>
  <c r="Y97" i="3"/>
  <c r="W97" i="3"/>
  <c r="V97" i="3"/>
  <c r="S97" i="3"/>
  <c r="R97" i="3"/>
  <c r="Q97" i="3"/>
  <c r="P97" i="3"/>
  <c r="N97" i="3"/>
  <c r="M97" i="3"/>
  <c r="K97" i="3"/>
  <c r="AB97" i="3"/>
  <c r="Z97" i="3"/>
  <c r="U97" i="3"/>
  <c r="T97" i="3"/>
  <c r="AD97" i="3"/>
  <c r="AE29" i="3"/>
  <c r="AE124" i="3"/>
  <c r="AE5" i="3"/>
  <c r="X5" i="3"/>
  <c r="W5" i="3"/>
  <c r="V5" i="3"/>
  <c r="AA5" i="3"/>
  <c r="Y5" i="3"/>
  <c r="L5" i="3"/>
  <c r="AB5" i="3"/>
  <c r="AC5" i="3"/>
  <c r="Z5" i="3"/>
  <c r="AE12" i="3"/>
  <c r="V12" i="3"/>
  <c r="W12" i="3"/>
  <c r="U12" i="3"/>
  <c r="T12" i="3"/>
  <c r="L12" i="3"/>
  <c r="Z12" i="3"/>
  <c r="X12" i="3"/>
  <c r="AC12" i="3"/>
  <c r="AD12" i="3" s="1"/>
  <c r="Y12" i="3"/>
  <c r="AE64" i="3"/>
  <c r="T64" i="3"/>
  <c r="AA64" i="3"/>
  <c r="U64" i="3"/>
  <c r="V64" i="3"/>
  <c r="Z64" i="3"/>
  <c r="W64" i="3"/>
  <c r="Y64" i="3"/>
  <c r="X64" i="3"/>
  <c r="AE42" i="3"/>
  <c r="Z32" i="3"/>
  <c r="Z76" i="3"/>
  <c r="Y28" i="3"/>
  <c r="M28" i="3"/>
  <c r="X28" i="3"/>
  <c r="L28" i="3"/>
  <c r="W28" i="3"/>
  <c r="K28" i="3"/>
  <c r="O28" i="3"/>
  <c r="AC28" i="3"/>
  <c r="N28" i="3"/>
  <c r="AB28" i="3"/>
  <c r="Z28" i="3"/>
  <c r="V28" i="3"/>
  <c r="U28" i="3"/>
  <c r="T28" i="3"/>
  <c r="S28" i="3"/>
  <c r="R28" i="3"/>
  <c r="Q28" i="3"/>
  <c r="P28" i="3"/>
  <c r="AA28" i="3"/>
  <c r="AA76" i="3"/>
  <c r="AL181" i="3"/>
  <c r="AG45" i="3"/>
  <c r="AE255" i="3"/>
  <c r="AE127" i="3"/>
  <c r="AE11" i="3"/>
  <c r="L76" i="3"/>
  <c r="T76" i="3"/>
  <c r="X76" i="3"/>
  <c r="V76" i="3"/>
  <c r="AC76" i="3"/>
  <c r="AI76" i="3" s="1"/>
  <c r="U76" i="3"/>
  <c r="AE54" i="3"/>
  <c r="AE258" i="3"/>
  <c r="AE211" i="3"/>
  <c r="AE259" i="3"/>
  <c r="AE238" i="3"/>
  <c r="AE279" i="3"/>
  <c r="AE273" i="3"/>
  <c r="AC21" i="3"/>
  <c r="AL21" i="3" s="1"/>
  <c r="AA21" i="3"/>
  <c r="AJ47" i="3"/>
  <c r="AJ60" i="3"/>
  <c r="Q60" i="3"/>
  <c r="AJ92" i="3"/>
  <c r="AJ258" i="3"/>
  <c r="AJ241" i="3"/>
  <c r="AJ244" i="3"/>
  <c r="AJ284" i="3"/>
  <c r="Z196" i="3"/>
  <c r="Z149" i="3"/>
  <c r="N133" i="3"/>
  <c r="AB64" i="3"/>
  <c r="AJ261" i="3"/>
  <c r="AL23" i="3"/>
  <c r="AK13" i="3"/>
  <c r="AI50" i="3"/>
  <c r="AI230" i="3"/>
  <c r="AH10" i="3"/>
  <c r="AK225" i="3"/>
  <c r="AK125" i="3"/>
  <c r="AK228" i="3"/>
  <c r="AG23" i="3"/>
  <c r="AG198" i="3"/>
  <c r="AF13" i="3"/>
  <c r="AF193" i="3"/>
  <c r="AF130" i="3"/>
  <c r="AF144" i="3"/>
  <c r="AF191" i="3"/>
  <c r="AF236" i="3"/>
  <c r="AF287" i="3"/>
  <c r="AC52" i="3"/>
  <c r="AJ52" i="3" s="1"/>
  <c r="Q52" i="3"/>
  <c r="AB52" i="3"/>
  <c r="P52" i="3"/>
  <c r="AA52" i="3"/>
  <c r="O52" i="3"/>
  <c r="W52" i="3"/>
  <c r="V52" i="3"/>
  <c r="U52" i="3"/>
  <c r="M52" i="3"/>
  <c r="L52" i="3"/>
  <c r="K52" i="3"/>
  <c r="AD52" i="3"/>
  <c r="Z52" i="3"/>
  <c r="Y52" i="3"/>
  <c r="X52" i="3"/>
  <c r="T52" i="3"/>
  <c r="S52" i="3"/>
  <c r="R52" i="3"/>
  <c r="N52" i="3"/>
  <c r="U268" i="3"/>
  <c r="T268" i="3"/>
  <c r="S268" i="3"/>
  <c r="AD268" i="3"/>
  <c r="R268" i="3"/>
  <c r="Q268" i="3"/>
  <c r="P268" i="3"/>
  <c r="O268" i="3"/>
  <c r="N268" i="3"/>
  <c r="Y268" i="3"/>
  <c r="X268" i="3"/>
  <c r="W268" i="3"/>
  <c r="M268" i="3"/>
  <c r="AC268" i="3"/>
  <c r="AJ268" i="3" s="1"/>
  <c r="AB268" i="3"/>
  <c r="AA268" i="3"/>
  <c r="V268" i="3"/>
  <c r="Z268" i="3"/>
  <c r="L268" i="3"/>
  <c r="K268" i="3"/>
  <c r="Y99" i="3"/>
  <c r="M99" i="3"/>
  <c r="V99" i="3"/>
  <c r="AA99" i="3"/>
  <c r="L99" i="3"/>
  <c r="O99" i="3"/>
  <c r="AC99" i="3"/>
  <c r="AJ99" i="3" s="1"/>
  <c r="N99" i="3"/>
  <c r="AB99" i="3"/>
  <c r="K99" i="3"/>
  <c r="Z99" i="3"/>
  <c r="X99" i="3"/>
  <c r="W99" i="3"/>
  <c r="U99" i="3"/>
  <c r="T99" i="3"/>
  <c r="S99" i="3"/>
  <c r="R99" i="3"/>
  <c r="Q99" i="3"/>
  <c r="P99" i="3"/>
  <c r="T136" i="3"/>
  <c r="R136" i="3"/>
  <c r="AB136" i="3"/>
  <c r="N136" i="3"/>
  <c r="AA136" i="3"/>
  <c r="M136" i="3"/>
  <c r="Z136" i="3"/>
  <c r="L136" i="3"/>
  <c r="X136" i="3"/>
  <c r="Q136" i="3"/>
  <c r="P136" i="3"/>
  <c r="O136" i="3"/>
  <c r="W136" i="3"/>
  <c r="V136" i="3"/>
  <c r="U136" i="3"/>
  <c r="S136" i="3"/>
  <c r="AC136" i="3"/>
  <c r="AJ136" i="3" s="1"/>
  <c r="Y136" i="3"/>
  <c r="K136" i="3"/>
  <c r="R150" i="3"/>
  <c r="AB150" i="3"/>
  <c r="P150" i="3"/>
  <c r="AC150" i="3"/>
  <c r="AI150" i="3" s="1"/>
  <c r="N150" i="3"/>
  <c r="AA150" i="3"/>
  <c r="M150" i="3"/>
  <c r="Z150" i="3"/>
  <c r="L150" i="3"/>
  <c r="X150" i="3"/>
  <c r="S150" i="3"/>
  <c r="Q150" i="3"/>
  <c r="O150" i="3"/>
  <c r="W150" i="3"/>
  <c r="V150" i="3"/>
  <c r="U150" i="3"/>
  <c r="T150" i="3"/>
  <c r="Y150" i="3"/>
  <c r="K150" i="3"/>
  <c r="AB53" i="3"/>
  <c r="P53" i="3"/>
  <c r="AA53" i="3"/>
  <c r="O53" i="3"/>
  <c r="Z53" i="3"/>
  <c r="N53" i="3"/>
  <c r="S53" i="3"/>
  <c r="R53" i="3"/>
  <c r="Q53" i="3"/>
  <c r="U53" i="3"/>
  <c r="T53" i="3"/>
  <c r="M53" i="3"/>
  <c r="L53" i="3"/>
  <c r="K53" i="3"/>
  <c r="AD53" i="3"/>
  <c r="AC53" i="3"/>
  <c r="Y53" i="3"/>
  <c r="V53" i="3"/>
  <c r="X53" i="3"/>
  <c r="W53" i="3"/>
  <c r="T104" i="3"/>
  <c r="AC104" i="3"/>
  <c r="AE104" i="3" s="1"/>
  <c r="Q104" i="3"/>
  <c r="AD104" i="3"/>
  <c r="O104" i="3"/>
  <c r="AB104" i="3"/>
  <c r="N104" i="3"/>
  <c r="V104" i="3"/>
  <c r="U104" i="3"/>
  <c r="S104" i="3"/>
  <c r="R104" i="3"/>
  <c r="Z104" i="3"/>
  <c r="Y104" i="3"/>
  <c r="X104" i="3"/>
  <c r="W104" i="3"/>
  <c r="P104" i="3"/>
  <c r="M104" i="3"/>
  <c r="L104" i="3"/>
  <c r="K104" i="3"/>
  <c r="AA104" i="3"/>
  <c r="AB128" i="3"/>
  <c r="P128" i="3"/>
  <c r="V128" i="3"/>
  <c r="U128" i="3"/>
  <c r="T128" i="3"/>
  <c r="R128" i="3"/>
  <c r="Q128" i="3"/>
  <c r="O128" i="3"/>
  <c r="N128" i="3"/>
  <c r="AC128" i="3"/>
  <c r="AL128" i="3" s="1"/>
  <c r="AA128" i="3"/>
  <c r="Z128" i="3"/>
  <c r="Y128" i="3"/>
  <c r="X128" i="3"/>
  <c r="W128" i="3"/>
  <c r="S128" i="3"/>
  <c r="M128" i="3"/>
  <c r="L128" i="3"/>
  <c r="K128" i="3"/>
  <c r="Y111" i="3"/>
  <c r="M111" i="3"/>
  <c r="V111" i="3"/>
  <c r="P111" i="3"/>
  <c r="AC111" i="3"/>
  <c r="AF111" i="3" s="1"/>
  <c r="O111" i="3"/>
  <c r="U111" i="3"/>
  <c r="T111" i="3"/>
  <c r="S111" i="3"/>
  <c r="R111" i="3"/>
  <c r="AA111" i="3"/>
  <c r="Z111" i="3"/>
  <c r="X111" i="3"/>
  <c r="W111" i="3"/>
  <c r="AB111" i="3"/>
  <c r="Q111" i="3"/>
  <c r="N111" i="3"/>
  <c r="L111" i="3"/>
  <c r="K111" i="3"/>
  <c r="AB162" i="3"/>
  <c r="P162" i="3"/>
  <c r="Z162" i="3"/>
  <c r="M162" i="3"/>
  <c r="X162" i="3"/>
  <c r="K162" i="3"/>
  <c r="V162" i="3"/>
  <c r="U162" i="3"/>
  <c r="T162" i="3"/>
  <c r="R162" i="3"/>
  <c r="AA162" i="3"/>
  <c r="Y162" i="3"/>
  <c r="W162" i="3"/>
  <c r="AC162" i="3"/>
  <c r="AE162" i="3" s="1"/>
  <c r="L162" i="3"/>
  <c r="S162" i="3"/>
  <c r="Q162" i="3"/>
  <c r="O162" i="3"/>
  <c r="N162" i="3"/>
  <c r="T207" i="3"/>
  <c r="S207" i="3"/>
  <c r="R207" i="3"/>
  <c r="AC207" i="3"/>
  <c r="AI207" i="3" s="1"/>
  <c r="Q207" i="3"/>
  <c r="AB207" i="3"/>
  <c r="L207" i="3"/>
  <c r="AA207" i="3"/>
  <c r="K207" i="3"/>
  <c r="Z207" i="3"/>
  <c r="X207" i="3"/>
  <c r="Y207" i="3"/>
  <c r="W207" i="3"/>
  <c r="V207" i="3"/>
  <c r="P207" i="3"/>
  <c r="U207" i="3"/>
  <c r="O207" i="3"/>
  <c r="N207" i="3"/>
  <c r="M207" i="3"/>
  <c r="W242" i="3"/>
  <c r="K242" i="3"/>
  <c r="V242" i="3"/>
  <c r="U242" i="3"/>
  <c r="T242" i="3"/>
  <c r="AA242" i="3"/>
  <c r="Z242" i="3"/>
  <c r="Y242" i="3"/>
  <c r="X242" i="3"/>
  <c r="O242" i="3"/>
  <c r="N242" i="3"/>
  <c r="M242" i="3"/>
  <c r="S242" i="3"/>
  <c r="R242" i="3"/>
  <c r="Q242" i="3"/>
  <c r="L242" i="3"/>
  <c r="P242" i="3"/>
  <c r="AD242" i="3"/>
  <c r="AC242" i="3"/>
  <c r="AL242" i="3" s="1"/>
  <c r="AB242" i="3"/>
  <c r="T158" i="3"/>
  <c r="Q158" i="3"/>
  <c r="AB158" i="3"/>
  <c r="O158" i="3"/>
  <c r="AC158" i="3"/>
  <c r="AI158" i="3" s="1"/>
  <c r="M158" i="3"/>
  <c r="AA158" i="3"/>
  <c r="L158" i="3"/>
  <c r="Z158" i="3"/>
  <c r="K158" i="3"/>
  <c r="X158" i="3"/>
  <c r="V158" i="3"/>
  <c r="U158" i="3"/>
  <c r="S158" i="3"/>
  <c r="R158" i="3"/>
  <c r="P158" i="3"/>
  <c r="N158" i="3"/>
  <c r="Y158" i="3"/>
  <c r="W158" i="3"/>
  <c r="X203" i="3"/>
  <c r="L203" i="3"/>
  <c r="Z203" i="3"/>
  <c r="M203" i="3"/>
  <c r="Y203" i="3"/>
  <c r="K203" i="3"/>
  <c r="W203" i="3"/>
  <c r="U203" i="3"/>
  <c r="V203" i="3"/>
  <c r="T203" i="3"/>
  <c r="S203" i="3"/>
  <c r="Q203" i="3"/>
  <c r="R203" i="3"/>
  <c r="P203" i="3"/>
  <c r="O203" i="3"/>
  <c r="N203" i="3"/>
  <c r="AC203" i="3"/>
  <c r="AH203" i="3" s="1"/>
  <c r="AB203" i="3"/>
  <c r="AA203" i="3"/>
  <c r="V219" i="3"/>
  <c r="T219" i="3"/>
  <c r="U219" i="3"/>
  <c r="S219" i="3"/>
  <c r="R219" i="3"/>
  <c r="Q219" i="3"/>
  <c r="L219" i="3"/>
  <c r="AC219" i="3"/>
  <c r="AE219" i="3" s="1"/>
  <c r="K219" i="3"/>
  <c r="AB219" i="3"/>
  <c r="Z219" i="3"/>
  <c r="AA219" i="3"/>
  <c r="Y219" i="3"/>
  <c r="X219" i="3"/>
  <c r="P219" i="3"/>
  <c r="W219" i="3"/>
  <c r="O219" i="3"/>
  <c r="N219" i="3"/>
  <c r="M219" i="3"/>
  <c r="R235" i="3"/>
  <c r="AC235" i="3"/>
  <c r="AI235" i="3" s="1"/>
  <c r="Q235" i="3"/>
  <c r="AB235" i="3"/>
  <c r="P235" i="3"/>
  <c r="AA235" i="3"/>
  <c r="O235" i="3"/>
  <c r="N235" i="3"/>
  <c r="M235" i="3"/>
  <c r="L235" i="3"/>
  <c r="K235" i="3"/>
  <c r="Z235" i="3"/>
  <c r="Y235" i="3"/>
  <c r="X235" i="3"/>
  <c r="V235" i="3"/>
  <c r="W235" i="3"/>
  <c r="U235" i="3"/>
  <c r="T235" i="3"/>
  <c r="S235" i="3"/>
  <c r="W230" i="3"/>
  <c r="K230" i="3"/>
  <c r="V230" i="3"/>
  <c r="U230" i="3"/>
  <c r="T230" i="3"/>
  <c r="S230" i="3"/>
  <c r="R230" i="3"/>
  <c r="Q230" i="3"/>
  <c r="P230" i="3"/>
  <c r="AA230" i="3"/>
  <c r="Z230" i="3"/>
  <c r="Y230" i="3"/>
  <c r="O230" i="3"/>
  <c r="X230" i="3"/>
  <c r="N230" i="3"/>
  <c r="M230" i="3"/>
  <c r="AC230" i="3"/>
  <c r="AJ230" i="3" s="1"/>
  <c r="L230" i="3"/>
  <c r="AB230" i="3"/>
  <c r="AC272" i="3"/>
  <c r="AL272" i="3" s="1"/>
  <c r="AB272" i="3"/>
  <c r="AA272" i="3"/>
  <c r="Z272" i="3"/>
  <c r="Y272" i="3"/>
  <c r="X272" i="3"/>
  <c r="W272" i="3"/>
  <c r="V272" i="3"/>
  <c r="U272" i="3"/>
  <c r="T272" i="3"/>
  <c r="S272" i="3"/>
  <c r="R272" i="3"/>
  <c r="Q272" i="3"/>
  <c r="P272" i="3"/>
  <c r="O272" i="3"/>
  <c r="N272" i="3"/>
  <c r="M272" i="3"/>
  <c r="L272" i="3"/>
  <c r="K272" i="3"/>
  <c r="Z263" i="3"/>
  <c r="N263" i="3"/>
  <c r="Y263" i="3"/>
  <c r="M263" i="3"/>
  <c r="X263" i="3"/>
  <c r="L263" i="3"/>
  <c r="W263" i="3"/>
  <c r="K263" i="3"/>
  <c r="V263" i="3"/>
  <c r="U263" i="3"/>
  <c r="T263" i="3"/>
  <c r="S263" i="3"/>
  <c r="R263" i="3"/>
  <c r="Q263" i="3"/>
  <c r="P263" i="3"/>
  <c r="O263" i="3"/>
  <c r="AC263" i="3"/>
  <c r="AF263" i="3" s="1"/>
  <c r="AB263" i="3"/>
  <c r="AA263" i="3"/>
  <c r="T293" i="3"/>
  <c r="S293" i="3"/>
  <c r="R293" i="3"/>
  <c r="AC293" i="3"/>
  <c r="AG293" i="3" s="1"/>
  <c r="Q293" i="3"/>
  <c r="AB293" i="3"/>
  <c r="P293" i="3"/>
  <c r="AA293" i="3"/>
  <c r="O293" i="3"/>
  <c r="Z293" i="3"/>
  <c r="N293" i="3"/>
  <c r="Y293" i="3"/>
  <c r="M293" i="3"/>
  <c r="X293" i="3"/>
  <c r="L293" i="3"/>
  <c r="W293" i="3"/>
  <c r="K293" i="3"/>
  <c r="V293" i="3"/>
  <c r="U293" i="3"/>
  <c r="AA298" i="3"/>
  <c r="O298" i="3"/>
  <c r="Z298" i="3"/>
  <c r="N298" i="3"/>
  <c r="Y298" i="3"/>
  <c r="M298" i="3"/>
  <c r="X298" i="3"/>
  <c r="L298" i="3"/>
  <c r="W298" i="3"/>
  <c r="K298" i="3"/>
  <c r="V298" i="3"/>
  <c r="U298" i="3"/>
  <c r="T298" i="3"/>
  <c r="S298" i="3"/>
  <c r="AD298" i="3"/>
  <c r="R298" i="3"/>
  <c r="AC298" i="3"/>
  <c r="Q298" i="3"/>
  <c r="AB298" i="3"/>
  <c r="P298" i="3"/>
  <c r="AK29" i="3"/>
  <c r="AL53" i="3"/>
  <c r="AG82" i="3"/>
  <c r="U20" i="3"/>
  <c r="T20" i="3"/>
  <c r="S20" i="3"/>
  <c r="W20" i="3"/>
  <c r="V20" i="3"/>
  <c r="R20" i="3"/>
  <c r="P20" i="3"/>
  <c r="K20" i="3"/>
  <c r="Q20" i="3"/>
  <c r="O20" i="3"/>
  <c r="AC20" i="3"/>
  <c r="AH20" i="3" s="1"/>
  <c r="AB20" i="3"/>
  <c r="N20" i="3"/>
  <c r="AA20" i="3"/>
  <c r="Z20" i="3"/>
  <c r="Y20" i="3"/>
  <c r="X20" i="3"/>
  <c r="L20" i="3"/>
  <c r="M20" i="3"/>
  <c r="AE142" i="3"/>
  <c r="AL62" i="3"/>
  <c r="AE6" i="3"/>
  <c r="AE78" i="3"/>
  <c r="AE194" i="3"/>
  <c r="AE172" i="3"/>
  <c r="AE137" i="3"/>
  <c r="AE207" i="3"/>
  <c r="AE164" i="3"/>
  <c r="AE203" i="3"/>
  <c r="AE270" i="3"/>
  <c r="AE224" i="3"/>
  <c r="AJ64" i="3"/>
  <c r="AJ16" i="3"/>
  <c r="AJ116" i="3"/>
  <c r="AJ146" i="3"/>
  <c r="AJ251" i="3"/>
  <c r="AJ203" i="3"/>
  <c r="AJ272" i="3"/>
  <c r="AJ217" i="3"/>
  <c r="AJ273" i="3"/>
  <c r="AJ70" i="3"/>
  <c r="AA36" i="3"/>
  <c r="AG203" i="3"/>
  <c r="AK62" i="3"/>
  <c r="AI62" i="3"/>
  <c r="AI167" i="3"/>
  <c r="AI169" i="3"/>
  <c r="AI133" i="3"/>
  <c r="AI254" i="3"/>
  <c r="AI164" i="3"/>
  <c r="AI205" i="3"/>
  <c r="AI283" i="3"/>
  <c r="AI293" i="3"/>
  <c r="AL19" i="3"/>
  <c r="AL127" i="3"/>
  <c r="AL197" i="3"/>
  <c r="AL133" i="3"/>
  <c r="AL198" i="3"/>
  <c r="AL177" i="3"/>
  <c r="AL264" i="3"/>
  <c r="AL255" i="3"/>
  <c r="AL273" i="3"/>
  <c r="AI23" i="3"/>
  <c r="AH22" i="3"/>
  <c r="AH36" i="3"/>
  <c r="AH130" i="3"/>
  <c r="AH214" i="3"/>
  <c r="AH148" i="3"/>
  <c r="AH164" i="3"/>
  <c r="AH260" i="3"/>
  <c r="AH234" i="3"/>
  <c r="AH285" i="3"/>
  <c r="AH278" i="3"/>
  <c r="AK119" i="3"/>
  <c r="AK109" i="3"/>
  <c r="AK133" i="3"/>
  <c r="AK124" i="3"/>
  <c r="AK91" i="3"/>
  <c r="AK203" i="3"/>
  <c r="AK171" i="3"/>
  <c r="AK236" i="3"/>
  <c r="AK255" i="3"/>
  <c r="AK276" i="3"/>
  <c r="AL106" i="3"/>
  <c r="AK52" i="3"/>
  <c r="AG22" i="3"/>
  <c r="AG182" i="3"/>
  <c r="AG94" i="3"/>
  <c r="AG116" i="3"/>
  <c r="AG190" i="3"/>
  <c r="AG169" i="3"/>
  <c r="AG241" i="3"/>
  <c r="AG228" i="3"/>
  <c r="AG270" i="3"/>
  <c r="AH83" i="3"/>
  <c r="Y68" i="3"/>
  <c r="M68" i="3"/>
  <c r="X68" i="3"/>
  <c r="L68" i="3"/>
  <c r="W68" i="3"/>
  <c r="K68" i="3"/>
  <c r="V68" i="3"/>
  <c r="U68" i="3"/>
  <c r="T68" i="3"/>
  <c r="R68" i="3"/>
  <c r="Q68" i="3"/>
  <c r="P68" i="3"/>
  <c r="O68" i="3"/>
  <c r="N68" i="3"/>
  <c r="AD68" i="3"/>
  <c r="Z68" i="3"/>
  <c r="AA68" i="3"/>
  <c r="AC68" i="3"/>
  <c r="AE68" i="3" s="1"/>
  <c r="AB68" i="3"/>
  <c r="S68" i="3"/>
  <c r="AF97" i="3"/>
  <c r="AF5" i="3"/>
  <c r="AF99" i="3"/>
  <c r="AF25" i="3"/>
  <c r="AF39" i="3"/>
  <c r="AF40" i="3"/>
  <c r="AF190" i="3"/>
  <c r="AF159" i="3"/>
  <c r="AF204" i="3"/>
  <c r="AF207" i="3"/>
  <c r="AF214" i="3"/>
  <c r="AF219" i="3"/>
  <c r="AF248" i="3"/>
  <c r="W70" i="3"/>
  <c r="K70" i="3"/>
  <c r="V70" i="3"/>
  <c r="U70" i="3"/>
  <c r="AC70" i="3"/>
  <c r="AD70" i="3" s="1"/>
  <c r="N70" i="3"/>
  <c r="AB70" i="3"/>
  <c r="M70" i="3"/>
  <c r="AA70" i="3"/>
  <c r="L70" i="3"/>
  <c r="Z70" i="3"/>
  <c r="Y70" i="3"/>
  <c r="X70" i="3"/>
  <c r="T70" i="3"/>
  <c r="S70" i="3"/>
  <c r="R70" i="3"/>
  <c r="Q70" i="3"/>
  <c r="P70" i="3"/>
  <c r="O70" i="3"/>
  <c r="AB3" i="3"/>
  <c r="P3" i="3"/>
  <c r="AA3" i="3"/>
  <c r="O3" i="3"/>
  <c r="Z3" i="3"/>
  <c r="N3" i="3"/>
  <c r="X3" i="3"/>
  <c r="L3" i="3"/>
  <c r="S3" i="3"/>
  <c r="K3" i="3"/>
  <c r="R3" i="3"/>
  <c r="Y3" i="3"/>
  <c r="Q3" i="3"/>
  <c r="V3" i="3"/>
  <c r="M3" i="3"/>
  <c r="AC3" i="3"/>
  <c r="W3" i="3"/>
  <c r="U3" i="3"/>
  <c r="T3" i="3"/>
  <c r="U8" i="3"/>
  <c r="T8" i="3"/>
  <c r="P8" i="3"/>
  <c r="AC8" i="3"/>
  <c r="AH8" i="3" s="1"/>
  <c r="O8" i="3"/>
  <c r="AB8" i="3"/>
  <c r="N8" i="3"/>
  <c r="Z8" i="3"/>
  <c r="L8" i="3"/>
  <c r="K8" i="3"/>
  <c r="Y8" i="3"/>
  <c r="V8" i="3"/>
  <c r="AA8" i="3"/>
  <c r="R8" i="3"/>
  <c r="X8" i="3"/>
  <c r="W8" i="3"/>
  <c r="S8" i="3"/>
  <c r="Q8" i="3"/>
  <c r="M8" i="3"/>
  <c r="Y143" i="3"/>
  <c r="M143" i="3"/>
  <c r="W143" i="3"/>
  <c r="K143" i="3"/>
  <c r="AC143" i="3"/>
  <c r="AL143" i="3" s="1"/>
  <c r="O143" i="3"/>
  <c r="AB143" i="3"/>
  <c r="N143" i="3"/>
  <c r="AA143" i="3"/>
  <c r="L143" i="3"/>
  <c r="X143" i="3"/>
  <c r="R143" i="3"/>
  <c r="Q143" i="3"/>
  <c r="P143" i="3"/>
  <c r="V143" i="3"/>
  <c r="U143" i="3"/>
  <c r="T143" i="3"/>
  <c r="S143" i="3"/>
  <c r="AD143" i="3"/>
  <c r="Z143" i="3"/>
  <c r="AC151" i="3"/>
  <c r="AH151" i="3" s="1"/>
  <c r="Q151" i="3"/>
  <c r="AA151" i="3"/>
  <c r="O151" i="3"/>
  <c r="U151" i="3"/>
  <c r="T151" i="3"/>
  <c r="S151" i="3"/>
  <c r="P151" i="3"/>
  <c r="X151" i="3"/>
  <c r="W151" i="3"/>
  <c r="V151" i="3"/>
  <c r="M151" i="3"/>
  <c r="L151" i="3"/>
  <c r="K151" i="3"/>
  <c r="Z151" i="3"/>
  <c r="Y151" i="3"/>
  <c r="R151" i="3"/>
  <c r="N151" i="3"/>
  <c r="AB151" i="3"/>
  <c r="AB65" i="3"/>
  <c r="P65" i="3"/>
  <c r="AA65" i="3"/>
  <c r="O65" i="3"/>
  <c r="Z65" i="3"/>
  <c r="N65" i="3"/>
  <c r="V65" i="3"/>
  <c r="U65" i="3"/>
  <c r="T65" i="3"/>
  <c r="X65" i="3"/>
  <c r="W65" i="3"/>
  <c r="S65" i="3"/>
  <c r="R65" i="3"/>
  <c r="Q65" i="3"/>
  <c r="M65" i="3"/>
  <c r="L65" i="3"/>
  <c r="AC65" i="3"/>
  <c r="AK65" i="3" s="1"/>
  <c r="K65" i="3"/>
  <c r="Y65" i="3"/>
  <c r="W145" i="3"/>
  <c r="K145" i="3"/>
  <c r="U145" i="3"/>
  <c r="AA145" i="3"/>
  <c r="M145" i="3"/>
  <c r="Z145" i="3"/>
  <c r="L145" i="3"/>
  <c r="Y145" i="3"/>
  <c r="V145" i="3"/>
  <c r="AD145" i="3"/>
  <c r="AC145" i="3"/>
  <c r="AG145" i="3" s="1"/>
  <c r="AB145" i="3"/>
  <c r="Q145" i="3"/>
  <c r="P145" i="3"/>
  <c r="O145" i="3"/>
  <c r="N145" i="3"/>
  <c r="X145" i="3"/>
  <c r="T145" i="3"/>
  <c r="S145" i="3"/>
  <c r="R145" i="3"/>
  <c r="AD138" i="3"/>
  <c r="R138" i="3"/>
  <c r="AB138" i="3"/>
  <c r="P138" i="3"/>
  <c r="Z138" i="3"/>
  <c r="L138" i="3"/>
  <c r="Y138" i="3"/>
  <c r="K138" i="3"/>
  <c r="X138" i="3"/>
  <c r="V138" i="3"/>
  <c r="AC138" i="3"/>
  <c r="AF138" i="3" s="1"/>
  <c r="AA138" i="3"/>
  <c r="Q138" i="3"/>
  <c r="O138" i="3"/>
  <c r="N138" i="3"/>
  <c r="M138" i="3"/>
  <c r="W138" i="3"/>
  <c r="U138" i="3"/>
  <c r="T138" i="3"/>
  <c r="S138" i="3"/>
  <c r="AD172" i="3"/>
  <c r="R172" i="3"/>
  <c r="Y172" i="3"/>
  <c r="L172" i="3"/>
  <c r="X172" i="3"/>
  <c r="K172" i="3"/>
  <c r="W172" i="3"/>
  <c r="U172" i="3"/>
  <c r="P172" i="3"/>
  <c r="O172" i="3"/>
  <c r="N172" i="3"/>
  <c r="AC172" i="3"/>
  <c r="AI172" i="3" s="1"/>
  <c r="AB172" i="3"/>
  <c r="AA172" i="3"/>
  <c r="Z172" i="3"/>
  <c r="M172" i="3"/>
  <c r="Q172" i="3"/>
  <c r="V172" i="3"/>
  <c r="T172" i="3"/>
  <c r="S172" i="3"/>
  <c r="U169" i="3"/>
  <c r="R169" i="3"/>
  <c r="Q169" i="3"/>
  <c r="AC169" i="3"/>
  <c r="AH169" i="3" s="1"/>
  <c r="P169" i="3"/>
  <c r="AA169" i="3"/>
  <c r="N169" i="3"/>
  <c r="AB169" i="3"/>
  <c r="Z169" i="3"/>
  <c r="Y169" i="3"/>
  <c r="W169" i="3"/>
  <c r="V169" i="3"/>
  <c r="T169" i="3"/>
  <c r="S169" i="3"/>
  <c r="X169" i="3"/>
  <c r="O169" i="3"/>
  <c r="M169" i="3"/>
  <c r="L169" i="3"/>
  <c r="K169" i="3"/>
  <c r="T257" i="3"/>
  <c r="S257" i="3"/>
  <c r="AD257" i="3"/>
  <c r="R257" i="3"/>
  <c r="AC257" i="3"/>
  <c r="AH257" i="3" s="1"/>
  <c r="Q257" i="3"/>
  <c r="AB257" i="3"/>
  <c r="L257" i="3"/>
  <c r="AA257" i="3"/>
  <c r="K257" i="3"/>
  <c r="Z257" i="3"/>
  <c r="Y257" i="3"/>
  <c r="X257" i="3"/>
  <c r="W257" i="3"/>
  <c r="V257" i="3"/>
  <c r="P257" i="3"/>
  <c r="U257" i="3"/>
  <c r="O257" i="3"/>
  <c r="N257" i="3"/>
  <c r="M257" i="3"/>
  <c r="Z123" i="3"/>
  <c r="N123" i="3"/>
  <c r="Y123" i="3"/>
  <c r="M123" i="3"/>
  <c r="X123" i="3"/>
  <c r="L123" i="3"/>
  <c r="V123" i="3"/>
  <c r="AC123" i="3"/>
  <c r="AL123" i="3" s="1"/>
  <c r="AB123" i="3"/>
  <c r="AA123" i="3"/>
  <c r="K123" i="3"/>
  <c r="AD123" i="3"/>
  <c r="R123" i="3"/>
  <c r="Q123" i="3"/>
  <c r="P123" i="3"/>
  <c r="O123" i="3"/>
  <c r="W123" i="3"/>
  <c r="U123" i="3"/>
  <c r="T123" i="3"/>
  <c r="S123" i="3"/>
  <c r="U181" i="3"/>
  <c r="S181" i="3"/>
  <c r="R181" i="3"/>
  <c r="AD181" i="3"/>
  <c r="Q181" i="3"/>
  <c r="AB181" i="3"/>
  <c r="O181" i="3"/>
  <c r="P181" i="3"/>
  <c r="N181" i="3"/>
  <c r="M181" i="3"/>
  <c r="AC181" i="3"/>
  <c r="AI181" i="3" s="1"/>
  <c r="K181" i="3"/>
  <c r="X181" i="3"/>
  <c r="W181" i="3"/>
  <c r="V181" i="3"/>
  <c r="T181" i="3"/>
  <c r="AA181" i="3"/>
  <c r="Z181" i="3"/>
  <c r="Y181" i="3"/>
  <c r="L181" i="3"/>
  <c r="V168" i="3"/>
  <c r="AC168" i="3"/>
  <c r="AK168" i="3" s="1"/>
  <c r="P168" i="3"/>
  <c r="AB168" i="3"/>
  <c r="O168" i="3"/>
  <c r="AA168" i="3"/>
  <c r="N168" i="3"/>
  <c r="Y168" i="3"/>
  <c r="L168" i="3"/>
  <c r="Z168" i="3"/>
  <c r="X168" i="3"/>
  <c r="W168" i="3"/>
  <c r="T168" i="3"/>
  <c r="AD168" i="3"/>
  <c r="M168" i="3"/>
  <c r="K168" i="3"/>
  <c r="U168" i="3"/>
  <c r="S168" i="3"/>
  <c r="R168" i="3"/>
  <c r="Q168" i="3"/>
  <c r="R223" i="3"/>
  <c r="AC223" i="3"/>
  <c r="AD223" i="3" s="1"/>
  <c r="Q223" i="3"/>
  <c r="AB223" i="3"/>
  <c r="P223" i="3"/>
  <c r="AA223" i="3"/>
  <c r="O223" i="3"/>
  <c r="Z223" i="3"/>
  <c r="Y223" i="3"/>
  <c r="X223" i="3"/>
  <c r="W223" i="3"/>
  <c r="N223" i="3"/>
  <c r="M223" i="3"/>
  <c r="L223" i="3"/>
  <c r="V223" i="3"/>
  <c r="K223" i="3"/>
  <c r="U223" i="3"/>
  <c r="T223" i="3"/>
  <c r="S223" i="3"/>
  <c r="V243" i="3"/>
  <c r="U243" i="3"/>
  <c r="T243" i="3"/>
  <c r="S243" i="3"/>
  <c r="Z243" i="3"/>
  <c r="Y243" i="3"/>
  <c r="X243" i="3"/>
  <c r="W243" i="3"/>
  <c r="AC243" i="3"/>
  <c r="AJ243" i="3" s="1"/>
  <c r="AB243" i="3"/>
  <c r="R243" i="3"/>
  <c r="AA243" i="3"/>
  <c r="Q243" i="3"/>
  <c r="P243" i="3"/>
  <c r="N243" i="3"/>
  <c r="O243" i="3"/>
  <c r="M243" i="3"/>
  <c r="L243" i="3"/>
  <c r="K243" i="3"/>
  <c r="S246" i="3"/>
  <c r="AD246" i="3"/>
  <c r="R246" i="3"/>
  <c r="AC246" i="3"/>
  <c r="Q246" i="3"/>
  <c r="AB246" i="3"/>
  <c r="P246" i="3"/>
  <c r="W246" i="3"/>
  <c r="V246" i="3"/>
  <c r="U246" i="3"/>
  <c r="T246" i="3"/>
  <c r="AA246" i="3"/>
  <c r="Z246" i="3"/>
  <c r="Y246" i="3"/>
  <c r="O246" i="3"/>
  <c r="X246" i="3"/>
  <c r="N246" i="3"/>
  <c r="M246" i="3"/>
  <c r="L246" i="3"/>
  <c r="K246" i="3"/>
  <c r="AB225" i="3"/>
  <c r="P225" i="3"/>
  <c r="AA225" i="3"/>
  <c r="O225" i="3"/>
  <c r="Z225" i="3"/>
  <c r="N225" i="3"/>
  <c r="Y225" i="3"/>
  <c r="M225" i="3"/>
  <c r="X225" i="3"/>
  <c r="W225" i="3"/>
  <c r="V225" i="3"/>
  <c r="U225" i="3"/>
  <c r="T225" i="3"/>
  <c r="S225" i="3"/>
  <c r="R225" i="3"/>
  <c r="L225" i="3"/>
  <c r="AD225" i="3"/>
  <c r="Q225" i="3"/>
  <c r="AC225" i="3"/>
  <c r="K225" i="3"/>
  <c r="Y276" i="3"/>
  <c r="M276" i="3"/>
  <c r="X276" i="3"/>
  <c r="L276" i="3"/>
  <c r="W276" i="3"/>
  <c r="K276" i="3"/>
  <c r="V276" i="3"/>
  <c r="U276" i="3"/>
  <c r="T276" i="3"/>
  <c r="S276" i="3"/>
  <c r="AD276" i="3"/>
  <c r="R276" i="3"/>
  <c r="AC276" i="3"/>
  <c r="AL276" i="3" s="1"/>
  <c r="Q276" i="3"/>
  <c r="AB276" i="3"/>
  <c r="P276" i="3"/>
  <c r="AA276" i="3"/>
  <c r="O276" i="3"/>
  <c r="Z276" i="3"/>
  <c r="N276" i="3"/>
  <c r="S282" i="3"/>
  <c r="AD282" i="3"/>
  <c r="R282" i="3"/>
  <c r="AC282" i="3"/>
  <c r="AH282" i="3" s="1"/>
  <c r="Q282" i="3"/>
  <c r="AB282" i="3"/>
  <c r="P282" i="3"/>
  <c r="AA282" i="3"/>
  <c r="O282" i="3"/>
  <c r="Z282" i="3"/>
  <c r="N282" i="3"/>
  <c r="Y282" i="3"/>
  <c r="M282" i="3"/>
  <c r="X282" i="3"/>
  <c r="L282" i="3"/>
  <c r="W282" i="3"/>
  <c r="K282" i="3"/>
  <c r="V282" i="3"/>
  <c r="U282" i="3"/>
  <c r="T282" i="3"/>
  <c r="Z275" i="3"/>
  <c r="N275" i="3"/>
  <c r="Y275" i="3"/>
  <c r="M275" i="3"/>
  <c r="X275" i="3"/>
  <c r="L275" i="3"/>
  <c r="W275" i="3"/>
  <c r="K275" i="3"/>
  <c r="V275" i="3"/>
  <c r="U275" i="3"/>
  <c r="T275" i="3"/>
  <c r="S275" i="3"/>
  <c r="R275" i="3"/>
  <c r="AC275" i="3"/>
  <c r="AG275" i="3" s="1"/>
  <c r="Q275" i="3"/>
  <c r="AB275" i="3"/>
  <c r="P275" i="3"/>
  <c r="AA275" i="3"/>
  <c r="O275" i="3"/>
  <c r="V7" i="3"/>
  <c r="U7" i="3"/>
  <c r="Y7" i="3"/>
  <c r="K7" i="3"/>
  <c r="X7" i="3"/>
  <c r="W7" i="3"/>
  <c r="S7" i="3"/>
  <c r="AB7" i="3"/>
  <c r="AA7" i="3"/>
  <c r="M7" i="3"/>
  <c r="Z7" i="3"/>
  <c r="T7" i="3"/>
  <c r="R7" i="3"/>
  <c r="O7" i="3"/>
  <c r="Q7" i="3"/>
  <c r="P7" i="3"/>
  <c r="N7" i="3"/>
  <c r="AC7" i="3"/>
  <c r="AH7" i="3" s="1"/>
  <c r="L7" i="3"/>
  <c r="AA9" i="3"/>
  <c r="T9" i="3"/>
  <c r="X71" i="3"/>
  <c r="AE119" i="3"/>
  <c r="Y9" i="3"/>
  <c r="X9" i="3"/>
  <c r="Y23" i="3"/>
  <c r="Z23" i="3"/>
  <c r="AE23" i="3"/>
  <c r="X23" i="3"/>
  <c r="T23" i="3"/>
  <c r="AE113" i="3"/>
  <c r="AE102" i="3"/>
  <c r="AE53" i="3"/>
  <c r="AE213" i="3"/>
  <c r="AE167" i="3"/>
  <c r="AE257" i="3"/>
  <c r="AE236" i="3"/>
  <c r="AE292" i="3"/>
  <c r="AE274" i="3"/>
  <c r="AJ102" i="3"/>
  <c r="AJ82" i="3"/>
  <c r="AJ83" i="3"/>
  <c r="AJ141" i="3"/>
  <c r="AJ130" i="3"/>
  <c r="AJ183" i="3"/>
  <c r="AJ172" i="3"/>
  <c r="AJ263" i="3"/>
  <c r="AJ196" i="3"/>
  <c r="AJ242" i="3"/>
  <c r="AJ221" i="3"/>
  <c r="AJ150" i="3"/>
  <c r="AH12" i="3"/>
  <c r="W49" i="3"/>
  <c r="N19" i="3"/>
  <c r="T147" i="3"/>
  <c r="T74" i="3"/>
  <c r="X85" i="3"/>
  <c r="L85" i="3"/>
  <c r="Z85" i="3"/>
  <c r="M85" i="3"/>
  <c r="Y85" i="3"/>
  <c r="K85" i="3"/>
  <c r="W85" i="3"/>
  <c r="AA85" i="3"/>
  <c r="V85" i="3"/>
  <c r="U85" i="3"/>
  <c r="T85" i="3"/>
  <c r="AC85" i="3"/>
  <c r="AF85" i="3" s="1"/>
  <c r="AB85" i="3"/>
  <c r="S85" i="3"/>
  <c r="R85" i="3"/>
  <c r="Q85" i="3"/>
  <c r="N85" i="3"/>
  <c r="P85" i="3"/>
  <c r="O85" i="3"/>
  <c r="W101" i="3"/>
  <c r="K101" i="3"/>
  <c r="T101" i="3"/>
  <c r="Y101" i="3"/>
  <c r="R101" i="3"/>
  <c r="Q101" i="3"/>
  <c r="P101" i="3"/>
  <c r="S101" i="3"/>
  <c r="O101" i="3"/>
  <c r="N101" i="3"/>
  <c r="M101" i="3"/>
  <c r="Z101" i="3"/>
  <c r="X101" i="3"/>
  <c r="V101" i="3"/>
  <c r="U101" i="3"/>
  <c r="L101" i="3"/>
  <c r="AC101" i="3"/>
  <c r="AF101" i="3" s="1"/>
  <c r="AB101" i="3"/>
  <c r="AA101" i="3"/>
  <c r="AD101" i="3"/>
  <c r="S183" i="3"/>
  <c r="AC183" i="3"/>
  <c r="AI183" i="3" s="1"/>
  <c r="Q183" i="3"/>
  <c r="AB183" i="3"/>
  <c r="N183" i="3"/>
  <c r="AA183" i="3"/>
  <c r="M183" i="3"/>
  <c r="Z183" i="3"/>
  <c r="L183" i="3"/>
  <c r="X183" i="3"/>
  <c r="Y183" i="3"/>
  <c r="W183" i="3"/>
  <c r="V183" i="3"/>
  <c r="T183" i="3"/>
  <c r="K183" i="3"/>
  <c r="U183" i="3"/>
  <c r="R183" i="3"/>
  <c r="P183" i="3"/>
  <c r="O183" i="3"/>
  <c r="X217" i="3"/>
  <c r="V217" i="3"/>
  <c r="W217" i="3"/>
  <c r="U217" i="3"/>
  <c r="T217" i="3"/>
  <c r="S217" i="3"/>
  <c r="R217" i="3"/>
  <c r="Q217" i="3"/>
  <c r="P217" i="3"/>
  <c r="N217" i="3"/>
  <c r="AB217" i="3"/>
  <c r="AC217" i="3"/>
  <c r="AD217" i="3" s="1"/>
  <c r="AA217" i="3"/>
  <c r="Z217" i="3"/>
  <c r="Y217" i="3"/>
  <c r="O217" i="3"/>
  <c r="M217" i="3"/>
  <c r="L217" i="3"/>
  <c r="K217" i="3"/>
  <c r="Z251" i="3"/>
  <c r="N251" i="3"/>
  <c r="Y251" i="3"/>
  <c r="M251" i="3"/>
  <c r="X251" i="3"/>
  <c r="L251" i="3"/>
  <c r="W251" i="3"/>
  <c r="K251" i="3"/>
  <c r="R251" i="3"/>
  <c r="Q251" i="3"/>
  <c r="P251" i="3"/>
  <c r="O251" i="3"/>
  <c r="AD251" i="3"/>
  <c r="AC251" i="3"/>
  <c r="AK251" i="3" s="1"/>
  <c r="AB251" i="3"/>
  <c r="V251" i="3"/>
  <c r="AA251" i="3"/>
  <c r="U251" i="3"/>
  <c r="T251" i="3"/>
  <c r="S251" i="3"/>
  <c r="AG80" i="3"/>
  <c r="AE183" i="3"/>
  <c r="AJ13" i="3"/>
  <c r="AJ104" i="3"/>
  <c r="AJ205" i="3"/>
  <c r="AJ296" i="3"/>
  <c r="Y16" i="3"/>
  <c r="M16" i="3"/>
  <c r="X16" i="3"/>
  <c r="L16" i="3"/>
  <c r="W16" i="3"/>
  <c r="K16" i="3"/>
  <c r="AA16" i="3"/>
  <c r="Z16" i="3"/>
  <c r="V16" i="3"/>
  <c r="T16" i="3"/>
  <c r="O16" i="3"/>
  <c r="N16" i="3"/>
  <c r="S16" i="3"/>
  <c r="R16" i="3"/>
  <c r="AD16" i="3"/>
  <c r="AC16" i="3"/>
  <c r="AF16" i="3" s="1"/>
  <c r="AB16" i="3"/>
  <c r="U16" i="3"/>
  <c r="Q16" i="3"/>
  <c r="P16" i="3"/>
  <c r="AI78" i="3"/>
  <c r="AI281" i="3"/>
  <c r="AL148" i="3"/>
  <c r="AL183" i="3"/>
  <c r="AH249" i="3"/>
  <c r="AK32" i="3"/>
  <c r="AK112" i="3"/>
  <c r="AK194" i="3"/>
  <c r="AG7" i="3"/>
  <c r="AE92" i="3"/>
  <c r="AF90" i="3"/>
  <c r="AF98" i="3"/>
  <c r="AF201" i="3"/>
  <c r="R9" i="3"/>
  <c r="AI85" i="3"/>
  <c r="AI129" i="3"/>
  <c r="AL145" i="3"/>
  <c r="AL63" i="3"/>
  <c r="AH106" i="3"/>
  <c r="AH253" i="3"/>
  <c r="AH246" i="3"/>
  <c r="AG36" i="3"/>
  <c r="AG119" i="3"/>
  <c r="AG213" i="3"/>
  <c r="AG297" i="3"/>
  <c r="AF7" i="3"/>
  <c r="AF177" i="3"/>
  <c r="AF260" i="3"/>
  <c r="V90" i="3"/>
  <c r="S90" i="3"/>
  <c r="Y90" i="3"/>
  <c r="K90" i="3"/>
  <c r="X90" i="3"/>
  <c r="W90" i="3"/>
  <c r="AC90" i="3"/>
  <c r="AL90" i="3" s="1"/>
  <c r="L90" i="3"/>
  <c r="AB90" i="3"/>
  <c r="AA90" i="3"/>
  <c r="Z90" i="3"/>
  <c r="P90" i="3"/>
  <c r="O90" i="3"/>
  <c r="N90" i="3"/>
  <c r="M90" i="3"/>
  <c r="Q90" i="3"/>
  <c r="AD90" i="3"/>
  <c r="U90" i="3"/>
  <c r="T90" i="3"/>
  <c r="R90" i="3"/>
  <c r="T182" i="3"/>
  <c r="AD182" i="3"/>
  <c r="R182" i="3"/>
  <c r="W182" i="3"/>
  <c r="V182" i="3"/>
  <c r="U182" i="3"/>
  <c r="Q182" i="3"/>
  <c r="S182" i="3"/>
  <c r="P182" i="3"/>
  <c r="O182" i="3"/>
  <c r="M182" i="3"/>
  <c r="N182" i="3"/>
  <c r="L182" i="3"/>
  <c r="K182" i="3"/>
  <c r="AC182" i="3"/>
  <c r="AK182" i="3" s="1"/>
  <c r="AB182" i="3"/>
  <c r="AA182" i="3"/>
  <c r="Z182" i="3"/>
  <c r="Y182" i="3"/>
  <c r="X182" i="3"/>
  <c r="U220" i="3"/>
  <c r="T220" i="3"/>
  <c r="S220" i="3"/>
  <c r="R220" i="3"/>
  <c r="AC220" i="3"/>
  <c r="AJ220" i="3" s="1"/>
  <c r="M220" i="3"/>
  <c r="AB220" i="3"/>
  <c r="L220" i="3"/>
  <c r="AA220" i="3"/>
  <c r="K220" i="3"/>
  <c r="Z220" i="3"/>
  <c r="Q220" i="3"/>
  <c r="P220" i="3"/>
  <c r="O220" i="3"/>
  <c r="Y220" i="3"/>
  <c r="X220" i="3"/>
  <c r="W220" i="3"/>
  <c r="N220" i="3"/>
  <c r="V220" i="3"/>
  <c r="Y191" i="3"/>
  <c r="M191" i="3"/>
  <c r="X191" i="3"/>
  <c r="W191" i="3"/>
  <c r="K191" i="3"/>
  <c r="U191" i="3"/>
  <c r="V191" i="3"/>
  <c r="T191" i="3"/>
  <c r="S191" i="3"/>
  <c r="Q191" i="3"/>
  <c r="L191" i="3"/>
  <c r="AC191" i="3"/>
  <c r="AK191" i="3" s="1"/>
  <c r="AD191" i="3"/>
  <c r="AB191" i="3"/>
  <c r="AA191" i="3"/>
  <c r="Z191" i="3"/>
  <c r="R191" i="3"/>
  <c r="P191" i="3"/>
  <c r="O191" i="3"/>
  <c r="N191" i="3"/>
  <c r="W266" i="3"/>
  <c r="K266" i="3"/>
  <c r="V266" i="3"/>
  <c r="U266" i="3"/>
  <c r="T266" i="3"/>
  <c r="S266" i="3"/>
  <c r="R266" i="3"/>
  <c r="Q266" i="3"/>
  <c r="P266" i="3"/>
  <c r="O266" i="3"/>
  <c r="N266" i="3"/>
  <c r="M266" i="3"/>
  <c r="AA266" i="3"/>
  <c r="Z266" i="3"/>
  <c r="Y266" i="3"/>
  <c r="L266" i="3"/>
  <c r="AC266" i="3"/>
  <c r="AL266" i="3" s="1"/>
  <c r="X266" i="3"/>
  <c r="AB266" i="3"/>
  <c r="Z287" i="3"/>
  <c r="N287" i="3"/>
  <c r="Y287" i="3"/>
  <c r="M287" i="3"/>
  <c r="X287" i="3"/>
  <c r="L287" i="3"/>
  <c r="W287" i="3"/>
  <c r="K287" i="3"/>
  <c r="V287" i="3"/>
  <c r="U287" i="3"/>
  <c r="T287" i="3"/>
  <c r="S287" i="3"/>
  <c r="AD287" i="3"/>
  <c r="R287" i="3"/>
  <c r="AC287" i="3"/>
  <c r="AJ287" i="3" s="1"/>
  <c r="Q287" i="3"/>
  <c r="AB287" i="3"/>
  <c r="P287" i="3"/>
  <c r="AA287" i="3"/>
  <c r="O287" i="3"/>
  <c r="AH16" i="3"/>
  <c r="AI47" i="3"/>
  <c r="AE36" i="3"/>
  <c r="L36" i="3"/>
  <c r="AE136" i="3"/>
  <c r="AE190" i="3"/>
  <c r="AE287" i="3"/>
  <c r="AJ155" i="3"/>
  <c r="AJ271" i="3"/>
  <c r="AJ134" i="3"/>
  <c r="AE16" i="3"/>
  <c r="AI146" i="3"/>
  <c r="AI112" i="3"/>
  <c r="AI218" i="3"/>
  <c r="AL74" i="3"/>
  <c r="AL141" i="3"/>
  <c r="AL270" i="3"/>
  <c r="AL206" i="3"/>
  <c r="AL214" i="3"/>
  <c r="AL241" i="3"/>
  <c r="AH61" i="3"/>
  <c r="AH51" i="3"/>
  <c r="AH141" i="3"/>
  <c r="AH154" i="3"/>
  <c r="AH231" i="3"/>
  <c r="AH197" i="3"/>
  <c r="AH225" i="3"/>
  <c r="AH258" i="3"/>
  <c r="AH274" i="3"/>
  <c r="AH279" i="3"/>
  <c r="AK61" i="3"/>
  <c r="AK31" i="3"/>
  <c r="AK110" i="3"/>
  <c r="AK115" i="3"/>
  <c r="AK145" i="3"/>
  <c r="AK187" i="3"/>
  <c r="AK157" i="3"/>
  <c r="AK195" i="3"/>
  <c r="AK238" i="3"/>
  <c r="AK277" i="3"/>
  <c r="AH40" i="3"/>
  <c r="AG78" i="3"/>
  <c r="AG38" i="3"/>
  <c r="AG123" i="3"/>
  <c r="AG135" i="3"/>
  <c r="AG144" i="3"/>
  <c r="AG251" i="3"/>
  <c r="AG208" i="3"/>
  <c r="AG264" i="3"/>
  <c r="AG235" i="3"/>
  <c r="AG274" i="3"/>
  <c r="AG279" i="3"/>
  <c r="R32" i="3"/>
  <c r="V6" i="3"/>
  <c r="T6" i="3"/>
  <c r="S6" i="3"/>
  <c r="R6" i="3"/>
  <c r="AC6" i="3"/>
  <c r="AG6" i="3" s="1"/>
  <c r="P6" i="3"/>
  <c r="X6" i="3"/>
  <c r="W6" i="3"/>
  <c r="K6" i="3"/>
  <c r="U6" i="3"/>
  <c r="Q6" i="3"/>
  <c r="O6" i="3"/>
  <c r="L6" i="3"/>
  <c r="AB6" i="3"/>
  <c r="AA6" i="3"/>
  <c r="N6" i="3"/>
  <c r="M6" i="3"/>
  <c r="Z6" i="3"/>
  <c r="Y6" i="3"/>
  <c r="AI98" i="3"/>
  <c r="AF149" i="3"/>
  <c r="AF124" i="3"/>
  <c r="AF12" i="3"/>
  <c r="AF63" i="3"/>
  <c r="AF64" i="3"/>
  <c r="AF182" i="3"/>
  <c r="AF239" i="3"/>
  <c r="AF269" i="3"/>
  <c r="AF246" i="3"/>
  <c r="AF272" i="3"/>
  <c r="U103" i="3"/>
  <c r="R103" i="3"/>
  <c r="W103" i="3"/>
  <c r="Y103" i="3"/>
  <c r="X103" i="3"/>
  <c r="V103" i="3"/>
  <c r="T103" i="3"/>
  <c r="N103" i="3"/>
  <c r="M103" i="3"/>
  <c r="L103" i="3"/>
  <c r="K103" i="3"/>
  <c r="S103" i="3"/>
  <c r="Q103" i="3"/>
  <c r="P103" i="3"/>
  <c r="O103" i="3"/>
  <c r="AC103" i="3"/>
  <c r="AI103" i="3" s="1"/>
  <c r="AB103" i="3"/>
  <c r="AA103" i="3"/>
  <c r="Z103" i="3"/>
  <c r="T33" i="3"/>
  <c r="S33" i="3"/>
  <c r="R33" i="3"/>
  <c r="V33" i="3"/>
  <c r="U33" i="3"/>
  <c r="Q33" i="3"/>
  <c r="O33" i="3"/>
  <c r="AC33" i="3"/>
  <c r="M33" i="3"/>
  <c r="AB33" i="3"/>
  <c r="N33" i="3"/>
  <c r="AA33" i="3"/>
  <c r="P33" i="3"/>
  <c r="Z33" i="3"/>
  <c r="Y33" i="3"/>
  <c r="X33" i="3"/>
  <c r="W33" i="3"/>
  <c r="K33" i="3"/>
  <c r="L33" i="3"/>
  <c r="X57" i="3"/>
  <c r="L57" i="3"/>
  <c r="W57" i="3"/>
  <c r="K57" i="3"/>
  <c r="V57" i="3"/>
  <c r="AD57" i="3"/>
  <c r="O57" i="3"/>
  <c r="AC57" i="3"/>
  <c r="N57" i="3"/>
  <c r="AB57" i="3"/>
  <c r="M57" i="3"/>
  <c r="T57" i="3"/>
  <c r="S57" i="3"/>
  <c r="R57" i="3"/>
  <c r="Q57" i="3"/>
  <c r="P57" i="3"/>
  <c r="U57" i="3"/>
  <c r="Y57" i="3"/>
  <c r="AA57" i="3"/>
  <c r="Z57" i="3"/>
  <c r="AC173" i="3"/>
  <c r="AH173" i="3" s="1"/>
  <c r="Q173" i="3"/>
  <c r="AA173" i="3"/>
  <c r="N173" i="3"/>
  <c r="Z173" i="3"/>
  <c r="M173" i="3"/>
  <c r="Y173" i="3"/>
  <c r="L173" i="3"/>
  <c r="W173" i="3"/>
  <c r="S173" i="3"/>
  <c r="R173" i="3"/>
  <c r="P173" i="3"/>
  <c r="K173" i="3"/>
  <c r="X173" i="3"/>
  <c r="V173" i="3"/>
  <c r="U173" i="3"/>
  <c r="T173" i="3"/>
  <c r="O173" i="3"/>
  <c r="AD173" i="3"/>
  <c r="AB173" i="3"/>
  <c r="X253" i="3"/>
  <c r="L253" i="3"/>
  <c r="W253" i="3"/>
  <c r="K253" i="3"/>
  <c r="V253" i="3"/>
  <c r="U253" i="3"/>
  <c r="P253" i="3"/>
  <c r="O253" i="3"/>
  <c r="N253" i="3"/>
  <c r="AC253" i="3"/>
  <c r="AI253" i="3" s="1"/>
  <c r="M253" i="3"/>
  <c r="AB253" i="3"/>
  <c r="T253" i="3"/>
  <c r="S253" i="3"/>
  <c r="R253" i="3"/>
  <c r="AA253" i="3"/>
  <c r="Z253" i="3"/>
  <c r="Q253" i="3"/>
  <c r="Y253" i="3"/>
  <c r="W89" i="3"/>
  <c r="K89" i="3"/>
  <c r="T89" i="3"/>
  <c r="R89" i="3"/>
  <c r="Q89" i="3"/>
  <c r="AD89" i="3"/>
  <c r="P89" i="3"/>
  <c r="AA89" i="3"/>
  <c r="Z89" i="3"/>
  <c r="Y89" i="3"/>
  <c r="X89" i="3"/>
  <c r="V89" i="3"/>
  <c r="U89" i="3"/>
  <c r="S89" i="3"/>
  <c r="O89" i="3"/>
  <c r="N89" i="3"/>
  <c r="M89" i="3"/>
  <c r="L89" i="3"/>
  <c r="AC89" i="3"/>
  <c r="AB89" i="3"/>
  <c r="X178" i="3"/>
  <c r="L178" i="3"/>
  <c r="Z178" i="3"/>
  <c r="M178" i="3"/>
  <c r="Y178" i="3"/>
  <c r="K178" i="3"/>
  <c r="W178" i="3"/>
  <c r="U178" i="3"/>
  <c r="AD178" i="3"/>
  <c r="AC178" i="3"/>
  <c r="AH178" i="3" s="1"/>
  <c r="AB178" i="3"/>
  <c r="V178" i="3"/>
  <c r="Q178" i="3"/>
  <c r="P178" i="3"/>
  <c r="O178" i="3"/>
  <c r="N178" i="3"/>
  <c r="AA178" i="3"/>
  <c r="T178" i="3"/>
  <c r="S178" i="3"/>
  <c r="R178" i="3"/>
  <c r="U115" i="3"/>
  <c r="R115" i="3"/>
  <c r="Z115" i="3"/>
  <c r="L115" i="3"/>
  <c r="Y115" i="3"/>
  <c r="K115" i="3"/>
  <c r="X115" i="3"/>
  <c r="T115" i="3"/>
  <c r="S115" i="3"/>
  <c r="Q115" i="3"/>
  <c r="P115" i="3"/>
  <c r="O115" i="3"/>
  <c r="N115" i="3"/>
  <c r="M115" i="3"/>
  <c r="W115" i="3"/>
  <c r="AA115" i="3"/>
  <c r="V115" i="3"/>
  <c r="AC115" i="3"/>
  <c r="AD115" i="3" s="1"/>
  <c r="AB115" i="3"/>
  <c r="S222" i="3"/>
  <c r="R222" i="3"/>
  <c r="AC222" i="3"/>
  <c r="AJ222" i="3" s="1"/>
  <c r="Q222" i="3"/>
  <c r="AB222" i="3"/>
  <c r="P222" i="3"/>
  <c r="AA222" i="3"/>
  <c r="K222" i="3"/>
  <c r="Z222" i="3"/>
  <c r="Y222" i="3"/>
  <c r="X222" i="3"/>
  <c r="W222" i="3"/>
  <c r="V222" i="3"/>
  <c r="U222" i="3"/>
  <c r="O222" i="3"/>
  <c r="T222" i="3"/>
  <c r="N222" i="3"/>
  <c r="M222" i="3"/>
  <c r="L222" i="3"/>
  <c r="AD184" i="3"/>
  <c r="R184" i="3"/>
  <c r="AB184" i="3"/>
  <c r="P184" i="3"/>
  <c r="U184" i="3"/>
  <c r="T184" i="3"/>
  <c r="S184" i="3"/>
  <c r="O184" i="3"/>
  <c r="K184" i="3"/>
  <c r="AC184" i="3"/>
  <c r="AI184" i="3" s="1"/>
  <c r="AA184" i="3"/>
  <c r="Y184" i="3"/>
  <c r="Q184" i="3"/>
  <c r="N184" i="3"/>
  <c r="M184" i="3"/>
  <c r="L184" i="3"/>
  <c r="Z184" i="3"/>
  <c r="X184" i="3"/>
  <c r="W184" i="3"/>
  <c r="V184" i="3"/>
  <c r="Z110" i="3"/>
  <c r="N110" i="3"/>
  <c r="W110" i="3"/>
  <c r="K110" i="3"/>
  <c r="X110" i="3"/>
  <c r="V110" i="3"/>
  <c r="Y110" i="3"/>
  <c r="U110" i="3"/>
  <c r="T110" i="3"/>
  <c r="S110" i="3"/>
  <c r="M110" i="3"/>
  <c r="L110" i="3"/>
  <c r="AD110" i="3"/>
  <c r="AC110" i="3"/>
  <c r="AJ110" i="3" s="1"/>
  <c r="AB110" i="3"/>
  <c r="AA110" i="3"/>
  <c r="R110" i="3"/>
  <c r="Q110" i="3"/>
  <c r="P110" i="3"/>
  <c r="O110" i="3"/>
  <c r="AA141" i="3"/>
  <c r="O141" i="3"/>
  <c r="Y141" i="3"/>
  <c r="M141" i="3"/>
  <c r="Q141" i="3"/>
  <c r="AD141" i="3"/>
  <c r="P141" i="3"/>
  <c r="AC141" i="3"/>
  <c r="AF141" i="3" s="1"/>
  <c r="N141" i="3"/>
  <c r="Z141" i="3"/>
  <c r="K141" i="3"/>
  <c r="X141" i="3"/>
  <c r="W141" i="3"/>
  <c r="V141" i="3"/>
  <c r="AB141" i="3"/>
  <c r="U141" i="3"/>
  <c r="L141" i="3"/>
  <c r="R141" i="3"/>
  <c r="T141" i="3"/>
  <c r="S141" i="3"/>
  <c r="Y214" i="3"/>
  <c r="M214" i="3"/>
  <c r="X214" i="3"/>
  <c r="L214" i="3"/>
  <c r="W214" i="3"/>
  <c r="K214" i="3"/>
  <c r="V214" i="3"/>
  <c r="U214" i="3"/>
  <c r="T214" i="3"/>
  <c r="S214" i="3"/>
  <c r="Q214" i="3"/>
  <c r="AC214" i="3"/>
  <c r="AK214" i="3" s="1"/>
  <c r="AD214" i="3"/>
  <c r="AB214" i="3"/>
  <c r="AA214" i="3"/>
  <c r="R214" i="3"/>
  <c r="Z214" i="3"/>
  <c r="P214" i="3"/>
  <c r="O214" i="3"/>
  <c r="N214" i="3"/>
  <c r="W193" i="3"/>
  <c r="K193" i="3"/>
  <c r="V193" i="3"/>
  <c r="U193" i="3"/>
  <c r="S193" i="3"/>
  <c r="T193" i="3"/>
  <c r="R193" i="3"/>
  <c r="Q193" i="3"/>
  <c r="O193" i="3"/>
  <c r="P193" i="3"/>
  <c r="N193" i="3"/>
  <c r="M193" i="3"/>
  <c r="L193" i="3"/>
  <c r="AD193" i="3"/>
  <c r="AC193" i="3"/>
  <c r="AG193" i="3" s="1"/>
  <c r="AB193" i="3"/>
  <c r="AA193" i="3"/>
  <c r="Z193" i="3"/>
  <c r="Y193" i="3"/>
  <c r="X193" i="3"/>
  <c r="Z176" i="3"/>
  <c r="N176" i="3"/>
  <c r="U176" i="3"/>
  <c r="T176" i="3"/>
  <c r="S176" i="3"/>
  <c r="Q176" i="3"/>
  <c r="Y176" i="3"/>
  <c r="X176" i="3"/>
  <c r="W176" i="3"/>
  <c r="R176" i="3"/>
  <c r="AC176" i="3"/>
  <c r="AK176" i="3" s="1"/>
  <c r="AB176" i="3"/>
  <c r="AA176" i="3"/>
  <c r="V176" i="3"/>
  <c r="P176" i="3"/>
  <c r="O176" i="3"/>
  <c r="M176" i="3"/>
  <c r="L176" i="3"/>
  <c r="K176" i="3"/>
  <c r="AC210" i="3"/>
  <c r="AI210" i="3" s="1"/>
  <c r="Q210" i="3"/>
  <c r="AB210" i="3"/>
  <c r="P210" i="3"/>
  <c r="AA210" i="3"/>
  <c r="O210" i="3"/>
  <c r="Z210" i="3"/>
  <c r="N210" i="3"/>
  <c r="Y210" i="3"/>
  <c r="X210" i="3"/>
  <c r="W210" i="3"/>
  <c r="U210" i="3"/>
  <c r="V210" i="3"/>
  <c r="T210" i="3"/>
  <c r="S210" i="3"/>
  <c r="M210" i="3"/>
  <c r="R210" i="3"/>
  <c r="L210" i="3"/>
  <c r="K210" i="3"/>
  <c r="AD210" i="3"/>
  <c r="Z201" i="3"/>
  <c r="N201" i="3"/>
  <c r="U201" i="3"/>
  <c r="T201" i="3"/>
  <c r="S201" i="3"/>
  <c r="AD201" i="3"/>
  <c r="Q201" i="3"/>
  <c r="R201" i="3"/>
  <c r="P201" i="3"/>
  <c r="O201" i="3"/>
  <c r="L201" i="3"/>
  <c r="Y201" i="3"/>
  <c r="X201" i="3"/>
  <c r="W201" i="3"/>
  <c r="M201" i="3"/>
  <c r="AC201" i="3"/>
  <c r="AB201" i="3"/>
  <c r="AA201" i="3"/>
  <c r="V201" i="3"/>
  <c r="K201" i="3"/>
  <c r="AB249" i="3"/>
  <c r="P249" i="3"/>
  <c r="AA249" i="3"/>
  <c r="O249" i="3"/>
  <c r="Z249" i="3"/>
  <c r="N249" i="3"/>
  <c r="Y249" i="3"/>
  <c r="M249" i="3"/>
  <c r="T249" i="3"/>
  <c r="S249" i="3"/>
  <c r="R249" i="3"/>
  <c r="Q249" i="3"/>
  <c r="X249" i="3"/>
  <c r="W249" i="3"/>
  <c r="V249" i="3"/>
  <c r="L249" i="3"/>
  <c r="U249" i="3"/>
  <c r="K249" i="3"/>
  <c r="AD249" i="3"/>
  <c r="AC249" i="3"/>
  <c r="AJ249" i="3" s="1"/>
  <c r="X277" i="3"/>
  <c r="L277" i="3"/>
  <c r="W277" i="3"/>
  <c r="K277" i="3"/>
  <c r="V277" i="3"/>
  <c r="U277" i="3"/>
  <c r="T277" i="3"/>
  <c r="S277" i="3"/>
  <c r="AD277" i="3"/>
  <c r="R277" i="3"/>
  <c r="AC277" i="3"/>
  <c r="Q277" i="3"/>
  <c r="AB277" i="3"/>
  <c r="P277" i="3"/>
  <c r="AA277" i="3"/>
  <c r="O277" i="3"/>
  <c r="Z277" i="3"/>
  <c r="N277" i="3"/>
  <c r="Y277" i="3"/>
  <c r="M277" i="3"/>
  <c r="AD283" i="3"/>
  <c r="R283" i="3"/>
  <c r="AC283" i="3"/>
  <c r="AK283" i="3" s="1"/>
  <c r="Q283" i="3"/>
  <c r="AB283" i="3"/>
  <c r="P283" i="3"/>
  <c r="AA283" i="3"/>
  <c r="O283" i="3"/>
  <c r="Z283" i="3"/>
  <c r="N283" i="3"/>
  <c r="Y283" i="3"/>
  <c r="M283" i="3"/>
  <c r="X283" i="3"/>
  <c r="L283" i="3"/>
  <c r="W283" i="3"/>
  <c r="K283" i="3"/>
  <c r="V283" i="3"/>
  <c r="U283" i="3"/>
  <c r="T283" i="3"/>
  <c r="S283" i="3"/>
  <c r="Z299" i="3"/>
  <c r="N299" i="3"/>
  <c r="Y299" i="3"/>
  <c r="M299" i="3"/>
  <c r="X299" i="3"/>
  <c r="L299" i="3"/>
  <c r="W299" i="3"/>
  <c r="K299" i="3"/>
  <c r="V299" i="3"/>
  <c r="U299" i="3"/>
  <c r="T299" i="3"/>
  <c r="S299" i="3"/>
  <c r="R299" i="3"/>
  <c r="AC299" i="3"/>
  <c r="AF299" i="3" s="1"/>
  <c r="Q299" i="3"/>
  <c r="AB299" i="3"/>
  <c r="P299" i="3"/>
  <c r="AA299" i="3"/>
  <c r="O299" i="3"/>
  <c r="U105" i="3"/>
  <c r="AH54" i="3"/>
  <c r="M23" i="3"/>
  <c r="AG142" i="3"/>
  <c r="U23" i="3"/>
  <c r="Z71" i="3"/>
  <c r="AG58" i="3"/>
  <c r="AK14" i="3"/>
  <c r="W46" i="3"/>
  <c r="K46" i="3"/>
  <c r="V46" i="3"/>
  <c r="U46" i="3"/>
  <c r="T46" i="3"/>
  <c r="S46" i="3"/>
  <c r="R46" i="3"/>
  <c r="Y46" i="3"/>
  <c r="X46" i="3"/>
  <c r="Q46" i="3"/>
  <c r="O46" i="3"/>
  <c r="N46" i="3"/>
  <c r="M46" i="3"/>
  <c r="L46" i="3"/>
  <c r="AB46" i="3"/>
  <c r="AC46" i="3"/>
  <c r="AL46" i="3" s="1"/>
  <c r="AD46" i="3"/>
  <c r="AA46" i="3"/>
  <c r="Z46" i="3"/>
  <c r="P46" i="3"/>
  <c r="AE70" i="3"/>
  <c r="AE51" i="3"/>
  <c r="AE50" i="3"/>
  <c r="AE182" i="3"/>
  <c r="AE145" i="3"/>
  <c r="AE148" i="3"/>
  <c r="AE94" i="3"/>
  <c r="AE129" i="3"/>
  <c r="AE188" i="3"/>
  <c r="AE214" i="3"/>
  <c r="AE260" i="3"/>
  <c r="AE298" i="3"/>
  <c r="AJ22" i="3"/>
  <c r="AJ40" i="3"/>
  <c r="AJ129" i="3"/>
  <c r="AJ174" i="3"/>
  <c r="AJ20" i="3"/>
  <c r="AJ193" i="3"/>
  <c r="AJ149" i="3"/>
  <c r="AJ214" i="3"/>
  <c r="AJ170" i="3"/>
  <c r="AJ211" i="3"/>
  <c r="AJ259" i="3"/>
  <c r="AB49" i="3"/>
  <c r="O36" i="3"/>
  <c r="AC36" i="3"/>
  <c r="AD36" i="3" s="1"/>
  <c r="T19" i="3"/>
  <c r="AA147" i="3"/>
  <c r="X147" i="3"/>
  <c r="Z21" i="3"/>
  <c r="V74" i="3"/>
  <c r="T233" i="3"/>
  <c r="S233" i="3"/>
  <c r="AD233" i="3"/>
  <c r="R233" i="3"/>
  <c r="AC233" i="3"/>
  <c r="Q233" i="3"/>
  <c r="P233" i="3"/>
  <c r="O233" i="3"/>
  <c r="N233" i="3"/>
  <c r="M233" i="3"/>
  <c r="X233" i="3"/>
  <c r="W233" i="3"/>
  <c r="V233" i="3"/>
  <c r="L233" i="3"/>
  <c r="AB233" i="3"/>
  <c r="AA233" i="3"/>
  <c r="Z233" i="3"/>
  <c r="U233" i="3"/>
  <c r="Y233" i="3"/>
  <c r="K233" i="3"/>
  <c r="S137" i="3"/>
  <c r="AC137" i="3"/>
  <c r="AI137" i="3" s="1"/>
  <c r="Q137" i="3"/>
  <c r="U137" i="3"/>
  <c r="T137" i="3"/>
  <c r="R137" i="3"/>
  <c r="AD137" i="3"/>
  <c r="O137" i="3"/>
  <c r="X137" i="3"/>
  <c r="W137" i="3"/>
  <c r="V137" i="3"/>
  <c r="M137" i="3"/>
  <c r="L137" i="3"/>
  <c r="K137" i="3"/>
  <c r="Z137" i="3"/>
  <c r="Y137" i="3"/>
  <c r="P137" i="3"/>
  <c r="N137" i="3"/>
  <c r="AB137" i="3"/>
  <c r="AA137" i="3"/>
  <c r="T269" i="3"/>
  <c r="S269" i="3"/>
  <c r="R269" i="3"/>
  <c r="AC269" i="3"/>
  <c r="AG269" i="3" s="1"/>
  <c r="Q269" i="3"/>
  <c r="P269" i="3"/>
  <c r="O269" i="3"/>
  <c r="N269" i="3"/>
  <c r="M269" i="3"/>
  <c r="L269" i="3"/>
  <c r="K269" i="3"/>
  <c r="AB269" i="3"/>
  <c r="AA269" i="3"/>
  <c r="Z269" i="3"/>
  <c r="X269" i="3"/>
  <c r="Y269" i="3"/>
  <c r="W269" i="3"/>
  <c r="V269" i="3"/>
  <c r="U269" i="3"/>
  <c r="AB152" i="3"/>
  <c r="P152" i="3"/>
  <c r="Z152" i="3"/>
  <c r="N152" i="3"/>
  <c r="AA152" i="3"/>
  <c r="L152" i="3"/>
  <c r="Y152" i="3"/>
  <c r="K152" i="3"/>
  <c r="X152" i="3"/>
  <c r="V152" i="3"/>
  <c r="AC152" i="3"/>
  <c r="AE152" i="3" s="1"/>
  <c r="R152" i="3"/>
  <c r="Q152" i="3"/>
  <c r="O152" i="3"/>
  <c r="M152" i="3"/>
  <c r="W152" i="3"/>
  <c r="U152" i="3"/>
  <c r="T152" i="3"/>
  <c r="S152" i="3"/>
  <c r="R209" i="3"/>
  <c r="AC209" i="3"/>
  <c r="AF209" i="3" s="1"/>
  <c r="Q209" i="3"/>
  <c r="AB209" i="3"/>
  <c r="P209" i="3"/>
  <c r="AA209" i="3"/>
  <c r="O209" i="3"/>
  <c r="Z209" i="3"/>
  <c r="Y209" i="3"/>
  <c r="X209" i="3"/>
  <c r="V209" i="3"/>
  <c r="W209" i="3"/>
  <c r="N209" i="3"/>
  <c r="M209" i="3"/>
  <c r="L209" i="3"/>
  <c r="U209" i="3"/>
  <c r="T209" i="3"/>
  <c r="S209" i="3"/>
  <c r="K209" i="3"/>
  <c r="AC260" i="3"/>
  <c r="AK260" i="3" s="1"/>
  <c r="Q260" i="3"/>
  <c r="AB260" i="3"/>
  <c r="P260" i="3"/>
  <c r="AA260" i="3"/>
  <c r="O260" i="3"/>
  <c r="Z260" i="3"/>
  <c r="N260" i="3"/>
  <c r="Y260" i="3"/>
  <c r="X260" i="3"/>
  <c r="W260" i="3"/>
  <c r="V260" i="3"/>
  <c r="U260" i="3"/>
  <c r="T260" i="3"/>
  <c r="S260" i="3"/>
  <c r="M260" i="3"/>
  <c r="R260" i="3"/>
  <c r="L260" i="3"/>
  <c r="K260" i="3"/>
  <c r="AD260" i="3"/>
  <c r="AG31" i="3"/>
  <c r="AH101" i="3"/>
  <c r="AJ12" i="3"/>
  <c r="AE17" i="3"/>
  <c r="AJ123" i="3"/>
  <c r="AJ264" i="3"/>
  <c r="AJ277" i="3"/>
  <c r="T170" i="3"/>
  <c r="U170" i="3"/>
  <c r="S170" i="3"/>
  <c r="R170" i="3"/>
  <c r="AC170" i="3"/>
  <c r="AI170" i="3" s="1"/>
  <c r="P170" i="3"/>
  <c r="AD170" i="3"/>
  <c r="L170" i="3"/>
  <c r="AB170" i="3"/>
  <c r="K170" i="3"/>
  <c r="AA170" i="3"/>
  <c r="Y170" i="3"/>
  <c r="O170" i="3"/>
  <c r="N170" i="3"/>
  <c r="M170" i="3"/>
  <c r="Z170" i="3"/>
  <c r="X170" i="3"/>
  <c r="W170" i="3"/>
  <c r="V170" i="3"/>
  <c r="Q170" i="3"/>
  <c r="AI10" i="3"/>
  <c r="AI102" i="3"/>
  <c r="AI195" i="3"/>
  <c r="AI287" i="3"/>
  <c r="AL277" i="3"/>
  <c r="AH74" i="3"/>
  <c r="AH240" i="3"/>
  <c r="AH295" i="3"/>
  <c r="AK173" i="3"/>
  <c r="AK299" i="3"/>
  <c r="AG273" i="3"/>
  <c r="AF3" i="3"/>
  <c r="AF102" i="3"/>
  <c r="AF167" i="3"/>
  <c r="AL55" i="3"/>
  <c r="AI204" i="3"/>
  <c r="AI199" i="3"/>
  <c r="AL244" i="3"/>
  <c r="AG79" i="3"/>
  <c r="AH78" i="3"/>
  <c r="AH170" i="3"/>
  <c r="AH263" i="3"/>
  <c r="AG34" i="3"/>
  <c r="W34" i="3"/>
  <c r="V34" i="3"/>
  <c r="AG111" i="3"/>
  <c r="AG249" i="3"/>
  <c r="AG261" i="3"/>
  <c r="AG296" i="3"/>
  <c r="AF84" i="3"/>
  <c r="AF282" i="3"/>
  <c r="R39" i="3"/>
  <c r="AC39" i="3"/>
  <c r="AL39" i="3" s="1"/>
  <c r="Q39" i="3"/>
  <c r="AB39" i="3"/>
  <c r="P39" i="3"/>
  <c r="X39" i="3"/>
  <c r="W39" i="3"/>
  <c r="V39" i="3"/>
  <c r="Z39" i="3"/>
  <c r="Y39" i="3"/>
  <c r="U39" i="3"/>
  <c r="S39" i="3"/>
  <c r="O39" i="3"/>
  <c r="N39" i="3"/>
  <c r="M39" i="3"/>
  <c r="L39" i="3"/>
  <c r="K39" i="3"/>
  <c r="T39" i="3"/>
  <c r="AA39" i="3"/>
  <c r="AC161" i="3"/>
  <c r="Q161" i="3"/>
  <c r="X161" i="3"/>
  <c r="K161" i="3"/>
  <c r="V161" i="3"/>
  <c r="AB161" i="3"/>
  <c r="M161" i="3"/>
  <c r="AA161" i="3"/>
  <c r="L161" i="3"/>
  <c r="Z161" i="3"/>
  <c r="W161" i="3"/>
  <c r="P161" i="3"/>
  <c r="O161" i="3"/>
  <c r="N161" i="3"/>
  <c r="AD161" i="3"/>
  <c r="Y161" i="3"/>
  <c r="U161" i="3"/>
  <c r="T161" i="3"/>
  <c r="S161" i="3"/>
  <c r="R161" i="3"/>
  <c r="Z98" i="3"/>
  <c r="N98" i="3"/>
  <c r="W98" i="3"/>
  <c r="K98" i="3"/>
  <c r="T98" i="3"/>
  <c r="S98" i="3"/>
  <c r="R98" i="3"/>
  <c r="Q98" i="3"/>
  <c r="Y98" i="3"/>
  <c r="X98" i="3"/>
  <c r="V98" i="3"/>
  <c r="U98" i="3"/>
  <c r="AD98" i="3"/>
  <c r="AC98" i="3"/>
  <c r="AG98" i="3" s="1"/>
  <c r="AB98" i="3"/>
  <c r="M98" i="3"/>
  <c r="AA98" i="3"/>
  <c r="P98" i="3"/>
  <c r="O98" i="3"/>
  <c r="L98" i="3"/>
  <c r="Z164" i="3"/>
  <c r="N164" i="3"/>
  <c r="T164" i="3"/>
  <c r="S164" i="3"/>
  <c r="R164" i="3"/>
  <c r="AC164" i="3"/>
  <c r="AK164" i="3" s="1"/>
  <c r="P164" i="3"/>
  <c r="Q164" i="3"/>
  <c r="O164" i="3"/>
  <c r="M164" i="3"/>
  <c r="AD164" i="3"/>
  <c r="K164" i="3"/>
  <c r="AB164" i="3"/>
  <c r="AA164" i="3"/>
  <c r="Y164" i="3"/>
  <c r="X164" i="3"/>
  <c r="W164" i="3"/>
  <c r="V164" i="3"/>
  <c r="U164" i="3"/>
  <c r="L164" i="3"/>
  <c r="Y288" i="3"/>
  <c r="M288" i="3"/>
  <c r="X288" i="3"/>
  <c r="L288" i="3"/>
  <c r="W288" i="3"/>
  <c r="K288" i="3"/>
  <c r="V288" i="3"/>
  <c r="U288" i="3"/>
  <c r="T288" i="3"/>
  <c r="S288" i="3"/>
  <c r="R288" i="3"/>
  <c r="AC288" i="3"/>
  <c r="AJ288" i="3" s="1"/>
  <c r="Q288" i="3"/>
  <c r="AB288" i="3"/>
  <c r="P288" i="3"/>
  <c r="AA288" i="3"/>
  <c r="O288" i="3"/>
  <c r="Z288" i="3"/>
  <c r="N288" i="3"/>
  <c r="T61" i="3"/>
  <c r="S61" i="3"/>
  <c r="R61" i="3"/>
  <c r="Z61" i="3"/>
  <c r="K61" i="3"/>
  <c r="Y61" i="3"/>
  <c r="X61" i="3"/>
  <c r="V61" i="3"/>
  <c r="U61" i="3"/>
  <c r="Q61" i="3"/>
  <c r="P61" i="3"/>
  <c r="O61" i="3"/>
  <c r="N61" i="3"/>
  <c r="M61" i="3"/>
  <c r="AA61" i="3"/>
  <c r="W61" i="3"/>
  <c r="AB61" i="3"/>
  <c r="AC61" i="3"/>
  <c r="AG61" i="3" s="1"/>
  <c r="L61" i="3"/>
  <c r="AE44" i="3"/>
  <c r="AE86" i="3"/>
  <c r="AE138" i="3"/>
  <c r="AJ62" i="3"/>
  <c r="AJ84" i="3"/>
  <c r="AJ145" i="3"/>
  <c r="AJ180" i="3"/>
  <c r="AJ178" i="3"/>
  <c r="AJ158" i="3"/>
  <c r="AJ239" i="3"/>
  <c r="AJ233" i="3"/>
  <c r="AL42" i="3"/>
  <c r="Z147" i="3"/>
  <c r="U74" i="3"/>
  <c r="AG54" i="3"/>
  <c r="AI87" i="3"/>
  <c r="AI94" i="3"/>
  <c r="AI135" i="3"/>
  <c r="AI221" i="3"/>
  <c r="AL30" i="3"/>
  <c r="AL160" i="3"/>
  <c r="AL101" i="3"/>
  <c r="AL152" i="3"/>
  <c r="AL213" i="3"/>
  <c r="AL207" i="3"/>
  <c r="AG5" i="3"/>
  <c r="AI21" i="3"/>
  <c r="AI68" i="3"/>
  <c r="AI99" i="3"/>
  <c r="AI49" i="3"/>
  <c r="AI145" i="3"/>
  <c r="AI149" i="3"/>
  <c r="AI239" i="3"/>
  <c r="AI242" i="3"/>
  <c r="AI233" i="3"/>
  <c r="AI296" i="3"/>
  <c r="AI277" i="3"/>
  <c r="AL17" i="3"/>
  <c r="AL233" i="3"/>
  <c r="AL108" i="3"/>
  <c r="AL161" i="3"/>
  <c r="AL134" i="3"/>
  <c r="AL258" i="3"/>
  <c r="AL274" i="3"/>
  <c r="AL279" i="3"/>
  <c r="AG115" i="3"/>
  <c r="AI51" i="3"/>
  <c r="AK75" i="3"/>
  <c r="AH32" i="3"/>
  <c r="X21" i="3"/>
  <c r="W21" i="3"/>
  <c r="AH68" i="3"/>
  <c r="AH63" i="3"/>
  <c r="AH167" i="3"/>
  <c r="AH145" i="3"/>
  <c r="AH171" i="3"/>
  <c r="AH127" i="3"/>
  <c r="AH239" i="3"/>
  <c r="AH241" i="3"/>
  <c r="AH244" i="3"/>
  <c r="AH270" i="3"/>
  <c r="AH291" i="3"/>
  <c r="AK64" i="3"/>
  <c r="AK74" i="3"/>
  <c r="AK116" i="3"/>
  <c r="AK144" i="3"/>
  <c r="AK123" i="3"/>
  <c r="AK161" i="3"/>
  <c r="AK169" i="3"/>
  <c r="AK210" i="3"/>
  <c r="AK258" i="3"/>
  <c r="AK253" i="3"/>
  <c r="AK273" i="3"/>
  <c r="AK102" i="3"/>
  <c r="AG68" i="3"/>
  <c r="AG108" i="3"/>
  <c r="AG50" i="3"/>
  <c r="AG125" i="3"/>
  <c r="AG178" i="3"/>
  <c r="AG266" i="3"/>
  <c r="AG183" i="3"/>
  <c r="AG221" i="3"/>
  <c r="AG247" i="3"/>
  <c r="AG291" i="3"/>
  <c r="AJ161" i="3"/>
  <c r="AH161" i="3"/>
  <c r="AE57" i="3"/>
  <c r="AF166" i="3"/>
  <c r="AF17" i="3"/>
  <c r="AF58" i="3"/>
  <c r="AF24" i="3"/>
  <c r="AF62" i="3"/>
  <c r="AF116" i="3"/>
  <c r="AF194" i="3"/>
  <c r="AF189" i="3"/>
  <c r="AF169" i="3"/>
  <c r="AF162" i="3"/>
  <c r="AF240" i="3"/>
  <c r="AF258" i="3"/>
  <c r="AF225" i="3"/>
  <c r="AF277" i="3"/>
  <c r="AF283" i="3"/>
  <c r="AA129" i="3"/>
  <c r="O129" i="3"/>
  <c r="X129" i="3"/>
  <c r="K129" i="3"/>
  <c r="W129" i="3"/>
  <c r="V129" i="3"/>
  <c r="T129" i="3"/>
  <c r="S129" i="3"/>
  <c r="R129" i="3"/>
  <c r="Q129" i="3"/>
  <c r="U129" i="3"/>
  <c r="P129" i="3"/>
  <c r="N129" i="3"/>
  <c r="M129" i="3"/>
  <c r="AC129" i="3"/>
  <c r="AG129" i="3" s="1"/>
  <c r="AB129" i="3"/>
  <c r="Z129" i="3"/>
  <c r="Y129" i="3"/>
  <c r="L129" i="3"/>
  <c r="W58" i="3"/>
  <c r="K58" i="3"/>
  <c r="V58" i="3"/>
  <c r="U58" i="3"/>
  <c r="Z58" i="3"/>
  <c r="Y58" i="3"/>
  <c r="X58" i="3"/>
  <c r="AB58" i="3"/>
  <c r="AA58" i="3"/>
  <c r="T58" i="3"/>
  <c r="S58" i="3"/>
  <c r="R58" i="3"/>
  <c r="Q58" i="3"/>
  <c r="P58" i="3"/>
  <c r="N58" i="3"/>
  <c r="M58" i="3"/>
  <c r="L58" i="3"/>
  <c r="AC58" i="3"/>
  <c r="AE58" i="3" s="1"/>
  <c r="O58" i="3"/>
  <c r="X88" i="3"/>
  <c r="L88" i="3"/>
  <c r="U88" i="3"/>
  <c r="AA88" i="3"/>
  <c r="M88" i="3"/>
  <c r="Z88" i="3"/>
  <c r="K88" i="3"/>
  <c r="Y88" i="3"/>
  <c r="AB88" i="3"/>
  <c r="W88" i="3"/>
  <c r="V88" i="3"/>
  <c r="T88" i="3"/>
  <c r="AC88" i="3"/>
  <c r="AF88" i="3" s="1"/>
  <c r="S88" i="3"/>
  <c r="R88" i="3"/>
  <c r="Q88" i="3"/>
  <c r="O88" i="3"/>
  <c r="N88" i="3"/>
  <c r="P88" i="3"/>
  <c r="AA14" i="3"/>
  <c r="O14" i="3"/>
  <c r="Z14" i="3"/>
  <c r="N14" i="3"/>
  <c r="Y14" i="3"/>
  <c r="M14" i="3"/>
  <c r="T14" i="3"/>
  <c r="S14" i="3"/>
  <c r="R14" i="3"/>
  <c r="P14" i="3"/>
  <c r="L14" i="3"/>
  <c r="V14" i="3"/>
  <c r="K14" i="3"/>
  <c r="X14" i="3"/>
  <c r="AC14" i="3"/>
  <c r="AL14" i="3" s="1"/>
  <c r="AB14" i="3"/>
  <c r="W14" i="3"/>
  <c r="Q14" i="3"/>
  <c r="U14" i="3"/>
  <c r="Z15" i="3"/>
  <c r="N15" i="3"/>
  <c r="Y15" i="3"/>
  <c r="M15" i="3"/>
  <c r="X15" i="3"/>
  <c r="L15" i="3"/>
  <c r="P15" i="3"/>
  <c r="O15" i="3"/>
  <c r="AC15" i="3"/>
  <c r="AF15" i="3" s="1"/>
  <c r="K15" i="3"/>
  <c r="AA15" i="3"/>
  <c r="W15" i="3"/>
  <c r="S15" i="3"/>
  <c r="V15" i="3"/>
  <c r="U15" i="3"/>
  <c r="T15" i="3"/>
  <c r="R15" i="3"/>
  <c r="Q15" i="3"/>
  <c r="AB15" i="3"/>
  <c r="AB96" i="3"/>
  <c r="P96" i="3"/>
  <c r="Y96" i="3"/>
  <c r="M96" i="3"/>
  <c r="S96" i="3"/>
  <c r="R96" i="3"/>
  <c r="Q96" i="3"/>
  <c r="T96" i="3"/>
  <c r="O96" i="3"/>
  <c r="N96" i="3"/>
  <c r="L96" i="3"/>
  <c r="X96" i="3"/>
  <c r="W96" i="3"/>
  <c r="V96" i="3"/>
  <c r="U96" i="3"/>
  <c r="K96" i="3"/>
  <c r="AA96" i="3"/>
  <c r="Z96" i="3"/>
  <c r="AC96" i="3"/>
  <c r="AD96" i="3" s="1"/>
  <c r="X241" i="3"/>
  <c r="L241" i="3"/>
  <c r="W241" i="3"/>
  <c r="K241" i="3"/>
  <c r="V241" i="3"/>
  <c r="U241" i="3"/>
  <c r="AB241" i="3"/>
  <c r="AA241" i="3"/>
  <c r="Z241" i="3"/>
  <c r="Y241" i="3"/>
  <c r="T241" i="3"/>
  <c r="S241" i="3"/>
  <c r="R241" i="3"/>
  <c r="P241" i="3"/>
  <c r="Q241" i="3"/>
  <c r="O241" i="3"/>
  <c r="N241" i="3"/>
  <c r="AD241" i="3"/>
  <c r="AC241" i="3"/>
  <c r="AK241" i="3" s="1"/>
  <c r="M241" i="3"/>
  <c r="V156" i="3"/>
  <c r="Z156" i="3"/>
  <c r="M156" i="3"/>
  <c r="X156" i="3"/>
  <c r="K156" i="3"/>
  <c r="Y156" i="3"/>
  <c r="W156" i="3"/>
  <c r="U156" i="3"/>
  <c r="S156" i="3"/>
  <c r="N156" i="3"/>
  <c r="L156" i="3"/>
  <c r="AC156" i="3"/>
  <c r="AI156" i="3" s="1"/>
  <c r="AB156" i="3"/>
  <c r="AA156" i="3"/>
  <c r="T156" i="3"/>
  <c r="R156" i="3"/>
  <c r="Q156" i="3"/>
  <c r="P156" i="3"/>
  <c r="O156" i="3"/>
  <c r="AC185" i="3"/>
  <c r="AI185" i="3" s="1"/>
  <c r="Q185" i="3"/>
  <c r="AA185" i="3"/>
  <c r="O185" i="3"/>
  <c r="Z185" i="3"/>
  <c r="L185" i="3"/>
  <c r="Y185" i="3"/>
  <c r="K185" i="3"/>
  <c r="X185" i="3"/>
  <c r="V185" i="3"/>
  <c r="R185" i="3"/>
  <c r="P185" i="3"/>
  <c r="N185" i="3"/>
  <c r="AD185" i="3"/>
  <c r="AB185" i="3"/>
  <c r="W185" i="3"/>
  <c r="U185" i="3"/>
  <c r="T185" i="3"/>
  <c r="S185" i="3"/>
  <c r="M185" i="3"/>
  <c r="AB199" i="3"/>
  <c r="Q199" i="3"/>
  <c r="AC199" i="3"/>
  <c r="AJ199" i="3" s="1"/>
  <c r="P199" i="3"/>
  <c r="AA199" i="3"/>
  <c r="O199" i="3"/>
  <c r="Y199" i="3"/>
  <c r="M199" i="3"/>
  <c r="N199" i="3"/>
  <c r="L199" i="3"/>
  <c r="K199" i="3"/>
  <c r="Z199" i="3"/>
  <c r="X199" i="3"/>
  <c r="W199" i="3"/>
  <c r="V199" i="3"/>
  <c r="U199" i="3"/>
  <c r="T199" i="3"/>
  <c r="S199" i="3"/>
  <c r="R199" i="3"/>
  <c r="AA122" i="3"/>
  <c r="O122" i="3"/>
  <c r="Z122" i="3"/>
  <c r="N122" i="3"/>
  <c r="Y122" i="3"/>
  <c r="M122" i="3"/>
  <c r="W122" i="3"/>
  <c r="K122" i="3"/>
  <c r="AC122" i="3"/>
  <c r="AF122" i="3" s="1"/>
  <c r="AB122" i="3"/>
  <c r="U122" i="3"/>
  <c r="T122" i="3"/>
  <c r="S122" i="3"/>
  <c r="R122" i="3"/>
  <c r="Q122" i="3"/>
  <c r="P122" i="3"/>
  <c r="L122" i="3"/>
  <c r="X122" i="3"/>
  <c r="V122" i="3"/>
  <c r="T148" i="3"/>
  <c r="AD148" i="3"/>
  <c r="R148" i="3"/>
  <c r="P148" i="3"/>
  <c r="AC148" i="3"/>
  <c r="AK148" i="3" s="1"/>
  <c r="O148" i="3"/>
  <c r="AB148" i="3"/>
  <c r="N148" i="3"/>
  <c r="Z148" i="3"/>
  <c r="L148" i="3"/>
  <c r="Y148" i="3"/>
  <c r="X148" i="3"/>
  <c r="W148" i="3"/>
  <c r="K148" i="3"/>
  <c r="AA148" i="3"/>
  <c r="V148" i="3"/>
  <c r="M148" i="3"/>
  <c r="U148" i="3"/>
  <c r="S148" i="3"/>
  <c r="Q148" i="3"/>
  <c r="Y240" i="3"/>
  <c r="M240" i="3"/>
  <c r="X240" i="3"/>
  <c r="L240" i="3"/>
  <c r="W240" i="3"/>
  <c r="K240" i="3"/>
  <c r="V240" i="3"/>
  <c r="AC240" i="3"/>
  <c r="AG240" i="3" s="1"/>
  <c r="AB240" i="3"/>
  <c r="AA240" i="3"/>
  <c r="Z240" i="3"/>
  <c r="U240" i="3"/>
  <c r="Q240" i="3"/>
  <c r="P240" i="3"/>
  <c r="O240" i="3"/>
  <c r="AD240" i="3"/>
  <c r="T240" i="3"/>
  <c r="S240" i="3"/>
  <c r="N240" i="3"/>
  <c r="R240" i="3"/>
  <c r="W179" i="3"/>
  <c r="K179" i="3"/>
  <c r="AB179" i="3"/>
  <c r="O179" i="3"/>
  <c r="AA179" i="3"/>
  <c r="N179" i="3"/>
  <c r="Z179" i="3"/>
  <c r="M179" i="3"/>
  <c r="X179" i="3"/>
  <c r="L179" i="3"/>
  <c r="Y179" i="3"/>
  <c r="S179" i="3"/>
  <c r="R179" i="3"/>
  <c r="Q179" i="3"/>
  <c r="P179" i="3"/>
  <c r="AC179" i="3"/>
  <c r="AD179" i="3" s="1"/>
  <c r="V179" i="3"/>
  <c r="U179" i="3"/>
  <c r="T179" i="3"/>
  <c r="Z188" i="3"/>
  <c r="N188" i="3"/>
  <c r="X188" i="3"/>
  <c r="L188" i="3"/>
  <c r="Q188" i="3"/>
  <c r="P188" i="3"/>
  <c r="AC188" i="3"/>
  <c r="AK188" i="3" s="1"/>
  <c r="O188" i="3"/>
  <c r="AA188" i="3"/>
  <c r="K188" i="3"/>
  <c r="M188" i="3"/>
  <c r="AB188" i="3"/>
  <c r="U188" i="3"/>
  <c r="T188" i="3"/>
  <c r="S188" i="3"/>
  <c r="R188" i="3"/>
  <c r="Y188" i="3"/>
  <c r="W188" i="3"/>
  <c r="V188" i="3"/>
  <c r="Y228" i="3"/>
  <c r="M228" i="3"/>
  <c r="X228" i="3"/>
  <c r="L228" i="3"/>
  <c r="W228" i="3"/>
  <c r="K228" i="3"/>
  <c r="V228" i="3"/>
  <c r="U228" i="3"/>
  <c r="T228" i="3"/>
  <c r="S228" i="3"/>
  <c r="R228" i="3"/>
  <c r="Q228" i="3"/>
  <c r="P228" i="3"/>
  <c r="O228" i="3"/>
  <c r="N228" i="3"/>
  <c r="AC228" i="3"/>
  <c r="AE228" i="3" s="1"/>
  <c r="AD228" i="3"/>
  <c r="AB228" i="3"/>
  <c r="AA228" i="3"/>
  <c r="Z228" i="3"/>
  <c r="Z213" i="3"/>
  <c r="N213" i="3"/>
  <c r="Y213" i="3"/>
  <c r="M213" i="3"/>
  <c r="X213" i="3"/>
  <c r="L213" i="3"/>
  <c r="W213" i="3"/>
  <c r="K213" i="3"/>
  <c r="V213" i="3"/>
  <c r="U213" i="3"/>
  <c r="T213" i="3"/>
  <c r="R213" i="3"/>
  <c r="S213" i="3"/>
  <c r="Q213" i="3"/>
  <c r="P213" i="3"/>
  <c r="AC213" i="3"/>
  <c r="AI213" i="3" s="1"/>
  <c r="AB213" i="3"/>
  <c r="O213" i="3"/>
  <c r="AA213" i="3"/>
  <c r="AB261" i="3"/>
  <c r="P261" i="3"/>
  <c r="AA261" i="3"/>
  <c r="O261" i="3"/>
  <c r="Z261" i="3"/>
  <c r="N261" i="3"/>
  <c r="Y261" i="3"/>
  <c r="M261" i="3"/>
  <c r="X261" i="3"/>
  <c r="W261" i="3"/>
  <c r="V261" i="3"/>
  <c r="U261" i="3"/>
  <c r="L261" i="3"/>
  <c r="K261" i="3"/>
  <c r="AD261" i="3"/>
  <c r="T261" i="3"/>
  <c r="AC261" i="3"/>
  <c r="AI261" i="3" s="1"/>
  <c r="S261" i="3"/>
  <c r="R261" i="3"/>
  <c r="Q261" i="3"/>
  <c r="X289" i="3"/>
  <c r="L289" i="3"/>
  <c r="W289" i="3"/>
  <c r="K289" i="3"/>
  <c r="V289" i="3"/>
  <c r="U289" i="3"/>
  <c r="T289" i="3"/>
  <c r="S289" i="3"/>
  <c r="R289" i="3"/>
  <c r="AC289" i="3"/>
  <c r="AL289" i="3" s="1"/>
  <c r="Q289" i="3"/>
  <c r="AB289" i="3"/>
  <c r="P289" i="3"/>
  <c r="AA289" i="3"/>
  <c r="O289" i="3"/>
  <c r="Z289" i="3"/>
  <c r="N289" i="3"/>
  <c r="Y289" i="3"/>
  <c r="M289" i="3"/>
  <c r="R295" i="3"/>
  <c r="AC295" i="3"/>
  <c r="AG295" i="3" s="1"/>
  <c r="Q295" i="3"/>
  <c r="AB295" i="3"/>
  <c r="P295" i="3"/>
  <c r="AA295" i="3"/>
  <c r="O295" i="3"/>
  <c r="Z295" i="3"/>
  <c r="N295" i="3"/>
  <c r="Y295" i="3"/>
  <c r="M295" i="3"/>
  <c r="X295" i="3"/>
  <c r="L295" i="3"/>
  <c r="W295" i="3"/>
  <c r="K295" i="3"/>
  <c r="V295" i="3"/>
  <c r="U295" i="3"/>
  <c r="T295" i="3"/>
  <c r="S295" i="3"/>
  <c r="T105" i="3"/>
  <c r="V105" i="3"/>
  <c r="M76" i="3"/>
  <c r="S22" i="3"/>
  <c r="R22" i="3"/>
  <c r="AC22" i="3"/>
  <c r="AK22" i="3" s="1"/>
  <c r="Q22" i="3"/>
  <c r="AA22" i="3"/>
  <c r="L22" i="3"/>
  <c r="Z22" i="3"/>
  <c r="K22" i="3"/>
  <c r="Y22" i="3"/>
  <c r="W22" i="3"/>
  <c r="P22" i="3"/>
  <c r="N22" i="3"/>
  <c r="AB22" i="3"/>
  <c r="O22" i="3"/>
  <c r="X22" i="3"/>
  <c r="V22" i="3"/>
  <c r="U22" i="3"/>
  <c r="T22" i="3"/>
  <c r="M22" i="3"/>
  <c r="V23" i="3"/>
  <c r="AB71" i="3"/>
  <c r="T71" i="3"/>
  <c r="AC105" i="3"/>
  <c r="AD105" i="3" s="1"/>
  <c r="AE105" i="3"/>
  <c r="AE90" i="3"/>
  <c r="AE91" i="3"/>
  <c r="AE144" i="3"/>
  <c r="AE253" i="3"/>
  <c r="AE89" i="3"/>
  <c r="AE106" i="3"/>
  <c r="AE97" i="3"/>
  <c r="AE141" i="3"/>
  <c r="AE193" i="3"/>
  <c r="AE218" i="3"/>
  <c r="AE230" i="3"/>
  <c r="AE272" i="3"/>
  <c r="AE276" i="3"/>
  <c r="AE282" i="3"/>
  <c r="AK68" i="3"/>
  <c r="AJ23" i="3"/>
  <c r="AJ19" i="3"/>
  <c r="AJ32" i="3"/>
  <c r="AJ97" i="3"/>
  <c r="AJ204" i="3"/>
  <c r="AJ117" i="3"/>
  <c r="AJ208" i="3"/>
  <c r="AJ182" i="3"/>
  <c r="AJ206" i="3"/>
  <c r="AJ219" i="3"/>
  <c r="AJ257" i="3"/>
  <c r="AJ291" i="3"/>
  <c r="AI40" i="3"/>
  <c r="AI113" i="3"/>
  <c r="AJ34" i="3"/>
  <c r="V36" i="3"/>
  <c r="U19" i="3"/>
  <c r="M17" i="3"/>
  <c r="T17" i="3"/>
  <c r="Y100" i="3"/>
  <c r="P21" i="3"/>
  <c r="W74" i="3"/>
  <c r="AF109" i="3"/>
  <c r="AF181" i="3"/>
  <c r="AF224" i="3"/>
  <c r="U195" i="3"/>
  <c r="T195" i="3"/>
  <c r="S195" i="3"/>
  <c r="AC195" i="3"/>
  <c r="AL195" i="3" s="1"/>
  <c r="Q195" i="3"/>
  <c r="R195" i="3"/>
  <c r="P195" i="3"/>
  <c r="O195" i="3"/>
  <c r="M195" i="3"/>
  <c r="Y195" i="3"/>
  <c r="X195" i="3"/>
  <c r="W195" i="3"/>
  <c r="N195" i="3"/>
  <c r="V195" i="3"/>
  <c r="L195" i="3"/>
  <c r="K195" i="3"/>
  <c r="AB195" i="3"/>
  <c r="AA195" i="3"/>
  <c r="Z195" i="3"/>
  <c r="AB41" i="3"/>
  <c r="P41" i="3"/>
  <c r="AA41" i="3"/>
  <c r="O41" i="3"/>
  <c r="Z41" i="3"/>
  <c r="N41" i="3"/>
  <c r="M41" i="3"/>
  <c r="L41" i="3"/>
  <c r="AC41" i="3"/>
  <c r="AK41" i="3" s="1"/>
  <c r="K41" i="3"/>
  <c r="R41" i="3"/>
  <c r="Q41" i="3"/>
  <c r="Y41" i="3"/>
  <c r="X41" i="3"/>
  <c r="W41" i="3"/>
  <c r="V41" i="3"/>
  <c r="U41" i="3"/>
  <c r="T41" i="3"/>
  <c r="S41" i="3"/>
  <c r="S159" i="3"/>
  <c r="T159" i="3"/>
  <c r="AD159" i="3"/>
  <c r="Q159" i="3"/>
  <c r="X159" i="3"/>
  <c r="W159" i="3"/>
  <c r="V159" i="3"/>
  <c r="R159" i="3"/>
  <c r="P159" i="3"/>
  <c r="O159" i="3"/>
  <c r="N159" i="3"/>
  <c r="U159" i="3"/>
  <c r="M159" i="3"/>
  <c r="L159" i="3"/>
  <c r="K159" i="3"/>
  <c r="AB159" i="3"/>
  <c r="AA159" i="3"/>
  <c r="Z159" i="3"/>
  <c r="Y159" i="3"/>
  <c r="AC159" i="3"/>
  <c r="AL159" i="3" s="1"/>
  <c r="X192" i="3"/>
  <c r="L192" i="3"/>
  <c r="W192" i="3"/>
  <c r="K192" i="3"/>
  <c r="V192" i="3"/>
  <c r="T192" i="3"/>
  <c r="U192" i="3"/>
  <c r="S192" i="3"/>
  <c r="R192" i="3"/>
  <c r="P192" i="3"/>
  <c r="AB192" i="3"/>
  <c r="AA192" i="3"/>
  <c r="Z192" i="3"/>
  <c r="Q192" i="3"/>
  <c r="Y192" i="3"/>
  <c r="O192" i="3"/>
  <c r="N192" i="3"/>
  <c r="M192" i="3"/>
  <c r="AC192" i="3"/>
  <c r="AJ192" i="3" s="1"/>
  <c r="T281" i="3"/>
  <c r="S281" i="3"/>
  <c r="R281" i="3"/>
  <c r="AC281" i="3"/>
  <c r="AL281" i="3" s="1"/>
  <c r="Q281" i="3"/>
  <c r="AB281" i="3"/>
  <c r="P281" i="3"/>
  <c r="AA281" i="3"/>
  <c r="O281" i="3"/>
  <c r="Z281" i="3"/>
  <c r="N281" i="3"/>
  <c r="Y281" i="3"/>
  <c r="M281" i="3"/>
  <c r="X281" i="3"/>
  <c r="L281" i="3"/>
  <c r="W281" i="3"/>
  <c r="K281" i="3"/>
  <c r="V281" i="3"/>
  <c r="U281" i="3"/>
  <c r="AK25" i="3"/>
  <c r="AE233" i="3"/>
  <c r="AE62" i="3"/>
  <c r="AE271" i="3"/>
  <c r="AJ181" i="3"/>
  <c r="AJ166" i="3"/>
  <c r="AI110" i="3"/>
  <c r="AI249" i="3"/>
  <c r="AI270" i="3"/>
  <c r="AL82" i="3"/>
  <c r="AL184" i="3"/>
  <c r="AL204" i="3"/>
  <c r="AH289" i="3"/>
  <c r="AK97" i="3"/>
  <c r="AK178" i="3"/>
  <c r="AK240" i="3"/>
  <c r="AG87" i="3"/>
  <c r="AG176" i="3"/>
  <c r="AG258" i="3"/>
  <c r="AI74" i="3"/>
  <c r="AI217" i="3"/>
  <c r="AI276" i="3"/>
  <c r="AL85" i="3"/>
  <c r="AL191" i="3"/>
  <c r="AL209" i="3"/>
  <c r="AH124" i="3"/>
  <c r="AH177" i="3"/>
  <c r="AH290" i="3"/>
  <c r="AK130" i="3"/>
  <c r="AK252" i="3"/>
  <c r="AK267" i="3"/>
  <c r="AG44" i="3"/>
  <c r="U34" i="3"/>
  <c r="N23" i="3"/>
  <c r="AF220" i="3"/>
  <c r="AF252" i="3"/>
  <c r="AF218" i="3"/>
  <c r="AF276" i="3"/>
  <c r="W30" i="3"/>
  <c r="K30" i="3"/>
  <c r="V30" i="3"/>
  <c r="U30" i="3"/>
  <c r="S30" i="3"/>
  <c r="R30" i="3"/>
  <c r="Q30" i="3"/>
  <c r="AD30" i="3"/>
  <c r="O30" i="3"/>
  <c r="Y30" i="3"/>
  <c r="X30" i="3"/>
  <c r="T30" i="3"/>
  <c r="P30" i="3"/>
  <c r="N30" i="3"/>
  <c r="AC30" i="3"/>
  <c r="M30" i="3"/>
  <c r="L30" i="3"/>
  <c r="AB30" i="3"/>
  <c r="AA30" i="3"/>
  <c r="Z30" i="3"/>
  <c r="AB77" i="3"/>
  <c r="P77" i="3"/>
  <c r="AA77" i="3"/>
  <c r="O77" i="3"/>
  <c r="Z77" i="3"/>
  <c r="N77" i="3"/>
  <c r="AC77" i="3"/>
  <c r="AG77" i="3" s="1"/>
  <c r="K77" i="3"/>
  <c r="Y77" i="3"/>
  <c r="X77" i="3"/>
  <c r="W77" i="3"/>
  <c r="AD77" i="3"/>
  <c r="V77" i="3"/>
  <c r="U77" i="3"/>
  <c r="T77" i="3"/>
  <c r="S77" i="3"/>
  <c r="R77" i="3"/>
  <c r="Q77" i="3"/>
  <c r="M77" i="3"/>
  <c r="L77" i="3"/>
  <c r="Y177" i="3"/>
  <c r="M177" i="3"/>
  <c r="W177" i="3"/>
  <c r="V177" i="3"/>
  <c r="U177" i="3"/>
  <c r="S177" i="3"/>
  <c r="AB177" i="3"/>
  <c r="AA177" i="3"/>
  <c r="Z177" i="3"/>
  <c r="T177" i="3"/>
  <c r="X177" i="3"/>
  <c r="R177" i="3"/>
  <c r="Q177" i="3"/>
  <c r="P177" i="3"/>
  <c r="O177" i="3"/>
  <c r="N177" i="3"/>
  <c r="L177" i="3"/>
  <c r="K177" i="3"/>
  <c r="AD177" i="3"/>
  <c r="AC177" i="3"/>
  <c r="AJ177" i="3" s="1"/>
  <c r="AB174" i="3"/>
  <c r="P174" i="3"/>
  <c r="Q174" i="3"/>
  <c r="AC174" i="3"/>
  <c r="AG174" i="3" s="1"/>
  <c r="O174" i="3"/>
  <c r="AA174" i="3"/>
  <c r="N174" i="3"/>
  <c r="Y174" i="3"/>
  <c r="L174" i="3"/>
  <c r="U174" i="3"/>
  <c r="T174" i="3"/>
  <c r="S174" i="3"/>
  <c r="M174" i="3"/>
  <c r="R174" i="3"/>
  <c r="K174" i="3"/>
  <c r="Z174" i="3"/>
  <c r="X174" i="3"/>
  <c r="W174" i="3"/>
  <c r="V174" i="3"/>
  <c r="AB237" i="3"/>
  <c r="P237" i="3"/>
  <c r="AA237" i="3"/>
  <c r="O237" i="3"/>
  <c r="Z237" i="3"/>
  <c r="N237" i="3"/>
  <c r="Y237" i="3"/>
  <c r="M237" i="3"/>
  <c r="L237" i="3"/>
  <c r="K237" i="3"/>
  <c r="AC237" i="3"/>
  <c r="AJ237" i="3" s="1"/>
  <c r="X237" i="3"/>
  <c r="T237" i="3"/>
  <c r="S237" i="3"/>
  <c r="R237" i="3"/>
  <c r="Q237" i="3"/>
  <c r="W237" i="3"/>
  <c r="V237" i="3"/>
  <c r="U237" i="3"/>
  <c r="AC24" i="3"/>
  <c r="AD24" i="3" s="1"/>
  <c r="Q24" i="3"/>
  <c r="AB24" i="3"/>
  <c r="P24" i="3"/>
  <c r="AA24" i="3"/>
  <c r="O24" i="3"/>
  <c r="S24" i="3"/>
  <c r="R24" i="3"/>
  <c r="N24" i="3"/>
  <c r="L24" i="3"/>
  <c r="Z24" i="3"/>
  <c r="M24" i="3"/>
  <c r="Y24" i="3"/>
  <c r="X24" i="3"/>
  <c r="W24" i="3"/>
  <c r="V24" i="3"/>
  <c r="U24" i="3"/>
  <c r="T24" i="3"/>
  <c r="K24" i="3"/>
  <c r="AC34" i="3"/>
  <c r="AH34" i="3" s="1"/>
  <c r="AI61" i="3"/>
  <c r="AI118" i="3"/>
  <c r="AI152" i="3"/>
  <c r="AI161" i="3"/>
  <c r="AI105" i="3"/>
  <c r="AI177" i="3"/>
  <c r="AI196" i="3"/>
  <c r="AI273" i="3"/>
  <c r="AI289" i="3"/>
  <c r="AL29" i="3"/>
  <c r="AL64" i="3"/>
  <c r="AL80" i="3"/>
  <c r="AL107" i="3"/>
  <c r="AL260" i="3"/>
  <c r="AL170" i="3"/>
  <c r="AL146" i="3"/>
  <c r="AL251" i="3"/>
  <c r="AL261" i="3"/>
  <c r="AL236" i="3"/>
  <c r="AL205" i="3"/>
  <c r="AL265" i="3"/>
  <c r="AL291" i="3"/>
  <c r="AH29" i="3"/>
  <c r="AH33" i="3"/>
  <c r="AH90" i="3"/>
  <c r="AH92" i="3"/>
  <c r="AH183" i="3"/>
  <c r="AH133" i="3"/>
  <c r="AH255" i="3"/>
  <c r="AH198" i="3"/>
  <c r="AH261" i="3"/>
  <c r="AH256" i="3"/>
  <c r="AH223" i="3"/>
  <c r="AH298" i="3"/>
  <c r="AK77" i="3"/>
  <c r="AK89" i="3"/>
  <c r="AK233" i="3"/>
  <c r="AK142" i="3"/>
  <c r="AK172" i="3"/>
  <c r="AK154" i="3"/>
  <c r="AK167" i="3"/>
  <c r="AK181" i="3"/>
  <c r="AK205" i="3"/>
  <c r="AK244" i="3"/>
  <c r="AK285" i="3"/>
  <c r="AH97" i="3"/>
  <c r="AG85" i="3"/>
  <c r="AG205" i="3"/>
  <c r="AG62" i="3"/>
  <c r="AG196" i="3"/>
  <c r="AG187" i="3"/>
  <c r="AG165" i="3"/>
  <c r="AG195" i="3"/>
  <c r="AG199" i="3"/>
  <c r="AG242" i="3"/>
  <c r="AG233" i="3"/>
  <c r="AG298" i="3"/>
  <c r="AE156" i="3"/>
  <c r="AF61" i="3"/>
  <c r="AE28" i="3"/>
  <c r="AL78" i="3"/>
  <c r="AK53" i="3"/>
  <c r="AE147" i="3"/>
  <c r="AF50" i="3"/>
  <c r="AF233" i="3"/>
  <c r="AF106" i="3"/>
  <c r="AF87" i="3"/>
  <c r="AF110" i="3"/>
  <c r="AF161" i="3"/>
  <c r="AF107" i="3"/>
  <c r="AF142" i="3"/>
  <c r="AF206" i="3"/>
  <c r="AF210" i="3"/>
  <c r="AF270" i="3"/>
  <c r="AF237" i="3"/>
  <c r="AF289" i="3"/>
  <c r="AF295" i="3"/>
  <c r="AK106" i="3"/>
  <c r="V47" i="3"/>
  <c r="U47" i="3"/>
  <c r="T47" i="3"/>
  <c r="P47" i="3"/>
  <c r="O47" i="3"/>
  <c r="AC47" i="3"/>
  <c r="AL47" i="3" s="1"/>
  <c r="N47" i="3"/>
  <c r="AA47" i="3"/>
  <c r="Z47" i="3"/>
  <c r="Y47" i="3"/>
  <c r="W47" i="3"/>
  <c r="S47" i="3"/>
  <c r="R47" i="3"/>
  <c r="Q47" i="3"/>
  <c r="M47" i="3"/>
  <c r="L47" i="3"/>
  <c r="K47" i="3"/>
  <c r="AB47" i="3"/>
  <c r="X47" i="3"/>
  <c r="V114" i="3"/>
  <c r="S114" i="3"/>
  <c r="T114" i="3"/>
  <c r="R114" i="3"/>
  <c r="Q114" i="3"/>
  <c r="U114" i="3"/>
  <c r="P114" i="3"/>
  <c r="O114" i="3"/>
  <c r="N114" i="3"/>
  <c r="Z114" i="3"/>
  <c r="Y114" i="3"/>
  <c r="X114" i="3"/>
  <c r="W114" i="3"/>
  <c r="AC114" i="3"/>
  <c r="AK114" i="3" s="1"/>
  <c r="AB114" i="3"/>
  <c r="L114" i="3"/>
  <c r="K114" i="3"/>
  <c r="AA114" i="3"/>
  <c r="M114" i="3"/>
  <c r="AB13" i="3"/>
  <c r="P13" i="3"/>
  <c r="AA13" i="3"/>
  <c r="O13" i="3"/>
  <c r="Z13" i="3"/>
  <c r="N13" i="3"/>
  <c r="X13" i="3"/>
  <c r="W13" i="3"/>
  <c r="V13" i="3"/>
  <c r="T13" i="3"/>
  <c r="K13" i="3"/>
  <c r="AC13" i="3"/>
  <c r="AI13" i="3" s="1"/>
  <c r="M13" i="3"/>
  <c r="Y13" i="3"/>
  <c r="U13" i="3"/>
  <c r="S13" i="3"/>
  <c r="R13" i="3"/>
  <c r="Q13" i="3"/>
  <c r="L13" i="3"/>
  <c r="AA26" i="3"/>
  <c r="O26" i="3"/>
  <c r="Z26" i="3"/>
  <c r="N26" i="3"/>
  <c r="Y26" i="3"/>
  <c r="M26" i="3"/>
  <c r="W26" i="3"/>
  <c r="V26" i="3"/>
  <c r="U26" i="3"/>
  <c r="S26" i="3"/>
  <c r="AC26" i="3"/>
  <c r="AE26" i="3" s="1"/>
  <c r="AB26" i="3"/>
  <c r="L26" i="3"/>
  <c r="X26" i="3"/>
  <c r="T26" i="3"/>
  <c r="R26" i="3"/>
  <c r="Q26" i="3"/>
  <c r="P26" i="3"/>
  <c r="K26" i="3"/>
  <c r="Z27" i="3"/>
  <c r="N27" i="3"/>
  <c r="Y27" i="3"/>
  <c r="M27" i="3"/>
  <c r="X27" i="3"/>
  <c r="L27" i="3"/>
  <c r="S27" i="3"/>
  <c r="R27" i="3"/>
  <c r="Q27" i="3"/>
  <c r="O27" i="3"/>
  <c r="K27" i="3"/>
  <c r="W27" i="3"/>
  <c r="AC27" i="3"/>
  <c r="AG27" i="3" s="1"/>
  <c r="V27" i="3"/>
  <c r="AB27" i="3"/>
  <c r="AA27" i="3"/>
  <c r="U27" i="3"/>
  <c r="T27" i="3"/>
  <c r="P27" i="3"/>
  <c r="R118" i="3"/>
  <c r="AC118" i="3"/>
  <c r="AG118" i="3" s="1"/>
  <c r="Q118" i="3"/>
  <c r="AA118" i="3"/>
  <c r="O118" i="3"/>
  <c r="S118" i="3"/>
  <c r="P118" i="3"/>
  <c r="N118" i="3"/>
  <c r="Z118" i="3"/>
  <c r="Y118" i="3"/>
  <c r="X118" i="3"/>
  <c r="W118" i="3"/>
  <c r="V118" i="3"/>
  <c r="U118" i="3"/>
  <c r="T118" i="3"/>
  <c r="M118" i="3"/>
  <c r="AB118" i="3"/>
  <c r="L118" i="3"/>
  <c r="K118" i="3"/>
  <c r="Z43" i="3"/>
  <c r="N43" i="3"/>
  <c r="Y43" i="3"/>
  <c r="M43" i="3"/>
  <c r="X43" i="3"/>
  <c r="L43" i="3"/>
  <c r="T43" i="3"/>
  <c r="S43" i="3"/>
  <c r="R43" i="3"/>
  <c r="AB43" i="3"/>
  <c r="AA43" i="3"/>
  <c r="W43" i="3"/>
  <c r="U43" i="3"/>
  <c r="Q43" i="3"/>
  <c r="P43" i="3"/>
  <c r="K43" i="3"/>
  <c r="AC43" i="3"/>
  <c r="AF43" i="3" s="1"/>
  <c r="V43" i="3"/>
  <c r="O43" i="3"/>
  <c r="AA187" i="3"/>
  <c r="O187" i="3"/>
  <c r="Y187" i="3"/>
  <c r="M187" i="3"/>
  <c r="X187" i="3"/>
  <c r="W187" i="3"/>
  <c r="V187" i="3"/>
  <c r="T187" i="3"/>
  <c r="AC187" i="3"/>
  <c r="AD187" i="3" s="1"/>
  <c r="AB187" i="3"/>
  <c r="U187" i="3"/>
  <c r="Z187" i="3"/>
  <c r="S187" i="3"/>
  <c r="R187" i="3"/>
  <c r="Q187" i="3"/>
  <c r="P187" i="3"/>
  <c r="N187" i="3"/>
  <c r="L187" i="3"/>
  <c r="K187" i="3"/>
  <c r="Y252" i="3"/>
  <c r="M252" i="3"/>
  <c r="X252" i="3"/>
  <c r="L252" i="3"/>
  <c r="W252" i="3"/>
  <c r="K252" i="3"/>
  <c r="V252" i="3"/>
  <c r="Q252" i="3"/>
  <c r="P252" i="3"/>
  <c r="O252" i="3"/>
  <c r="N252" i="3"/>
  <c r="U252" i="3"/>
  <c r="T252" i="3"/>
  <c r="S252" i="3"/>
  <c r="R252" i="3"/>
  <c r="AC252" i="3"/>
  <c r="AD252" i="3" s="1"/>
  <c r="AB252" i="3"/>
  <c r="AA252" i="3"/>
  <c r="Z252" i="3"/>
  <c r="U232" i="3"/>
  <c r="T232" i="3"/>
  <c r="S232" i="3"/>
  <c r="R232" i="3"/>
  <c r="Q232" i="3"/>
  <c r="P232" i="3"/>
  <c r="O232" i="3"/>
  <c r="N232" i="3"/>
  <c r="AC232" i="3"/>
  <c r="AK232" i="3" s="1"/>
  <c r="AB232" i="3"/>
  <c r="AA232" i="3"/>
  <c r="Y232" i="3"/>
  <c r="Z232" i="3"/>
  <c r="X232" i="3"/>
  <c r="W232" i="3"/>
  <c r="M232" i="3"/>
  <c r="V232" i="3"/>
  <c r="L232" i="3"/>
  <c r="K232" i="3"/>
  <c r="Y131" i="3"/>
  <c r="M131" i="3"/>
  <c r="AC131" i="3"/>
  <c r="AK131" i="3" s="1"/>
  <c r="P131" i="3"/>
  <c r="AB131" i="3"/>
  <c r="O131" i="3"/>
  <c r="AA131" i="3"/>
  <c r="N131" i="3"/>
  <c r="X131" i="3"/>
  <c r="K131" i="3"/>
  <c r="W131" i="3"/>
  <c r="V131" i="3"/>
  <c r="U131" i="3"/>
  <c r="Z131" i="3"/>
  <c r="T131" i="3"/>
  <c r="S131" i="3"/>
  <c r="R131" i="3"/>
  <c r="L131" i="3"/>
  <c r="Q131" i="3"/>
  <c r="R160" i="3"/>
  <c r="V160" i="3"/>
  <c r="T160" i="3"/>
  <c r="Q160" i="3"/>
  <c r="P160" i="3"/>
  <c r="O160" i="3"/>
  <c r="AB160" i="3"/>
  <c r="M160" i="3"/>
  <c r="AA160" i="3"/>
  <c r="Z160" i="3"/>
  <c r="Y160" i="3"/>
  <c r="L160" i="3"/>
  <c r="K160" i="3"/>
  <c r="AC160" i="3"/>
  <c r="AI160" i="3" s="1"/>
  <c r="X160" i="3"/>
  <c r="W160" i="3"/>
  <c r="U160" i="3"/>
  <c r="S160" i="3"/>
  <c r="N160" i="3"/>
  <c r="Z130" i="3"/>
  <c r="N130" i="3"/>
  <c r="AA130" i="3"/>
  <c r="M130" i="3"/>
  <c r="Y130" i="3"/>
  <c r="L130" i="3"/>
  <c r="X130" i="3"/>
  <c r="K130" i="3"/>
  <c r="V130" i="3"/>
  <c r="U130" i="3"/>
  <c r="T130" i="3"/>
  <c r="S130" i="3"/>
  <c r="AD130" i="3"/>
  <c r="AC130" i="3"/>
  <c r="AL130" i="3" s="1"/>
  <c r="AB130" i="3"/>
  <c r="W130" i="3"/>
  <c r="R130" i="3"/>
  <c r="Q130" i="3"/>
  <c r="P130" i="3"/>
  <c r="O130" i="3"/>
  <c r="V194" i="3"/>
  <c r="U194" i="3"/>
  <c r="T194" i="3"/>
  <c r="AD194" i="3"/>
  <c r="R194" i="3"/>
  <c r="S194" i="3"/>
  <c r="Q194" i="3"/>
  <c r="P194" i="3"/>
  <c r="N194" i="3"/>
  <c r="AC194" i="3"/>
  <c r="AL194" i="3" s="1"/>
  <c r="AB194" i="3"/>
  <c r="Z194" i="3"/>
  <c r="O194" i="3"/>
  <c r="M194" i="3"/>
  <c r="L194" i="3"/>
  <c r="K194" i="3"/>
  <c r="AA194" i="3"/>
  <c r="Y194" i="3"/>
  <c r="X194" i="3"/>
  <c r="W194" i="3"/>
  <c r="X215" i="3"/>
  <c r="L215" i="3"/>
  <c r="W215" i="3"/>
  <c r="K215" i="3"/>
  <c r="V215" i="3"/>
  <c r="U215" i="3"/>
  <c r="T215" i="3"/>
  <c r="S215" i="3"/>
  <c r="R215" i="3"/>
  <c r="P215" i="3"/>
  <c r="AB215" i="3"/>
  <c r="AA215" i="3"/>
  <c r="Z215" i="3"/>
  <c r="Q215" i="3"/>
  <c r="Y215" i="3"/>
  <c r="AC215" i="3"/>
  <c r="AK215" i="3" s="1"/>
  <c r="O215" i="3"/>
  <c r="N215" i="3"/>
  <c r="M215" i="3"/>
  <c r="U244" i="3"/>
  <c r="T244" i="3"/>
  <c r="S244" i="3"/>
  <c r="AD244" i="3"/>
  <c r="R244" i="3"/>
  <c r="Y244" i="3"/>
  <c r="X244" i="3"/>
  <c r="W244" i="3"/>
  <c r="V244" i="3"/>
  <c r="Q244" i="3"/>
  <c r="P244" i="3"/>
  <c r="O244" i="3"/>
  <c r="M244" i="3"/>
  <c r="AC244" i="3"/>
  <c r="AI244" i="3" s="1"/>
  <c r="AB244" i="3"/>
  <c r="AA244" i="3"/>
  <c r="N244" i="3"/>
  <c r="Z244" i="3"/>
  <c r="L244" i="3"/>
  <c r="K244" i="3"/>
  <c r="V231" i="3"/>
  <c r="U231" i="3"/>
  <c r="T231" i="3"/>
  <c r="S231" i="3"/>
  <c r="R231" i="3"/>
  <c r="Q231" i="3"/>
  <c r="P231" i="3"/>
  <c r="O231" i="3"/>
  <c r="N231" i="3"/>
  <c r="M231" i="3"/>
  <c r="L231" i="3"/>
  <c r="AD231" i="3"/>
  <c r="Z231" i="3"/>
  <c r="Y231" i="3"/>
  <c r="X231" i="3"/>
  <c r="K231" i="3"/>
  <c r="AC231" i="3"/>
  <c r="AL231" i="3" s="1"/>
  <c r="AB231" i="3"/>
  <c r="AA231" i="3"/>
  <c r="W231" i="3"/>
  <c r="AA226" i="3"/>
  <c r="O226" i="3"/>
  <c r="Z226" i="3"/>
  <c r="N226" i="3"/>
  <c r="Y226" i="3"/>
  <c r="M226" i="3"/>
  <c r="X226" i="3"/>
  <c r="L226" i="3"/>
  <c r="W226" i="3"/>
  <c r="V226" i="3"/>
  <c r="U226" i="3"/>
  <c r="T226" i="3"/>
  <c r="K226" i="3"/>
  <c r="AC226" i="3"/>
  <c r="AI226" i="3" s="1"/>
  <c r="AB226" i="3"/>
  <c r="S226" i="3"/>
  <c r="R226" i="3"/>
  <c r="Q226" i="3"/>
  <c r="P226" i="3"/>
  <c r="W278" i="3"/>
  <c r="K278" i="3"/>
  <c r="V278" i="3"/>
  <c r="U278" i="3"/>
  <c r="T278" i="3"/>
  <c r="S278" i="3"/>
  <c r="R278" i="3"/>
  <c r="AC278" i="3"/>
  <c r="AL278" i="3" s="1"/>
  <c r="Q278" i="3"/>
  <c r="AB278" i="3"/>
  <c r="P278" i="3"/>
  <c r="AA278" i="3"/>
  <c r="O278" i="3"/>
  <c r="Z278" i="3"/>
  <c r="N278" i="3"/>
  <c r="Y278" i="3"/>
  <c r="M278" i="3"/>
  <c r="X278" i="3"/>
  <c r="L278" i="3"/>
  <c r="AC284" i="3"/>
  <c r="AK284" i="3" s="1"/>
  <c r="Q284" i="3"/>
  <c r="AB284" i="3"/>
  <c r="P284" i="3"/>
  <c r="AA284" i="3"/>
  <c r="O284" i="3"/>
  <c r="Z284" i="3"/>
  <c r="N284" i="3"/>
  <c r="Y284" i="3"/>
  <c r="M284" i="3"/>
  <c r="X284" i="3"/>
  <c r="L284" i="3"/>
  <c r="W284" i="3"/>
  <c r="K284" i="3"/>
  <c r="V284" i="3"/>
  <c r="U284" i="3"/>
  <c r="T284" i="3"/>
  <c r="S284" i="3"/>
  <c r="R284" i="3"/>
  <c r="W105" i="3"/>
  <c r="P105" i="3"/>
  <c r="AI143" i="3"/>
  <c r="AI46" i="3"/>
  <c r="AK76" i="3"/>
  <c r="AG67" i="3"/>
  <c r="AC71" i="3"/>
  <c r="AD71" i="3" s="1"/>
  <c r="R11" i="3"/>
  <c r="AC11" i="3"/>
  <c r="AD11" i="3" s="1"/>
  <c r="Q11" i="3"/>
  <c r="U11" i="3"/>
  <c r="T11" i="3"/>
  <c r="S11" i="3"/>
  <c r="O11" i="3"/>
  <c r="AB11" i="3"/>
  <c r="AA11" i="3"/>
  <c r="Z11" i="3"/>
  <c r="P11" i="3"/>
  <c r="Y11" i="3"/>
  <c r="X11" i="3"/>
  <c r="M11" i="3"/>
  <c r="W11" i="3"/>
  <c r="V11" i="3"/>
  <c r="N11" i="3"/>
  <c r="L11" i="3"/>
  <c r="K11" i="3"/>
  <c r="AG101" i="3"/>
  <c r="AL34" i="3"/>
  <c r="AE48" i="3"/>
  <c r="AE83" i="3"/>
  <c r="AE205" i="3"/>
  <c r="AE79" i="3"/>
  <c r="AE96" i="3"/>
  <c r="AE161" i="3"/>
  <c r="AE179" i="3"/>
  <c r="AE118" i="3"/>
  <c r="AE109" i="3"/>
  <c r="AE166" i="3"/>
  <c r="AE246" i="3"/>
  <c r="AE225" i="3"/>
  <c r="AE288" i="3"/>
  <c r="AE294" i="3"/>
  <c r="AK57" i="3"/>
  <c r="AJ28" i="3"/>
  <c r="AJ94" i="3"/>
  <c r="AJ26" i="3"/>
  <c r="AJ119" i="3"/>
  <c r="AJ147" i="3"/>
  <c r="AJ169" i="3"/>
  <c r="AJ252" i="3"/>
  <c r="AJ194" i="3"/>
  <c r="AJ224" i="3"/>
  <c r="AJ298" i="3"/>
  <c r="Q149" i="3"/>
  <c r="AH111" i="3"/>
  <c r="AK34" i="3"/>
  <c r="AC9" i="3"/>
  <c r="Z105" i="3"/>
  <c r="AK3" i="3"/>
  <c r="Z36" i="3"/>
  <c r="W36" i="3"/>
  <c r="AC19" i="3"/>
  <c r="AC147" i="3"/>
  <c r="AD147" i="3" s="1"/>
  <c r="Y147" i="3"/>
  <c r="V17" i="3"/>
  <c r="T100" i="3"/>
  <c r="AF196" i="3"/>
  <c r="AF275" i="3"/>
  <c r="W113" i="3"/>
  <c r="K113" i="3"/>
  <c r="T113" i="3"/>
  <c r="AB113" i="3"/>
  <c r="N113" i="3"/>
  <c r="AA113" i="3"/>
  <c r="M113" i="3"/>
  <c r="Z113" i="3"/>
  <c r="L113" i="3"/>
  <c r="R113" i="3"/>
  <c r="Q113" i="3"/>
  <c r="P113" i="3"/>
  <c r="O113" i="3"/>
  <c r="AD113" i="3"/>
  <c r="AC113" i="3"/>
  <c r="AH113" i="3" s="1"/>
  <c r="Y113" i="3"/>
  <c r="X113" i="3"/>
  <c r="V113" i="3"/>
  <c r="U113" i="3"/>
  <c r="S113" i="3"/>
  <c r="S117" i="3"/>
  <c r="AB117" i="3"/>
  <c r="P117" i="3"/>
  <c r="X117" i="3"/>
  <c r="W117" i="3"/>
  <c r="V117" i="3"/>
  <c r="Y117" i="3"/>
  <c r="U117" i="3"/>
  <c r="T117" i="3"/>
  <c r="R117" i="3"/>
  <c r="AC117" i="3"/>
  <c r="AL117" i="3" s="1"/>
  <c r="AA117" i="3"/>
  <c r="Z117" i="3"/>
  <c r="Q117" i="3"/>
  <c r="O117" i="3"/>
  <c r="N117" i="3"/>
  <c r="M117" i="3"/>
  <c r="L117" i="3"/>
  <c r="K117" i="3"/>
  <c r="S234" i="3"/>
  <c r="R234" i="3"/>
  <c r="AC234" i="3"/>
  <c r="AE234" i="3" s="1"/>
  <c r="Q234" i="3"/>
  <c r="AB234" i="3"/>
  <c r="P234" i="3"/>
  <c r="O234" i="3"/>
  <c r="N234" i="3"/>
  <c r="M234" i="3"/>
  <c r="L234" i="3"/>
  <c r="K234" i="3"/>
  <c r="AA234" i="3"/>
  <c r="Z234" i="3"/>
  <c r="Y234" i="3"/>
  <c r="W234" i="3"/>
  <c r="X234" i="3"/>
  <c r="V234" i="3"/>
  <c r="U234" i="3"/>
  <c r="T234" i="3"/>
  <c r="AA212" i="3"/>
  <c r="O212" i="3"/>
  <c r="Z212" i="3"/>
  <c r="N212" i="3"/>
  <c r="Y212" i="3"/>
  <c r="M212" i="3"/>
  <c r="X212" i="3"/>
  <c r="L212" i="3"/>
  <c r="W212" i="3"/>
  <c r="V212" i="3"/>
  <c r="U212" i="3"/>
  <c r="S212" i="3"/>
  <c r="AC212" i="3"/>
  <c r="AL212" i="3" s="1"/>
  <c r="T212" i="3"/>
  <c r="AB212" i="3"/>
  <c r="R212" i="3"/>
  <c r="Q212" i="3"/>
  <c r="K212" i="3"/>
  <c r="P212" i="3"/>
  <c r="AA286" i="3"/>
  <c r="O286" i="3"/>
  <c r="Z286" i="3"/>
  <c r="N286" i="3"/>
  <c r="Y286" i="3"/>
  <c r="M286" i="3"/>
  <c r="X286" i="3"/>
  <c r="L286" i="3"/>
  <c r="W286" i="3"/>
  <c r="K286" i="3"/>
  <c r="V286" i="3"/>
  <c r="U286" i="3"/>
  <c r="T286" i="3"/>
  <c r="S286" i="3"/>
  <c r="R286" i="3"/>
  <c r="AC286" i="3"/>
  <c r="AH286" i="3" s="1"/>
  <c r="Q286" i="3"/>
  <c r="AB286" i="3"/>
  <c r="P286" i="3"/>
  <c r="AE159" i="3"/>
  <c r="AE110" i="3"/>
  <c r="AE291" i="3"/>
  <c r="AJ63" i="3"/>
  <c r="AJ33" i="3"/>
  <c r="AJ113" i="3"/>
  <c r="AE181" i="3"/>
  <c r="AB17" i="3"/>
  <c r="AI241" i="3"/>
  <c r="AL112" i="3"/>
  <c r="AL182" i="3"/>
  <c r="AL171" i="3"/>
  <c r="AL252" i="3"/>
  <c r="AH273" i="3"/>
  <c r="AK270" i="3"/>
  <c r="AK204" i="3"/>
  <c r="AG121" i="3"/>
  <c r="AG150" i="3"/>
  <c r="AG225" i="3"/>
  <c r="Q12" i="3"/>
  <c r="AF2" i="3"/>
  <c r="AI34" i="3"/>
  <c r="AI190" i="3"/>
  <c r="AI125" i="3"/>
  <c r="AI208" i="3"/>
  <c r="AI282" i="3"/>
  <c r="AH205" i="3"/>
  <c r="AH297" i="3"/>
  <c r="AK42" i="3"/>
  <c r="AK163" i="3"/>
  <c r="AK177" i="3"/>
  <c r="AG164" i="3"/>
  <c r="AG244" i="3"/>
  <c r="AG290" i="3"/>
  <c r="AI97" i="3"/>
  <c r="AF147" i="3"/>
  <c r="AF11" i="3"/>
  <c r="AF51" i="3"/>
  <c r="Y165" i="3"/>
  <c r="M165" i="3"/>
  <c r="V165" i="3"/>
  <c r="U165" i="3"/>
  <c r="T165" i="3"/>
  <c r="R165" i="3"/>
  <c r="S165" i="3"/>
  <c r="Q165" i="3"/>
  <c r="P165" i="3"/>
  <c r="N165" i="3"/>
  <c r="Z165" i="3"/>
  <c r="X165" i="3"/>
  <c r="W165" i="3"/>
  <c r="AC165" i="3"/>
  <c r="AL165" i="3" s="1"/>
  <c r="AB165" i="3"/>
  <c r="AA165" i="3"/>
  <c r="O165" i="3"/>
  <c r="L165" i="3"/>
  <c r="K165" i="3"/>
  <c r="X112" i="3"/>
  <c r="L112" i="3"/>
  <c r="U112" i="3"/>
  <c r="V112" i="3"/>
  <c r="T112" i="3"/>
  <c r="R112" i="3"/>
  <c r="Q112" i="3"/>
  <c r="P112" i="3"/>
  <c r="O112" i="3"/>
  <c r="N112" i="3"/>
  <c r="M112" i="3"/>
  <c r="K112" i="3"/>
  <c r="AD112" i="3"/>
  <c r="AC112" i="3"/>
  <c r="AH112" i="3" s="1"/>
  <c r="AB112" i="3"/>
  <c r="AA112" i="3"/>
  <c r="Z112" i="3"/>
  <c r="Y112" i="3"/>
  <c r="W112" i="3"/>
  <c r="S112" i="3"/>
  <c r="S125" i="3"/>
  <c r="AB125" i="3"/>
  <c r="O125" i="3"/>
  <c r="AA125" i="3"/>
  <c r="N125" i="3"/>
  <c r="Z125" i="3"/>
  <c r="M125" i="3"/>
  <c r="X125" i="3"/>
  <c r="K125" i="3"/>
  <c r="AC125" i="3"/>
  <c r="AE125" i="3" s="1"/>
  <c r="L125" i="3"/>
  <c r="T125" i="3"/>
  <c r="R125" i="3"/>
  <c r="Q125" i="3"/>
  <c r="P125" i="3"/>
  <c r="Y125" i="3"/>
  <c r="W125" i="3"/>
  <c r="V125" i="3"/>
  <c r="U125" i="3"/>
  <c r="R259" i="3"/>
  <c r="AC259" i="3"/>
  <c r="AG259" i="3" s="1"/>
  <c r="Q259" i="3"/>
  <c r="AB259" i="3"/>
  <c r="P259" i="3"/>
  <c r="AA259" i="3"/>
  <c r="O259" i="3"/>
  <c r="Z259" i="3"/>
  <c r="Y259" i="3"/>
  <c r="X259" i="3"/>
  <c r="W259" i="3"/>
  <c r="V259" i="3"/>
  <c r="N259" i="3"/>
  <c r="M259" i="3"/>
  <c r="L259" i="3"/>
  <c r="K259" i="3"/>
  <c r="U259" i="3"/>
  <c r="T259" i="3"/>
  <c r="S259" i="3"/>
  <c r="S294" i="3"/>
  <c r="R294" i="3"/>
  <c r="AC294" i="3"/>
  <c r="AK294" i="3" s="1"/>
  <c r="Q294" i="3"/>
  <c r="AB294" i="3"/>
  <c r="P294" i="3"/>
  <c r="AA294" i="3"/>
  <c r="O294" i="3"/>
  <c r="Z294" i="3"/>
  <c r="N294" i="3"/>
  <c r="Y294" i="3"/>
  <c r="M294" i="3"/>
  <c r="X294" i="3"/>
  <c r="L294" i="3"/>
  <c r="W294" i="3"/>
  <c r="K294" i="3"/>
  <c r="V294" i="3"/>
  <c r="U294" i="3"/>
  <c r="T294" i="3"/>
  <c r="R105" i="3"/>
  <c r="Z9" i="3"/>
  <c r="S23" i="3"/>
  <c r="AL113" i="3"/>
  <c r="AE220" i="3"/>
  <c r="AI115" i="3"/>
  <c r="AG2" i="3"/>
  <c r="AI36" i="3"/>
  <c r="AL98" i="3"/>
  <c r="AI43" i="3"/>
  <c r="AI52" i="3"/>
  <c r="AI84" i="3"/>
  <c r="AI130" i="3"/>
  <c r="AI188" i="3"/>
  <c r="AI117" i="3"/>
  <c r="AI187" i="3"/>
  <c r="AI214" i="3"/>
  <c r="AI193" i="3"/>
  <c r="AI201" i="3"/>
  <c r="AI206" i="3"/>
  <c r="AI231" i="3"/>
  <c r="AI257" i="3"/>
  <c r="AL137" i="3"/>
  <c r="AL115" i="3"/>
  <c r="AL142" i="3"/>
  <c r="AL99" i="3"/>
  <c r="AL196" i="3"/>
  <c r="AL190" i="3"/>
  <c r="AL230" i="3"/>
  <c r="AL293" i="3"/>
  <c r="AL298" i="3"/>
  <c r="AK235" i="3"/>
  <c r="AK98" i="3"/>
  <c r="AL164" i="3"/>
  <c r="AL28" i="3"/>
  <c r="AH84" i="3"/>
  <c r="AH99" i="3"/>
  <c r="AH87" i="3"/>
  <c r="AH190" i="3"/>
  <c r="AH193" i="3"/>
  <c r="AH210" i="3"/>
  <c r="AH181" i="3"/>
  <c r="AH208" i="3"/>
  <c r="AH268" i="3"/>
  <c r="AH275" i="3"/>
  <c r="AH292" i="3"/>
  <c r="AK93" i="3"/>
  <c r="AK80" i="3"/>
  <c r="AK60" i="3"/>
  <c r="AK156" i="3"/>
  <c r="AK183" i="3"/>
  <c r="AK179" i="3"/>
  <c r="AK190" i="3"/>
  <c r="AK193" i="3"/>
  <c r="AK264" i="3"/>
  <c r="AK217" i="3"/>
  <c r="AK290" i="3"/>
  <c r="AG19" i="3"/>
  <c r="X19" i="3"/>
  <c r="AB19" i="3"/>
  <c r="AG84" i="3"/>
  <c r="AG90" i="3"/>
  <c r="AG231" i="3"/>
  <c r="AG74" i="3"/>
  <c r="AG148" i="3"/>
  <c r="AG268" i="3"/>
  <c r="AG206" i="3"/>
  <c r="AG214" i="3"/>
  <c r="AG245" i="3"/>
  <c r="AG271" i="3"/>
  <c r="AF57" i="3"/>
  <c r="AI64" i="3"/>
  <c r="AH56" i="3"/>
  <c r="P133" i="3"/>
  <c r="AJ143" i="3"/>
  <c r="AJ46" i="3"/>
  <c r="AE15" i="3"/>
  <c r="AF54" i="3"/>
  <c r="AF23" i="3"/>
  <c r="AF46" i="3"/>
  <c r="AF113" i="3"/>
  <c r="AF94" i="3"/>
  <c r="AF118" i="3"/>
  <c r="AF156" i="3"/>
  <c r="AF96" i="3"/>
  <c r="AF146" i="3"/>
  <c r="AF249" i="3"/>
  <c r="AF278" i="3"/>
  <c r="AF284" i="3"/>
  <c r="U48" i="3"/>
  <c r="T48" i="3"/>
  <c r="S48" i="3"/>
  <c r="AA48" i="3"/>
  <c r="L48" i="3"/>
  <c r="Z48" i="3"/>
  <c r="K48" i="3"/>
  <c r="Y48" i="3"/>
  <c r="N48" i="3"/>
  <c r="M48" i="3"/>
  <c r="AC48" i="3"/>
  <c r="AF48" i="3" s="1"/>
  <c r="AB48" i="3"/>
  <c r="X48" i="3"/>
  <c r="W48" i="3"/>
  <c r="V48" i="3"/>
  <c r="R48" i="3"/>
  <c r="Q48" i="3"/>
  <c r="P48" i="3"/>
  <c r="O48" i="3"/>
  <c r="X132" i="3"/>
  <c r="L132" i="3"/>
  <c r="R132" i="3"/>
  <c r="Q132" i="3"/>
  <c r="AC132" i="3"/>
  <c r="AL132" i="3" s="1"/>
  <c r="P132" i="3"/>
  <c r="AA132" i="3"/>
  <c r="N132" i="3"/>
  <c r="Z132" i="3"/>
  <c r="Y132" i="3"/>
  <c r="W132" i="3"/>
  <c r="M132" i="3"/>
  <c r="K132" i="3"/>
  <c r="AB132" i="3"/>
  <c r="V132" i="3"/>
  <c r="U132" i="3"/>
  <c r="T132" i="3"/>
  <c r="S132" i="3"/>
  <c r="O132" i="3"/>
  <c r="W167" i="3"/>
  <c r="K167" i="3"/>
  <c r="AA167" i="3"/>
  <c r="N167" i="3"/>
  <c r="Z167" i="3"/>
  <c r="M167" i="3"/>
  <c r="Y167" i="3"/>
  <c r="L167" i="3"/>
  <c r="V167" i="3"/>
  <c r="X167" i="3"/>
  <c r="U167" i="3"/>
  <c r="T167" i="3"/>
  <c r="R167" i="3"/>
  <c r="AC167" i="3"/>
  <c r="AL167" i="3" s="1"/>
  <c r="O167" i="3"/>
  <c r="S167" i="3"/>
  <c r="AB167" i="3"/>
  <c r="Q167" i="3"/>
  <c r="P167" i="3"/>
  <c r="AB25" i="3"/>
  <c r="P25" i="3"/>
  <c r="AA25" i="3"/>
  <c r="O25" i="3"/>
  <c r="Z25" i="3"/>
  <c r="N25" i="3"/>
  <c r="L25" i="3"/>
  <c r="AC25" i="3"/>
  <c r="AI25" i="3" s="1"/>
  <c r="K25" i="3"/>
  <c r="Y25" i="3"/>
  <c r="W25" i="3"/>
  <c r="R25" i="3"/>
  <c r="X25" i="3"/>
  <c r="Q25" i="3"/>
  <c r="M25" i="3"/>
  <c r="V25" i="3"/>
  <c r="U25" i="3"/>
  <c r="T25" i="3"/>
  <c r="S25" i="3"/>
  <c r="X69" i="3"/>
  <c r="L69" i="3"/>
  <c r="W69" i="3"/>
  <c r="K69" i="3"/>
  <c r="V69" i="3"/>
  <c r="R69" i="3"/>
  <c r="Q69" i="3"/>
  <c r="P69" i="3"/>
  <c r="Z69" i="3"/>
  <c r="Y69" i="3"/>
  <c r="U69" i="3"/>
  <c r="T69" i="3"/>
  <c r="S69" i="3"/>
  <c r="O69" i="3"/>
  <c r="N69" i="3"/>
  <c r="M69" i="3"/>
  <c r="AC69" i="3"/>
  <c r="AL69" i="3" s="1"/>
  <c r="AD69" i="3"/>
  <c r="AB69" i="3"/>
  <c r="AA69" i="3"/>
  <c r="T37" i="3"/>
  <c r="S37" i="3"/>
  <c r="R37" i="3"/>
  <c r="Q37" i="3"/>
  <c r="P37" i="3"/>
  <c r="O37" i="3"/>
  <c r="M37" i="3"/>
  <c r="L37" i="3"/>
  <c r="AC37" i="3"/>
  <c r="AL37" i="3" s="1"/>
  <c r="K37" i="3"/>
  <c r="AA37" i="3"/>
  <c r="Z37" i="3"/>
  <c r="Y37" i="3"/>
  <c r="W37" i="3"/>
  <c r="U37" i="3"/>
  <c r="AB37" i="3"/>
  <c r="X37" i="3"/>
  <c r="V37" i="3"/>
  <c r="N37" i="3"/>
  <c r="U135" i="3"/>
  <c r="Y135" i="3"/>
  <c r="L135" i="3"/>
  <c r="X135" i="3"/>
  <c r="K135" i="3"/>
  <c r="W135" i="3"/>
  <c r="T135" i="3"/>
  <c r="O135" i="3"/>
  <c r="N135" i="3"/>
  <c r="M135" i="3"/>
  <c r="AC135" i="3"/>
  <c r="AD135" i="3" s="1"/>
  <c r="AB135" i="3"/>
  <c r="AA135" i="3"/>
  <c r="Z135" i="3"/>
  <c r="V135" i="3"/>
  <c r="S135" i="3"/>
  <c r="R135" i="3"/>
  <c r="Q135" i="3"/>
  <c r="P135" i="3"/>
  <c r="Z55" i="3"/>
  <c r="N55" i="3"/>
  <c r="Y55" i="3"/>
  <c r="M55" i="3"/>
  <c r="X55" i="3"/>
  <c r="L55" i="3"/>
  <c r="W55" i="3"/>
  <c r="V55" i="3"/>
  <c r="U55" i="3"/>
  <c r="AC55" i="3"/>
  <c r="AE55" i="3" s="1"/>
  <c r="AB55" i="3"/>
  <c r="AA55" i="3"/>
  <c r="T55" i="3"/>
  <c r="S55" i="3"/>
  <c r="R55" i="3"/>
  <c r="Q55" i="3"/>
  <c r="P55" i="3"/>
  <c r="O55" i="3"/>
  <c r="K55" i="3"/>
  <c r="U256" i="3"/>
  <c r="T256" i="3"/>
  <c r="S256" i="3"/>
  <c r="R256" i="3"/>
  <c r="AC256" i="3"/>
  <c r="AE256" i="3" s="1"/>
  <c r="M256" i="3"/>
  <c r="AB256" i="3"/>
  <c r="L256" i="3"/>
  <c r="AA256" i="3"/>
  <c r="K256" i="3"/>
  <c r="Z256" i="3"/>
  <c r="Y256" i="3"/>
  <c r="X256" i="3"/>
  <c r="W256" i="3"/>
  <c r="Q256" i="3"/>
  <c r="V256" i="3"/>
  <c r="P256" i="3"/>
  <c r="O256" i="3"/>
  <c r="N256" i="3"/>
  <c r="AC95" i="3"/>
  <c r="AK95" i="3" s="1"/>
  <c r="Q95" i="3"/>
  <c r="Z95" i="3"/>
  <c r="N95" i="3"/>
  <c r="AA95" i="3"/>
  <c r="L95" i="3"/>
  <c r="Y95" i="3"/>
  <c r="K95" i="3"/>
  <c r="X95" i="3"/>
  <c r="R95" i="3"/>
  <c r="P95" i="3"/>
  <c r="O95" i="3"/>
  <c r="M95" i="3"/>
  <c r="AD95" i="3"/>
  <c r="AB95" i="3"/>
  <c r="W95" i="3"/>
  <c r="V95" i="3"/>
  <c r="U95" i="3"/>
  <c r="T95" i="3"/>
  <c r="S95" i="3"/>
  <c r="V255" i="3"/>
  <c r="U255" i="3"/>
  <c r="T255" i="3"/>
  <c r="S255" i="3"/>
  <c r="AD255" i="3"/>
  <c r="N255" i="3"/>
  <c r="AC255" i="3"/>
  <c r="AG255" i="3" s="1"/>
  <c r="M255" i="3"/>
  <c r="AB255" i="3"/>
  <c r="L255" i="3"/>
  <c r="AA255" i="3"/>
  <c r="K255" i="3"/>
  <c r="R255" i="3"/>
  <c r="Q255" i="3"/>
  <c r="P255" i="3"/>
  <c r="Z255" i="3"/>
  <c r="Y255" i="3"/>
  <c r="X255" i="3"/>
  <c r="O255" i="3"/>
  <c r="W255" i="3"/>
  <c r="AC139" i="3"/>
  <c r="AJ139" i="3" s="1"/>
  <c r="Q139" i="3"/>
  <c r="AA139" i="3"/>
  <c r="O139" i="3"/>
  <c r="S139" i="3"/>
  <c r="R139" i="3"/>
  <c r="P139" i="3"/>
  <c r="AB139" i="3"/>
  <c r="M139" i="3"/>
  <c r="L139" i="3"/>
  <c r="K139" i="3"/>
  <c r="Y139" i="3"/>
  <c r="X139" i="3"/>
  <c r="W139" i="3"/>
  <c r="V139" i="3"/>
  <c r="U139" i="3"/>
  <c r="T139" i="3"/>
  <c r="N139" i="3"/>
  <c r="AD139" i="3"/>
  <c r="Z139" i="3"/>
  <c r="AA175" i="3"/>
  <c r="O175" i="3"/>
  <c r="S175" i="3"/>
  <c r="R175" i="3"/>
  <c r="Q175" i="3"/>
  <c r="AB175" i="3"/>
  <c r="N175" i="3"/>
  <c r="W175" i="3"/>
  <c r="V175" i="3"/>
  <c r="U175" i="3"/>
  <c r="P175" i="3"/>
  <c r="AC175" i="3"/>
  <c r="AE175" i="3" s="1"/>
  <c r="Z175" i="3"/>
  <c r="Y175" i="3"/>
  <c r="X175" i="3"/>
  <c r="T175" i="3"/>
  <c r="M175" i="3"/>
  <c r="L175" i="3"/>
  <c r="K175" i="3"/>
  <c r="Z142" i="3"/>
  <c r="N142" i="3"/>
  <c r="X142" i="3"/>
  <c r="L142" i="3"/>
  <c r="V142" i="3"/>
  <c r="U142" i="3"/>
  <c r="T142" i="3"/>
  <c r="R142" i="3"/>
  <c r="K142" i="3"/>
  <c r="AC142" i="3"/>
  <c r="AD142" i="3" s="1"/>
  <c r="AB142" i="3"/>
  <c r="AA142" i="3"/>
  <c r="Y142" i="3"/>
  <c r="W142" i="3"/>
  <c r="S142" i="3"/>
  <c r="Q142" i="3"/>
  <c r="P142" i="3"/>
  <c r="O142" i="3"/>
  <c r="M142" i="3"/>
  <c r="Y202" i="3"/>
  <c r="M202" i="3"/>
  <c r="W202" i="3"/>
  <c r="V202" i="3"/>
  <c r="U202" i="3"/>
  <c r="S202" i="3"/>
  <c r="T202" i="3"/>
  <c r="R202" i="3"/>
  <c r="Q202" i="3"/>
  <c r="O202" i="3"/>
  <c r="P202" i="3"/>
  <c r="N202" i="3"/>
  <c r="L202" i="3"/>
  <c r="K202" i="3"/>
  <c r="AB202" i="3"/>
  <c r="AA202" i="3"/>
  <c r="Z202" i="3"/>
  <c r="X202" i="3"/>
  <c r="AC202" i="3"/>
  <c r="AK202" i="3" s="1"/>
  <c r="T221" i="3"/>
  <c r="S221" i="3"/>
  <c r="AD221" i="3"/>
  <c r="R221" i="3"/>
  <c r="AC221" i="3"/>
  <c r="AH221" i="3" s="1"/>
  <c r="Q221" i="3"/>
  <c r="AB221" i="3"/>
  <c r="L221" i="3"/>
  <c r="AA221" i="3"/>
  <c r="K221" i="3"/>
  <c r="Z221" i="3"/>
  <c r="Y221" i="3"/>
  <c r="X221" i="3"/>
  <c r="W221" i="3"/>
  <c r="V221" i="3"/>
  <c r="P221" i="3"/>
  <c r="U221" i="3"/>
  <c r="O221" i="3"/>
  <c r="N221" i="3"/>
  <c r="M221" i="3"/>
  <c r="Y264" i="3"/>
  <c r="M264" i="3"/>
  <c r="X264" i="3"/>
  <c r="L264" i="3"/>
  <c r="W264" i="3"/>
  <c r="K264" i="3"/>
  <c r="V264" i="3"/>
  <c r="U264" i="3"/>
  <c r="T264" i="3"/>
  <c r="S264" i="3"/>
  <c r="R264" i="3"/>
  <c r="AC264" i="3"/>
  <c r="AH264" i="3" s="1"/>
  <c r="Q264" i="3"/>
  <c r="P264" i="3"/>
  <c r="O264" i="3"/>
  <c r="AD264" i="3"/>
  <c r="N264" i="3"/>
  <c r="AB264" i="3"/>
  <c r="AA264" i="3"/>
  <c r="Z264" i="3"/>
  <c r="R247" i="3"/>
  <c r="AC247" i="3"/>
  <c r="AF247" i="3" s="1"/>
  <c r="Q247" i="3"/>
  <c r="AB247" i="3"/>
  <c r="P247" i="3"/>
  <c r="AA247" i="3"/>
  <c r="O247" i="3"/>
  <c r="V247" i="3"/>
  <c r="U247" i="3"/>
  <c r="T247" i="3"/>
  <c r="S247" i="3"/>
  <c r="N247" i="3"/>
  <c r="M247" i="3"/>
  <c r="L247" i="3"/>
  <c r="Z247" i="3"/>
  <c r="K247" i="3"/>
  <c r="Y247" i="3"/>
  <c r="X247" i="3"/>
  <c r="W247" i="3"/>
  <c r="AA238" i="3"/>
  <c r="O238" i="3"/>
  <c r="Z238" i="3"/>
  <c r="N238" i="3"/>
  <c r="Y238" i="3"/>
  <c r="M238" i="3"/>
  <c r="X238" i="3"/>
  <c r="L238" i="3"/>
  <c r="K238" i="3"/>
  <c r="AC238" i="3"/>
  <c r="AL238" i="3" s="1"/>
  <c r="AB238" i="3"/>
  <c r="W238" i="3"/>
  <c r="V238" i="3"/>
  <c r="U238" i="3"/>
  <c r="S238" i="3"/>
  <c r="T238" i="3"/>
  <c r="R238" i="3"/>
  <c r="Q238" i="3"/>
  <c r="P238" i="3"/>
  <c r="W290" i="3"/>
  <c r="K290" i="3"/>
  <c r="V290" i="3"/>
  <c r="U290" i="3"/>
  <c r="T290" i="3"/>
  <c r="S290" i="3"/>
  <c r="AD290" i="3"/>
  <c r="R290" i="3"/>
  <c r="AC290" i="3"/>
  <c r="AJ290" i="3" s="1"/>
  <c r="Q290" i="3"/>
  <c r="AB290" i="3"/>
  <c r="P290" i="3"/>
  <c r="AA290" i="3"/>
  <c r="O290" i="3"/>
  <c r="Z290" i="3"/>
  <c r="N290" i="3"/>
  <c r="Y290" i="3"/>
  <c r="M290" i="3"/>
  <c r="X290" i="3"/>
  <c r="L290" i="3"/>
  <c r="AC296" i="3"/>
  <c r="AL296" i="3" s="1"/>
  <c r="Q296" i="3"/>
  <c r="AB296" i="3"/>
  <c r="P296" i="3"/>
  <c r="AA296" i="3"/>
  <c r="O296" i="3"/>
  <c r="Z296" i="3"/>
  <c r="N296" i="3"/>
  <c r="Y296" i="3"/>
  <c r="M296" i="3"/>
  <c r="X296" i="3"/>
  <c r="L296" i="3"/>
  <c r="W296" i="3"/>
  <c r="K296" i="3"/>
  <c r="V296" i="3"/>
  <c r="U296" i="3"/>
  <c r="T296" i="3"/>
  <c r="S296" i="3"/>
  <c r="AD296" i="3"/>
  <c r="R296" i="3"/>
  <c r="X105" i="3"/>
  <c r="AB105" i="3"/>
  <c r="R76" i="3"/>
  <c r="X45" i="3"/>
  <c r="L45" i="3"/>
  <c r="W45" i="3"/>
  <c r="K45" i="3"/>
  <c r="V45" i="3"/>
  <c r="AA45" i="3"/>
  <c r="Z45" i="3"/>
  <c r="Y45" i="3"/>
  <c r="Q45" i="3"/>
  <c r="P45" i="3"/>
  <c r="O45" i="3"/>
  <c r="M45" i="3"/>
  <c r="AC45" i="3"/>
  <c r="AI45" i="3" s="1"/>
  <c r="S45" i="3"/>
  <c r="T45" i="3"/>
  <c r="AB45" i="3"/>
  <c r="U45" i="3"/>
  <c r="R45" i="3"/>
  <c r="N45" i="3"/>
  <c r="AL176" i="3"/>
  <c r="AK78" i="3"/>
  <c r="AG97" i="3"/>
  <c r="P23" i="3"/>
  <c r="V71" i="3"/>
  <c r="S38" i="3"/>
  <c r="R38" i="3"/>
  <c r="AC38" i="3"/>
  <c r="AH38" i="3" s="1"/>
  <c r="Q38" i="3"/>
  <c r="AB38" i="3"/>
  <c r="M38" i="3"/>
  <c r="AA38" i="3"/>
  <c r="L38" i="3"/>
  <c r="Z38" i="3"/>
  <c r="K38" i="3"/>
  <c r="U38" i="3"/>
  <c r="T38" i="3"/>
  <c r="P38" i="3"/>
  <c r="N38" i="3"/>
  <c r="Y38" i="3"/>
  <c r="W38" i="3"/>
  <c r="X38" i="3"/>
  <c r="O38" i="3"/>
  <c r="V38" i="3"/>
  <c r="AE63" i="3"/>
  <c r="AE198" i="3"/>
  <c r="AE231" i="3"/>
  <c r="AE173" i="3"/>
  <c r="AE98" i="3"/>
  <c r="AE178" i="3"/>
  <c r="AE133" i="3"/>
  <c r="AE204" i="3"/>
  <c r="AE197" i="3"/>
  <c r="AE240" i="3"/>
  <c r="AE210" i="3"/>
  <c r="AE266" i="3"/>
  <c r="AE237" i="3"/>
  <c r="AE277" i="3"/>
  <c r="AE283" i="3"/>
  <c r="AJ98" i="3"/>
  <c r="AJ74" i="3"/>
  <c r="AJ42" i="3"/>
  <c r="AJ236" i="3"/>
  <c r="AJ160" i="3"/>
  <c r="AJ125" i="3"/>
  <c r="AJ167" i="3"/>
  <c r="AJ154" i="3"/>
  <c r="AJ240" i="3"/>
  <c r="AJ282" i="3"/>
  <c r="AJ275" i="3"/>
  <c r="AJ292" i="3"/>
  <c r="AA105" i="3"/>
  <c r="AH95" i="3"/>
  <c r="L49" i="3"/>
  <c r="N36" i="3"/>
  <c r="X36" i="3"/>
  <c r="M147" i="3"/>
  <c r="P64" i="3"/>
  <c r="Z100" i="3"/>
  <c r="U100" i="3"/>
  <c r="Y21" i="3"/>
  <c r="M5" i="3"/>
  <c r="AB74" i="3"/>
  <c r="Y74" i="3"/>
  <c r="AA17" i="3"/>
  <c r="AJ168" i="3" l="1"/>
  <c r="AH168" i="3"/>
  <c r="AD122" i="3"/>
  <c r="AD65" i="3"/>
  <c r="AF222" i="3"/>
  <c r="AJ265" i="3"/>
  <c r="AF59" i="3"/>
  <c r="AL228" i="3"/>
  <c r="AD216" i="3"/>
  <c r="AK162" i="3"/>
  <c r="AG29" i="3"/>
  <c r="AL147" i="3"/>
  <c r="AH251" i="3"/>
  <c r="AD155" i="3"/>
  <c r="AI82" i="3"/>
  <c r="AK170" i="3"/>
  <c r="AH143" i="3"/>
  <c r="AF279" i="3"/>
  <c r="AF131" i="3"/>
  <c r="AK237" i="3"/>
  <c r="AK8" i="3"/>
  <c r="AL56" i="3"/>
  <c r="AI280" i="3"/>
  <c r="AI267" i="3"/>
  <c r="AK79" i="3"/>
  <c r="AJ79" i="3"/>
  <c r="AD82" i="3"/>
  <c r="AK219" i="3"/>
  <c r="AH58" i="3"/>
  <c r="AD121" i="3"/>
  <c r="AH213" i="3"/>
  <c r="AF244" i="3"/>
  <c r="AF136" i="3"/>
  <c r="AF70" i="3"/>
  <c r="AG138" i="3"/>
  <c r="AK259" i="3"/>
  <c r="AK186" i="3"/>
  <c r="AH119" i="3"/>
  <c r="AL35" i="3"/>
  <c r="AL114" i="3"/>
  <c r="AG124" i="3"/>
  <c r="AH204" i="3"/>
  <c r="AG95" i="3"/>
  <c r="AG37" i="3"/>
  <c r="AE65" i="3"/>
  <c r="AD243" i="3"/>
  <c r="AF185" i="3"/>
  <c r="AE131" i="3"/>
  <c r="AE18" i="3"/>
  <c r="AK151" i="3"/>
  <c r="AF286" i="3"/>
  <c r="AJ132" i="3"/>
  <c r="AG73" i="3"/>
  <c r="AE135" i="3"/>
  <c r="AD73" i="3"/>
  <c r="AE195" i="3"/>
  <c r="AK185" i="3"/>
  <c r="AF150" i="3"/>
  <c r="AK140" i="3"/>
  <c r="AF212" i="3"/>
  <c r="AL48" i="3"/>
  <c r="AD43" i="3"/>
  <c r="AD47" i="3"/>
  <c r="AG114" i="3"/>
  <c r="AK265" i="3"/>
  <c r="AG47" i="3"/>
  <c r="AI262" i="3"/>
  <c r="AE80" i="3"/>
  <c r="AI163" i="3"/>
  <c r="AH194" i="3"/>
  <c r="AJ228" i="3"/>
  <c r="AJ67" i="3"/>
  <c r="AE39" i="3"/>
  <c r="AF100" i="3"/>
  <c r="AK37" i="3"/>
  <c r="AK158" i="3"/>
  <c r="AL253" i="3"/>
  <c r="AL95" i="3"/>
  <c r="AI168" i="3"/>
  <c r="AK35" i="3"/>
  <c r="AI288" i="3"/>
  <c r="AE281" i="3"/>
  <c r="AF176" i="3"/>
  <c r="AK288" i="3"/>
  <c r="AL200" i="3"/>
  <c r="AE37" i="3"/>
  <c r="AH48" i="3"/>
  <c r="AE229" i="3"/>
  <c r="AH122" i="3"/>
  <c r="AJ105" i="3"/>
  <c r="AE299" i="3"/>
  <c r="AE77" i="3"/>
  <c r="AD103" i="3"/>
  <c r="AF121" i="3"/>
  <c r="AG170" i="3"/>
  <c r="AL104" i="3"/>
  <c r="AI294" i="3"/>
  <c r="AK150" i="3"/>
  <c r="AE200" i="3"/>
  <c r="AF253" i="3"/>
  <c r="AK222" i="3"/>
  <c r="AK69" i="3"/>
  <c r="AH192" i="3"/>
  <c r="AE254" i="3"/>
  <c r="AF153" i="3"/>
  <c r="AE209" i="3"/>
  <c r="AE49" i="3"/>
  <c r="AD169" i="3"/>
  <c r="AD151" i="3"/>
  <c r="AE35" i="3"/>
  <c r="AK295" i="3"/>
  <c r="AK87" i="3"/>
  <c r="AI173" i="3"/>
  <c r="AH163" i="3"/>
  <c r="AJ175" i="3"/>
  <c r="AE262" i="3"/>
  <c r="AE41" i="3"/>
  <c r="AD293" i="3"/>
  <c r="AD219" i="3"/>
  <c r="AD207" i="3"/>
  <c r="AF281" i="3"/>
  <c r="AG289" i="3"/>
  <c r="AL243" i="3"/>
  <c r="AJ234" i="3"/>
  <c r="AJ120" i="3"/>
  <c r="AE139" i="3"/>
  <c r="AE76" i="3"/>
  <c r="AL5" i="3"/>
  <c r="AK5" i="3"/>
  <c r="AD5" i="3"/>
  <c r="AH5" i="3"/>
  <c r="AJ5" i="3"/>
  <c r="AI5" i="3"/>
  <c r="AF231" i="3"/>
  <c r="AJ299" i="3"/>
  <c r="AJ73" i="3"/>
  <c r="AE235" i="3"/>
  <c r="AF195" i="3"/>
  <c r="AF158" i="3"/>
  <c r="AI128" i="3"/>
  <c r="AD29" i="3"/>
  <c r="AL275" i="3"/>
  <c r="AE264" i="3"/>
  <c r="AJ179" i="3"/>
  <c r="AE289" i="3"/>
  <c r="AG212" i="3"/>
  <c r="AK58" i="3"/>
  <c r="AL122" i="3"/>
  <c r="AL25" i="3"/>
  <c r="AD51" i="3"/>
  <c r="AH226" i="3"/>
  <c r="AH219" i="3"/>
  <c r="AL153" i="3"/>
  <c r="AD67" i="3"/>
  <c r="AK268" i="3"/>
  <c r="AL71" i="3"/>
  <c r="AI104" i="3"/>
  <c r="AH117" i="3"/>
  <c r="AD31" i="3"/>
  <c r="AD180" i="3"/>
  <c r="AD91" i="3"/>
  <c r="AF274" i="3"/>
  <c r="AG234" i="3"/>
  <c r="AG136" i="3"/>
  <c r="AK234" i="3"/>
  <c r="AH218" i="3"/>
  <c r="AH129" i="3"/>
  <c r="AL173" i="3"/>
  <c r="AI121" i="3"/>
  <c r="AI260" i="3"/>
  <c r="AD229" i="3"/>
  <c r="AD254" i="3"/>
  <c r="AK135" i="3"/>
  <c r="AD279" i="3"/>
  <c r="AG42" i="3"/>
  <c r="AF42" i="3"/>
  <c r="AH42" i="3"/>
  <c r="AH142" i="3"/>
  <c r="AD109" i="3"/>
  <c r="AD120" i="3"/>
  <c r="AF221" i="3"/>
  <c r="AF164" i="3"/>
  <c r="AG276" i="3"/>
  <c r="AG52" i="3"/>
  <c r="AK221" i="3"/>
  <c r="AK212" i="3"/>
  <c r="AH156" i="3"/>
  <c r="AH77" i="3"/>
  <c r="AL136" i="3"/>
  <c r="AD285" i="3"/>
  <c r="AI80" i="3"/>
  <c r="AH121" i="3"/>
  <c r="AL120" i="3"/>
  <c r="AI88" i="3"/>
  <c r="AI192" i="3"/>
  <c r="AD49" i="3"/>
  <c r="AK49" i="3"/>
  <c r="AH185" i="3"/>
  <c r="AK243" i="3"/>
  <c r="AK20" i="3"/>
  <c r="AE222" i="3"/>
  <c r="AL263" i="3"/>
  <c r="AH67" i="3"/>
  <c r="AF114" i="3"/>
  <c r="AD9" i="3"/>
  <c r="AF9" i="3"/>
  <c r="AL9" i="3"/>
  <c r="AD114" i="3"/>
  <c r="AG59" i="3"/>
  <c r="AD15" i="3"/>
  <c r="AG286" i="3"/>
  <c r="AI37" i="3"/>
  <c r="AI212" i="3"/>
  <c r="AG35" i="3"/>
  <c r="AL81" i="3"/>
  <c r="AJ76" i="3"/>
  <c r="AL8" i="3"/>
  <c r="AJ27" i="3"/>
  <c r="AK15" i="3"/>
  <c r="AD48" i="3"/>
  <c r="AJ151" i="3"/>
  <c r="AI65" i="3"/>
  <c r="AK9" i="3"/>
  <c r="AJ152" i="3"/>
  <c r="AD8" i="3"/>
  <c r="AG200" i="3"/>
  <c r="AH14" i="3"/>
  <c r="AL73" i="3"/>
  <c r="AD250" i="3"/>
  <c r="AL158" i="3"/>
  <c r="AG229" i="3"/>
  <c r="AD245" i="3"/>
  <c r="AH27" i="3"/>
  <c r="AG154" i="3"/>
  <c r="AH235" i="3"/>
  <c r="AD237" i="3"/>
  <c r="AD199" i="3"/>
  <c r="AF126" i="3"/>
  <c r="AI272" i="3"/>
  <c r="AJ185" i="3"/>
  <c r="AD253" i="3"/>
  <c r="AL33" i="3"/>
  <c r="AK33" i="3"/>
  <c r="AJ6" i="3"/>
  <c r="AK6" i="3"/>
  <c r="AF6" i="3"/>
  <c r="AJ153" i="3"/>
  <c r="AF154" i="3"/>
  <c r="AL6" i="3"/>
  <c r="AD20" i="3"/>
  <c r="AD162" i="3"/>
  <c r="AE216" i="3"/>
  <c r="AE284" i="3"/>
  <c r="AF229" i="3"/>
  <c r="AI275" i="3"/>
  <c r="AL284" i="3"/>
  <c r="AL168" i="3"/>
  <c r="AI222" i="3"/>
  <c r="AK266" i="3"/>
  <c r="AI286" i="3"/>
  <c r="AK72" i="3"/>
  <c r="AK223" i="3"/>
  <c r="AD38" i="3"/>
  <c r="AL217" i="3"/>
  <c r="AH49" i="3"/>
  <c r="AK73" i="3"/>
  <c r="AI215" i="3"/>
  <c r="AG226" i="3"/>
  <c r="AI209" i="3"/>
  <c r="AI14" i="3"/>
  <c r="AG8" i="3"/>
  <c r="AG65" i="3"/>
  <c r="AH81" i="3"/>
  <c r="AG140" i="3"/>
  <c r="AD85" i="3"/>
  <c r="AG9" i="3"/>
  <c r="AD230" i="3"/>
  <c r="AJ250" i="3"/>
  <c r="AE27" i="3"/>
  <c r="AE278" i="3"/>
  <c r="AF226" i="3"/>
  <c r="AE226" i="3"/>
  <c r="AG272" i="3"/>
  <c r="AK153" i="3"/>
  <c r="AI252" i="3"/>
  <c r="AH69" i="3"/>
  <c r="AD292" i="3"/>
  <c r="AL44" i="3"/>
  <c r="AH44" i="3"/>
  <c r="AH137" i="3"/>
  <c r="AF103" i="3"/>
  <c r="AF69" i="3"/>
  <c r="AG171" i="3"/>
  <c r="AL256" i="3"/>
  <c r="AJ280" i="3"/>
  <c r="AH126" i="3"/>
  <c r="AL154" i="3"/>
  <c r="AI71" i="3"/>
  <c r="AH207" i="3"/>
  <c r="AD213" i="3"/>
  <c r="AI96" i="3"/>
  <c r="AJ96" i="3"/>
  <c r="AH96" i="3"/>
  <c r="AL96" i="3"/>
  <c r="AK104" i="3"/>
  <c r="AF262" i="3"/>
  <c r="AG18" i="3"/>
  <c r="AG263" i="3"/>
  <c r="AJ253" i="3"/>
  <c r="AF215" i="3"/>
  <c r="AG194" i="3"/>
  <c r="AL269" i="3"/>
  <c r="AD259" i="3"/>
  <c r="AI126" i="3"/>
  <c r="AE33" i="3"/>
  <c r="AD118" i="3"/>
  <c r="AJ202" i="3"/>
  <c r="AF186" i="3"/>
  <c r="AH160" i="3"/>
  <c r="AG86" i="3"/>
  <c r="AL229" i="3"/>
  <c r="AH229" i="3"/>
  <c r="AD232" i="3"/>
  <c r="AF20" i="3"/>
  <c r="AH179" i="3"/>
  <c r="AL87" i="3"/>
  <c r="AK44" i="3"/>
  <c r="AD174" i="3"/>
  <c r="AH30" i="3"/>
  <c r="AI30" i="3"/>
  <c r="AG30" i="3"/>
  <c r="AJ30" i="3"/>
  <c r="AG223" i="3"/>
  <c r="AF199" i="3"/>
  <c r="AJ25" i="3"/>
  <c r="AD22" i="3"/>
  <c r="AD188" i="3"/>
  <c r="AK38" i="3"/>
  <c r="AG238" i="3"/>
  <c r="AI93" i="3"/>
  <c r="AE248" i="3"/>
  <c r="AE151" i="3"/>
  <c r="AJ279" i="3"/>
  <c r="AE22" i="3"/>
  <c r="AI284" i="3"/>
  <c r="AE199" i="3"/>
  <c r="AK207" i="3"/>
  <c r="AH35" i="3"/>
  <c r="AJ55" i="3"/>
  <c r="AE95" i="3"/>
  <c r="AH24" i="3"/>
  <c r="AI81" i="3"/>
  <c r="AJ118" i="3"/>
  <c r="AE87" i="3"/>
  <c r="AG25" i="3"/>
  <c r="AJ7" i="3"/>
  <c r="AE72" i="3"/>
  <c r="AH28" i="3"/>
  <c r="AG28" i="3"/>
  <c r="AI28" i="3"/>
  <c r="AK28" i="3"/>
  <c r="AF28" i="3"/>
  <c r="AG248" i="3"/>
  <c r="AG51" i="3"/>
  <c r="AK226" i="3"/>
  <c r="AK139" i="3"/>
  <c r="AH266" i="3"/>
  <c r="AI174" i="3"/>
  <c r="AL249" i="3"/>
  <c r="AL50" i="3"/>
  <c r="AK50" i="3"/>
  <c r="AK286" i="3"/>
  <c r="AI243" i="3"/>
  <c r="AG100" i="3"/>
  <c r="AD100" i="3"/>
  <c r="AE100" i="3"/>
  <c r="AH88" i="3"/>
  <c r="AL26" i="3"/>
  <c r="AK26" i="3"/>
  <c r="AG26" i="3"/>
  <c r="AG71" i="3"/>
  <c r="AJ286" i="3"/>
  <c r="AD88" i="3"/>
  <c r="AK262" i="3"/>
  <c r="AD263" i="3"/>
  <c r="AL151" i="3"/>
  <c r="AD140" i="3"/>
  <c r="AD153" i="3"/>
  <c r="AG153" i="3"/>
  <c r="AI227" i="3"/>
  <c r="AD262" i="3"/>
  <c r="AJ88" i="3"/>
  <c r="AK192" i="3"/>
  <c r="AH71" i="3"/>
  <c r="AF135" i="3"/>
  <c r="AE158" i="3"/>
  <c r="AE8" i="3"/>
  <c r="AF243" i="3"/>
  <c r="AE114" i="3"/>
  <c r="AI27" i="3"/>
  <c r="AJ93" i="3"/>
  <c r="AD280" i="3"/>
  <c r="AF163" i="3"/>
  <c r="AG163" i="3"/>
  <c r="AJ49" i="3"/>
  <c r="AD202" i="3"/>
  <c r="AL59" i="3"/>
  <c r="AD286" i="3"/>
  <c r="AG250" i="3"/>
  <c r="AL38" i="3"/>
  <c r="AF129" i="3"/>
  <c r="AF245" i="3"/>
  <c r="AE252" i="3"/>
  <c r="AE101" i="3"/>
  <c r="AL216" i="3"/>
  <c r="AE128" i="3"/>
  <c r="AG14" i="3"/>
  <c r="AK107" i="3"/>
  <c r="AE107" i="3"/>
  <c r="AH248" i="3"/>
  <c r="AF49" i="3"/>
  <c r="AH100" i="3"/>
  <c r="AH140" i="3"/>
  <c r="AE163" i="3"/>
  <c r="AK278" i="3"/>
  <c r="AK127" i="3"/>
  <c r="AD14" i="3"/>
  <c r="AK227" i="3"/>
  <c r="AD39" i="3"/>
  <c r="AH228" i="3"/>
  <c r="AD152" i="3"/>
  <c r="AG122" i="3"/>
  <c r="AD299" i="3"/>
  <c r="AF33" i="3"/>
  <c r="AL175" i="3"/>
  <c r="AG103" i="3"/>
  <c r="AE275" i="3"/>
  <c r="AF27" i="3"/>
  <c r="AI114" i="3"/>
  <c r="AD158" i="3"/>
  <c r="AD136" i="3"/>
  <c r="AH103" i="3"/>
  <c r="AD21" i="3"/>
  <c r="AF21" i="3"/>
  <c r="AE21" i="3"/>
  <c r="AG21" i="3"/>
  <c r="AL223" i="3"/>
  <c r="AI86" i="3"/>
  <c r="AI263" i="3"/>
  <c r="AE85" i="3"/>
  <c r="AF223" i="3"/>
  <c r="AG175" i="3"/>
  <c r="AL91" i="3"/>
  <c r="AH195" i="3"/>
  <c r="AI127" i="3"/>
  <c r="AD278" i="3"/>
  <c r="AK48" i="3"/>
  <c r="AJ229" i="3"/>
  <c r="AL20" i="3"/>
  <c r="AG81" i="3"/>
  <c r="AH73" i="3"/>
  <c r="AL155" i="3"/>
  <c r="AL88" i="3"/>
  <c r="AJ8" i="3"/>
  <c r="AH252" i="3"/>
  <c r="AF14" i="3"/>
  <c r="AJ87" i="3"/>
  <c r="AH222" i="3"/>
  <c r="AJ278" i="3"/>
  <c r="AD275" i="3"/>
  <c r="AH93" i="3"/>
  <c r="AL192" i="3"/>
  <c r="AE297" i="3"/>
  <c r="AD235" i="3"/>
  <c r="AF66" i="3"/>
  <c r="AJ21" i="3"/>
  <c r="AE69" i="3"/>
  <c r="AJ56" i="3"/>
  <c r="AL250" i="3"/>
  <c r="AK126" i="3"/>
  <c r="AL199" i="3"/>
  <c r="AL131" i="3"/>
  <c r="AL100" i="3"/>
  <c r="AF4" i="3"/>
  <c r="AL4" i="3"/>
  <c r="AI4" i="3"/>
  <c r="AH4" i="3"/>
  <c r="AG4" i="3"/>
  <c r="AD297" i="3"/>
  <c r="AG202" i="3"/>
  <c r="AH176" i="3"/>
  <c r="AF228" i="3"/>
  <c r="AL67" i="3"/>
  <c r="AD125" i="3"/>
  <c r="AI155" i="3"/>
  <c r="AJ122" i="3"/>
  <c r="AD226" i="3"/>
  <c r="AH174" i="3"/>
  <c r="AF117" i="3"/>
  <c r="AL222" i="3"/>
  <c r="AE285" i="3"/>
  <c r="AE293" i="3"/>
  <c r="AG237" i="3"/>
  <c r="AH65" i="3"/>
  <c r="AL203" i="3"/>
  <c r="AE265" i="3"/>
  <c r="AH70" i="3"/>
  <c r="AK122" i="3"/>
  <c r="AI200" i="3"/>
  <c r="AD37" i="3"/>
  <c r="AI24" i="3"/>
  <c r="AE286" i="3"/>
  <c r="AG216" i="3"/>
  <c r="AG69" i="3"/>
  <c r="AE165" i="3"/>
  <c r="AD55" i="3"/>
  <c r="AI278" i="3"/>
  <c r="AK96" i="3"/>
  <c r="AD234" i="3"/>
  <c r="AJ269" i="3"/>
  <c r="AE263" i="3"/>
  <c r="AG152" i="3"/>
  <c r="AH114" i="3"/>
  <c r="AI259" i="3"/>
  <c r="AH199" i="3"/>
  <c r="AH212" i="3"/>
  <c r="AL77" i="3"/>
  <c r="AK55" i="3"/>
  <c r="AE47" i="3"/>
  <c r="AF254" i="3"/>
  <c r="AK209" i="3"/>
  <c r="AD269" i="3"/>
  <c r="AJ188" i="3"/>
  <c r="AF187" i="3"/>
  <c r="AG137" i="3"/>
  <c r="AK152" i="3"/>
  <c r="AJ297" i="3"/>
  <c r="AL103" i="3"/>
  <c r="AE187" i="3"/>
  <c r="AK27" i="3"/>
  <c r="AF151" i="3"/>
  <c r="AK82" i="3"/>
  <c r="AL188" i="3"/>
  <c r="AI256" i="3"/>
  <c r="AJ289" i="3"/>
  <c r="AD99" i="3"/>
  <c r="AL180" i="3"/>
  <c r="AE176" i="3"/>
  <c r="AE25" i="3"/>
  <c r="AE31" i="3"/>
  <c r="AF175" i="3"/>
  <c r="AF47" i="3"/>
  <c r="AE126" i="3"/>
  <c r="AF132" i="3"/>
  <c r="AG126" i="3"/>
  <c r="AI38" i="3"/>
  <c r="AI279" i="3"/>
  <c r="AG218" i="3"/>
  <c r="AJ238" i="3"/>
  <c r="AJ81" i="3"/>
  <c r="AF250" i="3"/>
  <c r="AG127" i="3"/>
  <c r="AL70" i="3"/>
  <c r="AD107" i="3"/>
  <c r="AH162" i="3"/>
  <c r="AH149" i="3"/>
  <c r="AG20" i="3"/>
  <c r="AK165" i="3"/>
  <c r="AL247" i="3"/>
  <c r="AF8" i="3"/>
  <c r="AG243" i="3"/>
  <c r="AH152" i="3"/>
  <c r="AL129" i="3"/>
  <c r="AI237" i="3"/>
  <c r="AL215" i="3"/>
  <c r="AJ176" i="3"/>
  <c r="AE121" i="3"/>
  <c r="AK99" i="3"/>
  <c r="AD45" i="3"/>
  <c r="AD247" i="3"/>
  <c r="AD175" i="3"/>
  <c r="AF180" i="3"/>
  <c r="AH135" i="3"/>
  <c r="AK297" i="3"/>
  <c r="AG70" i="3"/>
  <c r="AL172" i="3"/>
  <c r="AI285" i="3"/>
  <c r="AI73" i="3"/>
  <c r="AE150" i="3"/>
  <c r="AF234" i="3"/>
  <c r="AK105" i="3"/>
  <c r="AL187" i="3"/>
  <c r="AH265" i="3"/>
  <c r="AH72" i="3"/>
  <c r="AD19" i="3"/>
  <c r="AH19" i="3"/>
  <c r="AE19" i="3"/>
  <c r="AF19" i="3"/>
  <c r="AJ231" i="3"/>
  <c r="AJ186" i="3"/>
  <c r="AE232" i="3"/>
  <c r="AD284" i="3"/>
  <c r="AD13" i="3"/>
  <c r="AF241" i="3"/>
  <c r="AG172" i="3"/>
  <c r="AK248" i="3"/>
  <c r="AK67" i="3"/>
  <c r="AH155" i="3"/>
  <c r="AL121" i="3"/>
  <c r="AJ107" i="3"/>
  <c r="AG186" i="3"/>
  <c r="AF67" i="3"/>
  <c r="AD281" i="3"/>
  <c r="AI12" i="3"/>
  <c r="AJ159" i="3"/>
  <c r="AE160" i="3"/>
  <c r="AL12" i="3"/>
  <c r="AD295" i="3"/>
  <c r="AD289" i="3"/>
  <c r="AF76" i="3"/>
  <c r="AL76" i="3"/>
  <c r="AG149" i="3"/>
  <c r="AK289" i="3"/>
  <c r="AL220" i="3"/>
  <c r="AL61" i="3"/>
  <c r="AL290" i="3"/>
  <c r="AI223" i="3"/>
  <c r="AF56" i="3"/>
  <c r="AK103" i="3"/>
  <c r="AL31" i="3"/>
  <c r="AE269" i="3"/>
  <c r="AJ274" i="3"/>
  <c r="AJ173" i="3"/>
  <c r="AE212" i="3"/>
  <c r="AE143" i="3"/>
  <c r="AL201" i="3"/>
  <c r="AK201" i="3"/>
  <c r="AI57" i="3"/>
  <c r="AH57" i="3"/>
  <c r="AG57" i="3"/>
  <c r="AK101" i="3"/>
  <c r="AF105" i="3"/>
  <c r="AE61" i="3"/>
  <c r="AK296" i="3"/>
  <c r="AK197" i="3"/>
  <c r="AH238" i="3"/>
  <c r="AH6" i="3"/>
  <c r="AJ254" i="3"/>
  <c r="AE251" i="3"/>
  <c r="AF52" i="3"/>
  <c r="AK138" i="3"/>
  <c r="AL18" i="3"/>
  <c r="AG210" i="3"/>
  <c r="AH120" i="3"/>
  <c r="AE66" i="3"/>
  <c r="AD183" i="3"/>
  <c r="AJ223" i="3"/>
  <c r="AJ212" i="3"/>
  <c r="AE168" i="3"/>
  <c r="AJ65" i="3"/>
  <c r="AH3" i="3"/>
  <c r="AG3" i="3"/>
  <c r="AJ3" i="3"/>
  <c r="AI3" i="3"/>
  <c r="AF171" i="3"/>
  <c r="AG284" i="3"/>
  <c r="AK39" i="3"/>
  <c r="AI66" i="3"/>
  <c r="AL138" i="3"/>
  <c r="AI22" i="3"/>
  <c r="AJ108" i="3"/>
  <c r="AE245" i="3"/>
  <c r="AE108" i="3"/>
  <c r="AD203" i="3"/>
  <c r="AD150" i="3"/>
  <c r="AG104" i="3"/>
  <c r="AL125" i="3"/>
  <c r="AJ101" i="3"/>
  <c r="AJ164" i="3"/>
  <c r="AE120" i="3"/>
  <c r="AE59" i="3"/>
  <c r="AF268" i="3"/>
  <c r="AJ267" i="3"/>
  <c r="AJ157" i="3"/>
  <c r="AE215" i="3"/>
  <c r="AE123" i="3"/>
  <c r="AF257" i="3"/>
  <c r="AE130" i="3"/>
  <c r="AF179" i="3"/>
  <c r="AI240" i="3"/>
  <c r="AE38" i="3"/>
  <c r="AD200" i="3"/>
  <c r="AL111" i="3"/>
  <c r="AJ210" i="3"/>
  <c r="AJ9" i="3"/>
  <c r="AE242" i="3"/>
  <c r="AJ281" i="3"/>
  <c r="AE223" i="3"/>
  <c r="AE149" i="3"/>
  <c r="AG168" i="3"/>
  <c r="AH269" i="3"/>
  <c r="AL105" i="3"/>
  <c r="AH109" i="3"/>
  <c r="AG76" i="3"/>
  <c r="AI292" i="3"/>
  <c r="AH86" i="3"/>
  <c r="AK271" i="3"/>
  <c r="AI250" i="3"/>
  <c r="AL174" i="3"/>
  <c r="AD108" i="3"/>
  <c r="AF83" i="3"/>
  <c r="AI83" i="3"/>
  <c r="AF264" i="3"/>
  <c r="AF143" i="3"/>
  <c r="AG256" i="3"/>
  <c r="AG180" i="3"/>
  <c r="AK160" i="3"/>
  <c r="AH288" i="3"/>
  <c r="AH230" i="3"/>
  <c r="AL75" i="3"/>
  <c r="AL150" i="3"/>
  <c r="AI220" i="3"/>
  <c r="AI180" i="3"/>
  <c r="AI159" i="3"/>
  <c r="AI106" i="3"/>
  <c r="AD271" i="3"/>
  <c r="AD119" i="3"/>
  <c r="AI56" i="3"/>
  <c r="AK189" i="3"/>
  <c r="AL102" i="3"/>
  <c r="AH128" i="3"/>
  <c r="AK213" i="3"/>
  <c r="AH25" i="3"/>
  <c r="AD127" i="3"/>
  <c r="AD66" i="3"/>
  <c r="AF192" i="3"/>
  <c r="AG222" i="3"/>
  <c r="AG113" i="3"/>
  <c r="AL299" i="3"/>
  <c r="AL139" i="3"/>
  <c r="AD102" i="3"/>
  <c r="AG117" i="3"/>
  <c r="AK242" i="3"/>
  <c r="AL294" i="3"/>
  <c r="AF37" i="3"/>
  <c r="AI20" i="3"/>
  <c r="AD212" i="3"/>
  <c r="AL140" i="3"/>
  <c r="AG49" i="3"/>
  <c r="AK71" i="3"/>
  <c r="AD227" i="3"/>
  <c r="AE82" i="3"/>
  <c r="AD132" i="3"/>
  <c r="AE71" i="3"/>
  <c r="AH132" i="3"/>
  <c r="AH39" i="3"/>
  <c r="AD7" i="3"/>
  <c r="AD272" i="3"/>
  <c r="AD35" i="3"/>
  <c r="AH299" i="3"/>
  <c r="AK175" i="3"/>
  <c r="AL232" i="3"/>
  <c r="AI9" i="3"/>
  <c r="AG41" i="3"/>
  <c r="AD222" i="3"/>
  <c r="AG88" i="3"/>
  <c r="AI134" i="3"/>
  <c r="AJ75" i="3"/>
  <c r="AI8" i="3"/>
  <c r="AH227" i="3"/>
  <c r="AJ86" i="3"/>
  <c r="AH153" i="3"/>
  <c r="AK199" i="3"/>
  <c r="AD126" i="3"/>
  <c r="AD238" i="3"/>
  <c r="AI132" i="3"/>
  <c r="AD215" i="3"/>
  <c r="AL118" i="3"/>
  <c r="AK118" i="3"/>
  <c r="AD165" i="3"/>
  <c r="AK70" i="3"/>
  <c r="AK43" i="3"/>
  <c r="AL43" i="3"/>
  <c r="AJ43" i="3"/>
  <c r="AL24" i="3"/>
  <c r="AK24" i="3"/>
  <c r="AJ24" i="3"/>
  <c r="AJ4" i="3"/>
  <c r="AD58" i="3"/>
  <c r="AG267" i="3"/>
  <c r="AL292" i="3"/>
  <c r="AH134" i="3"/>
  <c r="AL27" i="3"/>
  <c r="AD209" i="3"/>
  <c r="AE250" i="3"/>
  <c r="AJ285" i="3"/>
  <c r="AI67" i="3"/>
  <c r="AH202" i="3"/>
  <c r="AI299" i="3"/>
  <c r="AJ138" i="3"/>
  <c r="AJ14" i="3"/>
  <c r="AJ187" i="3"/>
  <c r="AE186" i="3"/>
  <c r="AE56" i="3"/>
  <c r="AF72" i="3"/>
  <c r="AJ163" i="3"/>
  <c r="AE52" i="3"/>
  <c r="AE7" i="3"/>
  <c r="AG143" i="3"/>
  <c r="AD56" i="3"/>
  <c r="AH26" i="3"/>
  <c r="AJ48" i="3"/>
  <c r="AL179" i="3"/>
  <c r="AE169" i="3"/>
  <c r="AD25" i="3"/>
  <c r="AL86" i="3"/>
  <c r="AH52" i="3"/>
  <c r="AF230" i="3"/>
  <c r="AD117" i="3"/>
  <c r="AF95" i="3"/>
  <c r="AI33" i="3"/>
  <c r="AD167" i="3"/>
  <c r="AG280" i="3"/>
  <c r="AG24" i="3"/>
  <c r="AH294" i="3"/>
  <c r="AK245" i="3"/>
  <c r="AH80" i="3"/>
  <c r="AD186" i="3"/>
  <c r="AK10" i="3"/>
  <c r="AJ10" i="3"/>
  <c r="AG10" i="3"/>
  <c r="AF10" i="3"/>
  <c r="AJ41" i="3"/>
  <c r="AK111" i="3"/>
  <c r="AF128" i="3"/>
  <c r="AF55" i="3"/>
  <c r="AG292" i="3"/>
  <c r="AG158" i="3"/>
  <c r="AK256" i="3"/>
  <c r="AK47" i="3"/>
  <c r="AH138" i="3"/>
  <c r="AL169" i="3"/>
  <c r="AI48" i="3"/>
  <c r="AE4" i="3"/>
  <c r="AD294" i="3"/>
  <c r="AJ112" i="3"/>
  <c r="AG112" i="3"/>
  <c r="AF112" i="3"/>
  <c r="AF217" i="3"/>
  <c r="AK229" i="3"/>
  <c r="AL163" i="3"/>
  <c r="AH82" i="3"/>
  <c r="AJ256" i="3"/>
  <c r="AJ39" i="3"/>
  <c r="AE185" i="3"/>
  <c r="AE134" i="3"/>
  <c r="AD131" i="3"/>
  <c r="AF139" i="3"/>
  <c r="AF44" i="3"/>
  <c r="AH280" i="3"/>
  <c r="AL286" i="3"/>
  <c r="AI238" i="3"/>
  <c r="AE34" i="3"/>
  <c r="AD34" i="3"/>
  <c r="AF34" i="3"/>
  <c r="AG128" i="3"/>
  <c r="AH9" i="3"/>
  <c r="AE10" i="3"/>
  <c r="AI139" i="3"/>
  <c r="AE192" i="3"/>
  <c r="AJ140" i="3"/>
  <c r="AJ200" i="3"/>
  <c r="AD156" i="3"/>
  <c r="AD129" i="3"/>
  <c r="AF75" i="3"/>
  <c r="AI31" i="3"/>
  <c r="AG177" i="3"/>
  <c r="AK36" i="3"/>
  <c r="AH21" i="3"/>
  <c r="AL245" i="3"/>
  <c r="AI138" i="3"/>
  <c r="AL280" i="3"/>
  <c r="AE174" i="3"/>
  <c r="AD61" i="3"/>
  <c r="AD288" i="3"/>
  <c r="AI295" i="3"/>
  <c r="AG155" i="3"/>
  <c r="AL135" i="3"/>
  <c r="AE75" i="3"/>
  <c r="AJ245" i="3"/>
  <c r="AJ90" i="3"/>
  <c r="AE227" i="3"/>
  <c r="AE88" i="3"/>
  <c r="AD33" i="3"/>
  <c r="AF294" i="3"/>
  <c r="AF266" i="3"/>
  <c r="AK200" i="3"/>
  <c r="AD6" i="3"/>
  <c r="AG134" i="3"/>
  <c r="AK220" i="3"/>
  <c r="AK132" i="3"/>
  <c r="AH187" i="3"/>
  <c r="AI120" i="3"/>
  <c r="AI264" i="3"/>
  <c r="AJ201" i="3"/>
  <c r="AD220" i="3"/>
  <c r="AF30" i="3"/>
  <c r="AK19" i="3"/>
  <c r="AI268" i="3"/>
  <c r="AG139" i="3"/>
  <c r="AE43" i="3"/>
  <c r="AE170" i="3"/>
  <c r="AG93" i="3"/>
  <c r="AL246" i="3"/>
  <c r="AK246" i="3"/>
  <c r="AJ246" i="3"/>
  <c r="AD3" i="3"/>
  <c r="AF293" i="3"/>
  <c r="AF216" i="3"/>
  <c r="AG278" i="3"/>
  <c r="AG110" i="3"/>
  <c r="AK7" i="3"/>
  <c r="AH115" i="3"/>
  <c r="AI131" i="3"/>
  <c r="AI122" i="3"/>
  <c r="AJ71" i="3"/>
  <c r="AE46" i="3"/>
  <c r="AD111" i="3"/>
  <c r="AH53" i="3"/>
  <c r="AI53" i="3"/>
  <c r="AJ53" i="3"/>
  <c r="AG53" i="3"/>
  <c r="AF265" i="3"/>
  <c r="AL7" i="3"/>
  <c r="AJ135" i="3"/>
  <c r="AE201" i="3"/>
  <c r="AE24" i="3"/>
  <c r="AD28" i="3"/>
  <c r="AF115" i="3"/>
  <c r="AJ207" i="3"/>
  <c r="AJ91" i="3"/>
  <c r="AE3" i="3"/>
  <c r="AG105" i="3"/>
  <c r="AF137" i="3"/>
  <c r="AE32" i="3"/>
  <c r="AG32" i="3"/>
  <c r="AD32" i="3"/>
  <c r="AE111" i="3"/>
  <c r="AF65" i="3"/>
  <c r="AI70" i="3"/>
  <c r="AL51" i="3"/>
  <c r="AJ115" i="3"/>
  <c r="AJ61" i="3"/>
  <c r="AE241" i="3"/>
  <c r="AF125" i="3"/>
  <c r="AH272" i="3"/>
  <c r="AH66" i="3"/>
  <c r="AH158" i="3"/>
  <c r="AI232" i="3"/>
  <c r="AL3" i="3"/>
  <c r="AI202" i="3"/>
  <c r="AF31" i="3"/>
  <c r="AL93" i="3"/>
  <c r="AH45" i="3"/>
  <c r="AE60" i="3"/>
  <c r="AD60" i="3"/>
  <c r="AF60" i="3"/>
  <c r="AD274" i="3"/>
  <c r="AD204" i="3"/>
  <c r="AF86" i="3"/>
  <c r="AG197" i="3"/>
  <c r="AH284" i="3"/>
  <c r="AH50" i="3"/>
  <c r="AI153" i="3"/>
  <c r="AI186" i="3"/>
  <c r="AI176" i="3"/>
  <c r="AJ50" i="3"/>
  <c r="AL248" i="3"/>
  <c r="AG209" i="3"/>
  <c r="AD206" i="3"/>
  <c r="AD86" i="3"/>
  <c r="AF140" i="3"/>
  <c r="AG227" i="3"/>
  <c r="AG12" i="3"/>
  <c r="AH276" i="3"/>
  <c r="AH188" i="3"/>
  <c r="AL283" i="3"/>
  <c r="AD50" i="3"/>
  <c r="AG299" i="3"/>
  <c r="AL185" i="3"/>
  <c r="AJ15" i="3"/>
  <c r="AG15" i="3"/>
  <c r="AL15" i="3"/>
  <c r="AI15" i="3"/>
  <c r="AH15" i="3"/>
  <c r="AE20" i="3"/>
  <c r="AH136" i="3"/>
  <c r="AK136" i="3"/>
  <c r="AI136" i="3"/>
  <c r="AL72" i="3"/>
  <c r="AG72" i="3"/>
  <c r="AK128" i="3"/>
  <c r="AH18" i="3"/>
  <c r="AD192" i="3"/>
  <c r="AJ131" i="3"/>
  <c r="AF280" i="3"/>
  <c r="AG192" i="3"/>
  <c r="AK88" i="3"/>
  <c r="AH262" i="3"/>
  <c r="AG262" i="3"/>
  <c r="AI35" i="3"/>
  <c r="AE243" i="3"/>
  <c r="AH131" i="3"/>
  <c r="AJ128" i="3"/>
  <c r="AH37" i="3"/>
  <c r="AH76" i="3"/>
  <c r="AD76" i="3"/>
  <c r="AD80" i="3"/>
  <c r="AJ171" i="3"/>
  <c r="AI75" i="3"/>
  <c r="AD18" i="3"/>
  <c r="AD265" i="3"/>
  <c r="AK280" i="3"/>
  <c r="AH267" i="3"/>
  <c r="AF168" i="3"/>
  <c r="AK263" i="3"/>
  <c r="AH215" i="3"/>
  <c r="AG215" i="3"/>
  <c r="AH41" i="3"/>
  <c r="AE81" i="3"/>
  <c r="AF232" i="3"/>
  <c r="AJ58" i="3"/>
  <c r="AI7" i="3"/>
  <c r="AG48" i="3"/>
  <c r="AH243" i="3"/>
  <c r="AJ95" i="3"/>
  <c r="AE171" i="3"/>
  <c r="AD267" i="3"/>
  <c r="AI95" i="3"/>
  <c r="AF26" i="3"/>
  <c r="AL237" i="3"/>
  <c r="AI175" i="3"/>
  <c r="AD59" i="3"/>
  <c r="AF238" i="3"/>
  <c r="AG132" i="3"/>
  <c r="AD75" i="3"/>
  <c r="AD26" i="3"/>
  <c r="AD41" i="3"/>
  <c r="AI69" i="3"/>
  <c r="AJ59" i="3"/>
  <c r="AF267" i="3"/>
  <c r="AI6" i="3"/>
  <c r="AJ72" i="3"/>
  <c r="AJ85" i="3"/>
  <c r="AK85" i="3"/>
  <c r="AE9" i="3"/>
  <c r="AL202" i="3"/>
  <c r="AD128" i="3"/>
  <c r="AJ248" i="3"/>
  <c r="AI100" i="3"/>
  <c r="AD154" i="3"/>
  <c r="AF41" i="3"/>
  <c r="AF35" i="3"/>
  <c r="AH217" i="3"/>
  <c r="AI59" i="3"/>
  <c r="AE132" i="3"/>
  <c r="AH175" i="3"/>
  <c r="AI151" i="3"/>
  <c r="AH47" i="3"/>
  <c r="AJ126" i="3"/>
  <c r="AH232" i="3"/>
  <c r="AD266" i="3"/>
  <c r="AL267" i="3"/>
  <c r="AG151" i="3"/>
  <c r="AH237" i="3"/>
  <c r="AE154" i="3"/>
  <c r="AJ69" i="3"/>
  <c r="AJ227" i="3"/>
  <c r="AJ100" i="3"/>
  <c r="AI39" i="3"/>
  <c r="AI107" i="3"/>
  <c r="AD93" i="3"/>
  <c r="AF160" i="3"/>
  <c r="AH254" i="3"/>
  <c r="AD81" i="3"/>
  <c r="AF235" i="3"/>
  <c r="AK254" i="3"/>
  <c r="AD256" i="3"/>
  <c r="AL41" i="3"/>
  <c r="AD27" i="3"/>
  <c r="AF256" i="3"/>
  <c r="AH85" i="3"/>
  <c r="AF227" i="3"/>
  <c r="AK143" i="3"/>
  <c r="AI44" i="3"/>
  <c r="AI140" i="3"/>
  <c r="AJ162" i="3"/>
  <c r="AJ293" i="3"/>
  <c r="AF81" i="3"/>
  <c r="AF213" i="3"/>
  <c r="AL218" i="3"/>
  <c r="AJ18" i="3"/>
  <c r="AJ232" i="3"/>
  <c r="AJ218" i="3"/>
  <c r="AH125" i="3"/>
  <c r="AH200" i="3"/>
  <c r="AJ37" i="3"/>
  <c r="AD160" i="3"/>
  <c r="AL13" i="3"/>
  <c r="AH13" i="3"/>
  <c r="AF174" i="3"/>
  <c r="AL11" i="3"/>
  <c r="AK11" i="3"/>
  <c r="AK56" i="3"/>
  <c r="AE202" i="3"/>
  <c r="AF71" i="3"/>
  <c r="AG188" i="3"/>
  <c r="AK137" i="3"/>
  <c r="AH43" i="3"/>
  <c r="AF93" i="3"/>
  <c r="AI26" i="3"/>
  <c r="AJ31" i="3"/>
  <c r="AE103" i="3"/>
  <c r="AH46" i="3"/>
  <c r="AF255" i="3"/>
  <c r="AI18" i="3"/>
  <c r="AH75" i="3"/>
  <c r="AI165" i="3"/>
  <c r="AL285" i="3"/>
  <c r="AE177" i="3"/>
  <c r="AD195" i="3"/>
  <c r="AK113" i="3"/>
  <c r="AJ124" i="3"/>
  <c r="AL65" i="3"/>
  <c r="AG147" i="3"/>
  <c r="AI162" i="3"/>
  <c r="AE122" i="3"/>
  <c r="AH147" i="3"/>
  <c r="AK30" i="3"/>
  <c r="AI248" i="3"/>
  <c r="AG46" i="3"/>
  <c r="AJ266" i="3"/>
  <c r="AJ137" i="3"/>
  <c r="AI111" i="3"/>
  <c r="AD176" i="3"/>
  <c r="AF288" i="3"/>
  <c r="AF104" i="3"/>
  <c r="AJ215" i="3"/>
  <c r="AK45" i="3"/>
  <c r="AH118" i="3"/>
  <c r="AJ165" i="3"/>
  <c r="AG96" i="3"/>
  <c r="AL66" i="3"/>
  <c r="AJ44" i="3"/>
  <c r="AL52" i="3"/>
  <c r="AL68" i="3"/>
  <c r="AJ68" i="3"/>
  <c r="AF68" i="3"/>
  <c r="AK18" i="3"/>
  <c r="AH107" i="3"/>
  <c r="AI11" i="3"/>
  <c r="AJ109" i="3"/>
  <c r="AE30" i="3"/>
  <c r="AJ80" i="3"/>
  <c r="AE14" i="3"/>
  <c r="AF165" i="3"/>
  <c r="AJ38" i="3"/>
  <c r="AL257" i="3"/>
  <c r="AI72" i="3"/>
  <c r="AJ114" i="3"/>
  <c r="AJ294" i="3"/>
  <c r="AJ197" i="3"/>
  <c r="AH165" i="3"/>
  <c r="AH79" i="3"/>
  <c r="AI269" i="3"/>
  <c r="AK12" i="3"/>
  <c r="AK149" i="3"/>
  <c r="AL149" i="3"/>
  <c r="AI79" i="3"/>
  <c r="AG131" i="3"/>
  <c r="AJ11" i="3"/>
  <c r="AF157" i="3"/>
  <c r="AG157" i="3"/>
  <c r="AK147" i="3"/>
  <c r="AD157" i="3"/>
  <c r="AK54" i="3"/>
  <c r="AI54" i="3"/>
  <c r="AL16" i="3"/>
</calcChain>
</file>

<file path=xl/sharedStrings.xml><?xml version="1.0" encoding="utf-8"?>
<sst xmlns="http://schemas.openxmlformats.org/spreadsheetml/2006/main" count="430" uniqueCount="73">
  <si>
    <t>Position</t>
  </si>
  <si>
    <t>Kart number</t>
  </si>
  <si>
    <t>Team</t>
  </si>
  <si>
    <t>Laps [laps]</t>
  </si>
  <si>
    <t>Distance</t>
  </si>
  <si>
    <t>Fastest lap [laps]</t>
  </si>
  <si>
    <t>Slowest lap [laps]</t>
  </si>
  <si>
    <t>Average lap [sec]</t>
  </si>
  <si>
    <t>Standard deviation [sec]</t>
  </si>
  <si>
    <t>Pit time [sec]</t>
  </si>
  <si>
    <t>Pit stops</t>
  </si>
  <si>
    <t>Average pit time [sec]</t>
  </si>
  <si>
    <t>SanderV</t>
  </si>
  <si>
    <t>0 sec</t>
  </si>
  <si>
    <t>InigoM</t>
  </si>
  <si>
    <t>17.945 sec</t>
  </si>
  <si>
    <t>LodeH</t>
  </si>
  <si>
    <t>29.983 sec</t>
  </si>
  <si>
    <t>YannickD</t>
  </si>
  <si>
    <t>1 lap</t>
  </si>
  <si>
    <t>NielsS</t>
  </si>
  <si>
    <t>GökhanB</t>
  </si>
  <si>
    <t>KyleS</t>
  </si>
  <si>
    <t>HannesD</t>
  </si>
  <si>
    <t>2 laps</t>
  </si>
  <si>
    <t>DieterV</t>
  </si>
  <si>
    <t>30 min GP race - 14:12 - Sodi 270cc 20/12/2025</t>
  </si>
  <si>
    <t>Percentage of outliers</t>
  </si>
  <si>
    <t>Driver</t>
  </si>
  <si>
    <t>Fastest lap [sec]</t>
  </si>
  <si>
    <t>Slowest lap [sec]</t>
  </si>
  <si>
    <t>Avg lap (no outliers) [sec]</t>
  </si>
  <si>
    <t>Lap times [sec]</t>
  </si>
  <si>
    <t>Running average [sec]</t>
  </si>
  <si>
    <t>Cumulative time [sec]</t>
  </si>
  <si>
    <t>All cumulative times [sec]</t>
  </si>
  <si>
    <t>Team1 laps [laps]</t>
  </si>
  <si>
    <t>Team2 laps [laps]</t>
  </si>
  <si>
    <t>Team3 laps [laps]</t>
  </si>
  <si>
    <t>Team4 laps [laps]</t>
  </si>
  <si>
    <t>Team5 laps [laps]</t>
  </si>
  <si>
    <t>Team6 laps [laps]</t>
  </si>
  <si>
    <t>Team7 laps [laps]</t>
  </si>
  <si>
    <t>Team8 laps [laps]</t>
  </si>
  <si>
    <t>Team9 laps [laps]</t>
  </si>
  <si>
    <t>Team1 distance to winner [laps]</t>
  </si>
  <si>
    <t>Team2 distance to winner [laps]</t>
  </si>
  <si>
    <t>Team3 distance to winner [laps]</t>
  </si>
  <si>
    <t>Team4 distance to winner [laps]</t>
  </si>
  <si>
    <t>Team5 distance to winner [laps]</t>
  </si>
  <si>
    <t>Team6 distance to winner [laps]</t>
  </si>
  <si>
    <t>Team7 distance to winner [laps]</t>
  </si>
  <si>
    <t>Team8 distance to winner [laps]</t>
  </si>
  <si>
    <t>Team9 distance to winner [laps]</t>
  </si>
  <si>
    <t>Team1 distance to leader [laps]</t>
  </si>
  <si>
    <t>Team2 distance to leader [laps]</t>
  </si>
  <si>
    <t>Team3 distance to leader [laps]</t>
  </si>
  <si>
    <t>Team4 distance to leader [laps]</t>
  </si>
  <si>
    <t>Team5 distance to leader [laps]</t>
  </si>
  <si>
    <t>Team6 distance to leader [laps]</t>
  </si>
  <si>
    <t>Team7 distance to leader [laps]</t>
  </si>
  <si>
    <t>Team8 distance to leader [laps]</t>
  </si>
  <si>
    <t>Team9 distance to leader [laps]</t>
  </si>
  <si>
    <t>Total running average [sec]</t>
  </si>
  <si>
    <t>Team1 running average diff [sec]</t>
  </si>
  <si>
    <t>Team2 running average diff [sec]</t>
  </si>
  <si>
    <t>Team3 running average diff [sec]</t>
  </si>
  <si>
    <t>Team4 running average diff [sec]</t>
  </si>
  <si>
    <t>Team5 running average diff [sec]</t>
  </si>
  <si>
    <t>Team6 running average diff [sec]</t>
  </si>
  <si>
    <t>Team7 running average diff [sec]</t>
  </si>
  <si>
    <t>Team8 running average diff [sec]</t>
  </si>
  <si>
    <t>Team9 running average diff [sec]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</si>
</sst>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4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1" fillId="0" borderId="1" xfId="1" applyAlignment="1">
      <alignment horizontal="center"/>
    </xf>
  </cellXfs>
  <cellStyles count="2">
    <cellStyle name="Heading 2" xfId="1" builtinId="1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Running average lap times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race_data!$A$1</c:f>
              <c:strCache>
                <c:ptCount val="1"/>
                <c:pt idx="0">
                  <c:v>SanderV</c:v>
                </c:pt>
              </c:strCache>
            </c:strRef>
          </c:tx>
          <c:marker>
            <c:symbol val="none"/>
          </c:marker>
          <c:xVal>
            <c:numRef>
              <c:f>race_data!$D$3:$D$36</c:f>
              <c:numCache>
                <c:formatCode>General</c:formatCode>
                <c:ptCount val="34"/>
                <c:pt idx="0">
                  <c:v>53.756</c:v>
                </c:pt>
                <c:pt idx="1">
                  <c:v>107.24799999999999</c:v>
                </c:pt>
                <c:pt idx="2">
                  <c:v>160.595</c:v>
                </c:pt>
                <c:pt idx="3">
                  <c:v>214.05799999999999</c:v>
                </c:pt>
                <c:pt idx="4">
                  <c:v>267.20299999999997</c:v>
                </c:pt>
                <c:pt idx="5">
                  <c:v>319.94</c:v>
                </c:pt>
                <c:pt idx="6">
                  <c:v>372.53499999999997</c:v>
                </c:pt>
                <c:pt idx="7">
                  <c:v>425.07599999999996</c:v>
                </c:pt>
                <c:pt idx="8">
                  <c:v>477.66599999999994</c:v>
                </c:pt>
                <c:pt idx="9">
                  <c:v>530.65299999999991</c:v>
                </c:pt>
                <c:pt idx="10">
                  <c:v>583.65299999999991</c:v>
                </c:pt>
                <c:pt idx="11">
                  <c:v>636.24399999999991</c:v>
                </c:pt>
                <c:pt idx="12">
                  <c:v>688.80799999999988</c:v>
                </c:pt>
                <c:pt idx="13">
                  <c:v>741.71299999999985</c:v>
                </c:pt>
                <c:pt idx="14">
                  <c:v>794.03099999999984</c:v>
                </c:pt>
                <c:pt idx="15">
                  <c:v>846.68199999999979</c:v>
                </c:pt>
                <c:pt idx="16">
                  <c:v>899.13499999999976</c:v>
                </c:pt>
                <c:pt idx="17">
                  <c:v>951.75499999999977</c:v>
                </c:pt>
                <c:pt idx="18">
                  <c:v>1004.2729999999998</c:v>
                </c:pt>
                <c:pt idx="19">
                  <c:v>1056.5769999999998</c:v>
                </c:pt>
                <c:pt idx="20">
                  <c:v>1108.8509999999997</c:v>
                </c:pt>
                <c:pt idx="21">
                  <c:v>1161.1489999999997</c:v>
                </c:pt>
                <c:pt idx="22">
                  <c:v>1213.0439999999996</c:v>
                </c:pt>
                <c:pt idx="23">
                  <c:v>1264.9359999999997</c:v>
                </c:pt>
                <c:pt idx="24">
                  <c:v>1316.8969999999997</c:v>
                </c:pt>
                <c:pt idx="25">
                  <c:v>1371.1029999999996</c:v>
                </c:pt>
                <c:pt idx="26">
                  <c:v>1423.5709999999997</c:v>
                </c:pt>
                <c:pt idx="27">
                  <c:v>1476.0289999999998</c:v>
                </c:pt>
                <c:pt idx="28">
                  <c:v>1529.7849999999999</c:v>
                </c:pt>
                <c:pt idx="29">
                  <c:v>1582.367</c:v>
                </c:pt>
                <c:pt idx="30">
                  <c:v>1634.2470000000001</c:v>
                </c:pt>
                <c:pt idx="31">
                  <c:v>1686.402</c:v>
                </c:pt>
                <c:pt idx="32">
                  <c:v>1738.673</c:v>
                </c:pt>
                <c:pt idx="33">
                  <c:v>1791.0740000000001</c:v>
                </c:pt>
              </c:numCache>
            </c:numRef>
          </c:xVal>
          <c:yVal>
            <c:numRef>
              <c:f>race_data!$C$3:$C$36</c:f>
              <c:numCache>
                <c:formatCode>General</c:formatCode>
                <c:ptCount val="34"/>
                <c:pt idx="0">
                  <c:v>53.756</c:v>
                </c:pt>
                <c:pt idx="1">
                  <c:v>53.623999999999995</c:v>
                </c:pt>
                <c:pt idx="2">
                  <c:v>53.531666666666666</c:v>
                </c:pt>
                <c:pt idx="3">
                  <c:v>53.514499999999998</c:v>
                </c:pt>
                <c:pt idx="4">
                  <c:v>53.440599999999996</c:v>
                </c:pt>
                <c:pt idx="5">
                  <c:v>53.323333333333331</c:v>
                </c:pt>
                <c:pt idx="6">
                  <c:v>53.219285714285711</c:v>
                </c:pt>
                <c:pt idx="7">
                  <c:v>53.134499999999996</c:v>
                </c:pt>
                <c:pt idx="8">
                  <c:v>53.073999999999991</c:v>
                </c:pt>
                <c:pt idx="9">
                  <c:v>53.065299999999993</c:v>
                </c:pt>
                <c:pt idx="10">
                  <c:v>53.059363636363628</c:v>
                </c:pt>
                <c:pt idx="11">
                  <c:v>53.020333333333326</c:v>
                </c:pt>
                <c:pt idx="12">
                  <c:v>52.98523076923076</c:v>
                </c:pt>
                <c:pt idx="13">
                  <c:v>52.979499999999987</c:v>
                </c:pt>
                <c:pt idx="14">
                  <c:v>52.935399999999987</c:v>
                </c:pt>
                <c:pt idx="15">
                  <c:v>52.917624999999987</c:v>
                </c:pt>
                <c:pt idx="16">
                  <c:v>52.890294117647045</c:v>
                </c:pt>
                <c:pt idx="17">
                  <c:v>52.875277777777768</c:v>
                </c:pt>
                <c:pt idx="18">
                  <c:v>52.856473684210513</c:v>
                </c:pt>
                <c:pt idx="19">
                  <c:v>52.828849999999989</c:v>
                </c:pt>
                <c:pt idx="20">
                  <c:v>52.802428571428557</c:v>
                </c:pt>
                <c:pt idx="21">
                  <c:v>52.779499999999985</c:v>
                </c:pt>
                <c:pt idx="22">
                  <c:v>52.741043478260856</c:v>
                </c:pt>
                <c:pt idx="23">
                  <c:v>52.705666666666652</c:v>
                </c:pt>
                <c:pt idx="24">
                  <c:v>52.675879999999985</c:v>
                </c:pt>
                <c:pt idx="25">
                  <c:v>52.734730769230751</c:v>
                </c:pt>
                <c:pt idx="26">
                  <c:v>52.724851851851838</c:v>
                </c:pt>
                <c:pt idx="27">
                  <c:v>52.715321428571421</c:v>
                </c:pt>
                <c:pt idx="28">
                  <c:v>52.751206896551722</c:v>
                </c:pt>
                <c:pt idx="29">
                  <c:v>52.745566666666669</c:v>
                </c:pt>
                <c:pt idx="30">
                  <c:v>52.717645161290328</c:v>
                </c:pt>
                <c:pt idx="31">
                  <c:v>52.700062500000001</c:v>
                </c:pt>
                <c:pt idx="32">
                  <c:v>52.687060606060605</c:v>
                </c:pt>
                <c:pt idx="33">
                  <c:v>52.678647058823529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68-4E5E-8F23-E0339043BC41}"/>
            </c:ext>
          </c:extLst>
        </c:ser>
        <c:ser>
          <c:idx val="1"/>
          <c:order val="1"/>
          <c:tx>
            <c:strRef>
              <c:f>race_data!$F$1</c:f>
              <c:strCache>
                <c:ptCount val="1"/>
                <c:pt idx="0">
                  <c:v>InigoM</c:v>
                </c:pt>
              </c:strCache>
            </c:strRef>
          </c:tx>
          <c:marker>
            <c:symbol val="none"/>
          </c:marker>
          <c:xVal>
            <c:numRef>
              <c:f>race_data!$I$3:$I$36</c:f>
              <c:numCache>
                <c:formatCode>General</c:formatCode>
                <c:ptCount val="34"/>
                <c:pt idx="0">
                  <c:v>53.683999999999997</c:v>
                </c:pt>
                <c:pt idx="1">
                  <c:v>107.48399999999999</c:v>
                </c:pt>
                <c:pt idx="2">
                  <c:v>160.697</c:v>
                </c:pt>
                <c:pt idx="3">
                  <c:v>214.31100000000001</c:v>
                </c:pt>
                <c:pt idx="4">
                  <c:v>267.286</c:v>
                </c:pt>
                <c:pt idx="5">
                  <c:v>320.41700000000003</c:v>
                </c:pt>
                <c:pt idx="6">
                  <c:v>373.22</c:v>
                </c:pt>
                <c:pt idx="7">
                  <c:v>426.26300000000003</c:v>
                </c:pt>
                <c:pt idx="8">
                  <c:v>479.28800000000001</c:v>
                </c:pt>
                <c:pt idx="9">
                  <c:v>532.33299999999997</c:v>
                </c:pt>
                <c:pt idx="10">
                  <c:v>585.43899999999996</c:v>
                </c:pt>
                <c:pt idx="11">
                  <c:v>638.471</c:v>
                </c:pt>
                <c:pt idx="12">
                  <c:v>691.47199999999998</c:v>
                </c:pt>
                <c:pt idx="13">
                  <c:v>744.25900000000001</c:v>
                </c:pt>
                <c:pt idx="14">
                  <c:v>797.92899999999997</c:v>
                </c:pt>
                <c:pt idx="15">
                  <c:v>851.06</c:v>
                </c:pt>
                <c:pt idx="16">
                  <c:v>903.89799999999991</c:v>
                </c:pt>
                <c:pt idx="17">
                  <c:v>956.57899999999995</c:v>
                </c:pt>
                <c:pt idx="18">
                  <c:v>1009.982</c:v>
                </c:pt>
                <c:pt idx="19">
                  <c:v>1062.8579999999999</c:v>
                </c:pt>
                <c:pt idx="20">
                  <c:v>1115.752</c:v>
                </c:pt>
                <c:pt idx="21">
                  <c:v>1168.566</c:v>
                </c:pt>
                <c:pt idx="22">
                  <c:v>1221.4059999999999</c:v>
                </c:pt>
                <c:pt idx="23">
                  <c:v>1274.2059999999999</c:v>
                </c:pt>
                <c:pt idx="24">
                  <c:v>1327.0649999999998</c:v>
                </c:pt>
                <c:pt idx="25">
                  <c:v>1380.5779999999997</c:v>
                </c:pt>
                <c:pt idx="26">
                  <c:v>1433.5509999999997</c:v>
                </c:pt>
                <c:pt idx="27">
                  <c:v>1486.4649999999997</c:v>
                </c:pt>
                <c:pt idx="28">
                  <c:v>1539.4529999999997</c:v>
                </c:pt>
                <c:pt idx="29">
                  <c:v>1593.9429999999998</c:v>
                </c:pt>
                <c:pt idx="30">
                  <c:v>1648.1289999999997</c:v>
                </c:pt>
                <c:pt idx="31">
                  <c:v>1700.9819999999997</c:v>
                </c:pt>
                <c:pt idx="32">
                  <c:v>1755.2439999999997</c:v>
                </c:pt>
                <c:pt idx="33">
                  <c:v>1808.5829999999996</c:v>
                </c:pt>
              </c:numCache>
            </c:numRef>
          </c:xVal>
          <c:yVal>
            <c:numRef>
              <c:f>race_data!$H$3:$H$36</c:f>
              <c:numCache>
                <c:formatCode>General</c:formatCode>
                <c:ptCount val="34"/>
                <c:pt idx="0">
                  <c:v>53.683999999999997</c:v>
                </c:pt>
                <c:pt idx="1">
                  <c:v>53.741999999999997</c:v>
                </c:pt>
                <c:pt idx="2">
                  <c:v>53.565666666666665</c:v>
                </c:pt>
                <c:pt idx="3">
                  <c:v>53.577750000000002</c:v>
                </c:pt>
                <c:pt idx="4">
                  <c:v>53.4572</c:v>
                </c:pt>
                <c:pt idx="5">
                  <c:v>53.402833333333341</c:v>
                </c:pt>
                <c:pt idx="6">
                  <c:v>53.317142857142862</c:v>
                </c:pt>
                <c:pt idx="7">
                  <c:v>53.282875000000004</c:v>
                </c:pt>
                <c:pt idx="8">
                  <c:v>53.254222222222225</c:v>
                </c:pt>
                <c:pt idx="9">
                  <c:v>53.2333</c:v>
                </c:pt>
                <c:pt idx="10">
                  <c:v>53.221727272727271</c:v>
                </c:pt>
                <c:pt idx="11">
                  <c:v>53.205916666666667</c:v>
                </c:pt>
                <c:pt idx="12">
                  <c:v>53.190153846153848</c:v>
                </c:pt>
                <c:pt idx="13">
                  <c:v>53.161357142857142</c:v>
                </c:pt>
                <c:pt idx="14">
                  <c:v>53.195266666666662</c:v>
                </c:pt>
                <c:pt idx="15">
                  <c:v>53.191249999999997</c:v>
                </c:pt>
                <c:pt idx="16">
                  <c:v>53.17047058823529</c:v>
                </c:pt>
                <c:pt idx="17">
                  <c:v>53.143277777777776</c:v>
                </c:pt>
                <c:pt idx="18">
                  <c:v>53.156947368421051</c:v>
                </c:pt>
                <c:pt idx="19">
                  <c:v>53.142899999999997</c:v>
                </c:pt>
                <c:pt idx="20">
                  <c:v>53.131047619047614</c:v>
                </c:pt>
                <c:pt idx="21">
                  <c:v>53.116636363636367</c:v>
                </c:pt>
                <c:pt idx="22">
                  <c:v>53.104608695652175</c:v>
                </c:pt>
                <c:pt idx="23">
                  <c:v>53.091916666666663</c:v>
                </c:pt>
                <c:pt idx="24">
                  <c:v>53.082599999999992</c:v>
                </c:pt>
                <c:pt idx="25">
                  <c:v>53.09915384615384</c:v>
                </c:pt>
                <c:pt idx="26">
                  <c:v>53.094481481481473</c:v>
                </c:pt>
                <c:pt idx="27">
                  <c:v>53.088035714285702</c:v>
                </c:pt>
                <c:pt idx="28">
                  <c:v>53.084586206896546</c:v>
                </c:pt>
                <c:pt idx="29">
                  <c:v>53.131433333333327</c:v>
                </c:pt>
                <c:pt idx="30">
                  <c:v>53.165451612903219</c:v>
                </c:pt>
                <c:pt idx="31">
                  <c:v>53.155687499999992</c:v>
                </c:pt>
                <c:pt idx="32">
                  <c:v>53.189212121212108</c:v>
                </c:pt>
                <c:pt idx="33">
                  <c:v>53.193617647058815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68-4E5E-8F23-E0339043BC41}"/>
            </c:ext>
          </c:extLst>
        </c:ser>
        <c:ser>
          <c:idx val="2"/>
          <c:order val="2"/>
          <c:tx>
            <c:strRef>
              <c:f>race_data!$K$1</c:f>
              <c:strCache>
                <c:ptCount val="1"/>
                <c:pt idx="0">
                  <c:v>LodeH</c:v>
                </c:pt>
              </c:strCache>
            </c:strRef>
          </c:tx>
          <c:marker>
            <c:symbol val="none"/>
          </c:marker>
          <c:xVal>
            <c:numRef>
              <c:f>race_data!$N$3:$N$36</c:f>
              <c:numCache>
                <c:formatCode>General</c:formatCode>
                <c:ptCount val="34"/>
                <c:pt idx="0">
                  <c:v>54.529000000000003</c:v>
                </c:pt>
                <c:pt idx="1">
                  <c:v>109.506</c:v>
                </c:pt>
                <c:pt idx="2">
                  <c:v>163.79</c:v>
                </c:pt>
                <c:pt idx="3">
                  <c:v>217.57599999999999</c:v>
                </c:pt>
                <c:pt idx="4">
                  <c:v>271.62</c:v>
                </c:pt>
                <c:pt idx="5">
                  <c:v>325.77699999999999</c:v>
                </c:pt>
                <c:pt idx="6">
                  <c:v>380.05599999999998</c:v>
                </c:pt>
                <c:pt idx="7">
                  <c:v>434.23099999999999</c:v>
                </c:pt>
                <c:pt idx="8">
                  <c:v>488.19099999999997</c:v>
                </c:pt>
                <c:pt idx="9">
                  <c:v>541.52099999999996</c:v>
                </c:pt>
                <c:pt idx="10">
                  <c:v>594.96499999999992</c:v>
                </c:pt>
                <c:pt idx="11">
                  <c:v>648.21699999999987</c:v>
                </c:pt>
                <c:pt idx="12">
                  <c:v>701.5089999999999</c:v>
                </c:pt>
                <c:pt idx="13">
                  <c:v>754.44999999999993</c:v>
                </c:pt>
                <c:pt idx="14">
                  <c:v>808.10399999999993</c:v>
                </c:pt>
                <c:pt idx="15">
                  <c:v>862.00699999999995</c:v>
                </c:pt>
                <c:pt idx="16">
                  <c:v>914.92899999999997</c:v>
                </c:pt>
                <c:pt idx="17">
                  <c:v>968.27699999999993</c:v>
                </c:pt>
                <c:pt idx="18">
                  <c:v>1022.78</c:v>
                </c:pt>
                <c:pt idx="19">
                  <c:v>1078.1659999999999</c:v>
                </c:pt>
                <c:pt idx="20">
                  <c:v>1131.1469999999999</c:v>
                </c:pt>
                <c:pt idx="21">
                  <c:v>1183.8609999999999</c:v>
                </c:pt>
                <c:pt idx="22">
                  <c:v>1236.6559999999999</c:v>
                </c:pt>
                <c:pt idx="23">
                  <c:v>1289.8049999999998</c:v>
                </c:pt>
                <c:pt idx="24">
                  <c:v>1343.3279999999997</c:v>
                </c:pt>
                <c:pt idx="25">
                  <c:v>1396.6719999999998</c:v>
                </c:pt>
                <c:pt idx="26">
                  <c:v>1449.5249999999999</c:v>
                </c:pt>
                <c:pt idx="27">
                  <c:v>1502.5119999999999</c:v>
                </c:pt>
                <c:pt idx="28">
                  <c:v>1555.56</c:v>
                </c:pt>
                <c:pt idx="29">
                  <c:v>1608.1479999999999</c:v>
                </c:pt>
                <c:pt idx="30">
                  <c:v>1660.857</c:v>
                </c:pt>
                <c:pt idx="31">
                  <c:v>1713.537</c:v>
                </c:pt>
                <c:pt idx="32">
                  <c:v>1766.07</c:v>
                </c:pt>
                <c:pt idx="33">
                  <c:v>1819.8219999999999</c:v>
                </c:pt>
              </c:numCache>
            </c:numRef>
          </c:xVal>
          <c:yVal>
            <c:numRef>
              <c:f>race_data!$M$3:$M$36</c:f>
              <c:numCache>
                <c:formatCode>General</c:formatCode>
                <c:ptCount val="34"/>
                <c:pt idx="0">
                  <c:v>54.529000000000003</c:v>
                </c:pt>
                <c:pt idx="1">
                  <c:v>54.753</c:v>
                </c:pt>
                <c:pt idx="2">
                  <c:v>54.596666666666664</c:v>
                </c:pt>
                <c:pt idx="3">
                  <c:v>54.393999999999998</c:v>
                </c:pt>
                <c:pt idx="4">
                  <c:v>54.323999999999998</c:v>
                </c:pt>
                <c:pt idx="5">
                  <c:v>54.296166666666664</c:v>
                </c:pt>
                <c:pt idx="6">
                  <c:v>54.29371428571428</c:v>
                </c:pt>
                <c:pt idx="7">
                  <c:v>54.278874999999999</c:v>
                </c:pt>
                <c:pt idx="8">
                  <c:v>54.243444444444442</c:v>
                </c:pt>
                <c:pt idx="9">
                  <c:v>54.152099999999997</c:v>
                </c:pt>
                <c:pt idx="10">
                  <c:v>54.087727272727264</c:v>
                </c:pt>
                <c:pt idx="11">
                  <c:v>54.018083333333323</c:v>
                </c:pt>
                <c:pt idx="12">
                  <c:v>53.962230769230764</c:v>
                </c:pt>
                <c:pt idx="13">
                  <c:v>53.889285714285712</c:v>
                </c:pt>
                <c:pt idx="14">
                  <c:v>53.873599999999996</c:v>
                </c:pt>
                <c:pt idx="15">
                  <c:v>53.875437499999997</c:v>
                </c:pt>
                <c:pt idx="16">
                  <c:v>53.819352941176469</c:v>
                </c:pt>
                <c:pt idx="17">
                  <c:v>53.793166666666664</c:v>
                </c:pt>
                <c:pt idx="18">
                  <c:v>53.83052631578947</c:v>
                </c:pt>
                <c:pt idx="19">
                  <c:v>53.908299999999997</c:v>
                </c:pt>
                <c:pt idx="20">
                  <c:v>53.864142857142852</c:v>
                </c:pt>
                <c:pt idx="21">
                  <c:v>53.811863636363633</c:v>
                </c:pt>
                <c:pt idx="22">
                  <c:v>53.767652173913042</c:v>
                </c:pt>
                <c:pt idx="23">
                  <c:v>53.741874999999993</c:v>
                </c:pt>
                <c:pt idx="24">
                  <c:v>53.733119999999992</c:v>
                </c:pt>
                <c:pt idx="25">
                  <c:v>53.718153846153839</c:v>
                </c:pt>
                <c:pt idx="26">
                  <c:v>53.686111111111103</c:v>
                </c:pt>
                <c:pt idx="27">
                  <c:v>53.661142857142856</c:v>
                </c:pt>
                <c:pt idx="28">
                  <c:v>53.64</c:v>
                </c:pt>
                <c:pt idx="29">
                  <c:v>53.604933333333328</c:v>
                </c:pt>
                <c:pt idx="30">
                  <c:v>53.576032258064515</c:v>
                </c:pt>
                <c:pt idx="31">
                  <c:v>53.548031250000001</c:v>
                </c:pt>
                <c:pt idx="32">
                  <c:v>53.517272727272726</c:v>
                </c:pt>
                <c:pt idx="33">
                  <c:v>53.52417647058823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68-4E5E-8F23-E0339043BC41}"/>
            </c:ext>
          </c:extLst>
        </c:ser>
        <c:ser>
          <c:idx val="3"/>
          <c:order val="3"/>
          <c:tx>
            <c:strRef>
              <c:f>race_data!$P$1</c:f>
              <c:strCache>
                <c:ptCount val="1"/>
                <c:pt idx="0">
                  <c:v>YannickD</c:v>
                </c:pt>
              </c:strCache>
            </c:strRef>
          </c:tx>
          <c:marker>
            <c:symbol val="none"/>
          </c:marker>
          <c:xVal>
            <c:numRef>
              <c:f>race_data!$S$3:$S$35</c:f>
              <c:numCache>
                <c:formatCode>General</c:formatCode>
                <c:ptCount val="33"/>
                <c:pt idx="0">
                  <c:v>56.984000000000002</c:v>
                </c:pt>
                <c:pt idx="1">
                  <c:v>112.53</c:v>
                </c:pt>
                <c:pt idx="2">
                  <c:v>167.84800000000001</c:v>
                </c:pt>
                <c:pt idx="3">
                  <c:v>222.99600000000001</c:v>
                </c:pt>
                <c:pt idx="4">
                  <c:v>278.11500000000001</c:v>
                </c:pt>
                <c:pt idx="5">
                  <c:v>333.30500000000001</c:v>
                </c:pt>
                <c:pt idx="6">
                  <c:v>388.19299999999998</c:v>
                </c:pt>
                <c:pt idx="7">
                  <c:v>443.70699999999999</c:v>
                </c:pt>
                <c:pt idx="8">
                  <c:v>498.91699999999997</c:v>
                </c:pt>
                <c:pt idx="9">
                  <c:v>553.38400000000001</c:v>
                </c:pt>
                <c:pt idx="10">
                  <c:v>608.36599999999999</c:v>
                </c:pt>
                <c:pt idx="11">
                  <c:v>663.02</c:v>
                </c:pt>
                <c:pt idx="12">
                  <c:v>717.66599999999994</c:v>
                </c:pt>
                <c:pt idx="13">
                  <c:v>772.13699999999994</c:v>
                </c:pt>
                <c:pt idx="14">
                  <c:v>826.54</c:v>
                </c:pt>
                <c:pt idx="15">
                  <c:v>880.33399999999995</c:v>
                </c:pt>
                <c:pt idx="16">
                  <c:v>934.0619999999999</c:v>
                </c:pt>
                <c:pt idx="17">
                  <c:v>988.2829999999999</c:v>
                </c:pt>
                <c:pt idx="18">
                  <c:v>1041.9859999999999</c:v>
                </c:pt>
                <c:pt idx="19">
                  <c:v>1095.8789999999999</c:v>
                </c:pt>
                <c:pt idx="20">
                  <c:v>1150.1879999999999</c:v>
                </c:pt>
                <c:pt idx="21">
                  <c:v>1204.1309999999999</c:v>
                </c:pt>
                <c:pt idx="22">
                  <c:v>1258.5819999999999</c:v>
                </c:pt>
                <c:pt idx="23">
                  <c:v>1312.0769999999998</c:v>
                </c:pt>
                <c:pt idx="24">
                  <c:v>1365.2909999999997</c:v>
                </c:pt>
                <c:pt idx="25">
                  <c:v>1418.5699999999997</c:v>
                </c:pt>
                <c:pt idx="26">
                  <c:v>1472.3959999999997</c:v>
                </c:pt>
                <c:pt idx="27">
                  <c:v>1527.8259999999998</c:v>
                </c:pt>
                <c:pt idx="28">
                  <c:v>1581.6189999999997</c:v>
                </c:pt>
                <c:pt idx="29">
                  <c:v>1635.5009999999997</c:v>
                </c:pt>
                <c:pt idx="30">
                  <c:v>1688.1049999999998</c:v>
                </c:pt>
                <c:pt idx="31">
                  <c:v>1741.7219999999998</c:v>
                </c:pt>
                <c:pt idx="32">
                  <c:v>1794.7129999999997</c:v>
                </c:pt>
              </c:numCache>
            </c:numRef>
          </c:xVal>
          <c:yVal>
            <c:numRef>
              <c:f>race_data!$R$3:$R$35</c:f>
              <c:numCache>
                <c:formatCode>General</c:formatCode>
                <c:ptCount val="33"/>
                <c:pt idx="0">
                  <c:v>56.984000000000002</c:v>
                </c:pt>
                <c:pt idx="1">
                  <c:v>56.265000000000001</c:v>
                </c:pt>
                <c:pt idx="2">
                  <c:v>55.949333333333335</c:v>
                </c:pt>
                <c:pt idx="3">
                  <c:v>55.749000000000002</c:v>
                </c:pt>
                <c:pt idx="4">
                  <c:v>55.623000000000005</c:v>
                </c:pt>
                <c:pt idx="5">
                  <c:v>55.550833333333337</c:v>
                </c:pt>
                <c:pt idx="6">
                  <c:v>55.456142857142858</c:v>
                </c:pt>
                <c:pt idx="7">
                  <c:v>55.463374999999999</c:v>
                </c:pt>
                <c:pt idx="8">
                  <c:v>55.435222222222222</c:v>
                </c:pt>
                <c:pt idx="9">
                  <c:v>55.3384</c:v>
                </c:pt>
                <c:pt idx="10">
                  <c:v>55.305999999999997</c:v>
                </c:pt>
                <c:pt idx="11">
                  <c:v>55.251666666666665</c:v>
                </c:pt>
                <c:pt idx="12">
                  <c:v>55.205076923076916</c:v>
                </c:pt>
                <c:pt idx="13">
                  <c:v>55.152642857142851</c:v>
                </c:pt>
                <c:pt idx="14">
                  <c:v>55.102666666666664</c:v>
                </c:pt>
                <c:pt idx="15">
                  <c:v>55.020874999999997</c:v>
                </c:pt>
                <c:pt idx="16">
                  <c:v>54.944823529411757</c:v>
                </c:pt>
                <c:pt idx="17">
                  <c:v>54.904611111111109</c:v>
                </c:pt>
                <c:pt idx="18">
                  <c:v>54.841368421052628</c:v>
                </c:pt>
                <c:pt idx="19">
                  <c:v>54.793949999999995</c:v>
                </c:pt>
                <c:pt idx="20">
                  <c:v>54.770857142857139</c:v>
                </c:pt>
                <c:pt idx="21">
                  <c:v>54.73322727272727</c:v>
                </c:pt>
                <c:pt idx="22">
                  <c:v>54.720956521739126</c:v>
                </c:pt>
                <c:pt idx="23">
                  <c:v>54.66987499999999</c:v>
                </c:pt>
                <c:pt idx="24">
                  <c:v>54.611639999999987</c:v>
                </c:pt>
                <c:pt idx="25">
                  <c:v>54.560384615384606</c:v>
                </c:pt>
                <c:pt idx="26">
                  <c:v>54.533185185185175</c:v>
                </c:pt>
                <c:pt idx="27">
                  <c:v>54.565214285714276</c:v>
                </c:pt>
                <c:pt idx="28">
                  <c:v>54.538586206896539</c:v>
                </c:pt>
                <c:pt idx="29">
                  <c:v>54.516699999999993</c:v>
                </c:pt>
                <c:pt idx="30">
                  <c:v>54.454999999999991</c:v>
                </c:pt>
                <c:pt idx="31">
                  <c:v>54.428812499999992</c:v>
                </c:pt>
                <c:pt idx="32">
                  <c:v>54.385242424242414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68-4E5E-8F23-E0339043BC41}"/>
            </c:ext>
          </c:extLst>
        </c:ser>
        <c:ser>
          <c:idx val="4"/>
          <c:order val="4"/>
          <c:tx>
            <c:strRef>
              <c:f>race_data!$U$1</c:f>
              <c:strCache>
                <c:ptCount val="1"/>
                <c:pt idx="0">
                  <c:v>NielsS</c:v>
                </c:pt>
              </c:strCache>
            </c:strRef>
          </c:tx>
          <c:marker>
            <c:symbol val="none"/>
          </c:marker>
          <c:xVal>
            <c:numRef>
              <c:f>race_data!$X$3:$X$35</c:f>
              <c:numCache>
                <c:formatCode>General</c:formatCode>
                <c:ptCount val="33"/>
                <c:pt idx="0">
                  <c:v>55.472999999999999</c:v>
                </c:pt>
                <c:pt idx="1">
                  <c:v>111.09399999999999</c:v>
                </c:pt>
                <c:pt idx="2">
                  <c:v>166.34</c:v>
                </c:pt>
                <c:pt idx="3">
                  <c:v>221.208</c:v>
                </c:pt>
                <c:pt idx="4">
                  <c:v>276.245</c:v>
                </c:pt>
                <c:pt idx="5">
                  <c:v>331.447</c:v>
                </c:pt>
                <c:pt idx="6">
                  <c:v>386.74900000000002</c:v>
                </c:pt>
                <c:pt idx="7">
                  <c:v>442.30500000000001</c:v>
                </c:pt>
                <c:pt idx="8">
                  <c:v>497.56100000000004</c:v>
                </c:pt>
                <c:pt idx="9">
                  <c:v>551.93500000000006</c:v>
                </c:pt>
                <c:pt idx="10">
                  <c:v>606.97200000000009</c:v>
                </c:pt>
                <c:pt idx="11">
                  <c:v>661.65100000000007</c:v>
                </c:pt>
                <c:pt idx="12">
                  <c:v>716.20200000000011</c:v>
                </c:pt>
                <c:pt idx="13">
                  <c:v>770.76300000000015</c:v>
                </c:pt>
                <c:pt idx="14">
                  <c:v>826.44900000000018</c:v>
                </c:pt>
                <c:pt idx="15">
                  <c:v>880.38000000000022</c:v>
                </c:pt>
                <c:pt idx="16">
                  <c:v>934.23800000000017</c:v>
                </c:pt>
                <c:pt idx="17">
                  <c:v>988.29300000000012</c:v>
                </c:pt>
                <c:pt idx="18">
                  <c:v>1042.5310000000002</c:v>
                </c:pt>
                <c:pt idx="19">
                  <c:v>1097.7130000000002</c:v>
                </c:pt>
                <c:pt idx="20">
                  <c:v>1152.4420000000002</c:v>
                </c:pt>
                <c:pt idx="21">
                  <c:v>1206.9320000000002</c:v>
                </c:pt>
                <c:pt idx="22">
                  <c:v>1262.6770000000001</c:v>
                </c:pt>
                <c:pt idx="23">
                  <c:v>1316.8570000000002</c:v>
                </c:pt>
                <c:pt idx="24">
                  <c:v>1371.9220000000003</c:v>
                </c:pt>
                <c:pt idx="25">
                  <c:v>1426.0670000000002</c:v>
                </c:pt>
                <c:pt idx="26">
                  <c:v>1481.1040000000003</c:v>
                </c:pt>
                <c:pt idx="27">
                  <c:v>1535.7020000000002</c:v>
                </c:pt>
                <c:pt idx="28">
                  <c:v>1590.6370000000002</c:v>
                </c:pt>
                <c:pt idx="29">
                  <c:v>1646.9420000000002</c:v>
                </c:pt>
                <c:pt idx="30">
                  <c:v>1701.1330000000003</c:v>
                </c:pt>
                <c:pt idx="31">
                  <c:v>1755.2350000000004</c:v>
                </c:pt>
                <c:pt idx="32">
                  <c:v>1809.4470000000003</c:v>
                </c:pt>
              </c:numCache>
            </c:numRef>
          </c:xVal>
          <c:yVal>
            <c:numRef>
              <c:f>race_data!$W$3:$W$35</c:f>
              <c:numCache>
                <c:formatCode>General</c:formatCode>
                <c:ptCount val="33"/>
                <c:pt idx="0">
                  <c:v>55.472999999999999</c:v>
                </c:pt>
                <c:pt idx="1">
                  <c:v>55.546999999999997</c:v>
                </c:pt>
                <c:pt idx="2">
                  <c:v>55.446666666666665</c:v>
                </c:pt>
                <c:pt idx="3">
                  <c:v>55.302</c:v>
                </c:pt>
                <c:pt idx="4">
                  <c:v>55.249000000000002</c:v>
                </c:pt>
                <c:pt idx="5">
                  <c:v>55.241166666666665</c:v>
                </c:pt>
                <c:pt idx="6">
                  <c:v>55.249857142857145</c:v>
                </c:pt>
                <c:pt idx="7">
                  <c:v>55.288125000000001</c:v>
                </c:pt>
                <c:pt idx="8">
                  <c:v>55.284555555555556</c:v>
                </c:pt>
                <c:pt idx="9">
                  <c:v>55.193500000000007</c:v>
                </c:pt>
                <c:pt idx="10">
                  <c:v>55.179272727272739</c:v>
                </c:pt>
                <c:pt idx="11">
                  <c:v>55.137583333333339</c:v>
                </c:pt>
                <c:pt idx="12">
                  <c:v>55.092461538461549</c:v>
                </c:pt>
                <c:pt idx="13">
                  <c:v>55.054500000000012</c:v>
                </c:pt>
                <c:pt idx="14">
                  <c:v>55.096600000000009</c:v>
                </c:pt>
                <c:pt idx="15">
                  <c:v>55.023750000000014</c:v>
                </c:pt>
                <c:pt idx="16">
                  <c:v>54.955176470588242</c:v>
                </c:pt>
                <c:pt idx="17">
                  <c:v>54.905166666666673</c:v>
                </c:pt>
                <c:pt idx="18">
                  <c:v>54.870052631578957</c:v>
                </c:pt>
                <c:pt idx="19">
                  <c:v>54.885650000000012</c:v>
                </c:pt>
                <c:pt idx="20">
                  <c:v>54.87819047619049</c:v>
                </c:pt>
                <c:pt idx="21">
                  <c:v>54.860545454545466</c:v>
                </c:pt>
                <c:pt idx="22">
                  <c:v>54.899000000000008</c:v>
                </c:pt>
                <c:pt idx="23">
                  <c:v>54.869041666666675</c:v>
                </c:pt>
                <c:pt idx="24">
                  <c:v>54.876880000000007</c:v>
                </c:pt>
                <c:pt idx="25">
                  <c:v>54.848730769230777</c:v>
                </c:pt>
                <c:pt idx="26">
                  <c:v>54.855703703703711</c:v>
                </c:pt>
                <c:pt idx="27">
                  <c:v>54.846500000000006</c:v>
                </c:pt>
                <c:pt idx="28">
                  <c:v>54.849551724137939</c:v>
                </c:pt>
                <c:pt idx="29">
                  <c:v>54.898066666666672</c:v>
                </c:pt>
                <c:pt idx="30">
                  <c:v>54.875258064516139</c:v>
                </c:pt>
                <c:pt idx="31">
                  <c:v>54.851093750000011</c:v>
                </c:pt>
                <c:pt idx="32">
                  <c:v>54.831727272727285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D68-4E5E-8F23-E0339043BC41}"/>
            </c:ext>
          </c:extLst>
        </c:ser>
        <c:ser>
          <c:idx val="5"/>
          <c:order val="5"/>
          <c:tx>
            <c:strRef>
              <c:f>race_data!$Z$1</c:f>
              <c:strCache>
                <c:ptCount val="1"/>
                <c:pt idx="0">
                  <c:v>GökhanB</c:v>
                </c:pt>
              </c:strCache>
            </c:strRef>
          </c:tx>
          <c:marker>
            <c:symbol val="none"/>
          </c:marker>
          <c:xVal>
            <c:numRef>
              <c:f>race_data!$AC$3:$AC$35</c:f>
              <c:numCache>
                <c:formatCode>General</c:formatCode>
                <c:ptCount val="33"/>
                <c:pt idx="0">
                  <c:v>57.482999999999997</c:v>
                </c:pt>
                <c:pt idx="1">
                  <c:v>113.36199999999999</c:v>
                </c:pt>
                <c:pt idx="2">
                  <c:v>169.19900000000001</c:v>
                </c:pt>
                <c:pt idx="3">
                  <c:v>224.79200000000003</c:v>
                </c:pt>
                <c:pt idx="4">
                  <c:v>280.43100000000004</c:v>
                </c:pt>
                <c:pt idx="5">
                  <c:v>335.64000000000004</c:v>
                </c:pt>
                <c:pt idx="6">
                  <c:v>391.55100000000004</c:v>
                </c:pt>
                <c:pt idx="7">
                  <c:v>447.20600000000002</c:v>
                </c:pt>
                <c:pt idx="8">
                  <c:v>502.58500000000004</c:v>
                </c:pt>
                <c:pt idx="9">
                  <c:v>558.18000000000006</c:v>
                </c:pt>
                <c:pt idx="10">
                  <c:v>613.03800000000001</c:v>
                </c:pt>
                <c:pt idx="11">
                  <c:v>668.73</c:v>
                </c:pt>
                <c:pt idx="12">
                  <c:v>724.04100000000005</c:v>
                </c:pt>
                <c:pt idx="13">
                  <c:v>779.18400000000008</c:v>
                </c:pt>
                <c:pt idx="14">
                  <c:v>834.33500000000004</c:v>
                </c:pt>
                <c:pt idx="15">
                  <c:v>889.13300000000004</c:v>
                </c:pt>
                <c:pt idx="16">
                  <c:v>944.41399999999999</c:v>
                </c:pt>
                <c:pt idx="17">
                  <c:v>1000.082</c:v>
                </c:pt>
                <c:pt idx="18">
                  <c:v>1055.546</c:v>
                </c:pt>
                <c:pt idx="19">
                  <c:v>1112.067</c:v>
                </c:pt>
                <c:pt idx="20">
                  <c:v>1167.48</c:v>
                </c:pt>
                <c:pt idx="21">
                  <c:v>1222.7740000000001</c:v>
                </c:pt>
                <c:pt idx="22">
                  <c:v>1278.5030000000002</c:v>
                </c:pt>
                <c:pt idx="23">
                  <c:v>1334.0780000000002</c:v>
                </c:pt>
                <c:pt idx="24">
                  <c:v>1390.4990000000003</c:v>
                </c:pt>
                <c:pt idx="25">
                  <c:v>1445.6970000000003</c:v>
                </c:pt>
                <c:pt idx="26">
                  <c:v>1500.1190000000004</c:v>
                </c:pt>
                <c:pt idx="27">
                  <c:v>1554.7650000000003</c:v>
                </c:pt>
                <c:pt idx="28">
                  <c:v>1609.2860000000003</c:v>
                </c:pt>
                <c:pt idx="29">
                  <c:v>1663.2570000000003</c:v>
                </c:pt>
                <c:pt idx="30">
                  <c:v>1717.6700000000003</c:v>
                </c:pt>
                <c:pt idx="31">
                  <c:v>1771.6390000000004</c:v>
                </c:pt>
                <c:pt idx="32">
                  <c:v>1826.4420000000005</c:v>
                </c:pt>
              </c:numCache>
            </c:numRef>
          </c:xVal>
          <c:yVal>
            <c:numRef>
              <c:f>race_data!$AB$3:$AB$35</c:f>
              <c:numCache>
                <c:formatCode>General</c:formatCode>
                <c:ptCount val="33"/>
                <c:pt idx="0">
                  <c:v>57.482999999999997</c:v>
                </c:pt>
                <c:pt idx="1">
                  <c:v>56.680999999999997</c:v>
                </c:pt>
                <c:pt idx="2">
                  <c:v>56.399666666666668</c:v>
                </c:pt>
                <c:pt idx="3">
                  <c:v>56.198000000000008</c:v>
                </c:pt>
                <c:pt idx="4">
                  <c:v>56.086200000000005</c:v>
                </c:pt>
                <c:pt idx="5">
                  <c:v>55.940000000000005</c:v>
                </c:pt>
                <c:pt idx="6">
                  <c:v>55.935857142857152</c:v>
                </c:pt>
                <c:pt idx="7">
                  <c:v>55.900750000000002</c:v>
                </c:pt>
                <c:pt idx="8">
                  <c:v>55.842777777777783</c:v>
                </c:pt>
                <c:pt idx="9">
                  <c:v>55.818000000000005</c:v>
                </c:pt>
                <c:pt idx="10">
                  <c:v>55.730727272727272</c:v>
                </c:pt>
                <c:pt idx="11">
                  <c:v>55.727499999999999</c:v>
                </c:pt>
                <c:pt idx="12">
                  <c:v>55.695461538461544</c:v>
                </c:pt>
                <c:pt idx="13">
                  <c:v>55.656000000000006</c:v>
                </c:pt>
                <c:pt idx="14">
                  <c:v>55.622333333333337</c:v>
                </c:pt>
                <c:pt idx="15">
                  <c:v>55.570812500000002</c:v>
                </c:pt>
                <c:pt idx="16">
                  <c:v>55.553764705882351</c:v>
                </c:pt>
                <c:pt idx="17">
                  <c:v>55.560111111111112</c:v>
                </c:pt>
                <c:pt idx="18">
                  <c:v>55.555052631578953</c:v>
                </c:pt>
                <c:pt idx="19">
                  <c:v>55.603349999999999</c:v>
                </c:pt>
                <c:pt idx="20">
                  <c:v>55.594285714285718</c:v>
                </c:pt>
                <c:pt idx="21">
                  <c:v>55.580636363636366</c:v>
                </c:pt>
                <c:pt idx="22">
                  <c:v>55.587086956521745</c:v>
                </c:pt>
                <c:pt idx="23">
                  <c:v>55.586583333333344</c:v>
                </c:pt>
                <c:pt idx="24">
                  <c:v>55.619960000000013</c:v>
                </c:pt>
                <c:pt idx="25">
                  <c:v>55.603730769230779</c:v>
                </c:pt>
                <c:pt idx="26">
                  <c:v>55.559962962962977</c:v>
                </c:pt>
                <c:pt idx="27">
                  <c:v>55.52732142857144</c:v>
                </c:pt>
                <c:pt idx="28">
                  <c:v>55.492620689655183</c:v>
                </c:pt>
                <c:pt idx="29">
                  <c:v>55.441900000000011</c:v>
                </c:pt>
                <c:pt idx="30">
                  <c:v>55.408709677419367</c:v>
                </c:pt>
                <c:pt idx="31">
                  <c:v>55.363718750000011</c:v>
                </c:pt>
                <c:pt idx="32">
                  <c:v>55.346727272727286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D68-4E5E-8F23-E0339043BC41}"/>
            </c:ext>
          </c:extLst>
        </c:ser>
        <c:ser>
          <c:idx val="6"/>
          <c:order val="6"/>
          <c:tx>
            <c:strRef>
              <c:f>race_data!$AE$1</c:f>
              <c:strCache>
                <c:ptCount val="1"/>
                <c:pt idx="0">
                  <c:v>KyleS</c:v>
                </c:pt>
              </c:strCache>
            </c:strRef>
          </c:tx>
          <c:marker>
            <c:symbol val="none"/>
          </c:marker>
          <c:xVal>
            <c:numRef>
              <c:f>race_data!$AH$3:$AH$35</c:f>
              <c:numCache>
                <c:formatCode>General</c:formatCode>
                <c:ptCount val="33"/>
                <c:pt idx="0">
                  <c:v>55.91</c:v>
                </c:pt>
                <c:pt idx="1">
                  <c:v>111.52699999999999</c:v>
                </c:pt>
                <c:pt idx="2">
                  <c:v>166.87199999999999</c:v>
                </c:pt>
                <c:pt idx="3">
                  <c:v>223.34599999999998</c:v>
                </c:pt>
                <c:pt idx="4">
                  <c:v>278.77099999999996</c:v>
                </c:pt>
                <c:pt idx="5">
                  <c:v>333.83099999999996</c:v>
                </c:pt>
                <c:pt idx="6">
                  <c:v>388.30299999999994</c:v>
                </c:pt>
                <c:pt idx="7">
                  <c:v>442.87699999999995</c:v>
                </c:pt>
                <c:pt idx="8">
                  <c:v>497.72299999999996</c:v>
                </c:pt>
                <c:pt idx="9">
                  <c:v>552.71499999999992</c:v>
                </c:pt>
                <c:pt idx="10">
                  <c:v>607.32999999999993</c:v>
                </c:pt>
                <c:pt idx="11">
                  <c:v>661.52299999999991</c:v>
                </c:pt>
                <c:pt idx="12">
                  <c:v>716.07599999999991</c:v>
                </c:pt>
                <c:pt idx="13">
                  <c:v>770.65599999999995</c:v>
                </c:pt>
                <c:pt idx="14">
                  <c:v>825.70099999999991</c:v>
                </c:pt>
                <c:pt idx="15">
                  <c:v>879.50599999999986</c:v>
                </c:pt>
                <c:pt idx="16">
                  <c:v>933.46699999999987</c:v>
                </c:pt>
                <c:pt idx="17">
                  <c:v>987.40599999999984</c:v>
                </c:pt>
                <c:pt idx="18">
                  <c:v>1041.7579999999998</c:v>
                </c:pt>
                <c:pt idx="19">
                  <c:v>1095.5119999999997</c:v>
                </c:pt>
                <c:pt idx="20">
                  <c:v>1149.9879999999998</c:v>
                </c:pt>
                <c:pt idx="21">
                  <c:v>1203.7749999999999</c:v>
                </c:pt>
                <c:pt idx="22">
                  <c:v>1258.1849999999999</c:v>
                </c:pt>
                <c:pt idx="23">
                  <c:v>1311.886</c:v>
                </c:pt>
                <c:pt idx="24">
                  <c:v>1400.73</c:v>
                </c:pt>
                <c:pt idx="25">
                  <c:v>1454.1659999999999</c:v>
                </c:pt>
                <c:pt idx="26">
                  <c:v>1507.4489999999998</c:v>
                </c:pt>
                <c:pt idx="27">
                  <c:v>1560.3929999999998</c:v>
                </c:pt>
                <c:pt idx="28">
                  <c:v>1613.3009999999997</c:v>
                </c:pt>
                <c:pt idx="29">
                  <c:v>1666.9079999999997</c:v>
                </c:pt>
                <c:pt idx="30">
                  <c:v>1720.1189999999997</c:v>
                </c:pt>
                <c:pt idx="31">
                  <c:v>1773.8879999999997</c:v>
                </c:pt>
                <c:pt idx="32">
                  <c:v>1828.6089999999997</c:v>
                </c:pt>
              </c:numCache>
            </c:numRef>
          </c:xVal>
          <c:yVal>
            <c:numRef>
              <c:f>race_data!$AG$3:$AG$35</c:f>
              <c:numCache>
                <c:formatCode>General</c:formatCode>
                <c:ptCount val="33"/>
                <c:pt idx="0">
                  <c:v>55.91</c:v>
                </c:pt>
                <c:pt idx="1">
                  <c:v>55.763499999999993</c:v>
                </c:pt>
                <c:pt idx="2">
                  <c:v>55.623999999999995</c:v>
                </c:pt>
                <c:pt idx="3">
                  <c:v>55.836499999999994</c:v>
                </c:pt>
                <c:pt idx="4">
                  <c:v>55.75419999999999</c:v>
                </c:pt>
                <c:pt idx="5">
                  <c:v>55.638499999999993</c:v>
                </c:pt>
                <c:pt idx="6">
                  <c:v>55.471857142857132</c:v>
                </c:pt>
                <c:pt idx="7">
                  <c:v>55.359624999999994</c:v>
                </c:pt>
                <c:pt idx="8">
                  <c:v>55.30255555555555</c:v>
                </c:pt>
                <c:pt idx="9">
                  <c:v>55.271499999999989</c:v>
                </c:pt>
                <c:pt idx="10">
                  <c:v>55.211818181818174</c:v>
                </c:pt>
                <c:pt idx="11">
                  <c:v>55.126916666666659</c:v>
                </c:pt>
                <c:pt idx="12">
                  <c:v>55.082769230769223</c:v>
                </c:pt>
                <c:pt idx="13">
                  <c:v>55.046857142857142</c:v>
                </c:pt>
                <c:pt idx="14">
                  <c:v>55.046733333333329</c:v>
                </c:pt>
                <c:pt idx="15">
                  <c:v>54.969124999999991</c:v>
                </c:pt>
                <c:pt idx="16">
                  <c:v>54.90982352941176</c:v>
                </c:pt>
                <c:pt idx="17">
                  <c:v>54.855888888888877</c:v>
                </c:pt>
                <c:pt idx="18">
                  <c:v>54.829368421052621</c:v>
                </c:pt>
                <c:pt idx="19">
                  <c:v>54.775599999999983</c:v>
                </c:pt>
                <c:pt idx="20">
                  <c:v>54.761333333333326</c:v>
                </c:pt>
                <c:pt idx="21">
                  <c:v>54.717045454545449</c:v>
                </c:pt>
                <c:pt idx="22">
                  <c:v>54.703695652173913</c:v>
                </c:pt>
                <c:pt idx="23">
                  <c:v>54.661916666666663</c:v>
                </c:pt>
                <c:pt idx="24">
                  <c:v>56.029200000000003</c:v>
                </c:pt>
                <c:pt idx="25">
                  <c:v>55.929461538461538</c:v>
                </c:pt>
                <c:pt idx="26">
                  <c:v>55.831444444444436</c:v>
                </c:pt>
                <c:pt idx="27">
                  <c:v>55.728321428571419</c:v>
                </c:pt>
                <c:pt idx="28">
                  <c:v>55.63106896551723</c:v>
                </c:pt>
                <c:pt idx="29">
                  <c:v>55.563599999999987</c:v>
                </c:pt>
                <c:pt idx="30">
                  <c:v>55.487709677419346</c:v>
                </c:pt>
                <c:pt idx="31">
                  <c:v>55.43399999999999</c:v>
                </c:pt>
                <c:pt idx="32">
                  <c:v>55.41239393939393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D68-4E5E-8F23-E0339043BC41}"/>
            </c:ext>
          </c:extLst>
        </c:ser>
        <c:ser>
          <c:idx val="7"/>
          <c:order val="7"/>
          <c:tx>
            <c:strRef>
              <c:f>race_data!$AJ$1</c:f>
              <c:strCache>
                <c:ptCount val="1"/>
                <c:pt idx="0">
                  <c:v>HannesD</c:v>
                </c:pt>
              </c:strCache>
            </c:strRef>
          </c:tx>
          <c:marker>
            <c:symbol val="none"/>
          </c:marker>
          <c:xVal>
            <c:numRef>
              <c:f>race_data!$AM$3:$AM$34</c:f>
              <c:numCache>
                <c:formatCode>General</c:formatCode>
                <c:ptCount val="32"/>
                <c:pt idx="0">
                  <c:v>58.719000000000001</c:v>
                </c:pt>
                <c:pt idx="1">
                  <c:v>115.387</c:v>
                </c:pt>
                <c:pt idx="2">
                  <c:v>171.417</c:v>
                </c:pt>
                <c:pt idx="3">
                  <c:v>227.387</c:v>
                </c:pt>
                <c:pt idx="4">
                  <c:v>283.97699999999998</c:v>
                </c:pt>
                <c:pt idx="5">
                  <c:v>341.09199999999998</c:v>
                </c:pt>
                <c:pt idx="6">
                  <c:v>397.60199999999998</c:v>
                </c:pt>
                <c:pt idx="7">
                  <c:v>454.59499999999997</c:v>
                </c:pt>
                <c:pt idx="8">
                  <c:v>511.53799999999995</c:v>
                </c:pt>
                <c:pt idx="9">
                  <c:v>569.47499999999991</c:v>
                </c:pt>
                <c:pt idx="10">
                  <c:v>625.02299999999991</c:v>
                </c:pt>
                <c:pt idx="11">
                  <c:v>680.47199999999987</c:v>
                </c:pt>
                <c:pt idx="12">
                  <c:v>737.13299999999981</c:v>
                </c:pt>
                <c:pt idx="13">
                  <c:v>794.50299999999982</c:v>
                </c:pt>
                <c:pt idx="14">
                  <c:v>850.2489999999998</c:v>
                </c:pt>
                <c:pt idx="15">
                  <c:v>905.23399999999981</c:v>
                </c:pt>
                <c:pt idx="16">
                  <c:v>960.36199999999985</c:v>
                </c:pt>
                <c:pt idx="17">
                  <c:v>1017.0119999999998</c:v>
                </c:pt>
                <c:pt idx="18">
                  <c:v>1074.1559999999997</c:v>
                </c:pt>
                <c:pt idx="19">
                  <c:v>1129.2569999999996</c:v>
                </c:pt>
                <c:pt idx="20">
                  <c:v>1184.7709999999995</c:v>
                </c:pt>
                <c:pt idx="21">
                  <c:v>1242.7149999999995</c:v>
                </c:pt>
                <c:pt idx="22">
                  <c:v>1298.1969999999994</c:v>
                </c:pt>
                <c:pt idx="23">
                  <c:v>1355.0499999999995</c:v>
                </c:pt>
                <c:pt idx="24">
                  <c:v>1411.3269999999995</c:v>
                </c:pt>
                <c:pt idx="25">
                  <c:v>1466.4809999999995</c:v>
                </c:pt>
                <c:pt idx="26">
                  <c:v>1525.5939999999996</c:v>
                </c:pt>
                <c:pt idx="27">
                  <c:v>1582.0569999999996</c:v>
                </c:pt>
                <c:pt idx="28">
                  <c:v>1637.6399999999996</c:v>
                </c:pt>
                <c:pt idx="29">
                  <c:v>1693.6399999999996</c:v>
                </c:pt>
                <c:pt idx="30">
                  <c:v>1748.8669999999997</c:v>
                </c:pt>
                <c:pt idx="31">
                  <c:v>1805.8709999999996</c:v>
                </c:pt>
              </c:numCache>
            </c:numRef>
          </c:xVal>
          <c:yVal>
            <c:numRef>
              <c:f>race_data!$AL$3:$AL$34</c:f>
              <c:numCache>
                <c:formatCode>General</c:formatCode>
                <c:ptCount val="32"/>
                <c:pt idx="0">
                  <c:v>58.719000000000001</c:v>
                </c:pt>
                <c:pt idx="1">
                  <c:v>57.6935</c:v>
                </c:pt>
                <c:pt idx="2">
                  <c:v>57.139000000000003</c:v>
                </c:pt>
                <c:pt idx="3">
                  <c:v>56.84675</c:v>
                </c:pt>
                <c:pt idx="4">
                  <c:v>56.795399999999994</c:v>
                </c:pt>
                <c:pt idx="5">
                  <c:v>56.848666666666666</c:v>
                </c:pt>
                <c:pt idx="6">
                  <c:v>56.800285714285714</c:v>
                </c:pt>
                <c:pt idx="7">
                  <c:v>56.824374999999996</c:v>
                </c:pt>
                <c:pt idx="8">
                  <c:v>56.837555555555554</c:v>
                </c:pt>
                <c:pt idx="9">
                  <c:v>56.947499999999991</c:v>
                </c:pt>
                <c:pt idx="10">
                  <c:v>56.820272727272716</c:v>
                </c:pt>
                <c:pt idx="11">
                  <c:v>56.705999999999989</c:v>
                </c:pt>
                <c:pt idx="12">
                  <c:v>56.702538461538445</c:v>
                </c:pt>
                <c:pt idx="13">
                  <c:v>56.750214285714272</c:v>
                </c:pt>
                <c:pt idx="14">
                  <c:v>56.683266666666654</c:v>
                </c:pt>
                <c:pt idx="15">
                  <c:v>56.577124999999988</c:v>
                </c:pt>
                <c:pt idx="16">
                  <c:v>56.491882352941168</c:v>
                </c:pt>
                <c:pt idx="17">
                  <c:v>56.50066666666666</c:v>
                </c:pt>
                <c:pt idx="18">
                  <c:v>56.534526315789456</c:v>
                </c:pt>
                <c:pt idx="19">
                  <c:v>56.462849999999982</c:v>
                </c:pt>
                <c:pt idx="20">
                  <c:v>56.417666666666641</c:v>
                </c:pt>
                <c:pt idx="21">
                  <c:v>56.487045454545431</c:v>
                </c:pt>
                <c:pt idx="22">
                  <c:v>56.443347826086935</c:v>
                </c:pt>
                <c:pt idx="23">
                  <c:v>56.460416666666646</c:v>
                </c:pt>
                <c:pt idx="24">
                  <c:v>56.453079999999979</c:v>
                </c:pt>
                <c:pt idx="25">
                  <c:v>56.403115384615369</c:v>
                </c:pt>
                <c:pt idx="26">
                  <c:v>56.503481481481465</c:v>
                </c:pt>
                <c:pt idx="27">
                  <c:v>56.502035714285697</c:v>
                </c:pt>
                <c:pt idx="28">
                  <c:v>56.470344827586196</c:v>
                </c:pt>
                <c:pt idx="29">
                  <c:v>56.454666666666654</c:v>
                </c:pt>
                <c:pt idx="30">
                  <c:v>56.415064516129021</c:v>
                </c:pt>
                <c:pt idx="31">
                  <c:v>56.433468749999989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D68-4E5E-8F23-E0339043BC41}"/>
            </c:ext>
          </c:extLst>
        </c:ser>
        <c:ser>
          <c:idx val="8"/>
          <c:order val="8"/>
          <c:tx>
            <c:strRef>
              <c:f>race_data!$AO$1</c:f>
              <c:strCache>
                <c:ptCount val="1"/>
                <c:pt idx="0">
                  <c:v>DieterV</c:v>
                </c:pt>
              </c:strCache>
            </c:strRef>
          </c:tx>
          <c:marker>
            <c:symbol val="none"/>
          </c:marker>
          <c:xVal>
            <c:numRef>
              <c:f>race_data!$AR$3:$AR$34</c:f>
              <c:numCache>
                <c:formatCode>General</c:formatCode>
                <c:ptCount val="32"/>
                <c:pt idx="0">
                  <c:v>57.091999999999999</c:v>
                </c:pt>
                <c:pt idx="1">
                  <c:v>113.758</c:v>
                </c:pt>
                <c:pt idx="2">
                  <c:v>170.291</c:v>
                </c:pt>
                <c:pt idx="3">
                  <c:v>227.23699999999999</c:v>
                </c:pt>
                <c:pt idx="4">
                  <c:v>284.36899999999997</c:v>
                </c:pt>
                <c:pt idx="5">
                  <c:v>340.83299999999997</c:v>
                </c:pt>
                <c:pt idx="6">
                  <c:v>397.34199999999998</c:v>
                </c:pt>
                <c:pt idx="7">
                  <c:v>453.82099999999997</c:v>
                </c:pt>
                <c:pt idx="8">
                  <c:v>509.87099999999998</c:v>
                </c:pt>
                <c:pt idx="9">
                  <c:v>566.23699999999997</c:v>
                </c:pt>
                <c:pt idx="10">
                  <c:v>621.69099999999992</c:v>
                </c:pt>
                <c:pt idx="11">
                  <c:v>677.15299999999991</c:v>
                </c:pt>
                <c:pt idx="12">
                  <c:v>733.63499999999988</c:v>
                </c:pt>
                <c:pt idx="13">
                  <c:v>789.3359999999999</c:v>
                </c:pt>
                <c:pt idx="14">
                  <c:v>845.66899999999987</c:v>
                </c:pt>
                <c:pt idx="15">
                  <c:v>902.08499999999981</c:v>
                </c:pt>
                <c:pt idx="16">
                  <c:v>959.00699999999983</c:v>
                </c:pt>
                <c:pt idx="17">
                  <c:v>1015.0609999999998</c:v>
                </c:pt>
                <c:pt idx="18">
                  <c:v>1072.2569999999998</c:v>
                </c:pt>
                <c:pt idx="19">
                  <c:v>1127.6789999999999</c:v>
                </c:pt>
                <c:pt idx="20">
                  <c:v>1183.204</c:v>
                </c:pt>
                <c:pt idx="21">
                  <c:v>1239.4690000000001</c:v>
                </c:pt>
                <c:pt idx="22">
                  <c:v>1295.049</c:v>
                </c:pt>
                <c:pt idx="23">
                  <c:v>1353.5629999999999</c:v>
                </c:pt>
                <c:pt idx="24">
                  <c:v>1409.2739999999999</c:v>
                </c:pt>
                <c:pt idx="25">
                  <c:v>1464.6569999999999</c:v>
                </c:pt>
                <c:pt idx="26">
                  <c:v>1521.09</c:v>
                </c:pt>
                <c:pt idx="27">
                  <c:v>1578.9409999999998</c:v>
                </c:pt>
                <c:pt idx="28">
                  <c:v>1634.4529999999997</c:v>
                </c:pt>
                <c:pt idx="29">
                  <c:v>1692.0959999999998</c:v>
                </c:pt>
                <c:pt idx="30">
                  <c:v>1748.4749999999997</c:v>
                </c:pt>
                <c:pt idx="31">
                  <c:v>1805.0199999999998</c:v>
                </c:pt>
              </c:numCache>
            </c:numRef>
          </c:xVal>
          <c:yVal>
            <c:numRef>
              <c:f>race_data!$AQ$3:$AQ$34</c:f>
              <c:numCache>
                <c:formatCode>General</c:formatCode>
                <c:ptCount val="32"/>
                <c:pt idx="0">
                  <c:v>57.091999999999999</c:v>
                </c:pt>
                <c:pt idx="1">
                  <c:v>56.878999999999998</c:v>
                </c:pt>
                <c:pt idx="2">
                  <c:v>56.763666666666666</c:v>
                </c:pt>
                <c:pt idx="3">
                  <c:v>56.809249999999999</c:v>
                </c:pt>
                <c:pt idx="4">
                  <c:v>56.873799999999996</c:v>
                </c:pt>
                <c:pt idx="5">
                  <c:v>56.805499999999995</c:v>
                </c:pt>
                <c:pt idx="6">
                  <c:v>56.763142857142853</c:v>
                </c:pt>
                <c:pt idx="7">
                  <c:v>56.727624999999996</c:v>
                </c:pt>
                <c:pt idx="8">
                  <c:v>56.652333333333331</c:v>
                </c:pt>
                <c:pt idx="9">
                  <c:v>56.623699999999999</c:v>
                </c:pt>
                <c:pt idx="10">
                  <c:v>56.517363636363626</c:v>
                </c:pt>
                <c:pt idx="11">
                  <c:v>56.429416666666661</c:v>
                </c:pt>
                <c:pt idx="12">
                  <c:v>56.433461538461529</c:v>
                </c:pt>
                <c:pt idx="13">
                  <c:v>56.381142857142848</c:v>
                </c:pt>
                <c:pt idx="14">
                  <c:v>56.377933333333324</c:v>
                </c:pt>
                <c:pt idx="15">
                  <c:v>56.380312499999988</c:v>
                </c:pt>
                <c:pt idx="16">
                  <c:v>56.412176470588228</c:v>
                </c:pt>
                <c:pt idx="17">
                  <c:v>56.392277777777764</c:v>
                </c:pt>
                <c:pt idx="18">
                  <c:v>56.434578947368415</c:v>
                </c:pt>
                <c:pt idx="19">
                  <c:v>56.383949999999992</c:v>
                </c:pt>
                <c:pt idx="20">
                  <c:v>56.343047619047617</c:v>
                </c:pt>
                <c:pt idx="21">
                  <c:v>56.339500000000001</c:v>
                </c:pt>
                <c:pt idx="22">
                  <c:v>56.306478260869561</c:v>
                </c:pt>
                <c:pt idx="23">
                  <c:v>56.39845833333333</c:v>
                </c:pt>
                <c:pt idx="24">
                  <c:v>56.370959999999997</c:v>
                </c:pt>
                <c:pt idx="25">
                  <c:v>56.332961538461532</c:v>
                </c:pt>
                <c:pt idx="26">
                  <c:v>56.336666666666666</c:v>
                </c:pt>
                <c:pt idx="27">
                  <c:v>56.39074999999999</c:v>
                </c:pt>
                <c:pt idx="28">
                  <c:v>56.360448275862062</c:v>
                </c:pt>
                <c:pt idx="29">
                  <c:v>56.403199999999991</c:v>
                </c:pt>
                <c:pt idx="30">
                  <c:v>56.402419354838699</c:v>
                </c:pt>
                <c:pt idx="31">
                  <c:v>56.406874999999992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D68-4E5E-8F23-E0339043B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10001"/>
        <c:axId val="50010002"/>
      </c:scatterChart>
      <c:valAx>
        <c:axId val="50010001"/>
        <c:scaling>
          <c:orientation val="minMax"/>
          <c:max val="1800"/>
          <c:min val="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[sec]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crossAx val="50010002"/>
        <c:crosses val="autoZero"/>
        <c:crossBetween val="midCat"/>
        <c:majorUnit val="250"/>
        <c:minorUnit val="50"/>
      </c:valAx>
      <c:valAx>
        <c:axId val="50010002"/>
        <c:scaling>
          <c:orientation val="minMax"/>
          <c:max val="59"/>
          <c:min val="52.5"/>
        </c:scaling>
        <c:delete val="0"/>
        <c:axPos val="l"/>
        <c:majorGridlines/>
        <c:min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Average lap time [sec]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crossAx val="50010001"/>
        <c:crosses val="autoZero"/>
        <c:crossBetween val="midCat"/>
        <c:majorUnit val="0.5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Running distance to winner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race_data!$A$1</c:f>
              <c:strCache>
                <c:ptCount val="1"/>
                <c:pt idx="0">
                  <c:v>SanderV</c:v>
                </c:pt>
              </c:strCache>
            </c:strRef>
          </c:tx>
          <c:marker>
            <c:symbol val="none"/>
          </c:marker>
          <c:xVal>
            <c:numRef>
              <c:f>intermediate_data!$A$2:$A$299</c:f>
              <c:numCache>
                <c:formatCode>General</c:formatCode>
                <c:ptCount val="298"/>
                <c:pt idx="0">
                  <c:v>53.683999999999997</c:v>
                </c:pt>
                <c:pt idx="1">
                  <c:v>53.756</c:v>
                </c:pt>
                <c:pt idx="2">
                  <c:v>54.529000000000003</c:v>
                </c:pt>
                <c:pt idx="3">
                  <c:v>55.472999999999999</c:v>
                </c:pt>
                <c:pt idx="4">
                  <c:v>55.91</c:v>
                </c:pt>
                <c:pt idx="5">
                  <c:v>56.984000000000002</c:v>
                </c:pt>
                <c:pt idx="6">
                  <c:v>57.091999999999999</c:v>
                </c:pt>
                <c:pt idx="7">
                  <c:v>57.482999999999997</c:v>
                </c:pt>
                <c:pt idx="8">
                  <c:v>58.719000000000001</c:v>
                </c:pt>
                <c:pt idx="9">
                  <c:v>107.248</c:v>
                </c:pt>
                <c:pt idx="10">
                  <c:v>107.48399999999999</c:v>
                </c:pt>
                <c:pt idx="11">
                  <c:v>109.506</c:v>
                </c:pt>
                <c:pt idx="12">
                  <c:v>111.09399999999999</c:v>
                </c:pt>
                <c:pt idx="13">
                  <c:v>111.527</c:v>
                </c:pt>
                <c:pt idx="14">
                  <c:v>112.53</c:v>
                </c:pt>
                <c:pt idx="15">
                  <c:v>113.36199999999999</c:v>
                </c:pt>
                <c:pt idx="16">
                  <c:v>113.758</c:v>
                </c:pt>
                <c:pt idx="17">
                  <c:v>115.387</c:v>
                </c:pt>
                <c:pt idx="18">
                  <c:v>160.595</c:v>
                </c:pt>
                <c:pt idx="19">
                  <c:v>160.697</c:v>
                </c:pt>
                <c:pt idx="20">
                  <c:v>163.79</c:v>
                </c:pt>
                <c:pt idx="21">
                  <c:v>166.34</c:v>
                </c:pt>
                <c:pt idx="22">
                  <c:v>166.87200000000001</c:v>
                </c:pt>
                <c:pt idx="23">
                  <c:v>167.84800000000001</c:v>
                </c:pt>
                <c:pt idx="24">
                  <c:v>169.19900000000001</c:v>
                </c:pt>
                <c:pt idx="25">
                  <c:v>170.291</c:v>
                </c:pt>
                <c:pt idx="26">
                  <c:v>171.417</c:v>
                </c:pt>
                <c:pt idx="27">
                  <c:v>214.05799999999999</c:v>
                </c:pt>
                <c:pt idx="28">
                  <c:v>214.31100000000001</c:v>
                </c:pt>
                <c:pt idx="29">
                  <c:v>217.57599999999999</c:v>
                </c:pt>
                <c:pt idx="30">
                  <c:v>221.208</c:v>
                </c:pt>
                <c:pt idx="31">
                  <c:v>222.99600000000001</c:v>
                </c:pt>
                <c:pt idx="32">
                  <c:v>223.346</c:v>
                </c:pt>
                <c:pt idx="33">
                  <c:v>224.792</c:v>
                </c:pt>
                <c:pt idx="34">
                  <c:v>227.23699999999999</c:v>
                </c:pt>
                <c:pt idx="35">
                  <c:v>227.387</c:v>
                </c:pt>
                <c:pt idx="36">
                  <c:v>267.20299999999997</c:v>
                </c:pt>
                <c:pt idx="37">
                  <c:v>267.286</c:v>
                </c:pt>
                <c:pt idx="38">
                  <c:v>271.62</c:v>
                </c:pt>
                <c:pt idx="39">
                  <c:v>276.245</c:v>
                </c:pt>
                <c:pt idx="40">
                  <c:v>278.11500000000001</c:v>
                </c:pt>
                <c:pt idx="41">
                  <c:v>278.77100000000002</c:v>
                </c:pt>
                <c:pt idx="42">
                  <c:v>280.43099999999998</c:v>
                </c:pt>
                <c:pt idx="43">
                  <c:v>283.97699999999998</c:v>
                </c:pt>
                <c:pt idx="44">
                  <c:v>284.36900000000003</c:v>
                </c:pt>
                <c:pt idx="45">
                  <c:v>319.94</c:v>
                </c:pt>
                <c:pt idx="46">
                  <c:v>320.41699999999997</c:v>
                </c:pt>
                <c:pt idx="47">
                  <c:v>325.77699999999999</c:v>
                </c:pt>
                <c:pt idx="48">
                  <c:v>331.447</c:v>
                </c:pt>
                <c:pt idx="49">
                  <c:v>333.30500000000001</c:v>
                </c:pt>
                <c:pt idx="50">
                  <c:v>333.83100000000002</c:v>
                </c:pt>
                <c:pt idx="51">
                  <c:v>335.64</c:v>
                </c:pt>
                <c:pt idx="52">
                  <c:v>340.83300000000003</c:v>
                </c:pt>
                <c:pt idx="53">
                  <c:v>341.09199999999998</c:v>
                </c:pt>
                <c:pt idx="54">
                  <c:v>372.53500000000003</c:v>
                </c:pt>
                <c:pt idx="55">
                  <c:v>373.22</c:v>
                </c:pt>
                <c:pt idx="56">
                  <c:v>380.05599999999998</c:v>
                </c:pt>
                <c:pt idx="57">
                  <c:v>386.74900000000002</c:v>
                </c:pt>
                <c:pt idx="58">
                  <c:v>388.19299999999998</c:v>
                </c:pt>
                <c:pt idx="59">
                  <c:v>388.30299999999988</c:v>
                </c:pt>
                <c:pt idx="60">
                  <c:v>391.55099999999999</c:v>
                </c:pt>
                <c:pt idx="61">
                  <c:v>397.34199999999998</c:v>
                </c:pt>
                <c:pt idx="62">
                  <c:v>397.60199999999998</c:v>
                </c:pt>
                <c:pt idx="63">
                  <c:v>425.07600000000002</c:v>
                </c:pt>
                <c:pt idx="64">
                  <c:v>426.26299999999998</c:v>
                </c:pt>
                <c:pt idx="65">
                  <c:v>434.23099999999999</c:v>
                </c:pt>
                <c:pt idx="66">
                  <c:v>442.30500000000001</c:v>
                </c:pt>
                <c:pt idx="67">
                  <c:v>442.87700000000001</c:v>
                </c:pt>
                <c:pt idx="68">
                  <c:v>443.70699999999999</c:v>
                </c:pt>
                <c:pt idx="69">
                  <c:v>447.20600000000002</c:v>
                </c:pt>
                <c:pt idx="70">
                  <c:v>453.82100000000003</c:v>
                </c:pt>
                <c:pt idx="71">
                  <c:v>454.59500000000003</c:v>
                </c:pt>
                <c:pt idx="72">
                  <c:v>477.66599999999988</c:v>
                </c:pt>
                <c:pt idx="73">
                  <c:v>479.28800000000001</c:v>
                </c:pt>
                <c:pt idx="74">
                  <c:v>488.19099999999997</c:v>
                </c:pt>
                <c:pt idx="75">
                  <c:v>497.56099999999998</c:v>
                </c:pt>
                <c:pt idx="76">
                  <c:v>497.72300000000001</c:v>
                </c:pt>
                <c:pt idx="77">
                  <c:v>498.91699999999997</c:v>
                </c:pt>
                <c:pt idx="78">
                  <c:v>502.58499999999998</c:v>
                </c:pt>
                <c:pt idx="79">
                  <c:v>509.87099999999998</c:v>
                </c:pt>
                <c:pt idx="80">
                  <c:v>511.53800000000001</c:v>
                </c:pt>
                <c:pt idx="81">
                  <c:v>530.65299999999991</c:v>
                </c:pt>
                <c:pt idx="82">
                  <c:v>532.33299999999997</c:v>
                </c:pt>
                <c:pt idx="83">
                  <c:v>541.52099999999996</c:v>
                </c:pt>
                <c:pt idx="84">
                  <c:v>551.93500000000006</c:v>
                </c:pt>
                <c:pt idx="85">
                  <c:v>552.71499999999992</c:v>
                </c:pt>
                <c:pt idx="86">
                  <c:v>553.38400000000001</c:v>
                </c:pt>
                <c:pt idx="87">
                  <c:v>558.18000000000006</c:v>
                </c:pt>
                <c:pt idx="88">
                  <c:v>566.23699999999997</c:v>
                </c:pt>
                <c:pt idx="89">
                  <c:v>569.47499999999991</c:v>
                </c:pt>
                <c:pt idx="90">
                  <c:v>583.65299999999991</c:v>
                </c:pt>
                <c:pt idx="91">
                  <c:v>585.43899999999996</c:v>
                </c:pt>
                <c:pt idx="92">
                  <c:v>594.96499999999992</c:v>
                </c:pt>
                <c:pt idx="93">
                  <c:v>606.97200000000009</c:v>
                </c:pt>
                <c:pt idx="94">
                  <c:v>607.32999999999993</c:v>
                </c:pt>
                <c:pt idx="95">
                  <c:v>608.36599999999999</c:v>
                </c:pt>
                <c:pt idx="96">
                  <c:v>613.03800000000001</c:v>
                </c:pt>
                <c:pt idx="97">
                  <c:v>621.69099999999992</c:v>
                </c:pt>
                <c:pt idx="98">
                  <c:v>625.02299999999991</c:v>
                </c:pt>
                <c:pt idx="99">
                  <c:v>636.24399999999991</c:v>
                </c:pt>
                <c:pt idx="100">
                  <c:v>638.471</c:v>
                </c:pt>
                <c:pt idx="101">
                  <c:v>648.21699999999987</c:v>
                </c:pt>
                <c:pt idx="102">
                  <c:v>661.52299999999991</c:v>
                </c:pt>
                <c:pt idx="103">
                  <c:v>661.65100000000007</c:v>
                </c:pt>
                <c:pt idx="104">
                  <c:v>663.02</c:v>
                </c:pt>
                <c:pt idx="105">
                  <c:v>668.73</c:v>
                </c:pt>
                <c:pt idx="106">
                  <c:v>677.15299999999991</c:v>
                </c:pt>
                <c:pt idx="107">
                  <c:v>680.47199999999987</c:v>
                </c:pt>
                <c:pt idx="108">
                  <c:v>688.80799999999988</c:v>
                </c:pt>
                <c:pt idx="109">
                  <c:v>691.47199999999998</c:v>
                </c:pt>
                <c:pt idx="110">
                  <c:v>701.5089999999999</c:v>
                </c:pt>
                <c:pt idx="111">
                  <c:v>716.07599999999991</c:v>
                </c:pt>
                <c:pt idx="112">
                  <c:v>716.20200000000011</c:v>
                </c:pt>
                <c:pt idx="113">
                  <c:v>717.66599999999994</c:v>
                </c:pt>
                <c:pt idx="114">
                  <c:v>724.04100000000005</c:v>
                </c:pt>
                <c:pt idx="115">
                  <c:v>733.63499999999988</c:v>
                </c:pt>
                <c:pt idx="116">
                  <c:v>737.13299999999981</c:v>
                </c:pt>
                <c:pt idx="117">
                  <c:v>741.71299999999985</c:v>
                </c:pt>
                <c:pt idx="118">
                  <c:v>744.25900000000001</c:v>
                </c:pt>
                <c:pt idx="119">
                  <c:v>754.44999999999993</c:v>
                </c:pt>
                <c:pt idx="120">
                  <c:v>770.65599999999995</c:v>
                </c:pt>
                <c:pt idx="121">
                  <c:v>770.76300000000015</c:v>
                </c:pt>
                <c:pt idx="122">
                  <c:v>772.13699999999994</c:v>
                </c:pt>
                <c:pt idx="123">
                  <c:v>779.18400000000008</c:v>
                </c:pt>
                <c:pt idx="124">
                  <c:v>789.3359999999999</c:v>
                </c:pt>
                <c:pt idx="125">
                  <c:v>794.03099999999984</c:v>
                </c:pt>
                <c:pt idx="126">
                  <c:v>794.50299999999982</c:v>
                </c:pt>
                <c:pt idx="127">
                  <c:v>797.92899999999997</c:v>
                </c:pt>
                <c:pt idx="128">
                  <c:v>808.10399999999993</c:v>
                </c:pt>
                <c:pt idx="129">
                  <c:v>825.70099999999991</c:v>
                </c:pt>
                <c:pt idx="130">
                  <c:v>826.44900000000018</c:v>
                </c:pt>
                <c:pt idx="131">
                  <c:v>826.54</c:v>
                </c:pt>
                <c:pt idx="132">
                  <c:v>834.33500000000004</c:v>
                </c:pt>
                <c:pt idx="133">
                  <c:v>845.66899999999987</c:v>
                </c:pt>
                <c:pt idx="134">
                  <c:v>846.68199999999979</c:v>
                </c:pt>
                <c:pt idx="135">
                  <c:v>850.2489999999998</c:v>
                </c:pt>
                <c:pt idx="136">
                  <c:v>851.06</c:v>
                </c:pt>
                <c:pt idx="137">
                  <c:v>862.00699999999995</c:v>
                </c:pt>
                <c:pt idx="138">
                  <c:v>879.50599999999986</c:v>
                </c:pt>
                <c:pt idx="139">
                  <c:v>880.33399999999995</c:v>
                </c:pt>
                <c:pt idx="140">
                  <c:v>880.38000000000022</c:v>
                </c:pt>
                <c:pt idx="141">
                  <c:v>889.13300000000004</c:v>
                </c:pt>
                <c:pt idx="142">
                  <c:v>899.13499999999976</c:v>
                </c:pt>
                <c:pt idx="143">
                  <c:v>902.08499999999981</c:v>
                </c:pt>
                <c:pt idx="144">
                  <c:v>903.89799999999991</c:v>
                </c:pt>
                <c:pt idx="145">
                  <c:v>905.23399999999981</c:v>
                </c:pt>
                <c:pt idx="146">
                  <c:v>914.92899999999997</c:v>
                </c:pt>
                <c:pt idx="147">
                  <c:v>933.46699999999987</c:v>
                </c:pt>
                <c:pt idx="148">
                  <c:v>934.0619999999999</c:v>
                </c:pt>
                <c:pt idx="149">
                  <c:v>934.23800000000017</c:v>
                </c:pt>
                <c:pt idx="150">
                  <c:v>944.41399999999999</c:v>
                </c:pt>
                <c:pt idx="151">
                  <c:v>951.75499999999977</c:v>
                </c:pt>
                <c:pt idx="152">
                  <c:v>956.57899999999995</c:v>
                </c:pt>
                <c:pt idx="153">
                  <c:v>959.00699999999983</c:v>
                </c:pt>
                <c:pt idx="154">
                  <c:v>960.36199999999985</c:v>
                </c:pt>
                <c:pt idx="155">
                  <c:v>968.27699999999993</c:v>
                </c:pt>
                <c:pt idx="156">
                  <c:v>987.40599999999984</c:v>
                </c:pt>
                <c:pt idx="157">
                  <c:v>988.2829999999999</c:v>
                </c:pt>
                <c:pt idx="158">
                  <c:v>988.29300000000012</c:v>
                </c:pt>
                <c:pt idx="159">
                  <c:v>1000.082</c:v>
                </c:pt>
                <c:pt idx="160">
                  <c:v>1004.273</c:v>
                </c:pt>
                <c:pt idx="161">
                  <c:v>1009.982</c:v>
                </c:pt>
                <c:pt idx="162">
                  <c:v>1015.061</c:v>
                </c:pt>
                <c:pt idx="163">
                  <c:v>1017.0119999999999</c:v>
                </c:pt>
                <c:pt idx="164">
                  <c:v>1022.78</c:v>
                </c:pt>
                <c:pt idx="165">
                  <c:v>1041.758</c:v>
                </c:pt>
                <c:pt idx="166">
                  <c:v>1041.9860000000001</c:v>
                </c:pt>
                <c:pt idx="167">
                  <c:v>1042.5309999999999</c:v>
                </c:pt>
                <c:pt idx="168">
                  <c:v>1055.546</c:v>
                </c:pt>
                <c:pt idx="169">
                  <c:v>1056.577</c:v>
                </c:pt>
                <c:pt idx="170">
                  <c:v>1062.8579999999999</c:v>
                </c:pt>
                <c:pt idx="171">
                  <c:v>1072.2570000000001</c:v>
                </c:pt>
                <c:pt idx="172">
                  <c:v>1074.1559999999999</c:v>
                </c:pt>
                <c:pt idx="173">
                  <c:v>1078.1659999999999</c:v>
                </c:pt>
                <c:pt idx="174">
                  <c:v>1095.5119999999999</c:v>
                </c:pt>
                <c:pt idx="175">
                  <c:v>1095.8789999999999</c:v>
                </c:pt>
                <c:pt idx="176">
                  <c:v>1097.713</c:v>
                </c:pt>
                <c:pt idx="177">
                  <c:v>1108.8510000000001</c:v>
                </c:pt>
                <c:pt idx="178">
                  <c:v>1112.067</c:v>
                </c:pt>
                <c:pt idx="179">
                  <c:v>1115.752</c:v>
                </c:pt>
                <c:pt idx="180">
                  <c:v>1127.6790000000001</c:v>
                </c:pt>
                <c:pt idx="181">
                  <c:v>1129.2570000000001</c:v>
                </c:pt>
                <c:pt idx="182">
                  <c:v>1131.1469999999999</c:v>
                </c:pt>
                <c:pt idx="183">
                  <c:v>1149.9880000000001</c:v>
                </c:pt>
                <c:pt idx="184">
                  <c:v>1150.1880000000001</c:v>
                </c:pt>
                <c:pt idx="185">
                  <c:v>1152.442</c:v>
                </c:pt>
                <c:pt idx="186">
                  <c:v>1161.1489999999999</c:v>
                </c:pt>
                <c:pt idx="187">
                  <c:v>1167.48</c:v>
                </c:pt>
                <c:pt idx="188">
                  <c:v>1168.566</c:v>
                </c:pt>
                <c:pt idx="189">
                  <c:v>1183.204</c:v>
                </c:pt>
                <c:pt idx="190">
                  <c:v>1183.8610000000001</c:v>
                </c:pt>
                <c:pt idx="191">
                  <c:v>1184.771</c:v>
                </c:pt>
                <c:pt idx="192">
                  <c:v>1203.7750000000001</c:v>
                </c:pt>
                <c:pt idx="193">
                  <c:v>1204.1310000000001</c:v>
                </c:pt>
                <c:pt idx="194">
                  <c:v>1206.932</c:v>
                </c:pt>
                <c:pt idx="195">
                  <c:v>1213.0440000000001</c:v>
                </c:pt>
                <c:pt idx="196">
                  <c:v>1221.4059999999999</c:v>
                </c:pt>
                <c:pt idx="197">
                  <c:v>1222.7739999999999</c:v>
                </c:pt>
                <c:pt idx="198">
                  <c:v>1236.6559999999999</c:v>
                </c:pt>
                <c:pt idx="199">
                  <c:v>1239.4690000000001</c:v>
                </c:pt>
                <c:pt idx="200">
                  <c:v>1242.714999999999</c:v>
                </c:pt>
                <c:pt idx="201">
                  <c:v>1258.1849999999999</c:v>
                </c:pt>
                <c:pt idx="202">
                  <c:v>1258.5820000000001</c:v>
                </c:pt>
                <c:pt idx="203">
                  <c:v>1262.6769999999999</c:v>
                </c:pt>
                <c:pt idx="204">
                  <c:v>1264.9359999999999</c:v>
                </c:pt>
                <c:pt idx="205">
                  <c:v>1274.2059999999999</c:v>
                </c:pt>
                <c:pt idx="206">
                  <c:v>1278.5029999999999</c:v>
                </c:pt>
                <c:pt idx="207">
                  <c:v>1289.8050000000001</c:v>
                </c:pt>
                <c:pt idx="208">
                  <c:v>1295.049</c:v>
                </c:pt>
                <c:pt idx="209">
                  <c:v>1298.196999999999</c:v>
                </c:pt>
                <c:pt idx="210">
                  <c:v>1311.886</c:v>
                </c:pt>
                <c:pt idx="211">
                  <c:v>1312.077</c:v>
                </c:pt>
                <c:pt idx="212">
                  <c:v>1316.857</c:v>
                </c:pt>
                <c:pt idx="213">
                  <c:v>1316.8969999999999</c:v>
                </c:pt>
                <c:pt idx="214">
                  <c:v>1327.0650000000001</c:v>
                </c:pt>
                <c:pt idx="215">
                  <c:v>1334.078</c:v>
                </c:pt>
                <c:pt idx="216">
                  <c:v>1343.328</c:v>
                </c:pt>
                <c:pt idx="217">
                  <c:v>1353.5630000000001</c:v>
                </c:pt>
                <c:pt idx="218">
                  <c:v>1355.049999999999</c:v>
                </c:pt>
                <c:pt idx="219">
                  <c:v>1365.2909999999999</c:v>
                </c:pt>
                <c:pt idx="220">
                  <c:v>1371.1030000000001</c:v>
                </c:pt>
                <c:pt idx="221">
                  <c:v>1371.922</c:v>
                </c:pt>
                <c:pt idx="222">
                  <c:v>1380.578</c:v>
                </c:pt>
                <c:pt idx="223">
                  <c:v>1390.499</c:v>
                </c:pt>
                <c:pt idx="224">
                  <c:v>1396.672</c:v>
                </c:pt>
                <c:pt idx="225">
                  <c:v>1400.73</c:v>
                </c:pt>
                <c:pt idx="226">
                  <c:v>1409.2739999999999</c:v>
                </c:pt>
                <c:pt idx="227">
                  <c:v>1411.327</c:v>
                </c:pt>
                <c:pt idx="228">
                  <c:v>1418.57</c:v>
                </c:pt>
                <c:pt idx="229">
                  <c:v>1423.5709999999999</c:v>
                </c:pt>
                <c:pt idx="230">
                  <c:v>1426.067</c:v>
                </c:pt>
                <c:pt idx="231">
                  <c:v>1433.5509999999999</c:v>
                </c:pt>
                <c:pt idx="232">
                  <c:v>1445.6969999999999</c:v>
                </c:pt>
                <c:pt idx="233">
                  <c:v>1449.5250000000001</c:v>
                </c:pt>
                <c:pt idx="234">
                  <c:v>1454.1659999999999</c:v>
                </c:pt>
                <c:pt idx="235">
                  <c:v>1464.6569999999999</c:v>
                </c:pt>
                <c:pt idx="236">
                  <c:v>1466.481</c:v>
                </c:pt>
                <c:pt idx="237">
                  <c:v>1472.396</c:v>
                </c:pt>
                <c:pt idx="238">
                  <c:v>1476.029</c:v>
                </c:pt>
                <c:pt idx="239">
                  <c:v>1481.104</c:v>
                </c:pt>
                <c:pt idx="240">
                  <c:v>1486.4649999999999</c:v>
                </c:pt>
                <c:pt idx="241">
                  <c:v>1500.1189999999999</c:v>
                </c:pt>
                <c:pt idx="242">
                  <c:v>1502.5119999999999</c:v>
                </c:pt>
                <c:pt idx="243">
                  <c:v>1507.4490000000001</c:v>
                </c:pt>
                <c:pt idx="244">
                  <c:v>1521.09</c:v>
                </c:pt>
                <c:pt idx="245">
                  <c:v>1525.5940000000001</c:v>
                </c:pt>
                <c:pt idx="246">
                  <c:v>1527.826</c:v>
                </c:pt>
                <c:pt idx="247">
                  <c:v>1529.7850000000001</c:v>
                </c:pt>
                <c:pt idx="248">
                  <c:v>1535.702</c:v>
                </c:pt>
                <c:pt idx="249">
                  <c:v>1539.453</c:v>
                </c:pt>
                <c:pt idx="250">
                  <c:v>1554.7650000000001</c:v>
                </c:pt>
                <c:pt idx="251">
                  <c:v>1555.56</c:v>
                </c:pt>
                <c:pt idx="252">
                  <c:v>1560.393</c:v>
                </c:pt>
                <c:pt idx="253">
                  <c:v>1578.941</c:v>
                </c:pt>
                <c:pt idx="254">
                  <c:v>1581.6189999999999</c:v>
                </c:pt>
                <c:pt idx="255">
                  <c:v>1582.057</c:v>
                </c:pt>
                <c:pt idx="256">
                  <c:v>1582.367</c:v>
                </c:pt>
                <c:pt idx="257">
                  <c:v>1590.6369999999999</c:v>
                </c:pt>
                <c:pt idx="258">
                  <c:v>1593.943</c:v>
                </c:pt>
                <c:pt idx="259">
                  <c:v>1608.1479999999999</c:v>
                </c:pt>
                <c:pt idx="260">
                  <c:v>1609.2860000000001</c:v>
                </c:pt>
                <c:pt idx="261">
                  <c:v>1613.3009999999999</c:v>
                </c:pt>
                <c:pt idx="262">
                  <c:v>1634.2470000000001</c:v>
                </c:pt>
                <c:pt idx="263">
                  <c:v>1634.453</c:v>
                </c:pt>
                <c:pt idx="264">
                  <c:v>1635.501</c:v>
                </c:pt>
                <c:pt idx="265">
                  <c:v>1637.64</c:v>
                </c:pt>
                <c:pt idx="266">
                  <c:v>1646.942</c:v>
                </c:pt>
                <c:pt idx="267">
                  <c:v>1648.1289999999999</c:v>
                </c:pt>
                <c:pt idx="268">
                  <c:v>1660.857</c:v>
                </c:pt>
                <c:pt idx="269">
                  <c:v>1663.2570000000001</c:v>
                </c:pt>
                <c:pt idx="270">
                  <c:v>1666.9079999999999</c:v>
                </c:pt>
                <c:pt idx="271">
                  <c:v>1686.402</c:v>
                </c:pt>
                <c:pt idx="272">
                  <c:v>1688.105</c:v>
                </c:pt>
                <c:pt idx="273">
                  <c:v>1692.096</c:v>
                </c:pt>
                <c:pt idx="274">
                  <c:v>1693.64</c:v>
                </c:pt>
                <c:pt idx="275">
                  <c:v>1700.982</c:v>
                </c:pt>
                <c:pt idx="276">
                  <c:v>1701.133</c:v>
                </c:pt>
                <c:pt idx="277">
                  <c:v>1713.537</c:v>
                </c:pt>
                <c:pt idx="278">
                  <c:v>1717.67</c:v>
                </c:pt>
                <c:pt idx="279">
                  <c:v>1720.1189999999999</c:v>
                </c:pt>
                <c:pt idx="280">
                  <c:v>1738.673</c:v>
                </c:pt>
                <c:pt idx="281">
                  <c:v>1741.722</c:v>
                </c:pt>
                <c:pt idx="282">
                  <c:v>1748.4749999999999</c:v>
                </c:pt>
                <c:pt idx="283">
                  <c:v>1748.867</c:v>
                </c:pt>
                <c:pt idx="284">
                  <c:v>1755.2349999999999</c:v>
                </c:pt>
                <c:pt idx="285">
                  <c:v>1755.2439999999999</c:v>
                </c:pt>
                <c:pt idx="286">
                  <c:v>1766.07</c:v>
                </c:pt>
                <c:pt idx="287">
                  <c:v>1771.6389999999999</c:v>
                </c:pt>
                <c:pt idx="288">
                  <c:v>1773.8879999999999</c:v>
                </c:pt>
                <c:pt idx="289">
                  <c:v>1791.0740000000001</c:v>
                </c:pt>
                <c:pt idx="290">
                  <c:v>1794.713</c:v>
                </c:pt>
                <c:pt idx="291">
                  <c:v>1805.02</c:v>
                </c:pt>
                <c:pt idx="292">
                  <c:v>1805.8710000000001</c:v>
                </c:pt>
                <c:pt idx="293">
                  <c:v>1808.5830000000001</c:v>
                </c:pt>
                <c:pt idx="294">
                  <c:v>1809.4469999999999</c:v>
                </c:pt>
                <c:pt idx="295">
                  <c:v>1819.8219999999999</c:v>
                </c:pt>
                <c:pt idx="296">
                  <c:v>1826.442</c:v>
                </c:pt>
                <c:pt idx="297">
                  <c:v>1828.6089999999999</c:v>
                </c:pt>
              </c:numCache>
            </c:numRef>
          </c:xVal>
          <c:yVal>
            <c:numRef>
              <c:f>intermediate_data!$K$2:$K$299</c:f>
              <c:numCache>
                <c:formatCode>General</c:formatCode>
                <c:ptCount val="2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96-4B8B-94C9-747D2D4C113F}"/>
            </c:ext>
          </c:extLst>
        </c:ser>
        <c:ser>
          <c:idx val="1"/>
          <c:order val="1"/>
          <c:tx>
            <c:strRef>
              <c:f>race_data!$F$1</c:f>
              <c:strCache>
                <c:ptCount val="1"/>
                <c:pt idx="0">
                  <c:v>InigoM</c:v>
                </c:pt>
              </c:strCache>
            </c:strRef>
          </c:tx>
          <c:marker>
            <c:symbol val="none"/>
          </c:marker>
          <c:xVal>
            <c:numRef>
              <c:f>intermediate_data!$A$2:$A$299</c:f>
              <c:numCache>
                <c:formatCode>General</c:formatCode>
                <c:ptCount val="298"/>
                <c:pt idx="0">
                  <c:v>53.683999999999997</c:v>
                </c:pt>
                <c:pt idx="1">
                  <c:v>53.756</c:v>
                </c:pt>
                <c:pt idx="2">
                  <c:v>54.529000000000003</c:v>
                </c:pt>
                <c:pt idx="3">
                  <c:v>55.472999999999999</c:v>
                </c:pt>
                <c:pt idx="4">
                  <c:v>55.91</c:v>
                </c:pt>
                <c:pt idx="5">
                  <c:v>56.984000000000002</c:v>
                </c:pt>
                <c:pt idx="6">
                  <c:v>57.091999999999999</c:v>
                </c:pt>
                <c:pt idx="7">
                  <c:v>57.482999999999997</c:v>
                </c:pt>
                <c:pt idx="8">
                  <c:v>58.719000000000001</c:v>
                </c:pt>
                <c:pt idx="9">
                  <c:v>107.248</c:v>
                </c:pt>
                <c:pt idx="10">
                  <c:v>107.48399999999999</c:v>
                </c:pt>
                <c:pt idx="11">
                  <c:v>109.506</c:v>
                </c:pt>
                <c:pt idx="12">
                  <c:v>111.09399999999999</c:v>
                </c:pt>
                <c:pt idx="13">
                  <c:v>111.527</c:v>
                </c:pt>
                <c:pt idx="14">
                  <c:v>112.53</c:v>
                </c:pt>
                <c:pt idx="15">
                  <c:v>113.36199999999999</c:v>
                </c:pt>
                <c:pt idx="16">
                  <c:v>113.758</c:v>
                </c:pt>
                <c:pt idx="17">
                  <c:v>115.387</c:v>
                </c:pt>
                <c:pt idx="18">
                  <c:v>160.595</c:v>
                </c:pt>
                <c:pt idx="19">
                  <c:v>160.697</c:v>
                </c:pt>
                <c:pt idx="20">
                  <c:v>163.79</c:v>
                </c:pt>
                <c:pt idx="21">
                  <c:v>166.34</c:v>
                </c:pt>
                <c:pt idx="22">
                  <c:v>166.87200000000001</c:v>
                </c:pt>
                <c:pt idx="23">
                  <c:v>167.84800000000001</c:v>
                </c:pt>
                <c:pt idx="24">
                  <c:v>169.19900000000001</c:v>
                </c:pt>
                <c:pt idx="25">
                  <c:v>170.291</c:v>
                </c:pt>
                <c:pt idx="26">
                  <c:v>171.417</c:v>
                </c:pt>
                <c:pt idx="27">
                  <c:v>214.05799999999999</c:v>
                </c:pt>
                <c:pt idx="28">
                  <c:v>214.31100000000001</c:v>
                </c:pt>
                <c:pt idx="29">
                  <c:v>217.57599999999999</c:v>
                </c:pt>
                <c:pt idx="30">
                  <c:v>221.208</c:v>
                </c:pt>
                <c:pt idx="31">
                  <c:v>222.99600000000001</c:v>
                </c:pt>
                <c:pt idx="32">
                  <c:v>223.346</c:v>
                </c:pt>
                <c:pt idx="33">
                  <c:v>224.792</c:v>
                </c:pt>
                <c:pt idx="34">
                  <c:v>227.23699999999999</c:v>
                </c:pt>
                <c:pt idx="35">
                  <c:v>227.387</c:v>
                </c:pt>
                <c:pt idx="36">
                  <c:v>267.20299999999997</c:v>
                </c:pt>
                <c:pt idx="37">
                  <c:v>267.286</c:v>
                </c:pt>
                <c:pt idx="38">
                  <c:v>271.62</c:v>
                </c:pt>
                <c:pt idx="39">
                  <c:v>276.245</c:v>
                </c:pt>
                <c:pt idx="40">
                  <c:v>278.11500000000001</c:v>
                </c:pt>
                <c:pt idx="41">
                  <c:v>278.77100000000002</c:v>
                </c:pt>
                <c:pt idx="42">
                  <c:v>280.43099999999998</c:v>
                </c:pt>
                <c:pt idx="43">
                  <c:v>283.97699999999998</c:v>
                </c:pt>
                <c:pt idx="44">
                  <c:v>284.36900000000003</c:v>
                </c:pt>
                <c:pt idx="45">
                  <c:v>319.94</c:v>
                </c:pt>
                <c:pt idx="46">
                  <c:v>320.41699999999997</c:v>
                </c:pt>
                <c:pt idx="47">
                  <c:v>325.77699999999999</c:v>
                </c:pt>
                <c:pt idx="48">
                  <c:v>331.447</c:v>
                </c:pt>
                <c:pt idx="49">
                  <c:v>333.30500000000001</c:v>
                </c:pt>
                <c:pt idx="50">
                  <c:v>333.83100000000002</c:v>
                </c:pt>
                <c:pt idx="51">
                  <c:v>335.64</c:v>
                </c:pt>
                <c:pt idx="52">
                  <c:v>340.83300000000003</c:v>
                </c:pt>
                <c:pt idx="53">
                  <c:v>341.09199999999998</c:v>
                </c:pt>
                <c:pt idx="54">
                  <c:v>372.53500000000003</c:v>
                </c:pt>
                <c:pt idx="55">
                  <c:v>373.22</c:v>
                </c:pt>
                <c:pt idx="56">
                  <c:v>380.05599999999998</c:v>
                </c:pt>
                <c:pt idx="57">
                  <c:v>386.74900000000002</c:v>
                </c:pt>
                <c:pt idx="58">
                  <c:v>388.19299999999998</c:v>
                </c:pt>
                <c:pt idx="59">
                  <c:v>388.30299999999988</c:v>
                </c:pt>
                <c:pt idx="60">
                  <c:v>391.55099999999999</c:v>
                </c:pt>
                <c:pt idx="61">
                  <c:v>397.34199999999998</c:v>
                </c:pt>
                <c:pt idx="62">
                  <c:v>397.60199999999998</c:v>
                </c:pt>
                <c:pt idx="63">
                  <c:v>425.07600000000002</c:v>
                </c:pt>
                <c:pt idx="64">
                  <c:v>426.26299999999998</c:v>
                </c:pt>
                <c:pt idx="65">
                  <c:v>434.23099999999999</c:v>
                </c:pt>
                <c:pt idx="66">
                  <c:v>442.30500000000001</c:v>
                </c:pt>
                <c:pt idx="67">
                  <c:v>442.87700000000001</c:v>
                </c:pt>
                <c:pt idx="68">
                  <c:v>443.70699999999999</c:v>
                </c:pt>
                <c:pt idx="69">
                  <c:v>447.20600000000002</c:v>
                </c:pt>
                <c:pt idx="70">
                  <c:v>453.82100000000003</c:v>
                </c:pt>
                <c:pt idx="71">
                  <c:v>454.59500000000003</c:v>
                </c:pt>
                <c:pt idx="72">
                  <c:v>477.66599999999988</c:v>
                </c:pt>
                <c:pt idx="73">
                  <c:v>479.28800000000001</c:v>
                </c:pt>
                <c:pt idx="74">
                  <c:v>488.19099999999997</c:v>
                </c:pt>
                <c:pt idx="75">
                  <c:v>497.56099999999998</c:v>
                </c:pt>
                <c:pt idx="76">
                  <c:v>497.72300000000001</c:v>
                </c:pt>
                <c:pt idx="77">
                  <c:v>498.91699999999997</c:v>
                </c:pt>
                <c:pt idx="78">
                  <c:v>502.58499999999998</c:v>
                </c:pt>
                <c:pt idx="79">
                  <c:v>509.87099999999998</c:v>
                </c:pt>
                <c:pt idx="80">
                  <c:v>511.53800000000001</c:v>
                </c:pt>
                <c:pt idx="81">
                  <c:v>530.65299999999991</c:v>
                </c:pt>
                <c:pt idx="82">
                  <c:v>532.33299999999997</c:v>
                </c:pt>
                <c:pt idx="83">
                  <c:v>541.52099999999996</c:v>
                </c:pt>
                <c:pt idx="84">
                  <c:v>551.93500000000006</c:v>
                </c:pt>
                <c:pt idx="85">
                  <c:v>552.71499999999992</c:v>
                </c:pt>
                <c:pt idx="86">
                  <c:v>553.38400000000001</c:v>
                </c:pt>
                <c:pt idx="87">
                  <c:v>558.18000000000006</c:v>
                </c:pt>
                <c:pt idx="88">
                  <c:v>566.23699999999997</c:v>
                </c:pt>
                <c:pt idx="89">
                  <c:v>569.47499999999991</c:v>
                </c:pt>
                <c:pt idx="90">
                  <c:v>583.65299999999991</c:v>
                </c:pt>
                <c:pt idx="91">
                  <c:v>585.43899999999996</c:v>
                </c:pt>
                <c:pt idx="92">
                  <c:v>594.96499999999992</c:v>
                </c:pt>
                <c:pt idx="93">
                  <c:v>606.97200000000009</c:v>
                </c:pt>
                <c:pt idx="94">
                  <c:v>607.32999999999993</c:v>
                </c:pt>
                <c:pt idx="95">
                  <c:v>608.36599999999999</c:v>
                </c:pt>
                <c:pt idx="96">
                  <c:v>613.03800000000001</c:v>
                </c:pt>
                <c:pt idx="97">
                  <c:v>621.69099999999992</c:v>
                </c:pt>
                <c:pt idx="98">
                  <c:v>625.02299999999991</c:v>
                </c:pt>
                <c:pt idx="99">
                  <c:v>636.24399999999991</c:v>
                </c:pt>
                <c:pt idx="100">
                  <c:v>638.471</c:v>
                </c:pt>
                <c:pt idx="101">
                  <c:v>648.21699999999987</c:v>
                </c:pt>
                <c:pt idx="102">
                  <c:v>661.52299999999991</c:v>
                </c:pt>
                <c:pt idx="103">
                  <c:v>661.65100000000007</c:v>
                </c:pt>
                <c:pt idx="104">
                  <c:v>663.02</c:v>
                </c:pt>
                <c:pt idx="105">
                  <c:v>668.73</c:v>
                </c:pt>
                <c:pt idx="106">
                  <c:v>677.15299999999991</c:v>
                </c:pt>
                <c:pt idx="107">
                  <c:v>680.47199999999987</c:v>
                </c:pt>
                <c:pt idx="108">
                  <c:v>688.80799999999988</c:v>
                </c:pt>
                <c:pt idx="109">
                  <c:v>691.47199999999998</c:v>
                </c:pt>
                <c:pt idx="110">
                  <c:v>701.5089999999999</c:v>
                </c:pt>
                <c:pt idx="111">
                  <c:v>716.07599999999991</c:v>
                </c:pt>
                <c:pt idx="112">
                  <c:v>716.20200000000011</c:v>
                </c:pt>
                <c:pt idx="113">
                  <c:v>717.66599999999994</c:v>
                </c:pt>
                <c:pt idx="114">
                  <c:v>724.04100000000005</c:v>
                </c:pt>
                <c:pt idx="115">
                  <c:v>733.63499999999988</c:v>
                </c:pt>
                <c:pt idx="116">
                  <c:v>737.13299999999981</c:v>
                </c:pt>
                <c:pt idx="117">
                  <c:v>741.71299999999985</c:v>
                </c:pt>
                <c:pt idx="118">
                  <c:v>744.25900000000001</c:v>
                </c:pt>
                <c:pt idx="119">
                  <c:v>754.44999999999993</c:v>
                </c:pt>
                <c:pt idx="120">
                  <c:v>770.65599999999995</c:v>
                </c:pt>
                <c:pt idx="121">
                  <c:v>770.76300000000015</c:v>
                </c:pt>
                <c:pt idx="122">
                  <c:v>772.13699999999994</c:v>
                </c:pt>
                <c:pt idx="123">
                  <c:v>779.18400000000008</c:v>
                </c:pt>
                <c:pt idx="124">
                  <c:v>789.3359999999999</c:v>
                </c:pt>
                <c:pt idx="125">
                  <c:v>794.03099999999984</c:v>
                </c:pt>
                <c:pt idx="126">
                  <c:v>794.50299999999982</c:v>
                </c:pt>
                <c:pt idx="127">
                  <c:v>797.92899999999997</c:v>
                </c:pt>
                <c:pt idx="128">
                  <c:v>808.10399999999993</c:v>
                </c:pt>
                <c:pt idx="129">
                  <c:v>825.70099999999991</c:v>
                </c:pt>
                <c:pt idx="130">
                  <c:v>826.44900000000018</c:v>
                </c:pt>
                <c:pt idx="131">
                  <c:v>826.54</c:v>
                </c:pt>
                <c:pt idx="132">
                  <c:v>834.33500000000004</c:v>
                </c:pt>
                <c:pt idx="133">
                  <c:v>845.66899999999987</c:v>
                </c:pt>
                <c:pt idx="134">
                  <c:v>846.68199999999979</c:v>
                </c:pt>
                <c:pt idx="135">
                  <c:v>850.2489999999998</c:v>
                </c:pt>
                <c:pt idx="136">
                  <c:v>851.06</c:v>
                </c:pt>
                <c:pt idx="137">
                  <c:v>862.00699999999995</c:v>
                </c:pt>
                <c:pt idx="138">
                  <c:v>879.50599999999986</c:v>
                </c:pt>
                <c:pt idx="139">
                  <c:v>880.33399999999995</c:v>
                </c:pt>
                <c:pt idx="140">
                  <c:v>880.38000000000022</c:v>
                </c:pt>
                <c:pt idx="141">
                  <c:v>889.13300000000004</c:v>
                </c:pt>
                <c:pt idx="142">
                  <c:v>899.13499999999976</c:v>
                </c:pt>
                <c:pt idx="143">
                  <c:v>902.08499999999981</c:v>
                </c:pt>
                <c:pt idx="144">
                  <c:v>903.89799999999991</c:v>
                </c:pt>
                <c:pt idx="145">
                  <c:v>905.23399999999981</c:v>
                </c:pt>
                <c:pt idx="146">
                  <c:v>914.92899999999997</c:v>
                </c:pt>
                <c:pt idx="147">
                  <c:v>933.46699999999987</c:v>
                </c:pt>
                <c:pt idx="148">
                  <c:v>934.0619999999999</c:v>
                </c:pt>
                <c:pt idx="149">
                  <c:v>934.23800000000017</c:v>
                </c:pt>
                <c:pt idx="150">
                  <c:v>944.41399999999999</c:v>
                </c:pt>
                <c:pt idx="151">
                  <c:v>951.75499999999977</c:v>
                </c:pt>
                <c:pt idx="152">
                  <c:v>956.57899999999995</c:v>
                </c:pt>
                <c:pt idx="153">
                  <c:v>959.00699999999983</c:v>
                </c:pt>
                <c:pt idx="154">
                  <c:v>960.36199999999985</c:v>
                </c:pt>
                <c:pt idx="155">
                  <c:v>968.27699999999993</c:v>
                </c:pt>
                <c:pt idx="156">
                  <c:v>987.40599999999984</c:v>
                </c:pt>
                <c:pt idx="157">
                  <c:v>988.2829999999999</c:v>
                </c:pt>
                <c:pt idx="158">
                  <c:v>988.29300000000012</c:v>
                </c:pt>
                <c:pt idx="159">
                  <c:v>1000.082</c:v>
                </c:pt>
                <c:pt idx="160">
                  <c:v>1004.273</c:v>
                </c:pt>
                <c:pt idx="161">
                  <c:v>1009.982</c:v>
                </c:pt>
                <c:pt idx="162">
                  <c:v>1015.061</c:v>
                </c:pt>
                <c:pt idx="163">
                  <c:v>1017.0119999999999</c:v>
                </c:pt>
                <c:pt idx="164">
                  <c:v>1022.78</c:v>
                </c:pt>
                <c:pt idx="165">
                  <c:v>1041.758</c:v>
                </c:pt>
                <c:pt idx="166">
                  <c:v>1041.9860000000001</c:v>
                </c:pt>
                <c:pt idx="167">
                  <c:v>1042.5309999999999</c:v>
                </c:pt>
                <c:pt idx="168">
                  <c:v>1055.546</c:v>
                </c:pt>
                <c:pt idx="169">
                  <c:v>1056.577</c:v>
                </c:pt>
                <c:pt idx="170">
                  <c:v>1062.8579999999999</c:v>
                </c:pt>
                <c:pt idx="171">
                  <c:v>1072.2570000000001</c:v>
                </c:pt>
                <c:pt idx="172">
                  <c:v>1074.1559999999999</c:v>
                </c:pt>
                <c:pt idx="173">
                  <c:v>1078.1659999999999</c:v>
                </c:pt>
                <c:pt idx="174">
                  <c:v>1095.5119999999999</c:v>
                </c:pt>
                <c:pt idx="175">
                  <c:v>1095.8789999999999</c:v>
                </c:pt>
                <c:pt idx="176">
                  <c:v>1097.713</c:v>
                </c:pt>
                <c:pt idx="177">
                  <c:v>1108.8510000000001</c:v>
                </c:pt>
                <c:pt idx="178">
                  <c:v>1112.067</c:v>
                </c:pt>
                <c:pt idx="179">
                  <c:v>1115.752</c:v>
                </c:pt>
                <c:pt idx="180">
                  <c:v>1127.6790000000001</c:v>
                </c:pt>
                <c:pt idx="181">
                  <c:v>1129.2570000000001</c:v>
                </c:pt>
                <c:pt idx="182">
                  <c:v>1131.1469999999999</c:v>
                </c:pt>
                <c:pt idx="183">
                  <c:v>1149.9880000000001</c:v>
                </c:pt>
                <c:pt idx="184">
                  <c:v>1150.1880000000001</c:v>
                </c:pt>
                <c:pt idx="185">
                  <c:v>1152.442</c:v>
                </c:pt>
                <c:pt idx="186">
                  <c:v>1161.1489999999999</c:v>
                </c:pt>
                <c:pt idx="187">
                  <c:v>1167.48</c:v>
                </c:pt>
                <c:pt idx="188">
                  <c:v>1168.566</c:v>
                </c:pt>
                <c:pt idx="189">
                  <c:v>1183.204</c:v>
                </c:pt>
                <c:pt idx="190">
                  <c:v>1183.8610000000001</c:v>
                </c:pt>
                <c:pt idx="191">
                  <c:v>1184.771</c:v>
                </c:pt>
                <c:pt idx="192">
                  <c:v>1203.7750000000001</c:v>
                </c:pt>
                <c:pt idx="193">
                  <c:v>1204.1310000000001</c:v>
                </c:pt>
                <c:pt idx="194">
                  <c:v>1206.932</c:v>
                </c:pt>
                <c:pt idx="195">
                  <c:v>1213.0440000000001</c:v>
                </c:pt>
                <c:pt idx="196">
                  <c:v>1221.4059999999999</c:v>
                </c:pt>
                <c:pt idx="197">
                  <c:v>1222.7739999999999</c:v>
                </c:pt>
                <c:pt idx="198">
                  <c:v>1236.6559999999999</c:v>
                </c:pt>
                <c:pt idx="199">
                  <c:v>1239.4690000000001</c:v>
                </c:pt>
                <c:pt idx="200">
                  <c:v>1242.714999999999</c:v>
                </c:pt>
                <c:pt idx="201">
                  <c:v>1258.1849999999999</c:v>
                </c:pt>
                <c:pt idx="202">
                  <c:v>1258.5820000000001</c:v>
                </c:pt>
                <c:pt idx="203">
                  <c:v>1262.6769999999999</c:v>
                </c:pt>
                <c:pt idx="204">
                  <c:v>1264.9359999999999</c:v>
                </c:pt>
                <c:pt idx="205">
                  <c:v>1274.2059999999999</c:v>
                </c:pt>
                <c:pt idx="206">
                  <c:v>1278.5029999999999</c:v>
                </c:pt>
                <c:pt idx="207">
                  <c:v>1289.8050000000001</c:v>
                </c:pt>
                <c:pt idx="208">
                  <c:v>1295.049</c:v>
                </c:pt>
                <c:pt idx="209">
                  <c:v>1298.196999999999</c:v>
                </c:pt>
                <c:pt idx="210">
                  <c:v>1311.886</c:v>
                </c:pt>
                <c:pt idx="211">
                  <c:v>1312.077</c:v>
                </c:pt>
                <c:pt idx="212">
                  <c:v>1316.857</c:v>
                </c:pt>
                <c:pt idx="213">
                  <c:v>1316.8969999999999</c:v>
                </c:pt>
                <c:pt idx="214">
                  <c:v>1327.0650000000001</c:v>
                </c:pt>
                <c:pt idx="215">
                  <c:v>1334.078</c:v>
                </c:pt>
                <c:pt idx="216">
                  <c:v>1343.328</c:v>
                </c:pt>
                <c:pt idx="217">
                  <c:v>1353.5630000000001</c:v>
                </c:pt>
                <c:pt idx="218">
                  <c:v>1355.049999999999</c:v>
                </c:pt>
                <c:pt idx="219">
                  <c:v>1365.2909999999999</c:v>
                </c:pt>
                <c:pt idx="220">
                  <c:v>1371.1030000000001</c:v>
                </c:pt>
                <c:pt idx="221">
                  <c:v>1371.922</c:v>
                </c:pt>
                <c:pt idx="222">
                  <c:v>1380.578</c:v>
                </c:pt>
                <c:pt idx="223">
                  <c:v>1390.499</c:v>
                </c:pt>
                <c:pt idx="224">
                  <c:v>1396.672</c:v>
                </c:pt>
                <c:pt idx="225">
                  <c:v>1400.73</c:v>
                </c:pt>
                <c:pt idx="226">
                  <c:v>1409.2739999999999</c:v>
                </c:pt>
                <c:pt idx="227">
                  <c:v>1411.327</c:v>
                </c:pt>
                <c:pt idx="228">
                  <c:v>1418.57</c:v>
                </c:pt>
                <c:pt idx="229">
                  <c:v>1423.5709999999999</c:v>
                </c:pt>
                <c:pt idx="230">
                  <c:v>1426.067</c:v>
                </c:pt>
                <c:pt idx="231">
                  <c:v>1433.5509999999999</c:v>
                </c:pt>
                <c:pt idx="232">
                  <c:v>1445.6969999999999</c:v>
                </c:pt>
                <c:pt idx="233">
                  <c:v>1449.5250000000001</c:v>
                </c:pt>
                <c:pt idx="234">
                  <c:v>1454.1659999999999</c:v>
                </c:pt>
                <c:pt idx="235">
                  <c:v>1464.6569999999999</c:v>
                </c:pt>
                <c:pt idx="236">
                  <c:v>1466.481</c:v>
                </c:pt>
                <c:pt idx="237">
                  <c:v>1472.396</c:v>
                </c:pt>
                <c:pt idx="238">
                  <c:v>1476.029</c:v>
                </c:pt>
                <c:pt idx="239">
                  <c:v>1481.104</c:v>
                </c:pt>
                <c:pt idx="240">
                  <c:v>1486.4649999999999</c:v>
                </c:pt>
                <c:pt idx="241">
                  <c:v>1500.1189999999999</c:v>
                </c:pt>
                <c:pt idx="242">
                  <c:v>1502.5119999999999</c:v>
                </c:pt>
                <c:pt idx="243">
                  <c:v>1507.4490000000001</c:v>
                </c:pt>
                <c:pt idx="244">
                  <c:v>1521.09</c:v>
                </c:pt>
                <c:pt idx="245">
                  <c:v>1525.5940000000001</c:v>
                </c:pt>
                <c:pt idx="246">
                  <c:v>1527.826</c:v>
                </c:pt>
                <c:pt idx="247">
                  <c:v>1529.7850000000001</c:v>
                </c:pt>
                <c:pt idx="248">
                  <c:v>1535.702</c:v>
                </c:pt>
                <c:pt idx="249">
                  <c:v>1539.453</c:v>
                </c:pt>
                <c:pt idx="250">
                  <c:v>1554.7650000000001</c:v>
                </c:pt>
                <c:pt idx="251">
                  <c:v>1555.56</c:v>
                </c:pt>
                <c:pt idx="252">
                  <c:v>1560.393</c:v>
                </c:pt>
                <c:pt idx="253">
                  <c:v>1578.941</c:v>
                </c:pt>
                <c:pt idx="254">
                  <c:v>1581.6189999999999</c:v>
                </c:pt>
                <c:pt idx="255">
                  <c:v>1582.057</c:v>
                </c:pt>
                <c:pt idx="256">
                  <c:v>1582.367</c:v>
                </c:pt>
                <c:pt idx="257">
                  <c:v>1590.6369999999999</c:v>
                </c:pt>
                <c:pt idx="258">
                  <c:v>1593.943</c:v>
                </c:pt>
                <c:pt idx="259">
                  <c:v>1608.1479999999999</c:v>
                </c:pt>
                <c:pt idx="260">
                  <c:v>1609.2860000000001</c:v>
                </c:pt>
                <c:pt idx="261">
                  <c:v>1613.3009999999999</c:v>
                </c:pt>
                <c:pt idx="262">
                  <c:v>1634.2470000000001</c:v>
                </c:pt>
                <c:pt idx="263">
                  <c:v>1634.453</c:v>
                </c:pt>
                <c:pt idx="264">
                  <c:v>1635.501</c:v>
                </c:pt>
                <c:pt idx="265">
                  <c:v>1637.64</c:v>
                </c:pt>
                <c:pt idx="266">
                  <c:v>1646.942</c:v>
                </c:pt>
                <c:pt idx="267">
                  <c:v>1648.1289999999999</c:v>
                </c:pt>
                <c:pt idx="268">
                  <c:v>1660.857</c:v>
                </c:pt>
                <c:pt idx="269">
                  <c:v>1663.2570000000001</c:v>
                </c:pt>
                <c:pt idx="270">
                  <c:v>1666.9079999999999</c:v>
                </c:pt>
                <c:pt idx="271">
                  <c:v>1686.402</c:v>
                </c:pt>
                <c:pt idx="272">
                  <c:v>1688.105</c:v>
                </c:pt>
                <c:pt idx="273">
                  <c:v>1692.096</c:v>
                </c:pt>
                <c:pt idx="274">
                  <c:v>1693.64</c:v>
                </c:pt>
                <c:pt idx="275">
                  <c:v>1700.982</c:v>
                </c:pt>
                <c:pt idx="276">
                  <c:v>1701.133</c:v>
                </c:pt>
                <c:pt idx="277">
                  <c:v>1713.537</c:v>
                </c:pt>
                <c:pt idx="278">
                  <c:v>1717.67</c:v>
                </c:pt>
                <c:pt idx="279">
                  <c:v>1720.1189999999999</c:v>
                </c:pt>
                <c:pt idx="280">
                  <c:v>1738.673</c:v>
                </c:pt>
                <c:pt idx="281">
                  <c:v>1741.722</c:v>
                </c:pt>
                <c:pt idx="282">
                  <c:v>1748.4749999999999</c:v>
                </c:pt>
                <c:pt idx="283">
                  <c:v>1748.867</c:v>
                </c:pt>
                <c:pt idx="284">
                  <c:v>1755.2349999999999</c:v>
                </c:pt>
                <c:pt idx="285">
                  <c:v>1755.2439999999999</c:v>
                </c:pt>
                <c:pt idx="286">
                  <c:v>1766.07</c:v>
                </c:pt>
                <c:pt idx="287">
                  <c:v>1771.6389999999999</c:v>
                </c:pt>
                <c:pt idx="288">
                  <c:v>1773.8879999999999</c:v>
                </c:pt>
                <c:pt idx="289">
                  <c:v>1791.0740000000001</c:v>
                </c:pt>
                <c:pt idx="290">
                  <c:v>1794.713</c:v>
                </c:pt>
                <c:pt idx="291">
                  <c:v>1805.02</c:v>
                </c:pt>
                <c:pt idx="292">
                  <c:v>1805.8710000000001</c:v>
                </c:pt>
                <c:pt idx="293">
                  <c:v>1808.5830000000001</c:v>
                </c:pt>
                <c:pt idx="294">
                  <c:v>1809.4469999999999</c:v>
                </c:pt>
                <c:pt idx="295">
                  <c:v>1819.8219999999999</c:v>
                </c:pt>
                <c:pt idx="296">
                  <c:v>1826.442</c:v>
                </c:pt>
                <c:pt idx="297">
                  <c:v>1828.6089999999999</c:v>
                </c:pt>
              </c:numCache>
            </c:numRef>
          </c:xVal>
          <c:yVal>
            <c:numRef>
              <c:f>intermediate_data!$L$2:$L$299</c:f>
              <c:numCache>
                <c:formatCode>General</c:formatCode>
                <c:ptCount val="298"/>
                <c:pt idx="0">
                  <c:v>-1.3393853709353643E-3</c:v>
                </c:pt>
                <c:pt idx="1">
                  <c:v>-1.3382899628253675E-3</c:v>
                </c:pt>
                <c:pt idx="2">
                  <c:v>-1.2555607106035094E-3</c:v>
                </c:pt>
                <c:pt idx="3">
                  <c:v>-1.1545304206972418E-3</c:v>
                </c:pt>
                <c:pt idx="4">
                  <c:v>-1.1077611021708123E-3</c:v>
                </c:pt>
                <c:pt idx="5">
                  <c:v>-9.9281774268034084E-4</c:v>
                </c:pt>
                <c:pt idx="6">
                  <c:v>-9.8125919256397687E-4</c:v>
                </c:pt>
                <c:pt idx="7">
                  <c:v>-9.3941296019806053E-4</c:v>
                </c:pt>
                <c:pt idx="8">
                  <c:v>-8.0713177553293214E-4</c:v>
                </c:pt>
                <c:pt idx="9">
                  <c:v>4.3866171003719145E-3</c:v>
                </c:pt>
                <c:pt idx="10">
                  <c:v>4.4238663842390835E-3</c:v>
                </c:pt>
                <c:pt idx="11">
                  <c:v>4.3284202805984329E-3</c:v>
                </c:pt>
                <c:pt idx="12">
                  <c:v>4.2534606304589495E-3</c:v>
                </c:pt>
                <c:pt idx="13">
                  <c:v>4.2330213807675321E-3</c:v>
                </c:pt>
                <c:pt idx="14">
                  <c:v>4.185675959426316E-3</c:v>
                </c:pt>
                <c:pt idx="15">
                  <c:v>4.1464023895803059E-3</c:v>
                </c:pt>
                <c:pt idx="16">
                  <c:v>4.1277096808549629E-3</c:v>
                </c:pt>
                <c:pt idx="17">
                  <c:v>4.0508146745095175E-3</c:v>
                </c:pt>
                <c:pt idx="18">
                  <c:v>1.9168248360363904E-3</c:v>
                </c:pt>
                <c:pt idx="19">
                  <c:v>1.9078615116998598E-3</c:v>
                </c:pt>
                <c:pt idx="20">
                  <c:v>2.0708006189145145E-3</c:v>
                </c:pt>
                <c:pt idx="21">
                  <c:v>2.2051345094404873E-3</c:v>
                </c:pt>
                <c:pt idx="22">
                  <c:v>2.2331602466008071E-3</c:v>
                </c:pt>
                <c:pt idx="23">
                  <c:v>2.284575884700768E-3</c:v>
                </c:pt>
                <c:pt idx="24">
                  <c:v>2.3557465067010064E-3</c:v>
                </c:pt>
                <c:pt idx="25">
                  <c:v>2.4132730198203056E-3</c:v>
                </c:pt>
                <c:pt idx="26">
                  <c:v>2.4725906514801999E-3</c:v>
                </c:pt>
                <c:pt idx="27">
                  <c:v>4.718916700861886E-3</c:v>
                </c:pt>
                <c:pt idx="28">
                  <c:v>4.7605607300784669E-3</c:v>
                </c:pt>
                <c:pt idx="29">
                  <c:v>4.5634098454057082E-3</c:v>
                </c:pt>
                <c:pt idx="30">
                  <c:v>4.3440983559328572E-3</c:v>
                </c:pt>
                <c:pt idx="31">
                  <c:v>4.2361333385372291E-3</c:v>
                </c:pt>
                <c:pt idx="32">
                  <c:v>4.2149992467646058E-3</c:v>
                </c:pt>
                <c:pt idx="33">
                  <c:v>4.1276852561873412E-3</c:v>
                </c:pt>
                <c:pt idx="34">
                  <c:v>3.9800485293799426E-3</c:v>
                </c:pt>
                <c:pt idx="35">
                  <c:v>3.9709910614780242E-3</c:v>
                </c:pt>
                <c:pt idx="36">
                  <c:v>1.5667767815017442E-3</c:v>
                </c:pt>
                <c:pt idx="37">
                  <c:v>1.5738475832911547E-3</c:v>
                </c:pt>
                <c:pt idx="38">
                  <c:v>2.1832746207222087E-3</c:v>
                </c:pt>
                <c:pt idx="39">
                  <c:v>2.8336207324244356E-3</c:v>
                </c:pt>
                <c:pt idx="40">
                  <c:v>3.0965714846153958E-3</c:v>
                </c:pt>
                <c:pt idx="41">
                  <c:v>3.1888151709456025E-3</c:v>
                </c:pt>
                <c:pt idx="42">
                  <c:v>3.4222366942815441E-3</c:v>
                </c:pt>
                <c:pt idx="43">
                  <c:v>3.9208588158148316E-3</c:v>
                </c:pt>
                <c:pt idx="44">
                  <c:v>3.9759800430125836E-3</c:v>
                </c:pt>
                <c:pt idx="45">
                  <c:v>8.9778095650370204E-3</c:v>
                </c:pt>
                <c:pt idx="46">
                  <c:v>9.0693031657007595E-3</c:v>
                </c:pt>
                <c:pt idx="47">
                  <c:v>9.4707472546593507E-3</c:v>
                </c:pt>
                <c:pt idx="48">
                  <c:v>9.8954091920475662E-3</c:v>
                </c:pt>
                <c:pt idx="49">
                  <c:v>1.0034566490048746E-2</c:v>
                </c:pt>
                <c:pt idx="50">
                  <c:v>1.0073961936091891E-2</c:v>
                </c:pt>
                <c:pt idx="51">
                  <c:v>1.020944931611556E-2</c:v>
                </c:pt>
                <c:pt idx="52">
                  <c:v>1.0598385725436366E-2</c:v>
                </c:pt>
                <c:pt idx="53">
                  <c:v>1.0617783863317243E-2</c:v>
                </c:pt>
                <c:pt idx="54">
                  <c:v>1.2972747760544578E-2</c:v>
                </c:pt>
                <c:pt idx="55">
                  <c:v>1.3037437429817444E-2</c:v>
                </c:pt>
                <c:pt idx="56">
                  <c:v>1.4268781314833667E-2</c:v>
                </c:pt>
                <c:pt idx="57">
                  <c:v>1.5474367128528677E-2</c:v>
                </c:pt>
                <c:pt idx="58">
                  <c:v>1.5734469610969803E-2</c:v>
                </c:pt>
                <c:pt idx="59">
                  <c:v>1.5754283511985712E-2</c:v>
                </c:pt>
                <c:pt idx="60">
                  <c:v>1.6339333971104431E-2</c:v>
                </c:pt>
                <c:pt idx="61">
                  <c:v>1.7382445796459756E-2</c:v>
                </c:pt>
                <c:pt idx="62">
                  <c:v>1.7429278653409597E-2</c:v>
                </c:pt>
                <c:pt idx="63">
                  <c:v>2.2378070621949853E-2</c:v>
                </c:pt>
                <c:pt idx="64">
                  <c:v>2.2570830956456511E-2</c:v>
                </c:pt>
                <c:pt idx="65">
                  <c:v>2.3813784035075614E-2</c:v>
                </c:pt>
                <c:pt idx="66">
                  <c:v>2.5073272383060896E-2</c:v>
                </c:pt>
                <c:pt idx="67">
                  <c:v>2.5162500440412572E-2</c:v>
                </c:pt>
                <c:pt idx="68">
                  <c:v>2.5291974719435117E-2</c:v>
                </c:pt>
                <c:pt idx="69">
                  <c:v>2.5837794601725861E-2</c:v>
                </c:pt>
                <c:pt idx="70">
                  <c:v>2.6869689006225883E-2</c:v>
                </c:pt>
                <c:pt idx="71">
                  <c:v>2.6990427671242045E-2</c:v>
                </c:pt>
                <c:pt idx="72">
                  <c:v>3.0589344648751293E-2</c:v>
                </c:pt>
                <c:pt idx="73">
                  <c:v>3.0611282012570129E-2</c:v>
                </c:pt>
                <c:pt idx="74">
                  <c:v>3.0794999535730838E-2</c:v>
                </c:pt>
                <c:pt idx="75">
                  <c:v>3.0988353819903836E-2</c:v>
                </c:pt>
                <c:pt idx="76">
                  <c:v>3.0991696764839816E-2</c:v>
                </c:pt>
                <c:pt idx="77">
                  <c:v>3.1016335507134229E-2</c:v>
                </c:pt>
                <c:pt idx="78">
                  <c:v>3.1092026383799265E-2</c:v>
                </c:pt>
                <c:pt idx="79">
                  <c:v>3.1242376364001956E-2</c:v>
                </c:pt>
                <c:pt idx="80">
                  <c:v>3.1276775680087354E-2</c:v>
                </c:pt>
                <c:pt idx="81">
                  <c:v>3.1671222546895805E-2</c:v>
                </c:pt>
                <c:pt idx="82">
                  <c:v>3.1698113207548673E-2</c:v>
                </c:pt>
                <c:pt idx="83">
                  <c:v>3.2044138138818568E-2</c:v>
                </c:pt>
                <c:pt idx="84">
                  <c:v>3.2436334877415263E-2</c:v>
                </c:pt>
                <c:pt idx="85">
                  <c:v>3.2465710089256916E-2</c:v>
                </c:pt>
                <c:pt idx="86">
                  <c:v>3.2490904982489965E-2</c:v>
                </c:pt>
                <c:pt idx="87">
                  <c:v>3.2671524874780644E-2</c:v>
                </c:pt>
                <c:pt idx="88">
                  <c:v>3.2974955748882095E-2</c:v>
                </c:pt>
                <c:pt idx="89">
                  <c:v>3.3096900538547303E-2</c:v>
                </c:pt>
                <c:pt idx="90">
                  <c:v>3.363085150454026E-2</c:v>
                </c:pt>
                <c:pt idx="91">
                  <c:v>3.3960183301326552E-2</c:v>
                </c:pt>
                <c:pt idx="92">
                  <c:v>3.546644256808662E-2</c:v>
                </c:pt>
                <c:pt idx="93">
                  <c:v>3.7364999676631427E-2</c:v>
                </c:pt>
                <c:pt idx="94">
                  <c:v>3.7421606942798391E-2</c:v>
                </c:pt>
                <c:pt idx="95">
                  <c:v>3.758542014879751E-2</c:v>
                </c:pt>
                <c:pt idx="96">
                  <c:v>3.8324160784354078E-2</c:v>
                </c:pt>
                <c:pt idx="97">
                  <c:v>3.9692380544513739E-2</c:v>
                </c:pt>
                <c:pt idx="98">
                  <c:v>4.0219239234083659E-2</c:v>
                </c:pt>
                <c:pt idx="99">
                  <c:v>4.1993513350430334E-2</c:v>
                </c:pt>
                <c:pt idx="100">
                  <c:v>4.2367399741269907E-2</c:v>
                </c:pt>
                <c:pt idx="101">
                  <c:v>4.3896145881818782E-2</c:v>
                </c:pt>
                <c:pt idx="102">
                  <c:v>4.5983309451093746E-2</c:v>
                </c:pt>
                <c:pt idx="103">
                  <c:v>4.6003387381116312E-2</c:v>
                </c:pt>
                <c:pt idx="104">
                  <c:v>4.6218127117048979E-2</c:v>
                </c:pt>
                <c:pt idx="105">
                  <c:v>4.7113791026605512E-2</c:v>
                </c:pt>
                <c:pt idx="106">
                  <c:v>4.8435012937321886E-2</c:v>
                </c:pt>
                <c:pt idx="107">
                  <c:v>4.8955627388430401E-2</c:v>
                </c:pt>
                <c:pt idx="108">
                  <c:v>5.0263202581085409E-2</c:v>
                </c:pt>
                <c:pt idx="109">
                  <c:v>5.0354408846047249E-2</c:v>
                </c:pt>
                <c:pt idx="110">
                  <c:v>4.9930314744740301E-2</c:v>
                </c:pt>
                <c:pt idx="111">
                  <c:v>4.931481421931494E-2</c:v>
                </c:pt>
                <c:pt idx="112">
                  <c:v>4.9309490332021255E-2</c:v>
                </c:pt>
                <c:pt idx="113">
                  <c:v>4.9247631832040284E-2</c:v>
                </c:pt>
                <c:pt idx="114">
                  <c:v>4.8978268486836285E-2</c:v>
                </c:pt>
                <c:pt idx="115">
                  <c:v>4.8572892497205089E-2</c:v>
                </c:pt>
                <c:pt idx="116">
                  <c:v>4.8425091245199781E-2</c:v>
                </c:pt>
                <c:pt idx="117">
                  <c:v>4.8231572167392045E-2</c:v>
                </c:pt>
                <c:pt idx="118">
                  <c:v>4.8663939753051721E-2</c:v>
                </c:pt>
                <c:pt idx="119">
                  <c:v>5.3570879942162364E-2</c:v>
                </c:pt>
                <c:pt idx="120">
                  <c:v>6.137402710188411E-2</c:v>
                </c:pt>
                <c:pt idx="121">
                  <c:v>6.1425547325633545E-2</c:v>
                </c:pt>
                <c:pt idx="122">
                  <c:v>6.2087124778269498E-2</c:v>
                </c:pt>
                <c:pt idx="123">
                  <c:v>6.5480237084489801E-2</c:v>
                </c:pt>
                <c:pt idx="124">
                  <c:v>7.0368398874288474E-2</c:v>
                </c:pt>
                <c:pt idx="125">
                  <c:v>7.2629029252844646E-2</c:v>
                </c:pt>
                <c:pt idx="126">
                  <c:v>7.2799236466877915E-2</c:v>
                </c:pt>
                <c:pt idx="127">
                  <c:v>7.4034681202638453E-2</c:v>
                </c:pt>
                <c:pt idx="128">
                  <c:v>7.5780587940824873E-2</c:v>
                </c:pt>
                <c:pt idx="129">
                  <c:v>7.8800019967541601E-2</c:v>
                </c:pt>
                <c:pt idx="130">
                  <c:v>7.8928367706131652E-2</c:v>
                </c:pt>
                <c:pt idx="131">
                  <c:v>7.8943982203741214E-2</c:v>
                </c:pt>
                <c:pt idx="132">
                  <c:v>8.0281509773683979E-2</c:v>
                </c:pt>
                <c:pt idx="133">
                  <c:v>8.2226286871531329E-2</c:v>
                </c:pt>
                <c:pt idx="134">
                  <c:v>8.2400105399864643E-2</c:v>
                </c:pt>
                <c:pt idx="135">
                  <c:v>8.3267895079488952E-2</c:v>
                </c:pt>
                <c:pt idx="136">
                  <c:v>8.3465197414831493E-2</c:v>
                </c:pt>
                <c:pt idx="137">
                  <c:v>8.4985882003962843E-2</c:v>
                </c:pt>
                <c:pt idx="138">
                  <c:v>8.7416726950078072E-2</c:v>
                </c:pt>
                <c:pt idx="139">
                  <c:v>8.7531747214971034E-2</c:v>
                </c:pt>
                <c:pt idx="140">
                  <c:v>8.7538137229689283E-2</c:v>
                </c:pt>
                <c:pt idx="141">
                  <c:v>8.8754045899520406E-2</c:v>
                </c:pt>
                <c:pt idx="142">
                  <c:v>9.0143457360237988E-2</c:v>
                </c:pt>
                <c:pt idx="143">
                  <c:v>9.0374760376047192E-2</c:v>
                </c:pt>
                <c:pt idx="144">
                  <c:v>9.0516913721021552E-2</c:v>
                </c:pt>
                <c:pt idx="145">
                  <c:v>9.0546312645269467E-2</c:v>
                </c:pt>
                <c:pt idx="146">
                  <c:v>9.075965289270016E-2</c:v>
                </c:pt>
                <c:pt idx="147">
                  <c:v>9.1167584971806548E-2</c:v>
                </c:pt>
                <c:pt idx="148">
                  <c:v>9.1180678055586384E-2</c:v>
                </c:pt>
                <c:pt idx="149">
                  <c:v>9.1184550967760458E-2</c:v>
                </c:pt>
                <c:pt idx="150">
                  <c:v>9.1408475708131931E-2</c:v>
                </c:pt>
                <c:pt idx="151">
                  <c:v>9.1570015755209511E-2</c:v>
                </c:pt>
                <c:pt idx="152">
                  <c:v>9.1854221409807479E-2</c:v>
                </c:pt>
                <c:pt idx="153">
                  <c:v>9.2620379019258792E-2</c:v>
                </c:pt>
                <c:pt idx="154">
                  <c:v>9.3047950502299415E-2</c:v>
                </c:pt>
                <c:pt idx="155">
                  <c:v>9.5545535954869365E-2</c:v>
                </c:pt>
                <c:pt idx="156">
                  <c:v>0.10158170931206811</c:v>
                </c:pt>
                <c:pt idx="157">
                  <c:v>0.10185844746013117</c:v>
                </c:pt>
                <c:pt idx="158">
                  <c:v>0.10186160296923319</c:v>
                </c:pt>
                <c:pt idx="159">
                  <c:v>0.10558163264710529</c:v>
                </c:pt>
                <c:pt idx="160">
                  <c:v>0.10690410651087134</c:v>
                </c:pt>
                <c:pt idx="161">
                  <c:v>0.10915035178954113</c:v>
                </c:pt>
                <c:pt idx="162">
                  <c:v>0.11020081475187382</c:v>
                </c:pt>
                <c:pt idx="163">
                  <c:v>0.11060432986104729</c:v>
                </c:pt>
                <c:pt idx="164">
                  <c:v>0.11179729508387481</c:v>
                </c:pt>
                <c:pt idx="165">
                  <c:v>0.11572241540265793</c:v>
                </c:pt>
                <c:pt idx="166">
                  <c:v>0.11576957144821876</c:v>
                </c:pt>
                <c:pt idx="167">
                  <c:v>0.1158822909430981</c:v>
                </c:pt>
                <c:pt idx="168">
                  <c:v>0.11857411521062033</c:v>
                </c:pt>
                <c:pt idx="169">
                  <c:v>0.11878735153945286</c:v>
                </c:pt>
                <c:pt idx="170">
                  <c:v>0.12015533534836109</c:v>
                </c:pt>
                <c:pt idx="171">
                  <c:v>0.12226290140133855</c:v>
                </c:pt>
                <c:pt idx="172">
                  <c:v>0.12268871988570851</c:v>
                </c:pt>
                <c:pt idx="173">
                  <c:v>0.12358789425239536</c:v>
                </c:pt>
                <c:pt idx="174">
                  <c:v>0.12747744002906813</c:v>
                </c:pt>
                <c:pt idx="175">
                  <c:v>0.12755973354342842</c:v>
                </c:pt>
                <c:pt idx="176">
                  <c:v>0.12797097688220305</c:v>
                </c:pt>
                <c:pt idx="177">
                  <c:v>0.13046848413809187</c:v>
                </c:pt>
                <c:pt idx="178">
                  <c:v>0.13116138453195703</c:v>
                </c:pt>
                <c:pt idx="179">
                  <c:v>0.13195533289992412</c:v>
                </c:pt>
                <c:pt idx="180">
                  <c:v>0.13418349498058646</c:v>
                </c:pt>
                <c:pt idx="181">
                  <c:v>0.13447829164054426</c:v>
                </c:pt>
                <c:pt idx="182">
                  <c:v>0.13483137509258114</c:v>
                </c:pt>
                <c:pt idx="183">
                  <c:v>0.13835118743112318</c:v>
                </c:pt>
                <c:pt idx="184">
                  <c:v>0.13838855075938383</c:v>
                </c:pt>
                <c:pt idx="185">
                  <c:v>0.13880963546884928</c:v>
                </c:pt>
                <c:pt idx="186">
                  <c:v>0.14043624796455845</c:v>
                </c:pt>
                <c:pt idx="187">
                  <c:v>0.14255906834024046</c:v>
                </c:pt>
                <c:pt idx="188">
                  <c:v>0.14292321032855426</c:v>
                </c:pt>
                <c:pt idx="189">
                  <c:v>0.14796779279538086</c:v>
                </c:pt>
                <c:pt idx="190">
                  <c:v>0.14819420970210828</c:v>
                </c:pt>
                <c:pt idx="191">
                  <c:v>0.14850781607216135</c:v>
                </c:pt>
                <c:pt idx="192">
                  <c:v>0.15505701987046194</c:v>
                </c:pt>
                <c:pt idx="193">
                  <c:v>0.15517970543940507</c:v>
                </c:pt>
                <c:pt idx="194">
                  <c:v>0.15614499273886651</c:v>
                </c:pt>
                <c:pt idx="195">
                  <c:v>0.15825132475398007</c:v>
                </c:pt>
                <c:pt idx="196">
                  <c:v>0.1611423726200627</c:v>
                </c:pt>
                <c:pt idx="197">
                  <c:v>0.16159572678921208</c:v>
                </c:pt>
                <c:pt idx="198">
                  <c:v>0.16619621112847938</c:v>
                </c:pt>
                <c:pt idx="199">
                  <c:v>0.16712843720875625</c:v>
                </c:pt>
                <c:pt idx="200">
                  <c:v>0.16820415916274456</c:v>
                </c:pt>
                <c:pt idx="201">
                  <c:v>0.17333090550538088</c:v>
                </c:pt>
                <c:pt idx="202">
                  <c:v>0.17346247100622136</c:v>
                </c:pt>
                <c:pt idx="203">
                  <c:v>0.17481955092044998</c:v>
                </c:pt>
                <c:pt idx="204">
                  <c:v>0.17556818181818556</c:v>
                </c:pt>
                <c:pt idx="205">
                  <c:v>0.17840303304401672</c:v>
                </c:pt>
                <c:pt idx="206">
                  <c:v>0.17980793250864835</c:v>
                </c:pt>
                <c:pt idx="207">
                  <c:v>0.18350310908515866</c:v>
                </c:pt>
                <c:pt idx="208">
                  <c:v>0.18521762916720164</c:v>
                </c:pt>
                <c:pt idx="209">
                  <c:v>0.1862468643346844</c:v>
                </c:pt>
                <c:pt idx="210">
                  <c:v>0.19072246795845516</c:v>
                </c:pt>
                <c:pt idx="211">
                  <c:v>0.19078491520019369</c:v>
                </c:pt>
                <c:pt idx="212">
                  <c:v>0.19234773098817115</c:v>
                </c:pt>
                <c:pt idx="213">
                  <c:v>0.19236080894455299</c:v>
                </c:pt>
                <c:pt idx="214">
                  <c:v>0.18758071062244142</c:v>
                </c:pt>
                <c:pt idx="215">
                  <c:v>0.18590526470321578</c:v>
                </c:pt>
                <c:pt idx="216">
                  <c:v>0.18369538665490026</c:v>
                </c:pt>
                <c:pt idx="217">
                  <c:v>0.18125018645765678</c:v>
                </c:pt>
                <c:pt idx="218">
                  <c:v>0.18089493362978004</c:v>
                </c:pt>
                <c:pt idx="219">
                  <c:v>0.17844829999812362</c:v>
                </c:pt>
                <c:pt idx="220">
                  <c:v>0.17705977986657828</c:v>
                </c:pt>
                <c:pt idx="221">
                  <c:v>0.17736460191948922</c:v>
                </c:pt>
                <c:pt idx="222">
                  <c:v>0.18058626210261863</c:v>
                </c:pt>
                <c:pt idx="223">
                  <c:v>0.18238885538806571</c:v>
                </c:pt>
                <c:pt idx="224">
                  <c:v>0.18351045687491663</c:v>
                </c:pt>
                <c:pt idx="225">
                  <c:v>0.18424777403571824</c:v>
                </c:pt>
                <c:pt idx="226">
                  <c:v>0.18580017369611923</c:v>
                </c:pt>
                <c:pt idx="227">
                  <c:v>0.18617319294972745</c:v>
                </c:pt>
                <c:pt idx="228">
                  <c:v>0.18748920778356393</c:v>
                </c:pt>
                <c:pt idx="229">
                  <c:v>0.18839786306231687</c:v>
                </c:pt>
                <c:pt idx="230">
                  <c:v>0.18886044163571114</c:v>
                </c:pt>
                <c:pt idx="231">
                  <c:v>0.1902474360440749</c:v>
                </c:pt>
                <c:pt idx="232">
                  <c:v>0.19224277093908881</c:v>
                </c:pt>
                <c:pt idx="233">
                  <c:v>0.19287163163216547</c:v>
                </c:pt>
                <c:pt idx="234">
                  <c:v>0.19363405129689326</c:v>
                </c:pt>
                <c:pt idx="235">
                  <c:v>0.19535750415244735</c:v>
                </c:pt>
                <c:pt idx="236">
                  <c:v>0.19565714937297685</c:v>
                </c:pt>
                <c:pt idx="237">
                  <c:v>0.19662886071036922</c:v>
                </c:pt>
                <c:pt idx="238">
                  <c:v>0.1972256869637512</c:v>
                </c:pt>
                <c:pt idx="239">
                  <c:v>0.19572340795184218</c:v>
                </c:pt>
                <c:pt idx="240">
                  <c:v>0.19413646848723687</c:v>
                </c:pt>
                <c:pt idx="241">
                  <c:v>0.19045503765162763</c:v>
                </c:pt>
                <c:pt idx="242">
                  <c:v>0.18980983009416263</c:v>
                </c:pt>
                <c:pt idx="243">
                  <c:v>0.18847870192399796</c:v>
                </c:pt>
                <c:pt idx="244">
                  <c:v>0.18480077618585611</c:v>
                </c:pt>
                <c:pt idx="245">
                  <c:v>0.18358639472375415</c:v>
                </c:pt>
                <c:pt idx="246">
                  <c:v>0.18298459645034626</c:v>
                </c:pt>
                <c:pt idx="247">
                  <c:v>0.18245640522382089</c:v>
                </c:pt>
                <c:pt idx="248">
                  <c:v>0.18331861506268865</c:v>
                </c:pt>
                <c:pt idx="249">
                  <c:v>0.18386520101935844</c:v>
                </c:pt>
                <c:pt idx="250">
                  <c:v>0.19406182448053855</c:v>
                </c:pt>
                <c:pt idx="251">
                  <c:v>0.19459123380993049</c:v>
                </c:pt>
                <c:pt idx="252">
                  <c:v>0.19780964297841663</c:v>
                </c:pt>
                <c:pt idx="253">
                  <c:v>0.21016119548350787</c:v>
                </c:pt>
                <c:pt idx="254">
                  <c:v>0.21194453911131816</c:v>
                </c:pt>
                <c:pt idx="255">
                  <c:v>0.21223621368524803</c:v>
                </c:pt>
                <c:pt idx="256">
                  <c:v>0.21244265002752272</c:v>
                </c:pt>
                <c:pt idx="257">
                  <c:v>0.22007800515978104</c:v>
                </c:pt>
                <c:pt idx="258">
                  <c:v>0.22313030069390649</c:v>
                </c:pt>
                <c:pt idx="259">
                  <c:v>0.23478264961935125</c:v>
                </c:pt>
                <c:pt idx="260">
                  <c:v>0.23571615001197443</c:v>
                </c:pt>
                <c:pt idx="261">
                  <c:v>0.23900965095781501</c:v>
                </c:pt>
                <c:pt idx="262">
                  <c:v>0.25619163621599128</c:v>
                </c:pt>
                <c:pt idx="263">
                  <c:v>0.25633968133770324</c:v>
                </c:pt>
                <c:pt idx="264">
                  <c:v>0.25709284292778634</c:v>
                </c:pt>
                <c:pt idx="265">
                  <c:v>0.25863006873043659</c:v>
                </c:pt>
                <c:pt idx="266">
                  <c:v>0.26531509650803287</c:v>
                </c:pt>
                <c:pt idx="267">
                  <c:v>0.26616815262198656</c:v>
                </c:pt>
                <c:pt idx="268">
                  <c:v>0.26939107611436341</c:v>
                </c:pt>
                <c:pt idx="269">
                  <c:v>0.26999879267484062</c:v>
                </c:pt>
                <c:pt idx="270">
                  <c:v>0.27092328149246114</c:v>
                </c:pt>
                <c:pt idx="271">
                  <c:v>0.27585945925490662</c:v>
                </c:pt>
                <c:pt idx="272">
                  <c:v>0.2762182218695699</c:v>
                </c:pt>
                <c:pt idx="273">
                  <c:v>0.27705898616500946</c:v>
                </c:pt>
                <c:pt idx="274">
                  <c:v>0.27738425303350667</c:v>
                </c:pt>
                <c:pt idx="275">
                  <c:v>0.27893095597940487</c:v>
                </c:pt>
                <c:pt idx="276">
                  <c:v>0.2790369524980747</c:v>
                </c:pt>
                <c:pt idx="277">
                  <c:v>0.28774411022997981</c:v>
                </c:pt>
                <c:pt idx="278">
                  <c:v>0.2906453262011226</c:v>
                </c:pt>
                <c:pt idx="279">
                  <c:v>0.29236443530184886</c:v>
                </c:pt>
                <c:pt idx="280">
                  <c:v>0.30538866978732671</c:v>
                </c:pt>
                <c:pt idx="281">
                  <c:v>0.30738424649165097</c:v>
                </c:pt>
                <c:pt idx="282">
                  <c:v>0.31180409873314119</c:v>
                </c:pt>
                <c:pt idx="283">
                  <c:v>0.31206066353080786</c:v>
                </c:pt>
                <c:pt idx="284">
                  <c:v>0.31622853248887139</c:v>
                </c:pt>
                <c:pt idx="285">
                  <c:v>0.31623442300718807</c:v>
                </c:pt>
                <c:pt idx="286">
                  <c:v>0.31986759884176053</c:v>
                </c:pt>
                <c:pt idx="287">
                  <c:v>0.32173653993013573</c:v>
                </c:pt>
                <c:pt idx="288">
                  <c:v>0.32249129814665167</c:v>
                </c:pt>
                <c:pt idx="289">
                  <c:v>0.3282588724947928</c:v>
                </c:pt>
                <c:pt idx="290">
                  <c:v>0.329114094152267</c:v>
                </c:pt>
                <c:pt idx="291">
                  <c:v>0.33153639962728221</c:v>
                </c:pt>
                <c:pt idx="292">
                  <c:v>0.33173639787694498</c:v>
                </c:pt>
                <c:pt idx="293">
                  <c:v>0.33237376010147557</c:v>
                </c:pt>
                <c:pt idx="294">
                  <c:v>0.33253254237949648</c:v>
                </c:pt>
                <c:pt idx="295">
                  <c:v>0.33443921614622241</c:v>
                </c:pt>
                <c:pt idx="296">
                  <c:v>0.33565581184123516</c:v>
                </c:pt>
                <c:pt idx="297">
                  <c:v>0.33605405396677668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96-4B8B-94C9-747D2D4C113F}"/>
            </c:ext>
          </c:extLst>
        </c:ser>
        <c:ser>
          <c:idx val="2"/>
          <c:order val="2"/>
          <c:tx>
            <c:strRef>
              <c:f>race_data!$K$1</c:f>
              <c:strCache>
                <c:ptCount val="1"/>
                <c:pt idx="0">
                  <c:v>LodeH</c:v>
                </c:pt>
              </c:strCache>
            </c:strRef>
          </c:tx>
          <c:marker>
            <c:symbol val="none"/>
          </c:marker>
          <c:xVal>
            <c:numRef>
              <c:f>intermediate_data!$A$2:$A$299</c:f>
              <c:numCache>
                <c:formatCode>General</c:formatCode>
                <c:ptCount val="298"/>
                <c:pt idx="0">
                  <c:v>53.683999999999997</c:v>
                </c:pt>
                <c:pt idx="1">
                  <c:v>53.756</c:v>
                </c:pt>
                <c:pt idx="2">
                  <c:v>54.529000000000003</c:v>
                </c:pt>
                <c:pt idx="3">
                  <c:v>55.472999999999999</c:v>
                </c:pt>
                <c:pt idx="4">
                  <c:v>55.91</c:v>
                </c:pt>
                <c:pt idx="5">
                  <c:v>56.984000000000002</c:v>
                </c:pt>
                <c:pt idx="6">
                  <c:v>57.091999999999999</c:v>
                </c:pt>
                <c:pt idx="7">
                  <c:v>57.482999999999997</c:v>
                </c:pt>
                <c:pt idx="8">
                  <c:v>58.719000000000001</c:v>
                </c:pt>
                <c:pt idx="9">
                  <c:v>107.248</c:v>
                </c:pt>
                <c:pt idx="10">
                  <c:v>107.48399999999999</c:v>
                </c:pt>
                <c:pt idx="11">
                  <c:v>109.506</c:v>
                </c:pt>
                <c:pt idx="12">
                  <c:v>111.09399999999999</c:v>
                </c:pt>
                <c:pt idx="13">
                  <c:v>111.527</c:v>
                </c:pt>
                <c:pt idx="14">
                  <c:v>112.53</c:v>
                </c:pt>
                <c:pt idx="15">
                  <c:v>113.36199999999999</c:v>
                </c:pt>
                <c:pt idx="16">
                  <c:v>113.758</c:v>
                </c:pt>
                <c:pt idx="17">
                  <c:v>115.387</c:v>
                </c:pt>
                <c:pt idx="18">
                  <c:v>160.595</c:v>
                </c:pt>
                <c:pt idx="19">
                  <c:v>160.697</c:v>
                </c:pt>
                <c:pt idx="20">
                  <c:v>163.79</c:v>
                </c:pt>
                <c:pt idx="21">
                  <c:v>166.34</c:v>
                </c:pt>
                <c:pt idx="22">
                  <c:v>166.87200000000001</c:v>
                </c:pt>
                <c:pt idx="23">
                  <c:v>167.84800000000001</c:v>
                </c:pt>
                <c:pt idx="24">
                  <c:v>169.19900000000001</c:v>
                </c:pt>
                <c:pt idx="25">
                  <c:v>170.291</c:v>
                </c:pt>
                <c:pt idx="26">
                  <c:v>171.417</c:v>
                </c:pt>
                <c:pt idx="27">
                  <c:v>214.05799999999999</c:v>
                </c:pt>
                <c:pt idx="28">
                  <c:v>214.31100000000001</c:v>
                </c:pt>
                <c:pt idx="29">
                  <c:v>217.57599999999999</c:v>
                </c:pt>
                <c:pt idx="30">
                  <c:v>221.208</c:v>
                </c:pt>
                <c:pt idx="31">
                  <c:v>222.99600000000001</c:v>
                </c:pt>
                <c:pt idx="32">
                  <c:v>223.346</c:v>
                </c:pt>
                <c:pt idx="33">
                  <c:v>224.792</c:v>
                </c:pt>
                <c:pt idx="34">
                  <c:v>227.23699999999999</c:v>
                </c:pt>
                <c:pt idx="35">
                  <c:v>227.387</c:v>
                </c:pt>
                <c:pt idx="36">
                  <c:v>267.20299999999997</c:v>
                </c:pt>
                <c:pt idx="37">
                  <c:v>267.286</c:v>
                </c:pt>
                <c:pt idx="38">
                  <c:v>271.62</c:v>
                </c:pt>
                <c:pt idx="39">
                  <c:v>276.245</c:v>
                </c:pt>
                <c:pt idx="40">
                  <c:v>278.11500000000001</c:v>
                </c:pt>
                <c:pt idx="41">
                  <c:v>278.77100000000002</c:v>
                </c:pt>
                <c:pt idx="42">
                  <c:v>280.43099999999998</c:v>
                </c:pt>
                <c:pt idx="43">
                  <c:v>283.97699999999998</c:v>
                </c:pt>
                <c:pt idx="44">
                  <c:v>284.36900000000003</c:v>
                </c:pt>
                <c:pt idx="45">
                  <c:v>319.94</c:v>
                </c:pt>
                <c:pt idx="46">
                  <c:v>320.41699999999997</c:v>
                </c:pt>
                <c:pt idx="47">
                  <c:v>325.77699999999999</c:v>
                </c:pt>
                <c:pt idx="48">
                  <c:v>331.447</c:v>
                </c:pt>
                <c:pt idx="49">
                  <c:v>333.30500000000001</c:v>
                </c:pt>
                <c:pt idx="50">
                  <c:v>333.83100000000002</c:v>
                </c:pt>
                <c:pt idx="51">
                  <c:v>335.64</c:v>
                </c:pt>
                <c:pt idx="52">
                  <c:v>340.83300000000003</c:v>
                </c:pt>
                <c:pt idx="53">
                  <c:v>341.09199999999998</c:v>
                </c:pt>
                <c:pt idx="54">
                  <c:v>372.53500000000003</c:v>
                </c:pt>
                <c:pt idx="55">
                  <c:v>373.22</c:v>
                </c:pt>
                <c:pt idx="56">
                  <c:v>380.05599999999998</c:v>
                </c:pt>
                <c:pt idx="57">
                  <c:v>386.74900000000002</c:v>
                </c:pt>
                <c:pt idx="58">
                  <c:v>388.19299999999998</c:v>
                </c:pt>
                <c:pt idx="59">
                  <c:v>388.30299999999988</c:v>
                </c:pt>
                <c:pt idx="60">
                  <c:v>391.55099999999999</c:v>
                </c:pt>
                <c:pt idx="61">
                  <c:v>397.34199999999998</c:v>
                </c:pt>
                <c:pt idx="62">
                  <c:v>397.60199999999998</c:v>
                </c:pt>
                <c:pt idx="63">
                  <c:v>425.07600000000002</c:v>
                </c:pt>
                <c:pt idx="64">
                  <c:v>426.26299999999998</c:v>
                </c:pt>
                <c:pt idx="65">
                  <c:v>434.23099999999999</c:v>
                </c:pt>
                <c:pt idx="66">
                  <c:v>442.30500000000001</c:v>
                </c:pt>
                <c:pt idx="67">
                  <c:v>442.87700000000001</c:v>
                </c:pt>
                <c:pt idx="68">
                  <c:v>443.70699999999999</c:v>
                </c:pt>
                <c:pt idx="69">
                  <c:v>447.20600000000002</c:v>
                </c:pt>
                <c:pt idx="70">
                  <c:v>453.82100000000003</c:v>
                </c:pt>
                <c:pt idx="71">
                  <c:v>454.59500000000003</c:v>
                </c:pt>
                <c:pt idx="72">
                  <c:v>477.66599999999988</c:v>
                </c:pt>
                <c:pt idx="73">
                  <c:v>479.28800000000001</c:v>
                </c:pt>
                <c:pt idx="74">
                  <c:v>488.19099999999997</c:v>
                </c:pt>
                <c:pt idx="75">
                  <c:v>497.56099999999998</c:v>
                </c:pt>
                <c:pt idx="76">
                  <c:v>497.72300000000001</c:v>
                </c:pt>
                <c:pt idx="77">
                  <c:v>498.91699999999997</c:v>
                </c:pt>
                <c:pt idx="78">
                  <c:v>502.58499999999998</c:v>
                </c:pt>
                <c:pt idx="79">
                  <c:v>509.87099999999998</c:v>
                </c:pt>
                <c:pt idx="80">
                  <c:v>511.53800000000001</c:v>
                </c:pt>
                <c:pt idx="81">
                  <c:v>530.65299999999991</c:v>
                </c:pt>
                <c:pt idx="82">
                  <c:v>532.33299999999997</c:v>
                </c:pt>
                <c:pt idx="83">
                  <c:v>541.52099999999996</c:v>
                </c:pt>
                <c:pt idx="84">
                  <c:v>551.93500000000006</c:v>
                </c:pt>
                <c:pt idx="85">
                  <c:v>552.71499999999992</c:v>
                </c:pt>
                <c:pt idx="86">
                  <c:v>553.38400000000001</c:v>
                </c:pt>
                <c:pt idx="87">
                  <c:v>558.18000000000006</c:v>
                </c:pt>
                <c:pt idx="88">
                  <c:v>566.23699999999997</c:v>
                </c:pt>
                <c:pt idx="89">
                  <c:v>569.47499999999991</c:v>
                </c:pt>
                <c:pt idx="90">
                  <c:v>583.65299999999991</c:v>
                </c:pt>
                <c:pt idx="91">
                  <c:v>585.43899999999996</c:v>
                </c:pt>
                <c:pt idx="92">
                  <c:v>594.96499999999992</c:v>
                </c:pt>
                <c:pt idx="93">
                  <c:v>606.97200000000009</c:v>
                </c:pt>
                <c:pt idx="94">
                  <c:v>607.32999999999993</c:v>
                </c:pt>
                <c:pt idx="95">
                  <c:v>608.36599999999999</c:v>
                </c:pt>
                <c:pt idx="96">
                  <c:v>613.03800000000001</c:v>
                </c:pt>
                <c:pt idx="97">
                  <c:v>621.69099999999992</c:v>
                </c:pt>
                <c:pt idx="98">
                  <c:v>625.02299999999991</c:v>
                </c:pt>
                <c:pt idx="99">
                  <c:v>636.24399999999991</c:v>
                </c:pt>
                <c:pt idx="100">
                  <c:v>638.471</c:v>
                </c:pt>
                <c:pt idx="101">
                  <c:v>648.21699999999987</c:v>
                </c:pt>
                <c:pt idx="102">
                  <c:v>661.52299999999991</c:v>
                </c:pt>
                <c:pt idx="103">
                  <c:v>661.65100000000007</c:v>
                </c:pt>
                <c:pt idx="104">
                  <c:v>663.02</c:v>
                </c:pt>
                <c:pt idx="105">
                  <c:v>668.73</c:v>
                </c:pt>
                <c:pt idx="106">
                  <c:v>677.15299999999991</c:v>
                </c:pt>
                <c:pt idx="107">
                  <c:v>680.47199999999987</c:v>
                </c:pt>
                <c:pt idx="108">
                  <c:v>688.80799999999988</c:v>
                </c:pt>
                <c:pt idx="109">
                  <c:v>691.47199999999998</c:v>
                </c:pt>
                <c:pt idx="110">
                  <c:v>701.5089999999999</c:v>
                </c:pt>
                <c:pt idx="111">
                  <c:v>716.07599999999991</c:v>
                </c:pt>
                <c:pt idx="112">
                  <c:v>716.20200000000011</c:v>
                </c:pt>
                <c:pt idx="113">
                  <c:v>717.66599999999994</c:v>
                </c:pt>
                <c:pt idx="114">
                  <c:v>724.04100000000005</c:v>
                </c:pt>
                <c:pt idx="115">
                  <c:v>733.63499999999988</c:v>
                </c:pt>
                <c:pt idx="116">
                  <c:v>737.13299999999981</c:v>
                </c:pt>
                <c:pt idx="117">
                  <c:v>741.71299999999985</c:v>
                </c:pt>
                <c:pt idx="118">
                  <c:v>744.25900000000001</c:v>
                </c:pt>
                <c:pt idx="119">
                  <c:v>754.44999999999993</c:v>
                </c:pt>
                <c:pt idx="120">
                  <c:v>770.65599999999995</c:v>
                </c:pt>
                <c:pt idx="121">
                  <c:v>770.76300000000015</c:v>
                </c:pt>
                <c:pt idx="122">
                  <c:v>772.13699999999994</c:v>
                </c:pt>
                <c:pt idx="123">
                  <c:v>779.18400000000008</c:v>
                </c:pt>
                <c:pt idx="124">
                  <c:v>789.3359999999999</c:v>
                </c:pt>
                <c:pt idx="125">
                  <c:v>794.03099999999984</c:v>
                </c:pt>
                <c:pt idx="126">
                  <c:v>794.50299999999982</c:v>
                </c:pt>
                <c:pt idx="127">
                  <c:v>797.92899999999997</c:v>
                </c:pt>
                <c:pt idx="128">
                  <c:v>808.10399999999993</c:v>
                </c:pt>
                <c:pt idx="129">
                  <c:v>825.70099999999991</c:v>
                </c:pt>
                <c:pt idx="130">
                  <c:v>826.44900000000018</c:v>
                </c:pt>
                <c:pt idx="131">
                  <c:v>826.54</c:v>
                </c:pt>
                <c:pt idx="132">
                  <c:v>834.33500000000004</c:v>
                </c:pt>
                <c:pt idx="133">
                  <c:v>845.66899999999987</c:v>
                </c:pt>
                <c:pt idx="134">
                  <c:v>846.68199999999979</c:v>
                </c:pt>
                <c:pt idx="135">
                  <c:v>850.2489999999998</c:v>
                </c:pt>
                <c:pt idx="136">
                  <c:v>851.06</c:v>
                </c:pt>
                <c:pt idx="137">
                  <c:v>862.00699999999995</c:v>
                </c:pt>
                <c:pt idx="138">
                  <c:v>879.50599999999986</c:v>
                </c:pt>
                <c:pt idx="139">
                  <c:v>880.33399999999995</c:v>
                </c:pt>
                <c:pt idx="140">
                  <c:v>880.38000000000022</c:v>
                </c:pt>
                <c:pt idx="141">
                  <c:v>889.13300000000004</c:v>
                </c:pt>
                <c:pt idx="142">
                  <c:v>899.13499999999976</c:v>
                </c:pt>
                <c:pt idx="143">
                  <c:v>902.08499999999981</c:v>
                </c:pt>
                <c:pt idx="144">
                  <c:v>903.89799999999991</c:v>
                </c:pt>
                <c:pt idx="145">
                  <c:v>905.23399999999981</c:v>
                </c:pt>
                <c:pt idx="146">
                  <c:v>914.92899999999997</c:v>
                </c:pt>
                <c:pt idx="147">
                  <c:v>933.46699999999987</c:v>
                </c:pt>
                <c:pt idx="148">
                  <c:v>934.0619999999999</c:v>
                </c:pt>
                <c:pt idx="149">
                  <c:v>934.23800000000017</c:v>
                </c:pt>
                <c:pt idx="150">
                  <c:v>944.41399999999999</c:v>
                </c:pt>
                <c:pt idx="151">
                  <c:v>951.75499999999977</c:v>
                </c:pt>
                <c:pt idx="152">
                  <c:v>956.57899999999995</c:v>
                </c:pt>
                <c:pt idx="153">
                  <c:v>959.00699999999983</c:v>
                </c:pt>
                <c:pt idx="154">
                  <c:v>960.36199999999985</c:v>
                </c:pt>
                <c:pt idx="155">
                  <c:v>968.27699999999993</c:v>
                </c:pt>
                <c:pt idx="156">
                  <c:v>987.40599999999984</c:v>
                </c:pt>
                <c:pt idx="157">
                  <c:v>988.2829999999999</c:v>
                </c:pt>
                <c:pt idx="158">
                  <c:v>988.29300000000012</c:v>
                </c:pt>
                <c:pt idx="159">
                  <c:v>1000.082</c:v>
                </c:pt>
                <c:pt idx="160">
                  <c:v>1004.273</c:v>
                </c:pt>
                <c:pt idx="161">
                  <c:v>1009.982</c:v>
                </c:pt>
                <c:pt idx="162">
                  <c:v>1015.061</c:v>
                </c:pt>
                <c:pt idx="163">
                  <c:v>1017.0119999999999</c:v>
                </c:pt>
                <c:pt idx="164">
                  <c:v>1022.78</c:v>
                </c:pt>
                <c:pt idx="165">
                  <c:v>1041.758</c:v>
                </c:pt>
                <c:pt idx="166">
                  <c:v>1041.9860000000001</c:v>
                </c:pt>
                <c:pt idx="167">
                  <c:v>1042.5309999999999</c:v>
                </c:pt>
                <c:pt idx="168">
                  <c:v>1055.546</c:v>
                </c:pt>
                <c:pt idx="169">
                  <c:v>1056.577</c:v>
                </c:pt>
                <c:pt idx="170">
                  <c:v>1062.8579999999999</c:v>
                </c:pt>
                <c:pt idx="171">
                  <c:v>1072.2570000000001</c:v>
                </c:pt>
                <c:pt idx="172">
                  <c:v>1074.1559999999999</c:v>
                </c:pt>
                <c:pt idx="173">
                  <c:v>1078.1659999999999</c:v>
                </c:pt>
                <c:pt idx="174">
                  <c:v>1095.5119999999999</c:v>
                </c:pt>
                <c:pt idx="175">
                  <c:v>1095.8789999999999</c:v>
                </c:pt>
                <c:pt idx="176">
                  <c:v>1097.713</c:v>
                </c:pt>
                <c:pt idx="177">
                  <c:v>1108.8510000000001</c:v>
                </c:pt>
                <c:pt idx="178">
                  <c:v>1112.067</c:v>
                </c:pt>
                <c:pt idx="179">
                  <c:v>1115.752</c:v>
                </c:pt>
                <c:pt idx="180">
                  <c:v>1127.6790000000001</c:v>
                </c:pt>
                <c:pt idx="181">
                  <c:v>1129.2570000000001</c:v>
                </c:pt>
                <c:pt idx="182">
                  <c:v>1131.1469999999999</c:v>
                </c:pt>
                <c:pt idx="183">
                  <c:v>1149.9880000000001</c:v>
                </c:pt>
                <c:pt idx="184">
                  <c:v>1150.1880000000001</c:v>
                </c:pt>
                <c:pt idx="185">
                  <c:v>1152.442</c:v>
                </c:pt>
                <c:pt idx="186">
                  <c:v>1161.1489999999999</c:v>
                </c:pt>
                <c:pt idx="187">
                  <c:v>1167.48</c:v>
                </c:pt>
                <c:pt idx="188">
                  <c:v>1168.566</c:v>
                </c:pt>
                <c:pt idx="189">
                  <c:v>1183.204</c:v>
                </c:pt>
                <c:pt idx="190">
                  <c:v>1183.8610000000001</c:v>
                </c:pt>
                <c:pt idx="191">
                  <c:v>1184.771</c:v>
                </c:pt>
                <c:pt idx="192">
                  <c:v>1203.7750000000001</c:v>
                </c:pt>
                <c:pt idx="193">
                  <c:v>1204.1310000000001</c:v>
                </c:pt>
                <c:pt idx="194">
                  <c:v>1206.932</c:v>
                </c:pt>
                <c:pt idx="195">
                  <c:v>1213.0440000000001</c:v>
                </c:pt>
                <c:pt idx="196">
                  <c:v>1221.4059999999999</c:v>
                </c:pt>
                <c:pt idx="197">
                  <c:v>1222.7739999999999</c:v>
                </c:pt>
                <c:pt idx="198">
                  <c:v>1236.6559999999999</c:v>
                </c:pt>
                <c:pt idx="199">
                  <c:v>1239.4690000000001</c:v>
                </c:pt>
                <c:pt idx="200">
                  <c:v>1242.714999999999</c:v>
                </c:pt>
                <c:pt idx="201">
                  <c:v>1258.1849999999999</c:v>
                </c:pt>
                <c:pt idx="202">
                  <c:v>1258.5820000000001</c:v>
                </c:pt>
                <c:pt idx="203">
                  <c:v>1262.6769999999999</c:v>
                </c:pt>
                <c:pt idx="204">
                  <c:v>1264.9359999999999</c:v>
                </c:pt>
                <c:pt idx="205">
                  <c:v>1274.2059999999999</c:v>
                </c:pt>
                <c:pt idx="206">
                  <c:v>1278.5029999999999</c:v>
                </c:pt>
                <c:pt idx="207">
                  <c:v>1289.8050000000001</c:v>
                </c:pt>
                <c:pt idx="208">
                  <c:v>1295.049</c:v>
                </c:pt>
                <c:pt idx="209">
                  <c:v>1298.196999999999</c:v>
                </c:pt>
                <c:pt idx="210">
                  <c:v>1311.886</c:v>
                </c:pt>
                <c:pt idx="211">
                  <c:v>1312.077</c:v>
                </c:pt>
                <c:pt idx="212">
                  <c:v>1316.857</c:v>
                </c:pt>
                <c:pt idx="213">
                  <c:v>1316.8969999999999</c:v>
                </c:pt>
                <c:pt idx="214">
                  <c:v>1327.0650000000001</c:v>
                </c:pt>
                <c:pt idx="215">
                  <c:v>1334.078</c:v>
                </c:pt>
                <c:pt idx="216">
                  <c:v>1343.328</c:v>
                </c:pt>
                <c:pt idx="217">
                  <c:v>1353.5630000000001</c:v>
                </c:pt>
                <c:pt idx="218">
                  <c:v>1355.049999999999</c:v>
                </c:pt>
                <c:pt idx="219">
                  <c:v>1365.2909999999999</c:v>
                </c:pt>
                <c:pt idx="220">
                  <c:v>1371.1030000000001</c:v>
                </c:pt>
                <c:pt idx="221">
                  <c:v>1371.922</c:v>
                </c:pt>
                <c:pt idx="222">
                  <c:v>1380.578</c:v>
                </c:pt>
                <c:pt idx="223">
                  <c:v>1390.499</c:v>
                </c:pt>
                <c:pt idx="224">
                  <c:v>1396.672</c:v>
                </c:pt>
                <c:pt idx="225">
                  <c:v>1400.73</c:v>
                </c:pt>
                <c:pt idx="226">
                  <c:v>1409.2739999999999</c:v>
                </c:pt>
                <c:pt idx="227">
                  <c:v>1411.327</c:v>
                </c:pt>
                <c:pt idx="228">
                  <c:v>1418.57</c:v>
                </c:pt>
                <c:pt idx="229">
                  <c:v>1423.5709999999999</c:v>
                </c:pt>
                <c:pt idx="230">
                  <c:v>1426.067</c:v>
                </c:pt>
                <c:pt idx="231">
                  <c:v>1433.5509999999999</c:v>
                </c:pt>
                <c:pt idx="232">
                  <c:v>1445.6969999999999</c:v>
                </c:pt>
                <c:pt idx="233">
                  <c:v>1449.5250000000001</c:v>
                </c:pt>
                <c:pt idx="234">
                  <c:v>1454.1659999999999</c:v>
                </c:pt>
                <c:pt idx="235">
                  <c:v>1464.6569999999999</c:v>
                </c:pt>
                <c:pt idx="236">
                  <c:v>1466.481</c:v>
                </c:pt>
                <c:pt idx="237">
                  <c:v>1472.396</c:v>
                </c:pt>
                <c:pt idx="238">
                  <c:v>1476.029</c:v>
                </c:pt>
                <c:pt idx="239">
                  <c:v>1481.104</c:v>
                </c:pt>
                <c:pt idx="240">
                  <c:v>1486.4649999999999</c:v>
                </c:pt>
                <c:pt idx="241">
                  <c:v>1500.1189999999999</c:v>
                </c:pt>
                <c:pt idx="242">
                  <c:v>1502.5119999999999</c:v>
                </c:pt>
                <c:pt idx="243">
                  <c:v>1507.4490000000001</c:v>
                </c:pt>
                <c:pt idx="244">
                  <c:v>1521.09</c:v>
                </c:pt>
                <c:pt idx="245">
                  <c:v>1525.5940000000001</c:v>
                </c:pt>
                <c:pt idx="246">
                  <c:v>1527.826</c:v>
                </c:pt>
                <c:pt idx="247">
                  <c:v>1529.7850000000001</c:v>
                </c:pt>
                <c:pt idx="248">
                  <c:v>1535.702</c:v>
                </c:pt>
                <c:pt idx="249">
                  <c:v>1539.453</c:v>
                </c:pt>
                <c:pt idx="250">
                  <c:v>1554.7650000000001</c:v>
                </c:pt>
                <c:pt idx="251">
                  <c:v>1555.56</c:v>
                </c:pt>
                <c:pt idx="252">
                  <c:v>1560.393</c:v>
                </c:pt>
                <c:pt idx="253">
                  <c:v>1578.941</c:v>
                </c:pt>
                <c:pt idx="254">
                  <c:v>1581.6189999999999</c:v>
                </c:pt>
                <c:pt idx="255">
                  <c:v>1582.057</c:v>
                </c:pt>
                <c:pt idx="256">
                  <c:v>1582.367</c:v>
                </c:pt>
                <c:pt idx="257">
                  <c:v>1590.6369999999999</c:v>
                </c:pt>
                <c:pt idx="258">
                  <c:v>1593.943</c:v>
                </c:pt>
                <c:pt idx="259">
                  <c:v>1608.1479999999999</c:v>
                </c:pt>
                <c:pt idx="260">
                  <c:v>1609.2860000000001</c:v>
                </c:pt>
                <c:pt idx="261">
                  <c:v>1613.3009999999999</c:v>
                </c:pt>
                <c:pt idx="262">
                  <c:v>1634.2470000000001</c:v>
                </c:pt>
                <c:pt idx="263">
                  <c:v>1634.453</c:v>
                </c:pt>
                <c:pt idx="264">
                  <c:v>1635.501</c:v>
                </c:pt>
                <c:pt idx="265">
                  <c:v>1637.64</c:v>
                </c:pt>
                <c:pt idx="266">
                  <c:v>1646.942</c:v>
                </c:pt>
                <c:pt idx="267">
                  <c:v>1648.1289999999999</c:v>
                </c:pt>
                <c:pt idx="268">
                  <c:v>1660.857</c:v>
                </c:pt>
                <c:pt idx="269">
                  <c:v>1663.2570000000001</c:v>
                </c:pt>
                <c:pt idx="270">
                  <c:v>1666.9079999999999</c:v>
                </c:pt>
                <c:pt idx="271">
                  <c:v>1686.402</c:v>
                </c:pt>
                <c:pt idx="272">
                  <c:v>1688.105</c:v>
                </c:pt>
                <c:pt idx="273">
                  <c:v>1692.096</c:v>
                </c:pt>
                <c:pt idx="274">
                  <c:v>1693.64</c:v>
                </c:pt>
                <c:pt idx="275">
                  <c:v>1700.982</c:v>
                </c:pt>
                <c:pt idx="276">
                  <c:v>1701.133</c:v>
                </c:pt>
                <c:pt idx="277">
                  <c:v>1713.537</c:v>
                </c:pt>
                <c:pt idx="278">
                  <c:v>1717.67</c:v>
                </c:pt>
                <c:pt idx="279">
                  <c:v>1720.1189999999999</c:v>
                </c:pt>
                <c:pt idx="280">
                  <c:v>1738.673</c:v>
                </c:pt>
                <c:pt idx="281">
                  <c:v>1741.722</c:v>
                </c:pt>
                <c:pt idx="282">
                  <c:v>1748.4749999999999</c:v>
                </c:pt>
                <c:pt idx="283">
                  <c:v>1748.867</c:v>
                </c:pt>
                <c:pt idx="284">
                  <c:v>1755.2349999999999</c:v>
                </c:pt>
                <c:pt idx="285">
                  <c:v>1755.2439999999999</c:v>
                </c:pt>
                <c:pt idx="286">
                  <c:v>1766.07</c:v>
                </c:pt>
                <c:pt idx="287">
                  <c:v>1771.6389999999999</c:v>
                </c:pt>
                <c:pt idx="288">
                  <c:v>1773.8879999999999</c:v>
                </c:pt>
                <c:pt idx="289">
                  <c:v>1791.0740000000001</c:v>
                </c:pt>
                <c:pt idx="290">
                  <c:v>1794.713</c:v>
                </c:pt>
                <c:pt idx="291">
                  <c:v>1805.02</c:v>
                </c:pt>
                <c:pt idx="292">
                  <c:v>1805.8710000000001</c:v>
                </c:pt>
                <c:pt idx="293">
                  <c:v>1808.5830000000001</c:v>
                </c:pt>
                <c:pt idx="294">
                  <c:v>1809.4469999999999</c:v>
                </c:pt>
                <c:pt idx="295">
                  <c:v>1819.8219999999999</c:v>
                </c:pt>
                <c:pt idx="296">
                  <c:v>1826.442</c:v>
                </c:pt>
                <c:pt idx="297">
                  <c:v>1828.6089999999999</c:v>
                </c:pt>
              </c:numCache>
            </c:numRef>
          </c:xVal>
          <c:yVal>
            <c:numRef>
              <c:f>intermediate_data!$M$2:$M$299</c:f>
              <c:numCache>
                <c:formatCode>General</c:formatCode>
                <c:ptCount val="298"/>
                <c:pt idx="0">
                  <c:v>1.4156956025385914E-2</c:v>
                </c:pt>
                <c:pt idx="1">
                  <c:v>1.4175943076161324E-2</c:v>
                </c:pt>
                <c:pt idx="2">
                  <c:v>1.445075899199888E-2</c:v>
                </c:pt>
                <c:pt idx="3">
                  <c:v>1.4927440796330238E-2</c:v>
                </c:pt>
                <c:pt idx="4">
                  <c:v>1.5148108114648728E-2</c:v>
                </c:pt>
                <c:pt idx="5">
                  <c:v>1.5690434658983232E-2</c:v>
                </c:pt>
                <c:pt idx="6">
                  <c:v>1.5744970289139681E-2</c:v>
                </c:pt>
                <c:pt idx="7">
                  <c:v>1.5942409468687968E-2</c:v>
                </c:pt>
                <c:pt idx="8">
                  <c:v>1.6566539458257257E-2</c:v>
                </c:pt>
                <c:pt idx="9">
                  <c:v>4.1071720901468378E-2</c:v>
                </c:pt>
                <c:pt idx="10">
                  <c:v>4.1202883063941709E-2</c:v>
                </c:pt>
                <c:pt idx="11">
                  <c:v>4.2326653794965363E-2</c:v>
                </c:pt>
                <c:pt idx="12">
                  <c:v>4.2840470530428831E-2</c:v>
                </c:pt>
                <c:pt idx="13">
                  <c:v>4.2980572952630247E-2</c:v>
                </c:pt>
                <c:pt idx="14">
                  <c:v>4.3305105815142575E-2</c:v>
                </c:pt>
                <c:pt idx="15">
                  <c:v>4.3574309545562073E-2</c:v>
                </c:pt>
                <c:pt idx="16">
                  <c:v>4.370244016725211E-2</c:v>
                </c:pt>
                <c:pt idx="17">
                  <c:v>4.4229522951931166E-2</c:v>
                </c:pt>
                <c:pt idx="18">
                  <c:v>5.885712180384628E-2</c:v>
                </c:pt>
                <c:pt idx="19">
                  <c:v>5.8885976610071555E-2</c:v>
                </c:pt>
                <c:pt idx="20">
                  <c:v>5.9760956175298752E-2</c:v>
                </c:pt>
                <c:pt idx="21">
                  <c:v>6.0047387248570061E-2</c:v>
                </c:pt>
                <c:pt idx="22">
                  <c:v>6.0107144633267939E-2</c:v>
                </c:pt>
                <c:pt idx="23">
                  <c:v>6.0216774722488875E-2</c:v>
                </c:pt>
                <c:pt idx="24">
                  <c:v>6.0368527028367147E-2</c:v>
                </c:pt>
                <c:pt idx="25">
                  <c:v>6.0491186923274043E-2</c:v>
                </c:pt>
                <c:pt idx="26">
                  <c:v>6.061766589915818E-2</c:v>
                </c:pt>
                <c:pt idx="27">
                  <c:v>6.5407355073810791E-2</c:v>
                </c:pt>
                <c:pt idx="28">
                  <c:v>6.5464089529394087E-2</c:v>
                </c:pt>
                <c:pt idx="29">
                  <c:v>6.619625552733055E-2</c:v>
                </c:pt>
                <c:pt idx="30">
                  <c:v>6.733308581302655E-2</c:v>
                </c:pt>
                <c:pt idx="31">
                  <c:v>6.7892736845741375E-2</c:v>
                </c:pt>
                <c:pt idx="32">
                  <c:v>6.8002288222391627E-2</c:v>
                </c:pt>
                <c:pt idx="33">
                  <c:v>6.845489190992371E-2</c:v>
                </c:pt>
                <c:pt idx="34">
                  <c:v>6.9220186526807836E-2</c:v>
                </c:pt>
                <c:pt idx="35">
                  <c:v>6.9267137116801436E-2</c:v>
                </c:pt>
                <c:pt idx="36">
                  <c:v>8.172970172452132E-2</c:v>
                </c:pt>
                <c:pt idx="37">
                  <c:v>8.1767763651679815E-2</c:v>
                </c:pt>
                <c:pt idx="38">
                  <c:v>8.3755238257769982E-2</c:v>
                </c:pt>
                <c:pt idx="39">
                  <c:v>8.6054720509007865E-2</c:v>
                </c:pt>
                <c:pt idx="40">
                  <c:v>8.6984457116534131E-2</c:v>
                </c:pt>
                <c:pt idx="41">
                  <c:v>8.7310610707196368E-2</c:v>
                </c:pt>
                <c:pt idx="42">
                  <c:v>8.8135938390884405E-2</c:v>
                </c:pt>
                <c:pt idx="43">
                  <c:v>8.9898957647724487E-2</c:v>
                </c:pt>
                <c:pt idx="44">
                  <c:v>9.0093854305559162E-2</c:v>
                </c:pt>
                <c:pt idx="45">
                  <c:v>0.1077792344479942</c:v>
                </c:pt>
                <c:pt idx="46">
                  <c:v>0.108040811927264</c:v>
                </c:pt>
                <c:pt idx="47">
                  <c:v>0.11098013119117756</c:v>
                </c:pt>
                <c:pt idx="48">
                  <c:v>0.11432476710428308</c:v>
                </c:pt>
                <c:pt idx="49">
                  <c:v>0.11542076948991831</c:v>
                </c:pt>
                <c:pt idx="50">
                  <c:v>0.11573104788326738</c:v>
                </c:pt>
                <c:pt idx="51">
                  <c:v>0.11679814600792504</c:v>
                </c:pt>
                <c:pt idx="52">
                  <c:v>0.11986140778865817</c:v>
                </c:pt>
                <c:pt idx="53">
                  <c:v>0.12001418745382431</c:v>
                </c:pt>
                <c:pt idx="54">
                  <c:v>0.13856187475819404</c:v>
                </c:pt>
                <c:pt idx="55">
                  <c:v>0.13897933024287568</c:v>
                </c:pt>
                <c:pt idx="56">
                  <c:v>0.14314535315277599</c:v>
                </c:pt>
                <c:pt idx="57">
                  <c:v>0.14698751471448546</c:v>
                </c:pt>
                <c:pt idx="58">
                  <c:v>0.14781645260408816</c:v>
                </c:pt>
                <c:pt idx="59">
                  <c:v>0.14787959884221458</c:v>
                </c:pt>
                <c:pt idx="60">
                  <c:v>0.14974413503710959</c:v>
                </c:pt>
                <c:pt idx="61">
                  <c:v>0.15306849744617246</c:v>
                </c:pt>
                <c:pt idx="62">
                  <c:v>0.15321775219083822</c:v>
                </c:pt>
                <c:pt idx="63">
                  <c:v>0.16898938624827053</c:v>
                </c:pt>
                <c:pt idx="64">
                  <c:v>0.16964974189323456</c:v>
                </c:pt>
                <c:pt idx="65">
                  <c:v>0.17408252519490475</c:v>
                </c:pt>
                <c:pt idx="66">
                  <c:v>0.17798045667344731</c:v>
                </c:pt>
                <c:pt idx="67">
                  <c:v>0.1782566044076237</c:v>
                </c:pt>
                <c:pt idx="68">
                  <c:v>0.17865730828763304</c:v>
                </c:pt>
                <c:pt idx="69">
                  <c:v>0.18034654066853761</c:v>
                </c:pt>
                <c:pt idx="70">
                  <c:v>0.18354010231463214</c:v>
                </c:pt>
                <c:pt idx="71">
                  <c:v>0.18391377075213455</c:v>
                </c:pt>
                <c:pt idx="72">
                  <c:v>0.19505189028910408</c:v>
                </c:pt>
                <c:pt idx="73">
                  <c:v>0.19560386911412664</c:v>
                </c:pt>
                <c:pt idx="74">
                  <c:v>0.19863362711608623</c:v>
                </c:pt>
                <c:pt idx="75">
                  <c:v>0.19977097361685381</c:v>
                </c:pt>
                <c:pt idx="76">
                  <c:v>0.19979063745176617</c:v>
                </c:pt>
                <c:pt idx="77">
                  <c:v>0.19993556719796857</c:v>
                </c:pt>
                <c:pt idx="78">
                  <c:v>0.20038079526251629</c:v>
                </c:pt>
                <c:pt idx="79">
                  <c:v>0.2012651823067646</c:v>
                </c:pt>
                <c:pt idx="80">
                  <c:v>0.20146752559564085</c:v>
                </c:pt>
                <c:pt idx="81">
                  <c:v>0.20378773673354722</c:v>
                </c:pt>
                <c:pt idx="82">
                  <c:v>0.20398388106804077</c:v>
                </c:pt>
                <c:pt idx="83">
                  <c:v>0.20505660377358659</c:v>
                </c:pt>
                <c:pt idx="84">
                  <c:v>0.20668900051261652</c:v>
                </c:pt>
                <c:pt idx="85">
                  <c:v>0.20681126568031871</c:v>
                </c:pt>
                <c:pt idx="86">
                  <c:v>0.20691613157415389</c:v>
                </c:pt>
                <c:pt idx="87">
                  <c:v>0.20766790560530346</c:v>
                </c:pt>
                <c:pt idx="88">
                  <c:v>0.20893084208757529</c:v>
                </c:pt>
                <c:pt idx="89">
                  <c:v>0.20943839928375141</c:v>
                </c:pt>
                <c:pt idx="90">
                  <c:v>0.21166080383204999</c:v>
                </c:pt>
                <c:pt idx="91">
                  <c:v>0.21220282980982041</c:v>
                </c:pt>
                <c:pt idx="92">
                  <c:v>0.21509383734859533</c:v>
                </c:pt>
                <c:pt idx="93">
                  <c:v>0.21792776408106462</c:v>
                </c:pt>
                <c:pt idx="94">
                  <c:v>0.21801226027247189</c:v>
                </c:pt>
                <c:pt idx="95">
                  <c:v>0.21825677997721193</c:v>
                </c:pt>
                <c:pt idx="96">
                  <c:v>0.21935947887735985</c:v>
                </c:pt>
                <c:pt idx="97">
                  <c:v>0.22140178486687034</c:v>
                </c:pt>
                <c:pt idx="98">
                  <c:v>0.22218821310644543</c:v>
                </c:pt>
                <c:pt idx="99">
                  <c:v>0.22483662585442765</c:v>
                </c:pt>
                <c:pt idx="100">
                  <c:v>0.2253840000567493</c:v>
                </c:pt>
                <c:pt idx="101">
                  <c:v>0.22777946883798705</c:v>
                </c:pt>
                <c:pt idx="102">
                  <c:v>0.231237496576016</c:v>
                </c:pt>
                <c:pt idx="103">
                  <c:v>0.2312707618360843</c:v>
                </c:pt>
                <c:pt idx="104">
                  <c:v>0.23162654418790751</c:v>
                </c:pt>
                <c:pt idx="105">
                  <c:v>0.23311048664876388</c:v>
                </c:pt>
                <c:pt idx="106">
                  <c:v>0.23529949669215888</c:v>
                </c:pt>
                <c:pt idx="107">
                  <c:v>0.23616205449033423</c:v>
                </c:pt>
                <c:pt idx="108">
                  <c:v>0.23832845455227769</c:v>
                </c:pt>
                <c:pt idx="109">
                  <c:v>0.23869412212383523</c:v>
                </c:pt>
                <c:pt idx="110">
                  <c:v>0.24007182685946482</c:v>
                </c:pt>
                <c:pt idx="111">
                  <c:v>0.24025906044832723</c:v>
                </c:pt>
                <c:pt idx="112">
                  <c:v>0.24026067996038591</c:v>
                </c:pt>
                <c:pt idx="113">
                  <c:v>0.24027949714814589</c:v>
                </c:pt>
                <c:pt idx="114">
                  <c:v>0.24036143674648436</c:v>
                </c:pt>
                <c:pt idx="115">
                  <c:v>0.24048475102200406</c:v>
                </c:pt>
                <c:pt idx="116">
                  <c:v>0.24052971176161009</c:v>
                </c:pt>
                <c:pt idx="117">
                  <c:v>0.24058857973971115</c:v>
                </c:pt>
                <c:pt idx="118">
                  <c:v>0.24116124807741102</c:v>
                </c:pt>
                <c:pt idx="119">
                  <c:v>0.24345349592874577</c:v>
                </c:pt>
                <c:pt idx="120">
                  <c:v>0.25116659756709758</c:v>
                </c:pt>
                <c:pt idx="121">
                  <c:v>0.25121752326593061</c:v>
                </c:pt>
                <c:pt idx="122">
                  <c:v>0.25187146635189173</c:v>
                </c:pt>
                <c:pt idx="123">
                  <c:v>0.2552254233582758</c:v>
                </c:pt>
                <c:pt idx="124">
                  <c:v>0.26005717751306712</c:v>
                </c:pt>
                <c:pt idx="125">
                  <c:v>0.26229172102732434</c:v>
                </c:pt>
                <c:pt idx="126">
                  <c:v>0.26245930566416042</c:v>
                </c:pt>
                <c:pt idx="127">
                  <c:v>0.26367571448999705</c:v>
                </c:pt>
                <c:pt idx="128">
                  <c:v>0.26728837059125432</c:v>
                </c:pt>
                <c:pt idx="129">
                  <c:v>0.27505126005049974</c:v>
                </c:pt>
                <c:pt idx="130">
                  <c:v>0.2753812390989463</c:v>
                </c:pt>
                <c:pt idx="131">
                  <c:v>0.27542138360885104</c:v>
                </c:pt>
                <c:pt idx="132">
                  <c:v>0.27886013585837155</c:v>
                </c:pt>
                <c:pt idx="133">
                  <c:v>0.28386011250956855</c:v>
                </c:pt>
                <c:pt idx="134">
                  <c:v>0.28430699590004593</c:v>
                </c:pt>
                <c:pt idx="135">
                  <c:v>0.28613630814952984</c:v>
                </c:pt>
                <c:pt idx="136">
                  <c:v>0.28655222411093284</c:v>
                </c:pt>
                <c:pt idx="137">
                  <c:v>0.292166320324867</c:v>
                </c:pt>
                <c:pt idx="138">
                  <c:v>0.29512283128357453</c:v>
                </c:pt>
                <c:pt idx="139">
                  <c:v>0.29526272448168811</c:v>
                </c:pt>
                <c:pt idx="140">
                  <c:v>0.29527049632602598</c:v>
                </c:pt>
                <c:pt idx="141">
                  <c:v>0.29674934314136436</c:v>
                </c:pt>
                <c:pt idx="142">
                  <c:v>0.29843921242583704</c:v>
                </c:pt>
                <c:pt idx="143">
                  <c:v>0.29875913277619048</c:v>
                </c:pt>
                <c:pt idx="144">
                  <c:v>0.29895574823218851</c:v>
                </c:pt>
                <c:pt idx="145">
                  <c:v>0.29910063419425015</c:v>
                </c:pt>
                <c:pt idx="146">
                  <c:v>0.30015203344736108</c:v>
                </c:pt>
                <c:pt idx="147">
                  <c:v>0.30495959962208019</c:v>
                </c:pt>
                <c:pt idx="148">
                  <c:v>0.30511390439465202</c:v>
                </c:pt>
                <c:pt idx="149">
                  <c:v>0.30515954748704388</c:v>
                </c:pt>
                <c:pt idx="150">
                  <c:v>0.30779854810167251</c:v>
                </c:pt>
                <c:pt idx="151">
                  <c:v>0.30970233185874108</c:v>
                </c:pt>
                <c:pt idx="152">
                  <c:v>0.31113142018014628</c:v>
                </c:pt>
                <c:pt idx="153">
                  <c:v>0.31185070426894157</c:v>
                </c:pt>
                <c:pt idx="154">
                  <c:v>0.31225211692970234</c:v>
                </c:pt>
                <c:pt idx="155">
                  <c:v>0.31459690011044117</c:v>
                </c:pt>
                <c:pt idx="156">
                  <c:v>0.32786241745152012</c:v>
                </c:pt>
                <c:pt idx="157">
                  <c:v>0.32847059658833899</c:v>
                </c:pt>
                <c:pt idx="158">
                  <c:v>0.3284775313561461</c:v>
                </c:pt>
                <c:pt idx="159">
                  <c:v>0.33665292912571232</c:v>
                </c:pt>
                <c:pt idx="160">
                  <c:v>0.33955929031429477</c:v>
                </c:pt>
                <c:pt idx="161">
                  <c:v>0.34396311438976568</c:v>
                </c:pt>
                <c:pt idx="162">
                  <c:v>0.34788096733761975</c:v>
                </c:pt>
                <c:pt idx="163">
                  <c:v>0.3493859350677333</c:v>
                </c:pt>
                <c:pt idx="164">
                  <c:v>0.35383527072499632</c:v>
                </c:pt>
                <c:pt idx="165">
                  <c:v>0.37402582177594468</c:v>
                </c:pt>
                <c:pt idx="166">
                  <c:v>0.37426838925616224</c:v>
                </c:pt>
                <c:pt idx="167">
                  <c:v>0.37484821064528617</c:v>
                </c:pt>
                <c:pt idx="168">
                  <c:v>0.38869477097451721</c:v>
                </c:pt>
                <c:pt idx="169">
                  <c:v>0.38979164409779088</c:v>
                </c:pt>
                <c:pt idx="170">
                  <c:v>0.39654287010443667</c:v>
                </c:pt>
                <c:pt idx="171">
                  <c:v>0.40664552465569415</c:v>
                </c:pt>
                <c:pt idx="172">
                  <c:v>0.40868669297071136</c:v>
                </c:pt>
                <c:pt idx="173">
                  <c:v>0.41299690094502495</c:v>
                </c:pt>
                <c:pt idx="174">
                  <c:v>0.41742495456431428</c:v>
                </c:pt>
                <c:pt idx="175">
                  <c:v>0.41751864162059604</c:v>
                </c:pt>
                <c:pt idx="176">
                  <c:v>0.41798682162392709</c:v>
                </c:pt>
                <c:pt idx="177">
                  <c:v>0.42083010890696926</c:v>
                </c:pt>
                <c:pt idx="178">
                  <c:v>0.42162285025678159</c:v>
                </c:pt>
                <c:pt idx="179">
                  <c:v>0.42253119972010467</c:v>
                </c:pt>
                <c:pt idx="180">
                  <c:v>0.42547119539149136</c:v>
                </c:pt>
                <c:pt idx="181">
                  <c:v>0.42586017109112007</c:v>
                </c:pt>
                <c:pt idx="182">
                  <c:v>0.42632605453363936</c:v>
                </c:pt>
                <c:pt idx="183">
                  <c:v>0.42916911585653139</c:v>
                </c:pt>
                <c:pt idx="184">
                  <c:v>0.42919929537272594</c:v>
                </c:pt>
                <c:pt idx="185">
                  <c:v>0.4295394185202106</c:v>
                </c:pt>
                <c:pt idx="186">
                  <c:v>0.43085328375763865</c:v>
                </c:pt>
                <c:pt idx="187">
                  <c:v>0.43274870056238157</c:v>
                </c:pt>
                <c:pt idx="188">
                  <c:v>0.43307383445117509</c:v>
                </c:pt>
                <c:pt idx="189">
                  <c:v>0.43745625605721727</c:v>
                </c:pt>
                <c:pt idx="190">
                  <c:v>0.43765295307833796</c:v>
                </c:pt>
                <c:pt idx="191">
                  <c:v>0.43795188038644994</c:v>
                </c:pt>
                <c:pt idx="192">
                  <c:v>0.44419453375283524</c:v>
                </c:pt>
                <c:pt idx="193">
                  <c:v>0.44431147674370308</c:v>
                </c:pt>
                <c:pt idx="194">
                  <c:v>0.44523158156790998</c:v>
                </c:pt>
                <c:pt idx="195">
                  <c:v>0.4472393219054851</c:v>
                </c:pt>
                <c:pt idx="196">
                  <c:v>0.44999548371012565</c:v>
                </c:pt>
                <c:pt idx="197">
                  <c:v>0.45044638413451565</c:v>
                </c:pt>
                <c:pt idx="198">
                  <c:v>0.45502196870423717</c:v>
                </c:pt>
                <c:pt idx="199">
                  <c:v>0.45630403210577697</c:v>
                </c:pt>
                <c:pt idx="200">
                  <c:v>0.45778344120687819</c:v>
                </c:pt>
                <c:pt idx="201">
                  <c:v>0.46483410626972699</c:v>
                </c:pt>
                <c:pt idx="202">
                  <c:v>0.4650150444746366</c:v>
                </c:pt>
                <c:pt idx="203">
                  <c:v>0.46688139699127262</c:v>
                </c:pt>
                <c:pt idx="204">
                  <c:v>0.46791096728066961</c:v>
                </c:pt>
                <c:pt idx="205">
                  <c:v>0.47189867736470248</c:v>
                </c:pt>
                <c:pt idx="206">
                  <c:v>0.47374713370030719</c:v>
                </c:pt>
                <c:pt idx="207">
                  <c:v>0.47860895671754022</c:v>
                </c:pt>
                <c:pt idx="208">
                  <c:v>0.48155423112759621</c:v>
                </c:pt>
                <c:pt idx="209">
                  <c:v>0.4833222944080795</c:v>
                </c:pt>
                <c:pt idx="210">
                  <c:v>0.49101067377483076</c:v>
                </c:pt>
                <c:pt idx="211">
                  <c:v>0.49111794826230692</c:v>
                </c:pt>
                <c:pt idx="212">
                  <c:v>0.49380261868184405</c:v>
                </c:pt>
                <c:pt idx="213">
                  <c:v>0.4938250845430936</c:v>
                </c:pt>
                <c:pt idx="214">
                  <c:v>0.49143139163808058</c:v>
                </c:pt>
                <c:pt idx="215">
                  <c:v>0.48978043094346546</c:v>
                </c:pt>
                <c:pt idx="216">
                  <c:v>0.48760284839316981</c:v>
                </c:pt>
                <c:pt idx="217">
                  <c:v>0.48455170812312076</c:v>
                </c:pt>
                <c:pt idx="218">
                  <c:v>0.48410842081666772</c:v>
                </c:pt>
                <c:pt idx="219">
                  <c:v>0.48105549189575569</c:v>
                </c:pt>
                <c:pt idx="220">
                  <c:v>0.47932288542291701</c:v>
                </c:pt>
                <c:pt idx="221">
                  <c:v>0.47957922042945711</c:v>
                </c:pt>
                <c:pt idx="222">
                  <c:v>0.48228842167070596</c:v>
                </c:pt>
                <c:pt idx="223">
                  <c:v>0.4853935493872541</c:v>
                </c:pt>
                <c:pt idx="224">
                  <c:v>0.48732560798963576</c:v>
                </c:pt>
                <c:pt idx="225">
                  <c:v>0.48788899732127433</c:v>
                </c:pt>
                <c:pt idx="226">
                  <c:v>0.48907519703777069</c:v>
                </c:pt>
                <c:pt idx="227">
                  <c:v>0.48936022372526722</c:v>
                </c:pt>
                <c:pt idx="228">
                  <c:v>0.49036580010010056</c:v>
                </c:pt>
                <c:pt idx="229">
                  <c:v>0.49106011011674155</c:v>
                </c:pt>
                <c:pt idx="230">
                  <c:v>0.49141570893123898</c:v>
                </c:pt>
                <c:pt idx="231">
                  <c:v>0.49248193550484487</c:v>
                </c:pt>
                <c:pt idx="232">
                  <c:v>0.49421234544110604</c:v>
                </c:pt>
                <c:pt idx="233">
                  <c:v>0.49475771093065291</c:v>
                </c:pt>
                <c:pt idx="234">
                  <c:v>0.49564096608442298</c:v>
                </c:pt>
                <c:pt idx="235">
                  <c:v>0.49763756807066528</c:v>
                </c:pt>
                <c:pt idx="236">
                  <c:v>0.49798470390356542</c:v>
                </c:pt>
                <c:pt idx="237">
                  <c:v>0.49911042125640392</c:v>
                </c:pt>
                <c:pt idx="238">
                  <c:v>0.49980183818672685</c:v>
                </c:pt>
                <c:pt idx="239">
                  <c:v>0.49843169451350988</c:v>
                </c:pt>
                <c:pt idx="240">
                  <c:v>0.49698433683230547</c:v>
                </c:pt>
                <c:pt idx="241">
                  <c:v>0.49329804289849477</c:v>
                </c:pt>
                <c:pt idx="242">
                  <c:v>0.49265198303445601</c:v>
                </c:pt>
                <c:pt idx="243">
                  <c:v>0.49142623720362977</c:v>
                </c:pt>
                <c:pt idx="244">
                  <c:v>0.48803948434190758</c:v>
                </c:pt>
                <c:pt idx="245">
                  <c:v>0.48692124265221182</c:v>
                </c:pt>
                <c:pt idx="246">
                  <c:v>0.48636708735660505</c:v>
                </c:pt>
                <c:pt idx="247">
                  <c:v>0.48588071180817494</c:v>
                </c:pt>
                <c:pt idx="248">
                  <c:v>0.48686922249813946</c:v>
                </c:pt>
                <c:pt idx="249">
                  <c:v>0.48749587512583048</c:v>
                </c:pt>
                <c:pt idx="250">
                  <c:v>0.49005394098432831</c:v>
                </c:pt>
                <c:pt idx="251">
                  <c:v>0.49018675592408201</c:v>
                </c:pt>
                <c:pt idx="252">
                  <c:v>0.4901972427555954</c:v>
                </c:pt>
                <c:pt idx="253">
                  <c:v>0.49023748892792796</c:v>
                </c:pt>
                <c:pt idx="254">
                  <c:v>0.490243299756564</c:v>
                </c:pt>
                <c:pt idx="255">
                  <c:v>0.49024425014601292</c:v>
                </c:pt>
                <c:pt idx="256">
                  <c:v>0.49024492279607657</c:v>
                </c:pt>
                <c:pt idx="257">
                  <c:v>0.49239103362318204</c:v>
                </c:pt>
                <c:pt idx="258">
                  <c:v>0.49324895894293874</c:v>
                </c:pt>
                <c:pt idx="259">
                  <c:v>0.49693523515805538</c:v>
                </c:pt>
                <c:pt idx="260">
                  <c:v>0.49728022956026408</c:v>
                </c:pt>
                <c:pt idx="261">
                  <c:v>0.49849741104081957</c:v>
                </c:pt>
                <c:pt idx="262">
                  <c:v>0.50484736951943532</c:v>
                </c:pt>
                <c:pt idx="263">
                  <c:v>0.50488888367979001</c:v>
                </c:pt>
                <c:pt idx="264">
                  <c:v>0.50510008193247913</c:v>
                </c:pt>
                <c:pt idx="265">
                  <c:v>0.50553114401501986</c:v>
                </c:pt>
                <c:pt idx="266">
                  <c:v>0.50740573003268707</c:v>
                </c:pt>
                <c:pt idx="267">
                  <c:v>0.50764494026736529</c:v>
                </c:pt>
                <c:pt idx="268">
                  <c:v>0.51020995110727441</c:v>
                </c:pt>
                <c:pt idx="269">
                  <c:v>0.51066854559379138</c:v>
                </c:pt>
                <c:pt idx="270">
                  <c:v>0.51136618245640264</c:v>
                </c:pt>
                <c:pt idx="271">
                  <c:v>0.51509111617312087</c:v>
                </c:pt>
                <c:pt idx="272">
                  <c:v>0.51534406424946866</c:v>
                </c:pt>
                <c:pt idx="273">
                  <c:v>0.51593685096275266</c:v>
                </c:pt>
                <c:pt idx="274">
                  <c:v>0.51616618263033587</c:v>
                </c:pt>
                <c:pt idx="275">
                  <c:v>0.51725669629831827</c:v>
                </c:pt>
                <c:pt idx="276">
                  <c:v>0.51727912446011359</c:v>
                </c:pt>
                <c:pt idx="277">
                  <c:v>0.51912150140613278</c:v>
                </c:pt>
                <c:pt idx="278">
                  <c:v>0.51951584399672157</c:v>
                </c:pt>
                <c:pt idx="279">
                  <c:v>0.51974951082573995</c:v>
                </c:pt>
                <c:pt idx="280">
                  <c:v>0.52151980659775887</c:v>
                </c:pt>
                <c:pt idx="281">
                  <c:v>0.52166601070656071</c:v>
                </c:pt>
                <c:pt idx="282">
                  <c:v>0.52198982715350439</c:v>
                </c:pt>
                <c:pt idx="283">
                  <c:v>0.52200862413961602</c:v>
                </c:pt>
                <c:pt idx="284">
                  <c:v>0.52231397926091461</c:v>
                </c:pt>
                <c:pt idx="285">
                  <c:v>0.52231441082437868</c:v>
                </c:pt>
                <c:pt idx="286">
                  <c:v>0.52283353371118579</c:v>
                </c:pt>
                <c:pt idx="287">
                  <c:v>0.52550468424686869</c:v>
                </c:pt>
                <c:pt idx="288">
                  <c:v>0.52658340889307453</c:v>
                </c:pt>
                <c:pt idx="289">
                  <c:v>0.53482661110284369</c:v>
                </c:pt>
                <c:pt idx="290">
                  <c:v>0.53620602744135937</c:v>
                </c:pt>
                <c:pt idx="291">
                  <c:v>0.54011304700748752</c:v>
                </c:pt>
                <c:pt idx="292">
                  <c:v>0.54043563104268344</c:v>
                </c:pt>
                <c:pt idx="293">
                  <c:v>0.54146365443099143</c:v>
                </c:pt>
                <c:pt idx="294">
                  <c:v>0.54179116630691482</c:v>
                </c:pt>
                <c:pt idx="295">
                  <c:v>0.54572396227067799</c:v>
                </c:pt>
                <c:pt idx="296">
                  <c:v>0.54770915237730833</c:v>
                </c:pt>
                <c:pt idx="297">
                  <c:v>0.54835898726568644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396-4B8B-94C9-747D2D4C113F}"/>
            </c:ext>
          </c:extLst>
        </c:ser>
        <c:ser>
          <c:idx val="3"/>
          <c:order val="3"/>
          <c:tx>
            <c:strRef>
              <c:f>race_data!$P$1</c:f>
              <c:strCache>
                <c:ptCount val="1"/>
                <c:pt idx="0">
                  <c:v>YannickD</c:v>
                </c:pt>
              </c:strCache>
            </c:strRef>
          </c:tx>
          <c:marker>
            <c:symbol val="none"/>
          </c:marker>
          <c:xVal>
            <c:numRef>
              <c:f>intermediate_data!$A$2:$A$299</c:f>
              <c:numCache>
                <c:formatCode>General</c:formatCode>
                <c:ptCount val="298"/>
                <c:pt idx="0">
                  <c:v>53.683999999999997</c:v>
                </c:pt>
                <c:pt idx="1">
                  <c:v>53.756</c:v>
                </c:pt>
                <c:pt idx="2">
                  <c:v>54.529000000000003</c:v>
                </c:pt>
                <c:pt idx="3">
                  <c:v>55.472999999999999</c:v>
                </c:pt>
                <c:pt idx="4">
                  <c:v>55.91</c:v>
                </c:pt>
                <c:pt idx="5">
                  <c:v>56.984000000000002</c:v>
                </c:pt>
                <c:pt idx="6">
                  <c:v>57.091999999999999</c:v>
                </c:pt>
                <c:pt idx="7">
                  <c:v>57.482999999999997</c:v>
                </c:pt>
                <c:pt idx="8">
                  <c:v>58.719000000000001</c:v>
                </c:pt>
                <c:pt idx="9">
                  <c:v>107.248</c:v>
                </c:pt>
                <c:pt idx="10">
                  <c:v>107.48399999999999</c:v>
                </c:pt>
                <c:pt idx="11">
                  <c:v>109.506</c:v>
                </c:pt>
                <c:pt idx="12">
                  <c:v>111.09399999999999</c:v>
                </c:pt>
                <c:pt idx="13">
                  <c:v>111.527</c:v>
                </c:pt>
                <c:pt idx="14">
                  <c:v>112.53</c:v>
                </c:pt>
                <c:pt idx="15">
                  <c:v>113.36199999999999</c:v>
                </c:pt>
                <c:pt idx="16">
                  <c:v>113.758</c:v>
                </c:pt>
                <c:pt idx="17">
                  <c:v>115.387</c:v>
                </c:pt>
                <c:pt idx="18">
                  <c:v>160.595</c:v>
                </c:pt>
                <c:pt idx="19">
                  <c:v>160.697</c:v>
                </c:pt>
                <c:pt idx="20">
                  <c:v>163.79</c:v>
                </c:pt>
                <c:pt idx="21">
                  <c:v>166.34</c:v>
                </c:pt>
                <c:pt idx="22">
                  <c:v>166.87200000000001</c:v>
                </c:pt>
                <c:pt idx="23">
                  <c:v>167.84800000000001</c:v>
                </c:pt>
                <c:pt idx="24">
                  <c:v>169.19900000000001</c:v>
                </c:pt>
                <c:pt idx="25">
                  <c:v>170.291</c:v>
                </c:pt>
                <c:pt idx="26">
                  <c:v>171.417</c:v>
                </c:pt>
                <c:pt idx="27">
                  <c:v>214.05799999999999</c:v>
                </c:pt>
                <c:pt idx="28">
                  <c:v>214.31100000000001</c:v>
                </c:pt>
                <c:pt idx="29">
                  <c:v>217.57599999999999</c:v>
                </c:pt>
                <c:pt idx="30">
                  <c:v>221.208</c:v>
                </c:pt>
                <c:pt idx="31">
                  <c:v>222.99600000000001</c:v>
                </c:pt>
                <c:pt idx="32">
                  <c:v>223.346</c:v>
                </c:pt>
                <c:pt idx="33">
                  <c:v>224.792</c:v>
                </c:pt>
                <c:pt idx="34">
                  <c:v>227.23699999999999</c:v>
                </c:pt>
                <c:pt idx="35">
                  <c:v>227.387</c:v>
                </c:pt>
                <c:pt idx="36">
                  <c:v>267.20299999999997</c:v>
                </c:pt>
                <c:pt idx="37">
                  <c:v>267.286</c:v>
                </c:pt>
                <c:pt idx="38">
                  <c:v>271.62</c:v>
                </c:pt>
                <c:pt idx="39">
                  <c:v>276.245</c:v>
                </c:pt>
                <c:pt idx="40">
                  <c:v>278.11500000000001</c:v>
                </c:pt>
                <c:pt idx="41">
                  <c:v>278.77100000000002</c:v>
                </c:pt>
                <c:pt idx="42">
                  <c:v>280.43099999999998</c:v>
                </c:pt>
                <c:pt idx="43">
                  <c:v>283.97699999999998</c:v>
                </c:pt>
                <c:pt idx="44">
                  <c:v>284.36900000000003</c:v>
                </c:pt>
                <c:pt idx="45">
                  <c:v>319.94</c:v>
                </c:pt>
                <c:pt idx="46">
                  <c:v>320.41699999999997</c:v>
                </c:pt>
                <c:pt idx="47">
                  <c:v>325.77699999999999</c:v>
                </c:pt>
                <c:pt idx="48">
                  <c:v>331.447</c:v>
                </c:pt>
                <c:pt idx="49">
                  <c:v>333.30500000000001</c:v>
                </c:pt>
                <c:pt idx="50">
                  <c:v>333.83100000000002</c:v>
                </c:pt>
                <c:pt idx="51">
                  <c:v>335.64</c:v>
                </c:pt>
                <c:pt idx="52">
                  <c:v>340.83300000000003</c:v>
                </c:pt>
                <c:pt idx="53">
                  <c:v>341.09199999999998</c:v>
                </c:pt>
                <c:pt idx="54">
                  <c:v>372.53500000000003</c:v>
                </c:pt>
                <c:pt idx="55">
                  <c:v>373.22</c:v>
                </c:pt>
                <c:pt idx="56">
                  <c:v>380.05599999999998</c:v>
                </c:pt>
                <c:pt idx="57">
                  <c:v>386.74900000000002</c:v>
                </c:pt>
                <c:pt idx="58">
                  <c:v>388.19299999999998</c:v>
                </c:pt>
                <c:pt idx="59">
                  <c:v>388.30299999999988</c:v>
                </c:pt>
                <c:pt idx="60">
                  <c:v>391.55099999999999</c:v>
                </c:pt>
                <c:pt idx="61">
                  <c:v>397.34199999999998</c:v>
                </c:pt>
                <c:pt idx="62">
                  <c:v>397.60199999999998</c:v>
                </c:pt>
                <c:pt idx="63">
                  <c:v>425.07600000000002</c:v>
                </c:pt>
                <c:pt idx="64">
                  <c:v>426.26299999999998</c:v>
                </c:pt>
                <c:pt idx="65">
                  <c:v>434.23099999999999</c:v>
                </c:pt>
                <c:pt idx="66">
                  <c:v>442.30500000000001</c:v>
                </c:pt>
                <c:pt idx="67">
                  <c:v>442.87700000000001</c:v>
                </c:pt>
                <c:pt idx="68">
                  <c:v>443.70699999999999</c:v>
                </c:pt>
                <c:pt idx="69">
                  <c:v>447.20600000000002</c:v>
                </c:pt>
                <c:pt idx="70">
                  <c:v>453.82100000000003</c:v>
                </c:pt>
                <c:pt idx="71">
                  <c:v>454.59500000000003</c:v>
                </c:pt>
                <c:pt idx="72">
                  <c:v>477.66599999999988</c:v>
                </c:pt>
                <c:pt idx="73">
                  <c:v>479.28800000000001</c:v>
                </c:pt>
                <c:pt idx="74">
                  <c:v>488.19099999999997</c:v>
                </c:pt>
                <c:pt idx="75">
                  <c:v>497.56099999999998</c:v>
                </c:pt>
                <c:pt idx="76">
                  <c:v>497.72300000000001</c:v>
                </c:pt>
                <c:pt idx="77">
                  <c:v>498.91699999999997</c:v>
                </c:pt>
                <c:pt idx="78">
                  <c:v>502.58499999999998</c:v>
                </c:pt>
                <c:pt idx="79">
                  <c:v>509.87099999999998</c:v>
                </c:pt>
                <c:pt idx="80">
                  <c:v>511.53800000000001</c:v>
                </c:pt>
                <c:pt idx="81">
                  <c:v>530.65299999999991</c:v>
                </c:pt>
                <c:pt idx="82">
                  <c:v>532.33299999999997</c:v>
                </c:pt>
                <c:pt idx="83">
                  <c:v>541.52099999999996</c:v>
                </c:pt>
                <c:pt idx="84">
                  <c:v>551.93500000000006</c:v>
                </c:pt>
                <c:pt idx="85">
                  <c:v>552.71499999999992</c:v>
                </c:pt>
                <c:pt idx="86">
                  <c:v>553.38400000000001</c:v>
                </c:pt>
                <c:pt idx="87">
                  <c:v>558.18000000000006</c:v>
                </c:pt>
                <c:pt idx="88">
                  <c:v>566.23699999999997</c:v>
                </c:pt>
                <c:pt idx="89">
                  <c:v>569.47499999999991</c:v>
                </c:pt>
                <c:pt idx="90">
                  <c:v>583.65299999999991</c:v>
                </c:pt>
                <c:pt idx="91">
                  <c:v>585.43899999999996</c:v>
                </c:pt>
                <c:pt idx="92">
                  <c:v>594.96499999999992</c:v>
                </c:pt>
                <c:pt idx="93">
                  <c:v>606.97200000000009</c:v>
                </c:pt>
                <c:pt idx="94">
                  <c:v>607.32999999999993</c:v>
                </c:pt>
                <c:pt idx="95">
                  <c:v>608.36599999999999</c:v>
                </c:pt>
                <c:pt idx="96">
                  <c:v>613.03800000000001</c:v>
                </c:pt>
                <c:pt idx="97">
                  <c:v>621.69099999999992</c:v>
                </c:pt>
                <c:pt idx="98">
                  <c:v>625.02299999999991</c:v>
                </c:pt>
                <c:pt idx="99">
                  <c:v>636.24399999999991</c:v>
                </c:pt>
                <c:pt idx="100">
                  <c:v>638.471</c:v>
                </c:pt>
                <c:pt idx="101">
                  <c:v>648.21699999999987</c:v>
                </c:pt>
                <c:pt idx="102">
                  <c:v>661.52299999999991</c:v>
                </c:pt>
                <c:pt idx="103">
                  <c:v>661.65100000000007</c:v>
                </c:pt>
                <c:pt idx="104">
                  <c:v>663.02</c:v>
                </c:pt>
                <c:pt idx="105">
                  <c:v>668.73</c:v>
                </c:pt>
                <c:pt idx="106">
                  <c:v>677.15299999999991</c:v>
                </c:pt>
                <c:pt idx="107">
                  <c:v>680.47199999999987</c:v>
                </c:pt>
                <c:pt idx="108">
                  <c:v>688.80799999999988</c:v>
                </c:pt>
                <c:pt idx="109">
                  <c:v>691.47199999999998</c:v>
                </c:pt>
                <c:pt idx="110">
                  <c:v>701.5089999999999</c:v>
                </c:pt>
                <c:pt idx="111">
                  <c:v>716.07599999999991</c:v>
                </c:pt>
                <c:pt idx="112">
                  <c:v>716.20200000000011</c:v>
                </c:pt>
                <c:pt idx="113">
                  <c:v>717.66599999999994</c:v>
                </c:pt>
                <c:pt idx="114">
                  <c:v>724.04100000000005</c:v>
                </c:pt>
                <c:pt idx="115">
                  <c:v>733.63499999999988</c:v>
                </c:pt>
                <c:pt idx="116">
                  <c:v>737.13299999999981</c:v>
                </c:pt>
                <c:pt idx="117">
                  <c:v>741.71299999999985</c:v>
                </c:pt>
                <c:pt idx="118">
                  <c:v>744.25900000000001</c:v>
                </c:pt>
                <c:pt idx="119">
                  <c:v>754.44999999999993</c:v>
                </c:pt>
                <c:pt idx="120">
                  <c:v>770.65599999999995</c:v>
                </c:pt>
                <c:pt idx="121">
                  <c:v>770.76300000000015</c:v>
                </c:pt>
                <c:pt idx="122">
                  <c:v>772.13699999999994</c:v>
                </c:pt>
                <c:pt idx="123">
                  <c:v>779.18400000000008</c:v>
                </c:pt>
                <c:pt idx="124">
                  <c:v>789.3359999999999</c:v>
                </c:pt>
                <c:pt idx="125">
                  <c:v>794.03099999999984</c:v>
                </c:pt>
                <c:pt idx="126">
                  <c:v>794.50299999999982</c:v>
                </c:pt>
                <c:pt idx="127">
                  <c:v>797.92899999999997</c:v>
                </c:pt>
                <c:pt idx="128">
                  <c:v>808.10399999999993</c:v>
                </c:pt>
                <c:pt idx="129">
                  <c:v>825.70099999999991</c:v>
                </c:pt>
                <c:pt idx="130">
                  <c:v>826.44900000000018</c:v>
                </c:pt>
                <c:pt idx="131">
                  <c:v>826.54</c:v>
                </c:pt>
                <c:pt idx="132">
                  <c:v>834.33500000000004</c:v>
                </c:pt>
                <c:pt idx="133">
                  <c:v>845.66899999999987</c:v>
                </c:pt>
                <c:pt idx="134">
                  <c:v>846.68199999999979</c:v>
                </c:pt>
                <c:pt idx="135">
                  <c:v>850.2489999999998</c:v>
                </c:pt>
                <c:pt idx="136">
                  <c:v>851.06</c:v>
                </c:pt>
                <c:pt idx="137">
                  <c:v>862.00699999999995</c:v>
                </c:pt>
                <c:pt idx="138">
                  <c:v>879.50599999999986</c:v>
                </c:pt>
                <c:pt idx="139">
                  <c:v>880.33399999999995</c:v>
                </c:pt>
                <c:pt idx="140">
                  <c:v>880.38000000000022</c:v>
                </c:pt>
                <c:pt idx="141">
                  <c:v>889.13300000000004</c:v>
                </c:pt>
                <c:pt idx="142">
                  <c:v>899.13499999999976</c:v>
                </c:pt>
                <c:pt idx="143">
                  <c:v>902.08499999999981</c:v>
                </c:pt>
                <c:pt idx="144">
                  <c:v>903.89799999999991</c:v>
                </c:pt>
                <c:pt idx="145">
                  <c:v>905.23399999999981</c:v>
                </c:pt>
                <c:pt idx="146">
                  <c:v>914.92899999999997</c:v>
                </c:pt>
                <c:pt idx="147">
                  <c:v>933.46699999999987</c:v>
                </c:pt>
                <c:pt idx="148">
                  <c:v>934.0619999999999</c:v>
                </c:pt>
                <c:pt idx="149">
                  <c:v>934.23800000000017</c:v>
                </c:pt>
                <c:pt idx="150">
                  <c:v>944.41399999999999</c:v>
                </c:pt>
                <c:pt idx="151">
                  <c:v>951.75499999999977</c:v>
                </c:pt>
                <c:pt idx="152">
                  <c:v>956.57899999999995</c:v>
                </c:pt>
                <c:pt idx="153">
                  <c:v>959.00699999999983</c:v>
                </c:pt>
                <c:pt idx="154">
                  <c:v>960.36199999999985</c:v>
                </c:pt>
                <c:pt idx="155">
                  <c:v>968.27699999999993</c:v>
                </c:pt>
                <c:pt idx="156">
                  <c:v>987.40599999999984</c:v>
                </c:pt>
                <c:pt idx="157">
                  <c:v>988.2829999999999</c:v>
                </c:pt>
                <c:pt idx="158">
                  <c:v>988.29300000000012</c:v>
                </c:pt>
                <c:pt idx="159">
                  <c:v>1000.082</c:v>
                </c:pt>
                <c:pt idx="160">
                  <c:v>1004.273</c:v>
                </c:pt>
                <c:pt idx="161">
                  <c:v>1009.982</c:v>
                </c:pt>
                <c:pt idx="162">
                  <c:v>1015.061</c:v>
                </c:pt>
                <c:pt idx="163">
                  <c:v>1017.0119999999999</c:v>
                </c:pt>
                <c:pt idx="164">
                  <c:v>1022.78</c:v>
                </c:pt>
                <c:pt idx="165">
                  <c:v>1041.758</c:v>
                </c:pt>
                <c:pt idx="166">
                  <c:v>1041.9860000000001</c:v>
                </c:pt>
                <c:pt idx="167">
                  <c:v>1042.5309999999999</c:v>
                </c:pt>
                <c:pt idx="168">
                  <c:v>1055.546</c:v>
                </c:pt>
                <c:pt idx="169">
                  <c:v>1056.577</c:v>
                </c:pt>
                <c:pt idx="170">
                  <c:v>1062.8579999999999</c:v>
                </c:pt>
                <c:pt idx="171">
                  <c:v>1072.2570000000001</c:v>
                </c:pt>
                <c:pt idx="172">
                  <c:v>1074.1559999999999</c:v>
                </c:pt>
                <c:pt idx="173">
                  <c:v>1078.1659999999999</c:v>
                </c:pt>
                <c:pt idx="174">
                  <c:v>1095.5119999999999</c:v>
                </c:pt>
                <c:pt idx="175">
                  <c:v>1095.8789999999999</c:v>
                </c:pt>
                <c:pt idx="176">
                  <c:v>1097.713</c:v>
                </c:pt>
                <c:pt idx="177">
                  <c:v>1108.8510000000001</c:v>
                </c:pt>
                <c:pt idx="178">
                  <c:v>1112.067</c:v>
                </c:pt>
                <c:pt idx="179">
                  <c:v>1115.752</c:v>
                </c:pt>
                <c:pt idx="180">
                  <c:v>1127.6790000000001</c:v>
                </c:pt>
                <c:pt idx="181">
                  <c:v>1129.2570000000001</c:v>
                </c:pt>
                <c:pt idx="182">
                  <c:v>1131.1469999999999</c:v>
                </c:pt>
                <c:pt idx="183">
                  <c:v>1149.9880000000001</c:v>
                </c:pt>
                <c:pt idx="184">
                  <c:v>1150.1880000000001</c:v>
                </c:pt>
                <c:pt idx="185">
                  <c:v>1152.442</c:v>
                </c:pt>
                <c:pt idx="186">
                  <c:v>1161.1489999999999</c:v>
                </c:pt>
                <c:pt idx="187">
                  <c:v>1167.48</c:v>
                </c:pt>
                <c:pt idx="188">
                  <c:v>1168.566</c:v>
                </c:pt>
                <c:pt idx="189">
                  <c:v>1183.204</c:v>
                </c:pt>
                <c:pt idx="190">
                  <c:v>1183.8610000000001</c:v>
                </c:pt>
                <c:pt idx="191">
                  <c:v>1184.771</c:v>
                </c:pt>
                <c:pt idx="192">
                  <c:v>1203.7750000000001</c:v>
                </c:pt>
                <c:pt idx="193">
                  <c:v>1204.1310000000001</c:v>
                </c:pt>
                <c:pt idx="194">
                  <c:v>1206.932</c:v>
                </c:pt>
                <c:pt idx="195">
                  <c:v>1213.0440000000001</c:v>
                </c:pt>
                <c:pt idx="196">
                  <c:v>1221.4059999999999</c:v>
                </c:pt>
                <c:pt idx="197">
                  <c:v>1222.7739999999999</c:v>
                </c:pt>
                <c:pt idx="198">
                  <c:v>1236.6559999999999</c:v>
                </c:pt>
                <c:pt idx="199">
                  <c:v>1239.4690000000001</c:v>
                </c:pt>
                <c:pt idx="200">
                  <c:v>1242.714999999999</c:v>
                </c:pt>
                <c:pt idx="201">
                  <c:v>1258.1849999999999</c:v>
                </c:pt>
                <c:pt idx="202">
                  <c:v>1258.5820000000001</c:v>
                </c:pt>
                <c:pt idx="203">
                  <c:v>1262.6769999999999</c:v>
                </c:pt>
                <c:pt idx="204">
                  <c:v>1264.9359999999999</c:v>
                </c:pt>
                <c:pt idx="205">
                  <c:v>1274.2059999999999</c:v>
                </c:pt>
                <c:pt idx="206">
                  <c:v>1278.5029999999999</c:v>
                </c:pt>
                <c:pt idx="207">
                  <c:v>1289.8050000000001</c:v>
                </c:pt>
                <c:pt idx="208">
                  <c:v>1295.049</c:v>
                </c:pt>
                <c:pt idx="209">
                  <c:v>1298.196999999999</c:v>
                </c:pt>
                <c:pt idx="210">
                  <c:v>1311.886</c:v>
                </c:pt>
                <c:pt idx="211">
                  <c:v>1312.077</c:v>
                </c:pt>
                <c:pt idx="212">
                  <c:v>1316.857</c:v>
                </c:pt>
                <c:pt idx="213">
                  <c:v>1316.8969999999999</c:v>
                </c:pt>
                <c:pt idx="214">
                  <c:v>1327.0650000000001</c:v>
                </c:pt>
                <c:pt idx="215">
                  <c:v>1334.078</c:v>
                </c:pt>
                <c:pt idx="216">
                  <c:v>1343.328</c:v>
                </c:pt>
                <c:pt idx="217">
                  <c:v>1353.5630000000001</c:v>
                </c:pt>
                <c:pt idx="218">
                  <c:v>1355.049999999999</c:v>
                </c:pt>
                <c:pt idx="219">
                  <c:v>1365.2909999999999</c:v>
                </c:pt>
                <c:pt idx="220">
                  <c:v>1371.1030000000001</c:v>
                </c:pt>
                <c:pt idx="221">
                  <c:v>1371.922</c:v>
                </c:pt>
                <c:pt idx="222">
                  <c:v>1380.578</c:v>
                </c:pt>
                <c:pt idx="223">
                  <c:v>1390.499</c:v>
                </c:pt>
                <c:pt idx="224">
                  <c:v>1396.672</c:v>
                </c:pt>
                <c:pt idx="225">
                  <c:v>1400.73</c:v>
                </c:pt>
                <c:pt idx="226">
                  <c:v>1409.2739999999999</c:v>
                </c:pt>
                <c:pt idx="227">
                  <c:v>1411.327</c:v>
                </c:pt>
                <c:pt idx="228">
                  <c:v>1418.57</c:v>
                </c:pt>
                <c:pt idx="229">
                  <c:v>1423.5709999999999</c:v>
                </c:pt>
                <c:pt idx="230">
                  <c:v>1426.067</c:v>
                </c:pt>
                <c:pt idx="231">
                  <c:v>1433.5509999999999</c:v>
                </c:pt>
                <c:pt idx="232">
                  <c:v>1445.6969999999999</c:v>
                </c:pt>
                <c:pt idx="233">
                  <c:v>1449.5250000000001</c:v>
                </c:pt>
                <c:pt idx="234">
                  <c:v>1454.1659999999999</c:v>
                </c:pt>
                <c:pt idx="235">
                  <c:v>1464.6569999999999</c:v>
                </c:pt>
                <c:pt idx="236">
                  <c:v>1466.481</c:v>
                </c:pt>
                <c:pt idx="237">
                  <c:v>1472.396</c:v>
                </c:pt>
                <c:pt idx="238">
                  <c:v>1476.029</c:v>
                </c:pt>
                <c:pt idx="239">
                  <c:v>1481.104</c:v>
                </c:pt>
                <c:pt idx="240">
                  <c:v>1486.4649999999999</c:v>
                </c:pt>
                <c:pt idx="241">
                  <c:v>1500.1189999999999</c:v>
                </c:pt>
                <c:pt idx="242">
                  <c:v>1502.5119999999999</c:v>
                </c:pt>
                <c:pt idx="243">
                  <c:v>1507.4490000000001</c:v>
                </c:pt>
                <c:pt idx="244">
                  <c:v>1521.09</c:v>
                </c:pt>
                <c:pt idx="245">
                  <c:v>1525.5940000000001</c:v>
                </c:pt>
                <c:pt idx="246">
                  <c:v>1527.826</c:v>
                </c:pt>
                <c:pt idx="247">
                  <c:v>1529.7850000000001</c:v>
                </c:pt>
                <c:pt idx="248">
                  <c:v>1535.702</c:v>
                </c:pt>
                <c:pt idx="249">
                  <c:v>1539.453</c:v>
                </c:pt>
                <c:pt idx="250">
                  <c:v>1554.7650000000001</c:v>
                </c:pt>
                <c:pt idx="251">
                  <c:v>1555.56</c:v>
                </c:pt>
                <c:pt idx="252">
                  <c:v>1560.393</c:v>
                </c:pt>
                <c:pt idx="253">
                  <c:v>1578.941</c:v>
                </c:pt>
                <c:pt idx="254">
                  <c:v>1581.6189999999999</c:v>
                </c:pt>
                <c:pt idx="255">
                  <c:v>1582.057</c:v>
                </c:pt>
                <c:pt idx="256">
                  <c:v>1582.367</c:v>
                </c:pt>
                <c:pt idx="257">
                  <c:v>1590.6369999999999</c:v>
                </c:pt>
                <c:pt idx="258">
                  <c:v>1593.943</c:v>
                </c:pt>
                <c:pt idx="259">
                  <c:v>1608.1479999999999</c:v>
                </c:pt>
                <c:pt idx="260">
                  <c:v>1609.2860000000001</c:v>
                </c:pt>
                <c:pt idx="261">
                  <c:v>1613.3009999999999</c:v>
                </c:pt>
                <c:pt idx="262">
                  <c:v>1634.2470000000001</c:v>
                </c:pt>
                <c:pt idx="263">
                  <c:v>1634.453</c:v>
                </c:pt>
                <c:pt idx="264">
                  <c:v>1635.501</c:v>
                </c:pt>
                <c:pt idx="265">
                  <c:v>1637.64</c:v>
                </c:pt>
                <c:pt idx="266">
                  <c:v>1646.942</c:v>
                </c:pt>
                <c:pt idx="267">
                  <c:v>1648.1289999999999</c:v>
                </c:pt>
                <c:pt idx="268">
                  <c:v>1660.857</c:v>
                </c:pt>
                <c:pt idx="269">
                  <c:v>1663.2570000000001</c:v>
                </c:pt>
                <c:pt idx="270">
                  <c:v>1666.9079999999999</c:v>
                </c:pt>
                <c:pt idx="271">
                  <c:v>1686.402</c:v>
                </c:pt>
                <c:pt idx="272">
                  <c:v>1688.105</c:v>
                </c:pt>
                <c:pt idx="273">
                  <c:v>1692.096</c:v>
                </c:pt>
                <c:pt idx="274">
                  <c:v>1693.64</c:v>
                </c:pt>
                <c:pt idx="275">
                  <c:v>1700.982</c:v>
                </c:pt>
                <c:pt idx="276">
                  <c:v>1701.133</c:v>
                </c:pt>
                <c:pt idx="277">
                  <c:v>1713.537</c:v>
                </c:pt>
                <c:pt idx="278">
                  <c:v>1717.67</c:v>
                </c:pt>
                <c:pt idx="279">
                  <c:v>1720.1189999999999</c:v>
                </c:pt>
                <c:pt idx="280">
                  <c:v>1738.673</c:v>
                </c:pt>
                <c:pt idx="281">
                  <c:v>1741.722</c:v>
                </c:pt>
                <c:pt idx="282">
                  <c:v>1748.4749999999999</c:v>
                </c:pt>
                <c:pt idx="283">
                  <c:v>1748.867</c:v>
                </c:pt>
                <c:pt idx="284">
                  <c:v>1755.2349999999999</c:v>
                </c:pt>
                <c:pt idx="285">
                  <c:v>1755.2439999999999</c:v>
                </c:pt>
                <c:pt idx="286">
                  <c:v>1766.07</c:v>
                </c:pt>
                <c:pt idx="287">
                  <c:v>1771.6389999999999</c:v>
                </c:pt>
                <c:pt idx="288">
                  <c:v>1773.8879999999999</c:v>
                </c:pt>
                <c:pt idx="289">
                  <c:v>1791.0740000000001</c:v>
                </c:pt>
                <c:pt idx="290">
                  <c:v>1794.713</c:v>
                </c:pt>
                <c:pt idx="291">
                  <c:v>1805.02</c:v>
                </c:pt>
                <c:pt idx="292">
                  <c:v>1805.8710000000001</c:v>
                </c:pt>
                <c:pt idx="293">
                  <c:v>1808.5830000000001</c:v>
                </c:pt>
                <c:pt idx="294">
                  <c:v>1809.4469999999999</c:v>
                </c:pt>
                <c:pt idx="295">
                  <c:v>1819.8219999999999</c:v>
                </c:pt>
                <c:pt idx="296">
                  <c:v>1826.442</c:v>
                </c:pt>
                <c:pt idx="297">
                  <c:v>1828.6089999999999</c:v>
                </c:pt>
              </c:numCache>
            </c:numRef>
          </c:xVal>
          <c:yVal>
            <c:numRef>
              <c:f>intermediate_data!$N$2:$N$299</c:f>
              <c:numCache>
                <c:formatCode>General</c:formatCode>
                <c:ptCount val="298"/>
                <c:pt idx="0">
                  <c:v>5.6571607188379613E-2</c:v>
                </c:pt>
                <c:pt idx="1">
                  <c:v>5.6647479994384464E-2</c:v>
                </c:pt>
                <c:pt idx="2">
                  <c:v>5.7533027699004369E-2</c:v>
                </c:pt>
                <c:pt idx="3">
                  <c:v>5.86144727613086E-2</c:v>
                </c:pt>
                <c:pt idx="4">
                  <c:v>5.9115099342057387E-2</c:v>
                </c:pt>
                <c:pt idx="5">
                  <c:v>6.034547222014508E-2</c:v>
                </c:pt>
                <c:pt idx="6">
                  <c:v>6.0420131288978052E-2</c:v>
                </c:pt>
                <c:pt idx="7">
                  <c:v>6.0690424769661133E-2</c:v>
                </c:pt>
                <c:pt idx="8">
                  <c:v>6.1544856335195464E-2</c:v>
                </c:pt>
                <c:pt idx="9">
                  <c:v>9.5092355885212587E-2</c:v>
                </c:pt>
                <c:pt idx="10">
                  <c:v>9.5267491487756928E-2</c:v>
                </c:pt>
                <c:pt idx="11">
                  <c:v>9.6768017709558674E-2</c:v>
                </c:pt>
                <c:pt idx="12">
                  <c:v>9.7946472526680761E-2</c:v>
                </c:pt>
                <c:pt idx="13">
                  <c:v>9.82678018313492E-2</c:v>
                </c:pt>
                <c:pt idx="14">
                  <c:v>9.9012128142163647E-2</c:v>
                </c:pt>
                <c:pt idx="15">
                  <c:v>9.9567819290542037E-2</c:v>
                </c:pt>
                <c:pt idx="16">
                  <c:v>9.9832306904433565E-2</c:v>
                </c:pt>
                <c:pt idx="17">
                  <c:v>0.10092031277066971</c:v>
                </c:pt>
                <c:pt idx="18">
                  <c:v>0.13111464622726787</c:v>
                </c:pt>
                <c:pt idx="19">
                  <c:v>0.13117862328905971</c:v>
                </c:pt>
                <c:pt idx="20">
                  <c:v>0.13311863360398402</c:v>
                </c:pt>
                <c:pt idx="21">
                  <c:v>0.13471806014878052</c:v>
                </c:pt>
                <c:pt idx="22">
                  <c:v>0.13505174443185197</c:v>
                </c:pt>
                <c:pt idx="23">
                  <c:v>0.13566391710154724</c:v>
                </c:pt>
                <c:pt idx="24">
                  <c:v>0.13643601463026256</c:v>
                </c:pt>
                <c:pt idx="25">
                  <c:v>0.13706009346176273</c:v>
                </c:pt>
                <c:pt idx="26">
                  <c:v>0.13770360331915255</c:v>
                </c:pt>
                <c:pt idx="27">
                  <c:v>0.16207296728802545</c:v>
                </c:pt>
                <c:pt idx="28">
                  <c:v>0.16224587298074944</c:v>
                </c:pt>
                <c:pt idx="29">
                  <c:v>0.16447724486511284</c:v>
                </c:pt>
                <c:pt idx="30">
                  <c:v>0.1669594325171837</c:v>
                </c:pt>
                <c:pt idx="31">
                  <c:v>0.16818139053532821</c:v>
                </c:pt>
                <c:pt idx="32">
                  <c:v>0.168417248991517</c:v>
                </c:pt>
                <c:pt idx="33">
                  <c:v>0.16939168135623017</c:v>
                </c:pt>
                <c:pt idx="34">
                  <c:v>0.1710393211430361</c:v>
                </c:pt>
                <c:pt idx="35">
                  <c:v>0.17114040333854597</c:v>
                </c:pt>
                <c:pt idx="36">
                  <c:v>0.19797166131461097</c:v>
                </c:pt>
                <c:pt idx="37">
                  <c:v>0.19803967606348838</c:v>
                </c:pt>
                <c:pt idx="38">
                  <c:v>0.20159119319164009</c:v>
                </c:pt>
                <c:pt idx="39">
                  <c:v>0.20538117166826808</c:v>
                </c:pt>
                <c:pt idx="40">
                  <c:v>0.20691355215503382</c:v>
                </c:pt>
                <c:pt idx="41">
                  <c:v>0.20746642539859561</c:v>
                </c:pt>
                <c:pt idx="42">
                  <c:v>0.2088654643990715</c:v>
                </c:pt>
                <c:pt idx="43">
                  <c:v>0.21185401397478465</c:v>
                </c:pt>
                <c:pt idx="44">
                  <c:v>0.21218438944959672</c:v>
                </c:pt>
                <c:pt idx="45">
                  <c:v>0.2421634354049651</c:v>
                </c:pt>
                <c:pt idx="46">
                  <c:v>0.24258986848550457</c:v>
                </c:pt>
                <c:pt idx="47">
                  <c:v>0.24738165320603578</c:v>
                </c:pt>
                <c:pt idx="48">
                  <c:v>0.25245057472943433</c:v>
                </c:pt>
                <c:pt idx="49">
                  <c:v>0.25411160756725959</c:v>
                </c:pt>
                <c:pt idx="50">
                  <c:v>0.25452940708382066</c:v>
                </c:pt>
                <c:pt idx="51">
                  <c:v>0.25596628793070142</c:v>
                </c:pt>
                <c:pt idx="52">
                  <c:v>0.26009106528716774</c:v>
                </c:pt>
                <c:pt idx="53">
                  <c:v>0.26029678786281352</c:v>
                </c:pt>
                <c:pt idx="54">
                  <c:v>0.28527182626439362</c:v>
                </c:pt>
                <c:pt idx="55">
                  <c:v>0.28582930450458743</c:v>
                </c:pt>
                <c:pt idx="56">
                  <c:v>0.29139269319067207</c:v>
                </c:pt>
                <c:pt idx="57">
                  <c:v>0.29683970320763553</c:v>
                </c:pt>
                <c:pt idx="58">
                  <c:v>0.29801488361470163</c:v>
                </c:pt>
                <c:pt idx="59">
                  <c:v>0.2981270045569735</c:v>
                </c:pt>
                <c:pt idx="60">
                  <c:v>0.30143763019788583</c:v>
                </c:pt>
                <c:pt idx="61">
                  <c:v>0.30734028816787529</c:v>
                </c:pt>
                <c:pt idx="62">
                  <c:v>0.30760530130415553</c:v>
                </c:pt>
                <c:pt idx="63">
                  <c:v>0.33560903555859944</c:v>
                </c:pt>
                <c:pt idx="64">
                  <c:v>0.33679787278374285</c:v>
                </c:pt>
                <c:pt idx="65">
                  <c:v>0.34477820556382088</c:v>
                </c:pt>
                <c:pt idx="66">
                  <c:v>0.35286470240949619</c:v>
                </c:pt>
                <c:pt idx="67">
                  <c:v>0.35343758774461165</c:v>
                </c:pt>
                <c:pt idx="68">
                  <c:v>0.35426887240920379</c:v>
                </c:pt>
                <c:pt idx="69">
                  <c:v>0.35742623395902484</c:v>
                </c:pt>
                <c:pt idx="70">
                  <c:v>0.36339535275069856</c:v>
                </c:pt>
                <c:pt idx="71">
                  <c:v>0.36409378025557437</c:v>
                </c:pt>
                <c:pt idx="72">
                  <c:v>0.3849121535953639</c:v>
                </c:pt>
                <c:pt idx="73">
                  <c:v>0.38614469987165378</c:v>
                </c:pt>
                <c:pt idx="74">
                  <c:v>0.39291002631912875</c:v>
                </c:pt>
                <c:pt idx="75">
                  <c:v>0.40003022274874134</c:v>
                </c:pt>
                <c:pt idx="76">
                  <c:v>0.4001533253977918</c:v>
                </c:pt>
                <c:pt idx="77">
                  <c:v>0.40106063751486332</c:v>
                </c:pt>
                <c:pt idx="78">
                  <c:v>0.40294163517621051</c:v>
                </c:pt>
                <c:pt idx="79">
                  <c:v>0.40667798985466952</c:v>
                </c:pt>
                <c:pt idx="80">
                  <c:v>0.40753284893358632</c:v>
                </c:pt>
                <c:pt idx="81">
                  <c:v>0.41733526722602754</c:v>
                </c:pt>
                <c:pt idx="82">
                  <c:v>0.41818901595600266</c:v>
                </c:pt>
                <c:pt idx="83">
                  <c:v>0.42285820841492949</c:v>
                </c:pt>
                <c:pt idx="84">
                  <c:v>0.4281504341732294</c:v>
                </c:pt>
                <c:pt idx="85">
                  <c:v>0.42854681751214585</c:v>
                </c:pt>
                <c:pt idx="86">
                  <c:v>0.42888679245283257</c:v>
                </c:pt>
                <c:pt idx="87">
                  <c:v>0.4321488109659235</c:v>
                </c:pt>
                <c:pt idx="88">
                  <c:v>0.43762881162480127</c:v>
                </c:pt>
                <c:pt idx="89">
                  <c:v>0.43983115022892783</c:v>
                </c:pt>
                <c:pt idx="90">
                  <c:v>0.44947437343130758</c:v>
                </c:pt>
                <c:pt idx="91">
                  <c:v>0.45095119854267907</c:v>
                </c:pt>
                <c:pt idx="92">
                  <c:v>0.4588281503965046</c:v>
                </c:pt>
                <c:pt idx="93">
                  <c:v>0.46875661574490657</c:v>
                </c:pt>
                <c:pt idx="94">
                  <c:v>0.46905264227899046</c:v>
                </c:pt>
                <c:pt idx="95">
                  <c:v>0.46990930007035558</c:v>
                </c:pt>
                <c:pt idx="96">
                  <c:v>0.47326257128430171</c:v>
                </c:pt>
                <c:pt idx="97">
                  <c:v>0.47947315686099046</c:v>
                </c:pt>
                <c:pt idx="98">
                  <c:v>0.48186465936203327</c:v>
                </c:pt>
                <c:pt idx="99">
                  <c:v>0.48991839572584084</c:v>
                </c:pt>
                <c:pt idx="100">
                  <c:v>0.49153854915393858</c:v>
                </c:pt>
                <c:pt idx="101">
                  <c:v>0.49862881197847386</c:v>
                </c:pt>
                <c:pt idx="102">
                  <c:v>0.50830899227226212</c:v>
                </c:pt>
                <c:pt idx="103">
                  <c:v>0.50840211290037018</c:v>
                </c:pt>
                <c:pt idx="104">
                  <c:v>0.50939806711818036</c:v>
                </c:pt>
                <c:pt idx="105">
                  <c:v>0.51353682526856659</c:v>
                </c:pt>
                <c:pt idx="106">
                  <c:v>0.51964203716010893</c:v>
                </c:pt>
                <c:pt idx="107">
                  <c:v>0.52204773563666507</c:v>
                </c:pt>
                <c:pt idx="108">
                  <c:v>0.52808988764045139</c:v>
                </c:pt>
                <c:pt idx="109">
                  <c:v>0.52969415923948837</c:v>
                </c:pt>
                <c:pt idx="110">
                  <c:v>0.53573848132639945</c:v>
                </c:pt>
                <c:pt idx="111">
                  <c:v>0.54451078777653805</c:v>
                </c:pt>
                <c:pt idx="112">
                  <c:v>0.54458666548730328</c:v>
                </c:pt>
                <c:pt idx="113">
                  <c:v>0.54546829222190851</c:v>
                </c:pt>
                <c:pt idx="114">
                  <c:v>0.5489325474400637</c:v>
                </c:pt>
                <c:pt idx="115">
                  <c:v>0.55414604776366616</c:v>
                </c:pt>
                <c:pt idx="116">
                  <c:v>0.55604690497983889</c:v>
                </c:pt>
                <c:pt idx="117">
                  <c:v>0.55853573461107864</c:v>
                </c:pt>
                <c:pt idx="118">
                  <c:v>0.56045920695945384</c:v>
                </c:pt>
                <c:pt idx="119">
                  <c:v>0.56815838476867953</c:v>
                </c:pt>
                <c:pt idx="120">
                  <c:v>0.58040182266253559</c:v>
                </c:pt>
                <c:pt idx="121">
                  <c:v>0.58048265987434888</c:v>
                </c:pt>
                <c:pt idx="122">
                  <c:v>0.58152070033258241</c:v>
                </c:pt>
                <c:pt idx="123">
                  <c:v>0.58668291842014142</c:v>
                </c:pt>
                <c:pt idx="124">
                  <c:v>0.59411967704436108</c:v>
                </c:pt>
                <c:pt idx="125">
                  <c:v>0.59755895814569193</c:v>
                </c:pt>
                <c:pt idx="126">
                  <c:v>0.59784765804154816</c:v>
                </c:pt>
                <c:pt idx="127">
                  <c:v>0.59994317889577964</c:v>
                </c:pt>
                <c:pt idx="128">
                  <c:v>0.60616674126934278</c:v>
                </c:pt>
                <c:pt idx="129">
                  <c:v>0.61692998717475156</c:v>
                </c:pt>
                <c:pt idx="130">
                  <c:v>0.617387503111404</c:v>
                </c:pt>
                <c:pt idx="131">
                  <c:v>0.61744316347268047</c:v>
                </c:pt>
                <c:pt idx="132">
                  <c:v>0.62058889668158734</c:v>
                </c:pt>
                <c:pt idx="133">
                  <c:v>0.62516282101638154</c:v>
                </c:pt>
                <c:pt idx="134">
                  <c:v>0.62557162508830366</c:v>
                </c:pt>
                <c:pt idx="135">
                  <c:v>0.62726685152407669</c:v>
                </c:pt>
                <c:pt idx="136">
                  <c:v>0.62765228147625152</c:v>
                </c:pt>
                <c:pt idx="137">
                  <c:v>0.63285487295155463</c:v>
                </c:pt>
                <c:pt idx="138">
                  <c:v>0.64117132021804579</c:v>
                </c:pt>
                <c:pt idx="139">
                  <c:v>0.64156482946638249</c:v>
                </c:pt>
                <c:pt idx="140">
                  <c:v>0.64158564066095636</c:v>
                </c:pt>
                <c:pt idx="141">
                  <c:v>0.64554564905475686</c:v>
                </c:pt>
                <c:pt idx="142">
                  <c:v>0.65007072662299237</c:v>
                </c:pt>
                <c:pt idx="143">
                  <c:v>0.6512268661732179</c:v>
                </c:pt>
                <c:pt idx="144">
                  <c:v>0.6519374021069666</c:v>
                </c:pt>
                <c:pt idx="145">
                  <c:v>0.65246099615411879</c:v>
                </c:pt>
                <c:pt idx="146">
                  <c:v>0.6562605802013799</c:v>
                </c:pt>
                <c:pt idx="147">
                  <c:v>0.66352583951733735</c:v>
                </c:pt>
                <c:pt idx="148">
                  <c:v>0.66375902698593947</c:v>
                </c:pt>
                <c:pt idx="149">
                  <c:v>0.66385778802101569</c:v>
                </c:pt>
                <c:pt idx="150">
                  <c:v>0.66956797150359293</c:v>
                </c:pt>
                <c:pt idx="151">
                  <c:v>0.67368731672230453</c:v>
                </c:pt>
                <c:pt idx="152">
                  <c:v>0.67657231956365749</c:v>
                </c:pt>
                <c:pt idx="153">
                  <c:v>0.67802438981630786</c:v>
                </c:pt>
                <c:pt idx="154">
                  <c:v>0.67883475027444362</c:v>
                </c:pt>
                <c:pt idx="155">
                  <c:v>0.6835683318435315</c:v>
                </c:pt>
                <c:pt idx="156">
                  <c:v>0.69500846852516673</c:v>
                </c:pt>
                <c:pt idx="157">
                  <c:v>0.6955329601279594</c:v>
                </c:pt>
                <c:pt idx="158">
                  <c:v>0.69553716169815871</c:v>
                </c:pt>
                <c:pt idx="159">
                  <c:v>0.70049039280765157</c:v>
                </c:pt>
                <c:pt idx="160">
                  <c:v>0.70225127087872252</c:v>
                </c:pt>
                <c:pt idx="161">
                  <c:v>0.70509471243978439</c:v>
                </c:pt>
                <c:pt idx="162">
                  <c:v>0.70762437432253478</c:v>
                </c:pt>
                <c:pt idx="163">
                  <c:v>0.70859609519932931</c:v>
                </c:pt>
                <c:pt idx="164">
                  <c:v>0.71146892247629268</c:v>
                </c:pt>
                <c:pt idx="165">
                  <c:v>0.72092116173812215</c:v>
                </c:pt>
                <c:pt idx="166">
                  <c:v>0.72103472009789016</c:v>
                </c:pt>
                <c:pt idx="167">
                  <c:v>0.72134194268117469</c:v>
                </c:pt>
                <c:pt idx="168">
                  <c:v>0.72867864345447231</c:v>
                </c:pt>
                <c:pt idx="169">
                  <c:v>0.72925982966248171</c:v>
                </c:pt>
                <c:pt idx="170">
                  <c:v>0.73286941695450381</c:v>
                </c:pt>
                <c:pt idx="171">
                  <c:v>0.73827086751296989</c:v>
                </c:pt>
                <c:pt idx="172">
                  <c:v>0.73936219154856175</c:v>
                </c:pt>
                <c:pt idx="173">
                  <c:v>0.74166667252945828</c:v>
                </c:pt>
                <c:pt idx="174">
                  <c:v>0.75163513315155939</c:v>
                </c:pt>
                <c:pt idx="175">
                  <c:v>0.75184604200941507</c:v>
                </c:pt>
                <c:pt idx="176">
                  <c:v>0.75316068008114101</c:v>
                </c:pt>
                <c:pt idx="177">
                  <c:v>0.76114456167486466</c:v>
                </c:pt>
                <c:pt idx="178">
                  <c:v>0.7634216046320681</c:v>
                </c:pt>
                <c:pt idx="179">
                  <c:v>0.76603071635386399</c:v>
                </c:pt>
                <c:pt idx="180">
                  <c:v>0.77447545868923484</c:v>
                </c:pt>
                <c:pt idx="181">
                  <c:v>0.77559273909547599</c:v>
                </c:pt>
                <c:pt idx="182">
                  <c:v>0.77693092665428054</c:v>
                </c:pt>
                <c:pt idx="183">
                  <c:v>0.79027102813334338</c:v>
                </c:pt>
                <c:pt idx="184">
                  <c:v>0.79041263528242567</c:v>
                </c:pt>
                <c:pt idx="185">
                  <c:v>0.79172695080620059</c:v>
                </c:pt>
                <c:pt idx="186">
                  <c:v>0.796804033887625</c:v>
                </c:pt>
                <c:pt idx="187">
                  <c:v>0.80143574702524134</c:v>
                </c:pt>
                <c:pt idx="188">
                  <c:v>0.8022302566552284</c:v>
                </c:pt>
                <c:pt idx="189">
                  <c:v>0.81293931002885955</c:v>
                </c:pt>
                <c:pt idx="190">
                  <c:v>0.81341996640722058</c:v>
                </c:pt>
                <c:pt idx="191">
                  <c:v>0.8140857157288508</c:v>
                </c:pt>
                <c:pt idx="192">
                  <c:v>0.82798890266097303</c:v>
                </c:pt>
                <c:pt idx="193">
                  <c:v>0.82824934964833474</c:v>
                </c:pt>
                <c:pt idx="194">
                  <c:v>0.83078297608514617</c:v>
                </c:pt>
                <c:pt idx="195">
                  <c:v>0.83631154616077197</c:v>
                </c:pt>
                <c:pt idx="196">
                  <c:v>0.84388465467181462</c:v>
                </c:pt>
                <c:pt idx="197">
                  <c:v>0.84512359421296424</c:v>
                </c:pt>
                <c:pt idx="198">
                  <c:v>0.85769593245145614</c:v>
                </c:pt>
                <c:pt idx="199">
                  <c:v>0.86024354716582963</c:v>
                </c:pt>
                <c:pt idx="200">
                  <c:v>0.86318331160338602</c:v>
                </c:pt>
                <c:pt idx="201">
                  <c:v>0.87719383404607854</c:v>
                </c:pt>
                <c:pt idx="202">
                  <c:v>0.87755338009712958</c:v>
                </c:pt>
                <c:pt idx="203">
                  <c:v>0.87991806798661543</c:v>
                </c:pt>
                <c:pt idx="204">
                  <c:v>0.88122254416300905</c:v>
                </c:pt>
                <c:pt idx="205">
                  <c:v>0.88633835410205819</c:v>
                </c:pt>
                <c:pt idx="206">
                  <c:v>0.88870972792170377</c:v>
                </c:pt>
                <c:pt idx="207">
                  <c:v>0.89494693222927069</c:v>
                </c:pt>
                <c:pt idx="208">
                  <c:v>0.89784092438896579</c:v>
                </c:pt>
                <c:pt idx="209">
                  <c:v>0.89957820267247612</c:v>
                </c:pt>
                <c:pt idx="210">
                  <c:v>0.9071327142426675</c:v>
                </c:pt>
                <c:pt idx="211">
                  <c:v>0.90723812089836997</c:v>
                </c:pt>
                <c:pt idx="212">
                  <c:v>0.90940420623180174</c:v>
                </c:pt>
                <c:pt idx="213">
                  <c:v>0.9094223324688997</c:v>
                </c:pt>
                <c:pt idx="214">
                  <c:v>0.90592550710456976</c:v>
                </c:pt>
                <c:pt idx="215">
                  <c:v>0.90351370180558987</c:v>
                </c:pt>
                <c:pt idx="216">
                  <c:v>0.90033258117025738</c:v>
                </c:pt>
                <c:pt idx="217">
                  <c:v>0.896812714175379</c:v>
                </c:pt>
                <c:pt idx="218">
                  <c:v>0.89630132753919156</c:v>
                </c:pt>
                <c:pt idx="219">
                  <c:v>0.89277939711471177</c:v>
                </c:pt>
                <c:pt idx="220">
                  <c:v>0.89091386850353871</c:v>
                </c:pt>
                <c:pt idx="221">
                  <c:v>0.89115147274075568</c:v>
                </c:pt>
                <c:pt idx="222">
                  <c:v>0.8936627087326201</c:v>
                </c:pt>
                <c:pt idx="223">
                  <c:v>0.89654094028013986</c:v>
                </c:pt>
                <c:pt idx="224">
                  <c:v>0.89833182056869987</c:v>
                </c:pt>
                <c:pt idx="225">
                  <c:v>0.89950910749741553</c:v>
                </c:pt>
                <c:pt idx="226">
                  <c:v>0.90198785060213993</c:v>
                </c:pt>
                <c:pt idx="227">
                  <c:v>0.90258345682803309</c:v>
                </c:pt>
                <c:pt idx="228">
                  <c:v>0.90468476023481159</c:v>
                </c:pt>
                <c:pt idx="229">
                  <c:v>0.9070895106454131</c:v>
                </c:pt>
                <c:pt idx="230">
                  <c:v>0.90829879056835594</c:v>
                </c:pt>
                <c:pt idx="231">
                  <c:v>0.91192469238859175</c:v>
                </c:pt>
                <c:pt idx="232">
                  <c:v>0.91780927329566708</c:v>
                </c:pt>
                <c:pt idx="233">
                  <c:v>0.9196638901005656</c:v>
                </c:pt>
                <c:pt idx="234">
                  <c:v>0.92191239495729249</c:v>
                </c:pt>
                <c:pt idx="235">
                  <c:v>0.92699514963340945</c:v>
                </c:pt>
                <c:pt idx="236">
                  <c:v>0.92787885419248539</c:v>
                </c:pt>
                <c:pt idx="237">
                  <c:v>0.93074459567654344</c:v>
                </c:pt>
                <c:pt idx="238">
                  <c:v>0.93445787479704023</c:v>
                </c:pt>
                <c:pt idx="239">
                  <c:v>0.93730902223726886</c:v>
                </c:pt>
                <c:pt idx="240">
                  <c:v>0.94032084517855807</c:v>
                </c:pt>
                <c:pt idx="241">
                  <c:v>0.94799169584828746</c:v>
                </c:pt>
                <c:pt idx="242">
                  <c:v>0.94933608911419398</c:v>
                </c:pt>
                <c:pt idx="243">
                  <c:v>0.95210970781614179</c:v>
                </c:pt>
                <c:pt idx="244">
                  <c:v>0.95977325505400302</c:v>
                </c:pt>
                <c:pt idx="245">
                  <c:v>0.9623036132945515</c:v>
                </c:pt>
                <c:pt idx="246">
                  <c:v>0.96355755636580298</c:v>
                </c:pt>
                <c:pt idx="247">
                  <c:v>0.96358262227427005</c:v>
                </c:pt>
                <c:pt idx="248">
                  <c:v>0.96611590024370386</c:v>
                </c:pt>
                <c:pt idx="249">
                  <c:v>0.96772183664109335</c:v>
                </c:pt>
                <c:pt idx="250">
                  <c:v>0.97427744797588645</c:v>
                </c:pt>
                <c:pt idx="251">
                  <c:v>0.97461781572739881</c:v>
                </c:pt>
                <c:pt idx="252">
                  <c:v>0.97668699477527454</c:v>
                </c:pt>
                <c:pt idx="253">
                  <c:v>0.98462805270616016</c:v>
                </c:pt>
                <c:pt idx="254">
                  <c:v>0.98577459967289016</c:v>
                </c:pt>
                <c:pt idx="255">
                  <c:v>0.98597557218189635</c:v>
                </c:pt>
                <c:pt idx="256">
                  <c:v>0.98611781299877066</c:v>
                </c:pt>
                <c:pt idx="257">
                  <c:v>0.99204059717918369</c:v>
                </c:pt>
                <c:pt idx="258">
                  <c:v>0.99440827849725366</c:v>
                </c:pt>
                <c:pt idx="259">
                  <c:v>1.0045815734528425</c:v>
                </c:pt>
                <c:pt idx="260">
                  <c:v>1.0053965829325691</c:v>
                </c:pt>
                <c:pt idx="261">
                  <c:v>1.0082720337771107</c:v>
                </c:pt>
                <c:pt idx="262">
                  <c:v>1.0232730782079287</c:v>
                </c:pt>
                <c:pt idx="263">
                  <c:v>1.0233996741837217</c:v>
                </c:pt>
                <c:pt idx="264">
                  <c:v>1.0240437158469895</c:v>
                </c:pt>
                <c:pt idx="265">
                  <c:v>1.0243937757811246</c:v>
                </c:pt>
                <c:pt idx="266">
                  <c:v>1.0259161028065371</c:v>
                </c:pt>
                <c:pt idx="267">
                  <c:v>1.0261103623398782</c:v>
                </c:pt>
                <c:pt idx="268">
                  <c:v>1.028193374421086</c:v>
                </c:pt>
                <c:pt idx="269">
                  <c:v>1.0285861485407395</c:v>
                </c:pt>
                <c:pt idx="270">
                  <c:v>1.0291836561702539</c:v>
                </c:pt>
                <c:pt idx="271">
                  <c:v>1.0323739639571095</c:v>
                </c:pt>
                <c:pt idx="272">
                  <c:v>1.0325802069981371</c:v>
                </c:pt>
                <c:pt idx="273">
                  <c:v>1.0344969481559403</c:v>
                </c:pt>
                <c:pt idx="274">
                  <c:v>1.0352384786865514</c:v>
                </c:pt>
                <c:pt idx="275">
                  <c:v>1.0387645908340239</c:v>
                </c:pt>
                <c:pt idx="276">
                  <c:v>1.0388371109830707</c:v>
                </c:pt>
                <c:pt idx="277">
                  <c:v>1.0447943290540742</c:v>
                </c:pt>
                <c:pt idx="278">
                  <c:v>1.0467792679679349</c:v>
                </c:pt>
                <c:pt idx="279">
                  <c:v>1.0479554391269019</c:v>
                </c:pt>
                <c:pt idx="280">
                  <c:v>1.0568662924072534</c:v>
                </c:pt>
                <c:pt idx="281">
                  <c:v>1.0581859124825783</c:v>
                </c:pt>
                <c:pt idx="282">
                  <c:v>1.0596207643628617</c:v>
                </c:pt>
                <c:pt idx="283">
                  <c:v>1.0597040550391625</c:v>
                </c:pt>
                <c:pt idx="284">
                  <c:v>1.0610571035766441</c:v>
                </c:pt>
                <c:pt idx="285">
                  <c:v>1.0610590158625826</c:v>
                </c:pt>
                <c:pt idx="286">
                  <c:v>1.0633592833667862</c:v>
                </c:pt>
                <c:pt idx="287">
                  <c:v>1.0645425634084376</c:v>
                </c:pt>
                <c:pt idx="288">
                  <c:v>1.0650204224161044</c:v>
                </c:pt>
                <c:pt idx="289">
                  <c:v>1.0686720386480673</c:v>
                </c:pt>
                <c:pt idx="290">
                  <c:v>1.06907922285734</c:v>
                </c:pt>
                <c:pt idx="291">
                  <c:v>1.0752189229375162</c:v>
                </c:pt>
                <c:pt idx="292">
                  <c:v>1.0757258487906469</c:v>
                </c:pt>
                <c:pt idx="293">
                  <c:v>1.0773413398760709</c:v>
                </c:pt>
                <c:pt idx="294">
                  <c:v>1.0778560096023995</c:v>
                </c:pt>
                <c:pt idx="295">
                  <c:v>1.0840362160962158</c:v>
                </c:pt>
                <c:pt idx="296">
                  <c:v>1.0879796346011901</c:v>
                </c:pt>
                <c:pt idx="297">
                  <c:v>1.0892704786948855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396-4B8B-94C9-747D2D4C113F}"/>
            </c:ext>
          </c:extLst>
        </c:ser>
        <c:ser>
          <c:idx val="4"/>
          <c:order val="4"/>
          <c:tx>
            <c:strRef>
              <c:f>race_data!$U$1</c:f>
              <c:strCache>
                <c:ptCount val="1"/>
                <c:pt idx="0">
                  <c:v>NielsS</c:v>
                </c:pt>
              </c:strCache>
            </c:strRef>
          </c:tx>
          <c:marker>
            <c:symbol val="none"/>
          </c:marker>
          <c:xVal>
            <c:numRef>
              <c:f>intermediate_data!$A$2:$A$299</c:f>
              <c:numCache>
                <c:formatCode>General</c:formatCode>
                <c:ptCount val="298"/>
                <c:pt idx="0">
                  <c:v>53.683999999999997</c:v>
                </c:pt>
                <c:pt idx="1">
                  <c:v>53.756</c:v>
                </c:pt>
                <c:pt idx="2">
                  <c:v>54.529000000000003</c:v>
                </c:pt>
                <c:pt idx="3">
                  <c:v>55.472999999999999</c:v>
                </c:pt>
                <c:pt idx="4">
                  <c:v>55.91</c:v>
                </c:pt>
                <c:pt idx="5">
                  <c:v>56.984000000000002</c:v>
                </c:pt>
                <c:pt idx="6">
                  <c:v>57.091999999999999</c:v>
                </c:pt>
                <c:pt idx="7">
                  <c:v>57.482999999999997</c:v>
                </c:pt>
                <c:pt idx="8">
                  <c:v>58.719000000000001</c:v>
                </c:pt>
                <c:pt idx="9">
                  <c:v>107.248</c:v>
                </c:pt>
                <c:pt idx="10">
                  <c:v>107.48399999999999</c:v>
                </c:pt>
                <c:pt idx="11">
                  <c:v>109.506</c:v>
                </c:pt>
                <c:pt idx="12">
                  <c:v>111.09399999999999</c:v>
                </c:pt>
                <c:pt idx="13">
                  <c:v>111.527</c:v>
                </c:pt>
                <c:pt idx="14">
                  <c:v>112.53</c:v>
                </c:pt>
                <c:pt idx="15">
                  <c:v>113.36199999999999</c:v>
                </c:pt>
                <c:pt idx="16">
                  <c:v>113.758</c:v>
                </c:pt>
                <c:pt idx="17">
                  <c:v>115.387</c:v>
                </c:pt>
                <c:pt idx="18">
                  <c:v>160.595</c:v>
                </c:pt>
                <c:pt idx="19">
                  <c:v>160.697</c:v>
                </c:pt>
                <c:pt idx="20">
                  <c:v>163.79</c:v>
                </c:pt>
                <c:pt idx="21">
                  <c:v>166.34</c:v>
                </c:pt>
                <c:pt idx="22">
                  <c:v>166.87200000000001</c:v>
                </c:pt>
                <c:pt idx="23">
                  <c:v>167.84800000000001</c:v>
                </c:pt>
                <c:pt idx="24">
                  <c:v>169.19900000000001</c:v>
                </c:pt>
                <c:pt idx="25">
                  <c:v>170.291</c:v>
                </c:pt>
                <c:pt idx="26">
                  <c:v>171.417</c:v>
                </c:pt>
                <c:pt idx="27">
                  <c:v>214.05799999999999</c:v>
                </c:pt>
                <c:pt idx="28">
                  <c:v>214.31100000000001</c:v>
                </c:pt>
                <c:pt idx="29">
                  <c:v>217.57599999999999</c:v>
                </c:pt>
                <c:pt idx="30">
                  <c:v>221.208</c:v>
                </c:pt>
                <c:pt idx="31">
                  <c:v>222.99600000000001</c:v>
                </c:pt>
                <c:pt idx="32">
                  <c:v>223.346</c:v>
                </c:pt>
                <c:pt idx="33">
                  <c:v>224.792</c:v>
                </c:pt>
                <c:pt idx="34">
                  <c:v>227.23699999999999</c:v>
                </c:pt>
                <c:pt idx="35">
                  <c:v>227.387</c:v>
                </c:pt>
                <c:pt idx="36">
                  <c:v>267.20299999999997</c:v>
                </c:pt>
                <c:pt idx="37">
                  <c:v>267.286</c:v>
                </c:pt>
                <c:pt idx="38">
                  <c:v>271.62</c:v>
                </c:pt>
                <c:pt idx="39">
                  <c:v>276.245</c:v>
                </c:pt>
                <c:pt idx="40">
                  <c:v>278.11500000000001</c:v>
                </c:pt>
                <c:pt idx="41">
                  <c:v>278.77100000000002</c:v>
                </c:pt>
                <c:pt idx="42">
                  <c:v>280.43099999999998</c:v>
                </c:pt>
                <c:pt idx="43">
                  <c:v>283.97699999999998</c:v>
                </c:pt>
                <c:pt idx="44">
                  <c:v>284.36900000000003</c:v>
                </c:pt>
                <c:pt idx="45">
                  <c:v>319.94</c:v>
                </c:pt>
                <c:pt idx="46">
                  <c:v>320.41699999999997</c:v>
                </c:pt>
                <c:pt idx="47">
                  <c:v>325.77699999999999</c:v>
                </c:pt>
                <c:pt idx="48">
                  <c:v>331.447</c:v>
                </c:pt>
                <c:pt idx="49">
                  <c:v>333.30500000000001</c:v>
                </c:pt>
                <c:pt idx="50">
                  <c:v>333.83100000000002</c:v>
                </c:pt>
                <c:pt idx="51">
                  <c:v>335.64</c:v>
                </c:pt>
                <c:pt idx="52">
                  <c:v>340.83300000000003</c:v>
                </c:pt>
                <c:pt idx="53">
                  <c:v>341.09199999999998</c:v>
                </c:pt>
                <c:pt idx="54">
                  <c:v>372.53500000000003</c:v>
                </c:pt>
                <c:pt idx="55">
                  <c:v>373.22</c:v>
                </c:pt>
                <c:pt idx="56">
                  <c:v>380.05599999999998</c:v>
                </c:pt>
                <c:pt idx="57">
                  <c:v>386.74900000000002</c:v>
                </c:pt>
                <c:pt idx="58">
                  <c:v>388.19299999999998</c:v>
                </c:pt>
                <c:pt idx="59">
                  <c:v>388.30299999999988</c:v>
                </c:pt>
                <c:pt idx="60">
                  <c:v>391.55099999999999</c:v>
                </c:pt>
                <c:pt idx="61">
                  <c:v>397.34199999999998</c:v>
                </c:pt>
                <c:pt idx="62">
                  <c:v>397.60199999999998</c:v>
                </c:pt>
                <c:pt idx="63">
                  <c:v>425.07600000000002</c:v>
                </c:pt>
                <c:pt idx="64">
                  <c:v>426.26299999999998</c:v>
                </c:pt>
                <c:pt idx="65">
                  <c:v>434.23099999999999</c:v>
                </c:pt>
                <c:pt idx="66">
                  <c:v>442.30500000000001</c:v>
                </c:pt>
                <c:pt idx="67">
                  <c:v>442.87700000000001</c:v>
                </c:pt>
                <c:pt idx="68">
                  <c:v>443.70699999999999</c:v>
                </c:pt>
                <c:pt idx="69">
                  <c:v>447.20600000000002</c:v>
                </c:pt>
                <c:pt idx="70">
                  <c:v>453.82100000000003</c:v>
                </c:pt>
                <c:pt idx="71">
                  <c:v>454.59500000000003</c:v>
                </c:pt>
                <c:pt idx="72">
                  <c:v>477.66599999999988</c:v>
                </c:pt>
                <c:pt idx="73">
                  <c:v>479.28800000000001</c:v>
                </c:pt>
                <c:pt idx="74">
                  <c:v>488.19099999999997</c:v>
                </c:pt>
                <c:pt idx="75">
                  <c:v>497.56099999999998</c:v>
                </c:pt>
                <c:pt idx="76">
                  <c:v>497.72300000000001</c:v>
                </c:pt>
                <c:pt idx="77">
                  <c:v>498.91699999999997</c:v>
                </c:pt>
                <c:pt idx="78">
                  <c:v>502.58499999999998</c:v>
                </c:pt>
                <c:pt idx="79">
                  <c:v>509.87099999999998</c:v>
                </c:pt>
                <c:pt idx="80">
                  <c:v>511.53800000000001</c:v>
                </c:pt>
                <c:pt idx="81">
                  <c:v>530.65299999999991</c:v>
                </c:pt>
                <c:pt idx="82">
                  <c:v>532.33299999999997</c:v>
                </c:pt>
                <c:pt idx="83">
                  <c:v>541.52099999999996</c:v>
                </c:pt>
                <c:pt idx="84">
                  <c:v>551.93500000000006</c:v>
                </c:pt>
                <c:pt idx="85">
                  <c:v>552.71499999999992</c:v>
                </c:pt>
                <c:pt idx="86">
                  <c:v>553.38400000000001</c:v>
                </c:pt>
                <c:pt idx="87">
                  <c:v>558.18000000000006</c:v>
                </c:pt>
                <c:pt idx="88">
                  <c:v>566.23699999999997</c:v>
                </c:pt>
                <c:pt idx="89">
                  <c:v>569.47499999999991</c:v>
                </c:pt>
                <c:pt idx="90">
                  <c:v>583.65299999999991</c:v>
                </c:pt>
                <c:pt idx="91">
                  <c:v>585.43899999999996</c:v>
                </c:pt>
                <c:pt idx="92">
                  <c:v>594.96499999999992</c:v>
                </c:pt>
                <c:pt idx="93">
                  <c:v>606.97200000000009</c:v>
                </c:pt>
                <c:pt idx="94">
                  <c:v>607.32999999999993</c:v>
                </c:pt>
                <c:pt idx="95">
                  <c:v>608.36599999999999</c:v>
                </c:pt>
                <c:pt idx="96">
                  <c:v>613.03800000000001</c:v>
                </c:pt>
                <c:pt idx="97">
                  <c:v>621.69099999999992</c:v>
                </c:pt>
                <c:pt idx="98">
                  <c:v>625.02299999999991</c:v>
                </c:pt>
                <c:pt idx="99">
                  <c:v>636.24399999999991</c:v>
                </c:pt>
                <c:pt idx="100">
                  <c:v>638.471</c:v>
                </c:pt>
                <c:pt idx="101">
                  <c:v>648.21699999999987</c:v>
                </c:pt>
                <c:pt idx="102">
                  <c:v>661.52299999999991</c:v>
                </c:pt>
                <c:pt idx="103">
                  <c:v>661.65100000000007</c:v>
                </c:pt>
                <c:pt idx="104">
                  <c:v>663.02</c:v>
                </c:pt>
                <c:pt idx="105">
                  <c:v>668.73</c:v>
                </c:pt>
                <c:pt idx="106">
                  <c:v>677.15299999999991</c:v>
                </c:pt>
                <c:pt idx="107">
                  <c:v>680.47199999999987</c:v>
                </c:pt>
                <c:pt idx="108">
                  <c:v>688.80799999999988</c:v>
                </c:pt>
                <c:pt idx="109">
                  <c:v>691.47199999999998</c:v>
                </c:pt>
                <c:pt idx="110">
                  <c:v>701.5089999999999</c:v>
                </c:pt>
                <c:pt idx="111">
                  <c:v>716.07599999999991</c:v>
                </c:pt>
                <c:pt idx="112">
                  <c:v>716.20200000000011</c:v>
                </c:pt>
                <c:pt idx="113">
                  <c:v>717.66599999999994</c:v>
                </c:pt>
                <c:pt idx="114">
                  <c:v>724.04100000000005</c:v>
                </c:pt>
                <c:pt idx="115">
                  <c:v>733.63499999999988</c:v>
                </c:pt>
                <c:pt idx="116">
                  <c:v>737.13299999999981</c:v>
                </c:pt>
                <c:pt idx="117">
                  <c:v>741.71299999999985</c:v>
                </c:pt>
                <c:pt idx="118">
                  <c:v>744.25900000000001</c:v>
                </c:pt>
                <c:pt idx="119">
                  <c:v>754.44999999999993</c:v>
                </c:pt>
                <c:pt idx="120">
                  <c:v>770.65599999999995</c:v>
                </c:pt>
                <c:pt idx="121">
                  <c:v>770.76300000000015</c:v>
                </c:pt>
                <c:pt idx="122">
                  <c:v>772.13699999999994</c:v>
                </c:pt>
                <c:pt idx="123">
                  <c:v>779.18400000000008</c:v>
                </c:pt>
                <c:pt idx="124">
                  <c:v>789.3359999999999</c:v>
                </c:pt>
                <c:pt idx="125">
                  <c:v>794.03099999999984</c:v>
                </c:pt>
                <c:pt idx="126">
                  <c:v>794.50299999999982</c:v>
                </c:pt>
                <c:pt idx="127">
                  <c:v>797.92899999999997</c:v>
                </c:pt>
                <c:pt idx="128">
                  <c:v>808.10399999999993</c:v>
                </c:pt>
                <c:pt idx="129">
                  <c:v>825.70099999999991</c:v>
                </c:pt>
                <c:pt idx="130">
                  <c:v>826.44900000000018</c:v>
                </c:pt>
                <c:pt idx="131">
                  <c:v>826.54</c:v>
                </c:pt>
                <c:pt idx="132">
                  <c:v>834.33500000000004</c:v>
                </c:pt>
                <c:pt idx="133">
                  <c:v>845.66899999999987</c:v>
                </c:pt>
                <c:pt idx="134">
                  <c:v>846.68199999999979</c:v>
                </c:pt>
                <c:pt idx="135">
                  <c:v>850.2489999999998</c:v>
                </c:pt>
                <c:pt idx="136">
                  <c:v>851.06</c:v>
                </c:pt>
                <c:pt idx="137">
                  <c:v>862.00699999999995</c:v>
                </c:pt>
                <c:pt idx="138">
                  <c:v>879.50599999999986</c:v>
                </c:pt>
                <c:pt idx="139">
                  <c:v>880.33399999999995</c:v>
                </c:pt>
                <c:pt idx="140">
                  <c:v>880.38000000000022</c:v>
                </c:pt>
                <c:pt idx="141">
                  <c:v>889.13300000000004</c:v>
                </c:pt>
                <c:pt idx="142">
                  <c:v>899.13499999999976</c:v>
                </c:pt>
                <c:pt idx="143">
                  <c:v>902.08499999999981</c:v>
                </c:pt>
                <c:pt idx="144">
                  <c:v>903.89799999999991</c:v>
                </c:pt>
                <c:pt idx="145">
                  <c:v>905.23399999999981</c:v>
                </c:pt>
                <c:pt idx="146">
                  <c:v>914.92899999999997</c:v>
                </c:pt>
                <c:pt idx="147">
                  <c:v>933.46699999999987</c:v>
                </c:pt>
                <c:pt idx="148">
                  <c:v>934.0619999999999</c:v>
                </c:pt>
                <c:pt idx="149">
                  <c:v>934.23800000000017</c:v>
                </c:pt>
                <c:pt idx="150">
                  <c:v>944.41399999999999</c:v>
                </c:pt>
                <c:pt idx="151">
                  <c:v>951.75499999999977</c:v>
                </c:pt>
                <c:pt idx="152">
                  <c:v>956.57899999999995</c:v>
                </c:pt>
                <c:pt idx="153">
                  <c:v>959.00699999999983</c:v>
                </c:pt>
                <c:pt idx="154">
                  <c:v>960.36199999999985</c:v>
                </c:pt>
                <c:pt idx="155">
                  <c:v>968.27699999999993</c:v>
                </c:pt>
                <c:pt idx="156">
                  <c:v>987.40599999999984</c:v>
                </c:pt>
                <c:pt idx="157">
                  <c:v>988.2829999999999</c:v>
                </c:pt>
                <c:pt idx="158">
                  <c:v>988.29300000000012</c:v>
                </c:pt>
                <c:pt idx="159">
                  <c:v>1000.082</c:v>
                </c:pt>
                <c:pt idx="160">
                  <c:v>1004.273</c:v>
                </c:pt>
                <c:pt idx="161">
                  <c:v>1009.982</c:v>
                </c:pt>
                <c:pt idx="162">
                  <c:v>1015.061</c:v>
                </c:pt>
                <c:pt idx="163">
                  <c:v>1017.0119999999999</c:v>
                </c:pt>
                <c:pt idx="164">
                  <c:v>1022.78</c:v>
                </c:pt>
                <c:pt idx="165">
                  <c:v>1041.758</c:v>
                </c:pt>
                <c:pt idx="166">
                  <c:v>1041.9860000000001</c:v>
                </c:pt>
                <c:pt idx="167">
                  <c:v>1042.5309999999999</c:v>
                </c:pt>
                <c:pt idx="168">
                  <c:v>1055.546</c:v>
                </c:pt>
                <c:pt idx="169">
                  <c:v>1056.577</c:v>
                </c:pt>
                <c:pt idx="170">
                  <c:v>1062.8579999999999</c:v>
                </c:pt>
                <c:pt idx="171">
                  <c:v>1072.2570000000001</c:v>
                </c:pt>
                <c:pt idx="172">
                  <c:v>1074.1559999999999</c:v>
                </c:pt>
                <c:pt idx="173">
                  <c:v>1078.1659999999999</c:v>
                </c:pt>
                <c:pt idx="174">
                  <c:v>1095.5119999999999</c:v>
                </c:pt>
                <c:pt idx="175">
                  <c:v>1095.8789999999999</c:v>
                </c:pt>
                <c:pt idx="176">
                  <c:v>1097.713</c:v>
                </c:pt>
                <c:pt idx="177">
                  <c:v>1108.8510000000001</c:v>
                </c:pt>
                <c:pt idx="178">
                  <c:v>1112.067</c:v>
                </c:pt>
                <c:pt idx="179">
                  <c:v>1115.752</c:v>
                </c:pt>
                <c:pt idx="180">
                  <c:v>1127.6790000000001</c:v>
                </c:pt>
                <c:pt idx="181">
                  <c:v>1129.2570000000001</c:v>
                </c:pt>
                <c:pt idx="182">
                  <c:v>1131.1469999999999</c:v>
                </c:pt>
                <c:pt idx="183">
                  <c:v>1149.9880000000001</c:v>
                </c:pt>
                <c:pt idx="184">
                  <c:v>1150.1880000000001</c:v>
                </c:pt>
                <c:pt idx="185">
                  <c:v>1152.442</c:v>
                </c:pt>
                <c:pt idx="186">
                  <c:v>1161.1489999999999</c:v>
                </c:pt>
                <c:pt idx="187">
                  <c:v>1167.48</c:v>
                </c:pt>
                <c:pt idx="188">
                  <c:v>1168.566</c:v>
                </c:pt>
                <c:pt idx="189">
                  <c:v>1183.204</c:v>
                </c:pt>
                <c:pt idx="190">
                  <c:v>1183.8610000000001</c:v>
                </c:pt>
                <c:pt idx="191">
                  <c:v>1184.771</c:v>
                </c:pt>
                <c:pt idx="192">
                  <c:v>1203.7750000000001</c:v>
                </c:pt>
                <c:pt idx="193">
                  <c:v>1204.1310000000001</c:v>
                </c:pt>
                <c:pt idx="194">
                  <c:v>1206.932</c:v>
                </c:pt>
                <c:pt idx="195">
                  <c:v>1213.0440000000001</c:v>
                </c:pt>
                <c:pt idx="196">
                  <c:v>1221.4059999999999</c:v>
                </c:pt>
                <c:pt idx="197">
                  <c:v>1222.7739999999999</c:v>
                </c:pt>
                <c:pt idx="198">
                  <c:v>1236.6559999999999</c:v>
                </c:pt>
                <c:pt idx="199">
                  <c:v>1239.4690000000001</c:v>
                </c:pt>
                <c:pt idx="200">
                  <c:v>1242.714999999999</c:v>
                </c:pt>
                <c:pt idx="201">
                  <c:v>1258.1849999999999</c:v>
                </c:pt>
                <c:pt idx="202">
                  <c:v>1258.5820000000001</c:v>
                </c:pt>
                <c:pt idx="203">
                  <c:v>1262.6769999999999</c:v>
                </c:pt>
                <c:pt idx="204">
                  <c:v>1264.9359999999999</c:v>
                </c:pt>
                <c:pt idx="205">
                  <c:v>1274.2059999999999</c:v>
                </c:pt>
                <c:pt idx="206">
                  <c:v>1278.5029999999999</c:v>
                </c:pt>
                <c:pt idx="207">
                  <c:v>1289.8050000000001</c:v>
                </c:pt>
                <c:pt idx="208">
                  <c:v>1295.049</c:v>
                </c:pt>
                <c:pt idx="209">
                  <c:v>1298.196999999999</c:v>
                </c:pt>
                <c:pt idx="210">
                  <c:v>1311.886</c:v>
                </c:pt>
                <c:pt idx="211">
                  <c:v>1312.077</c:v>
                </c:pt>
                <c:pt idx="212">
                  <c:v>1316.857</c:v>
                </c:pt>
                <c:pt idx="213">
                  <c:v>1316.8969999999999</c:v>
                </c:pt>
                <c:pt idx="214">
                  <c:v>1327.0650000000001</c:v>
                </c:pt>
                <c:pt idx="215">
                  <c:v>1334.078</c:v>
                </c:pt>
                <c:pt idx="216">
                  <c:v>1343.328</c:v>
                </c:pt>
                <c:pt idx="217">
                  <c:v>1353.5630000000001</c:v>
                </c:pt>
                <c:pt idx="218">
                  <c:v>1355.049999999999</c:v>
                </c:pt>
                <c:pt idx="219">
                  <c:v>1365.2909999999999</c:v>
                </c:pt>
                <c:pt idx="220">
                  <c:v>1371.1030000000001</c:v>
                </c:pt>
                <c:pt idx="221">
                  <c:v>1371.922</c:v>
                </c:pt>
                <c:pt idx="222">
                  <c:v>1380.578</c:v>
                </c:pt>
                <c:pt idx="223">
                  <c:v>1390.499</c:v>
                </c:pt>
                <c:pt idx="224">
                  <c:v>1396.672</c:v>
                </c:pt>
                <c:pt idx="225">
                  <c:v>1400.73</c:v>
                </c:pt>
                <c:pt idx="226">
                  <c:v>1409.2739999999999</c:v>
                </c:pt>
                <c:pt idx="227">
                  <c:v>1411.327</c:v>
                </c:pt>
                <c:pt idx="228">
                  <c:v>1418.57</c:v>
                </c:pt>
                <c:pt idx="229">
                  <c:v>1423.5709999999999</c:v>
                </c:pt>
                <c:pt idx="230">
                  <c:v>1426.067</c:v>
                </c:pt>
                <c:pt idx="231">
                  <c:v>1433.5509999999999</c:v>
                </c:pt>
                <c:pt idx="232">
                  <c:v>1445.6969999999999</c:v>
                </c:pt>
                <c:pt idx="233">
                  <c:v>1449.5250000000001</c:v>
                </c:pt>
                <c:pt idx="234">
                  <c:v>1454.1659999999999</c:v>
                </c:pt>
                <c:pt idx="235">
                  <c:v>1464.6569999999999</c:v>
                </c:pt>
                <c:pt idx="236">
                  <c:v>1466.481</c:v>
                </c:pt>
                <c:pt idx="237">
                  <c:v>1472.396</c:v>
                </c:pt>
                <c:pt idx="238">
                  <c:v>1476.029</c:v>
                </c:pt>
                <c:pt idx="239">
                  <c:v>1481.104</c:v>
                </c:pt>
                <c:pt idx="240">
                  <c:v>1486.4649999999999</c:v>
                </c:pt>
                <c:pt idx="241">
                  <c:v>1500.1189999999999</c:v>
                </c:pt>
                <c:pt idx="242">
                  <c:v>1502.5119999999999</c:v>
                </c:pt>
                <c:pt idx="243">
                  <c:v>1507.4490000000001</c:v>
                </c:pt>
                <c:pt idx="244">
                  <c:v>1521.09</c:v>
                </c:pt>
                <c:pt idx="245">
                  <c:v>1525.5940000000001</c:v>
                </c:pt>
                <c:pt idx="246">
                  <c:v>1527.826</c:v>
                </c:pt>
                <c:pt idx="247">
                  <c:v>1529.7850000000001</c:v>
                </c:pt>
                <c:pt idx="248">
                  <c:v>1535.702</c:v>
                </c:pt>
                <c:pt idx="249">
                  <c:v>1539.453</c:v>
                </c:pt>
                <c:pt idx="250">
                  <c:v>1554.7650000000001</c:v>
                </c:pt>
                <c:pt idx="251">
                  <c:v>1555.56</c:v>
                </c:pt>
                <c:pt idx="252">
                  <c:v>1560.393</c:v>
                </c:pt>
                <c:pt idx="253">
                  <c:v>1578.941</c:v>
                </c:pt>
                <c:pt idx="254">
                  <c:v>1581.6189999999999</c:v>
                </c:pt>
                <c:pt idx="255">
                  <c:v>1582.057</c:v>
                </c:pt>
                <c:pt idx="256">
                  <c:v>1582.367</c:v>
                </c:pt>
                <c:pt idx="257">
                  <c:v>1590.6369999999999</c:v>
                </c:pt>
                <c:pt idx="258">
                  <c:v>1593.943</c:v>
                </c:pt>
                <c:pt idx="259">
                  <c:v>1608.1479999999999</c:v>
                </c:pt>
                <c:pt idx="260">
                  <c:v>1609.2860000000001</c:v>
                </c:pt>
                <c:pt idx="261">
                  <c:v>1613.3009999999999</c:v>
                </c:pt>
                <c:pt idx="262">
                  <c:v>1634.2470000000001</c:v>
                </c:pt>
                <c:pt idx="263">
                  <c:v>1634.453</c:v>
                </c:pt>
                <c:pt idx="264">
                  <c:v>1635.501</c:v>
                </c:pt>
                <c:pt idx="265">
                  <c:v>1637.64</c:v>
                </c:pt>
                <c:pt idx="266">
                  <c:v>1646.942</c:v>
                </c:pt>
                <c:pt idx="267">
                  <c:v>1648.1289999999999</c:v>
                </c:pt>
                <c:pt idx="268">
                  <c:v>1660.857</c:v>
                </c:pt>
                <c:pt idx="269">
                  <c:v>1663.2570000000001</c:v>
                </c:pt>
                <c:pt idx="270">
                  <c:v>1666.9079999999999</c:v>
                </c:pt>
                <c:pt idx="271">
                  <c:v>1686.402</c:v>
                </c:pt>
                <c:pt idx="272">
                  <c:v>1688.105</c:v>
                </c:pt>
                <c:pt idx="273">
                  <c:v>1692.096</c:v>
                </c:pt>
                <c:pt idx="274">
                  <c:v>1693.64</c:v>
                </c:pt>
                <c:pt idx="275">
                  <c:v>1700.982</c:v>
                </c:pt>
                <c:pt idx="276">
                  <c:v>1701.133</c:v>
                </c:pt>
                <c:pt idx="277">
                  <c:v>1713.537</c:v>
                </c:pt>
                <c:pt idx="278">
                  <c:v>1717.67</c:v>
                </c:pt>
                <c:pt idx="279">
                  <c:v>1720.1189999999999</c:v>
                </c:pt>
                <c:pt idx="280">
                  <c:v>1738.673</c:v>
                </c:pt>
                <c:pt idx="281">
                  <c:v>1741.722</c:v>
                </c:pt>
                <c:pt idx="282">
                  <c:v>1748.4749999999999</c:v>
                </c:pt>
                <c:pt idx="283">
                  <c:v>1748.867</c:v>
                </c:pt>
                <c:pt idx="284">
                  <c:v>1755.2349999999999</c:v>
                </c:pt>
                <c:pt idx="285">
                  <c:v>1755.2439999999999</c:v>
                </c:pt>
                <c:pt idx="286">
                  <c:v>1766.07</c:v>
                </c:pt>
                <c:pt idx="287">
                  <c:v>1771.6389999999999</c:v>
                </c:pt>
                <c:pt idx="288">
                  <c:v>1773.8879999999999</c:v>
                </c:pt>
                <c:pt idx="289">
                  <c:v>1791.0740000000001</c:v>
                </c:pt>
                <c:pt idx="290">
                  <c:v>1794.713</c:v>
                </c:pt>
                <c:pt idx="291">
                  <c:v>1805.02</c:v>
                </c:pt>
                <c:pt idx="292">
                  <c:v>1805.8710000000001</c:v>
                </c:pt>
                <c:pt idx="293">
                  <c:v>1808.5830000000001</c:v>
                </c:pt>
                <c:pt idx="294">
                  <c:v>1809.4469999999999</c:v>
                </c:pt>
                <c:pt idx="295">
                  <c:v>1819.8219999999999</c:v>
                </c:pt>
                <c:pt idx="296">
                  <c:v>1826.442</c:v>
                </c:pt>
                <c:pt idx="297">
                  <c:v>1828.6089999999999</c:v>
                </c:pt>
              </c:numCache>
            </c:numRef>
          </c:xVal>
          <c:yVal>
            <c:numRef>
              <c:f>intermediate_data!$O$2:$O$299</c:f>
              <c:numCache>
                <c:formatCode>General</c:formatCode>
                <c:ptCount val="298"/>
                <c:pt idx="0">
                  <c:v>3.0910538015216482E-2</c:v>
                </c:pt>
                <c:pt idx="1">
                  <c:v>3.0951994664070837E-2</c:v>
                </c:pt>
                <c:pt idx="2">
                  <c:v>3.1468046681505379E-2</c:v>
                </c:pt>
                <c:pt idx="3">
                  <c:v>3.2098257683391918E-2</c:v>
                </c:pt>
                <c:pt idx="4">
                  <c:v>3.2410958827165048E-2</c:v>
                </c:pt>
                <c:pt idx="5">
                  <c:v>3.3179473766323575E-2</c:v>
                </c:pt>
                <c:pt idx="6">
                  <c:v>3.3256754598194327E-2</c:v>
                </c:pt>
                <c:pt idx="7">
                  <c:v>3.353653983209659E-2</c:v>
                </c:pt>
                <c:pt idx="8">
                  <c:v>3.4420976019061245E-2</c:v>
                </c:pt>
                <c:pt idx="9">
                  <c:v>6.9146545369555001E-2</c:v>
                </c:pt>
                <c:pt idx="10">
                  <c:v>6.9327410009848212E-2</c:v>
                </c:pt>
                <c:pt idx="11">
                  <c:v>7.0877021461853928E-2</c:v>
                </c:pt>
                <c:pt idx="12">
                  <c:v>7.2094025905861781E-2</c:v>
                </c:pt>
                <c:pt idx="13">
                  <c:v>7.2373024503518124E-2</c:v>
                </c:pt>
                <c:pt idx="14">
                  <c:v>7.3019296081923812E-2</c:v>
                </c:pt>
                <c:pt idx="15">
                  <c:v>7.3555385766105097E-2</c:v>
                </c:pt>
                <c:pt idx="16">
                  <c:v>7.3810543836940745E-2</c:v>
                </c:pt>
                <c:pt idx="17">
                  <c:v>7.486017135560763E-2</c:v>
                </c:pt>
                <c:pt idx="18">
                  <c:v>0.10398942909893938</c:v>
                </c:pt>
                <c:pt idx="19">
                  <c:v>0.10405100309661064</c:v>
                </c:pt>
                <c:pt idx="20">
                  <c:v>0.10591814402600308</c:v>
                </c:pt>
                <c:pt idx="21">
                  <c:v>0.10745749396779081</c:v>
                </c:pt>
                <c:pt idx="22">
                  <c:v>0.10771230340089977</c:v>
                </c:pt>
                <c:pt idx="23">
                  <c:v>0.10817977333833362</c:v>
                </c:pt>
                <c:pt idx="24">
                  <c:v>0.10882685518820301</c:v>
                </c:pt>
                <c:pt idx="25">
                  <c:v>0.10934988507721632</c:v>
                </c:pt>
                <c:pt idx="26">
                  <c:v>0.1098891997796243</c:v>
                </c:pt>
                <c:pt idx="27">
                  <c:v>0.13031275060144365</c:v>
                </c:pt>
                <c:pt idx="28">
                  <c:v>0.13046224477177848</c:v>
                </c:pt>
                <c:pt idx="29">
                  <c:v>0.13239148772095888</c:v>
                </c:pt>
                <c:pt idx="30">
                  <c:v>0.13453758585003328</c:v>
                </c:pt>
                <c:pt idx="31">
                  <c:v>0.13569415467581525</c:v>
                </c:pt>
                <c:pt idx="32">
                  <c:v>0.1359205523766116</c:v>
                </c:pt>
                <c:pt idx="33">
                  <c:v>0.13685589830618738</c:v>
                </c:pt>
                <c:pt idx="34">
                  <c:v>0.13843744795889279</c:v>
                </c:pt>
                <c:pt idx="35">
                  <c:v>0.13853447554494824</c:v>
                </c:pt>
                <c:pt idx="36">
                  <c:v>0.1642894779875359</c:v>
                </c:pt>
                <c:pt idx="37">
                  <c:v>0.16435524918584932</c:v>
                </c:pt>
                <c:pt idx="38">
                  <c:v>0.16778961513150925</c:v>
                </c:pt>
                <c:pt idx="39">
                  <c:v>0.17145457648330442</c:v>
                </c:pt>
                <c:pt idx="40">
                  <c:v>0.17303796793707082</c:v>
                </c:pt>
                <c:pt idx="41">
                  <c:v>0.17359342504598541</c:v>
                </c:pt>
                <c:pt idx="42">
                  <c:v>0.17499900248622779</c:v>
                </c:pt>
                <c:pt idx="43">
                  <c:v>0.17800151911459938</c:v>
                </c:pt>
                <c:pt idx="44">
                  <c:v>0.1783334386065123</c:v>
                </c:pt>
                <c:pt idx="45">
                  <c:v>0.20845259229738033</c:v>
                </c:pt>
                <c:pt idx="46">
                  <c:v>0.20888090419464866</c:v>
                </c:pt>
                <c:pt idx="47">
                  <c:v>0.21369380098575075</c:v>
                </c:pt>
                <c:pt idx="48">
                  <c:v>0.21878505561365191</c:v>
                </c:pt>
                <c:pt idx="49">
                  <c:v>0.22051426931547802</c:v>
                </c:pt>
                <c:pt idx="50">
                  <c:v>0.2210038099006022</c:v>
                </c:pt>
                <c:pt idx="51">
                  <c:v>0.22268742001180009</c:v>
                </c:pt>
                <c:pt idx="52">
                  <c:v>0.22752046993299668</c:v>
                </c:pt>
                <c:pt idx="53">
                  <c:v>0.22776151748346773</c:v>
                </c:pt>
                <c:pt idx="54">
                  <c:v>0.25702506238472456</c:v>
                </c:pt>
                <c:pt idx="55">
                  <c:v>0.25767596768188739</c:v>
                </c:pt>
                <c:pt idx="56">
                  <c:v>0.26417171747956392</c:v>
                </c:pt>
                <c:pt idx="57">
                  <c:v>0.27053158485754114</c:v>
                </c:pt>
                <c:pt idx="58">
                  <c:v>0.27202309154903848</c:v>
                </c:pt>
                <c:pt idx="59">
                  <c:v>0.27213671047983112</c:v>
                </c:pt>
                <c:pt idx="60">
                  <c:v>0.27549156763632965</c:v>
                </c:pt>
                <c:pt idx="61">
                  <c:v>0.28147308789288328</c:v>
                </c:pt>
                <c:pt idx="62">
                  <c:v>0.28174164172930283</c:v>
                </c:pt>
                <c:pt idx="63">
                  <c:v>0.31011951904384905</c:v>
                </c:pt>
                <c:pt idx="64">
                  <c:v>0.31132452092693619</c:v>
                </c:pt>
                <c:pt idx="65">
                  <c:v>0.31941336254820651</c:v>
                </c:pt>
                <c:pt idx="66">
                  <c:v>0.32760981175128379</c:v>
                </c:pt>
                <c:pt idx="67">
                  <c:v>0.32813458726211664</c:v>
                </c:pt>
                <c:pt idx="68">
                  <c:v>0.32889606221664636</c:v>
                </c:pt>
                <c:pt idx="69">
                  <c:v>0.33210618374182488</c:v>
                </c:pt>
                <c:pt idx="70">
                  <c:v>0.33817504738545168</c:v>
                </c:pt>
                <c:pt idx="71">
                  <c:v>0.33888514571654227</c:v>
                </c:pt>
                <c:pt idx="72">
                  <c:v>0.36005139713334344</c:v>
                </c:pt>
                <c:pt idx="73">
                  <c:v>0.3613084008774905</c:v>
                </c:pt>
                <c:pt idx="74">
                  <c:v>0.36820797198361177</c:v>
                </c:pt>
                <c:pt idx="75">
                  <c:v>0.37546945477192573</c:v>
                </c:pt>
                <c:pt idx="76">
                  <c:v>0.37554744332470591</c:v>
                </c:pt>
                <c:pt idx="77">
                  <c:v>0.37612224784333037</c:v>
                </c:pt>
                <c:pt idx="78">
                  <c:v>0.37788806272969033</c:v>
                </c:pt>
                <c:pt idx="79">
                  <c:v>0.38139562196143295</c:v>
                </c:pt>
                <c:pt idx="80">
                  <c:v>0.38219813379773626</c:v>
                </c:pt>
                <c:pt idx="81">
                  <c:v>0.39140030161474471</c:v>
                </c:pt>
                <c:pt idx="82">
                  <c:v>0.39220129487525845</c:v>
                </c:pt>
                <c:pt idx="83">
                  <c:v>0.39658196515954458</c:v>
                </c:pt>
                <c:pt idx="84">
                  <c:v>0.4015471698113231</c:v>
                </c:pt>
                <c:pt idx="85">
                  <c:v>0.40209186684361242</c:v>
                </c:pt>
                <c:pt idx="86">
                  <c:v>0.40255904929822783</c:v>
                </c:pt>
                <c:pt idx="87">
                  <c:v>0.4059082377172718</c:v>
                </c:pt>
                <c:pt idx="88">
                  <c:v>0.41153467872899618</c:v>
                </c:pt>
                <c:pt idx="89">
                  <c:v>0.41379586974251836</c:v>
                </c:pt>
                <c:pt idx="90">
                  <c:v>0.42369678579864711</c:v>
                </c:pt>
                <c:pt idx="91">
                  <c:v>0.42520607243045916</c:v>
                </c:pt>
                <c:pt idx="92">
                  <c:v>0.43325616451032545</c:v>
                </c:pt>
                <c:pt idx="93">
                  <c:v>0.44340286360784553</c:v>
                </c:pt>
                <c:pt idx="94">
                  <c:v>0.44366280864405994</c:v>
                </c:pt>
                <c:pt idx="95">
                  <c:v>0.44441505182148688</c:v>
                </c:pt>
                <c:pt idx="96">
                  <c:v>0.44780740715443734</c:v>
                </c:pt>
                <c:pt idx="97">
                  <c:v>0.45409038033423954</c:v>
                </c:pt>
                <c:pt idx="98">
                  <c:v>0.45650975704001873</c:v>
                </c:pt>
                <c:pt idx="99">
                  <c:v>0.46465736388741874</c:v>
                </c:pt>
                <c:pt idx="100">
                  <c:v>0.46629614752378323</c:v>
                </c:pt>
                <c:pt idx="101">
                  <c:v>0.47346794156060845</c:v>
                </c:pt>
                <c:pt idx="102">
                  <c:v>0.48325943462996968</c:v>
                </c:pt>
                <c:pt idx="103">
                  <c:v>0.48335362605585885</c:v>
                </c:pt>
                <c:pt idx="104">
                  <c:v>0.48430228518934548</c:v>
                </c:pt>
                <c:pt idx="105">
                  <c:v>0.48825907383230316</c:v>
                </c:pt>
                <c:pt idx="106">
                  <c:v>0.49409585679896395</c:v>
                </c:pt>
                <c:pt idx="107">
                  <c:v>0.49639578350754299</c:v>
                </c:pt>
                <c:pt idx="108">
                  <c:v>0.50217227915162255</c:v>
                </c:pt>
                <c:pt idx="109">
                  <c:v>0.50369165289290407</c:v>
                </c:pt>
                <c:pt idx="110">
                  <c:v>0.5094161101906618</c:v>
                </c:pt>
                <c:pt idx="111">
                  <c:v>0.51772418725118641</c:v>
                </c:pt>
                <c:pt idx="112">
                  <c:v>0.51779604952273317</c:v>
                </c:pt>
                <c:pt idx="113">
                  <c:v>0.51863593944245423</c:v>
                </c:pt>
                <c:pt idx="114">
                  <c:v>0.52229324698221724</c:v>
                </c:pt>
                <c:pt idx="115">
                  <c:v>0.52779727969382328</c:v>
                </c:pt>
                <c:pt idx="116">
                  <c:v>0.52980406585446715</c:v>
                </c:pt>
                <c:pt idx="117">
                  <c:v>0.53243159033009491</c:v>
                </c:pt>
                <c:pt idx="118">
                  <c:v>0.5344321624762447</c:v>
                </c:pt>
                <c:pt idx="119">
                  <c:v>0.54243995145558976</c:v>
                </c:pt>
                <c:pt idx="120">
                  <c:v>0.55517415106301549</c:v>
                </c:pt>
                <c:pt idx="121">
                  <c:v>0.55525822852556139</c:v>
                </c:pt>
                <c:pt idx="122">
                  <c:v>0.556846635037898</c:v>
                </c:pt>
                <c:pt idx="123">
                  <c:v>0.56499328765248968</c:v>
                </c:pt>
                <c:pt idx="124">
                  <c:v>0.57672946153404503</c:v>
                </c:pt>
                <c:pt idx="125">
                  <c:v>0.58215709514061587</c:v>
                </c:pt>
                <c:pt idx="126">
                  <c:v>0.5826456890476468</c:v>
                </c:pt>
                <c:pt idx="127">
                  <c:v>0.58619213549995131</c:v>
                </c:pt>
                <c:pt idx="128">
                  <c:v>0.5967248537288512</c:v>
                </c:pt>
                <c:pt idx="129">
                  <c:v>0.61494050411449486</c:v>
                </c:pt>
                <c:pt idx="130">
                  <c:v>0.6157148012383491</c:v>
                </c:pt>
                <c:pt idx="131">
                  <c:v>0.61575582224036829</c:v>
                </c:pt>
                <c:pt idx="132">
                  <c:v>0.61926965422660274</c:v>
                </c:pt>
                <c:pt idx="133">
                  <c:v>0.62437879748920189</c:v>
                </c:pt>
                <c:pt idx="134">
                  <c:v>0.62483543787432794</c:v>
                </c:pt>
                <c:pt idx="135">
                  <c:v>0.62669910668838646</c:v>
                </c:pt>
                <c:pt idx="136">
                  <c:v>0.62712283402457736</c:v>
                </c:pt>
                <c:pt idx="137">
                  <c:v>0.63284236935047744</c:v>
                </c:pt>
                <c:pt idx="138">
                  <c:v>0.64198516177469322</c:v>
                </c:pt>
                <c:pt idx="139">
                  <c:v>0.6424177711882173</c:v>
                </c:pt>
                <c:pt idx="140">
                  <c:v>0.64244180504452331</c:v>
                </c:pt>
                <c:pt idx="141">
                  <c:v>0.6467950459202001</c:v>
                </c:pt>
                <c:pt idx="142">
                  <c:v>0.6517694678599355</c:v>
                </c:pt>
                <c:pt idx="143">
                  <c:v>0.65305813749373698</c:v>
                </c:pt>
                <c:pt idx="144">
                  <c:v>0.65385012327206837</c:v>
                </c:pt>
                <c:pt idx="145">
                  <c:v>0.65443373772317415</c:v>
                </c:pt>
                <c:pt idx="146">
                  <c:v>0.65866887402815166</c:v>
                </c:pt>
                <c:pt idx="147">
                  <c:v>0.6667669613743854</c:v>
                </c:pt>
                <c:pt idx="148">
                  <c:v>0.66702687948696493</c:v>
                </c:pt>
                <c:pt idx="149">
                  <c:v>0.66710376282782846</c:v>
                </c:pt>
                <c:pt idx="150">
                  <c:v>0.67223760229008533</c:v>
                </c:pt>
                <c:pt idx="151">
                  <c:v>0.67594117102951401</c:v>
                </c:pt>
                <c:pt idx="152">
                  <c:v>0.67855295418198835</c:v>
                </c:pt>
                <c:pt idx="153">
                  <c:v>0.67986750838890941</c:v>
                </c:pt>
                <c:pt idx="154">
                  <c:v>0.68060112492531033</c:v>
                </c:pt>
                <c:pt idx="155">
                  <c:v>0.68488642004384559</c:v>
                </c:pt>
                <c:pt idx="156">
                  <c:v>0.69524313644592439</c:v>
                </c:pt>
                <c:pt idx="157">
                  <c:v>0.69571795689052252</c:v>
                </c:pt>
                <c:pt idx="158">
                  <c:v>0.69572337103469906</c:v>
                </c:pt>
                <c:pt idx="159">
                  <c:v>0.70284195429509566</c:v>
                </c:pt>
                <c:pt idx="160">
                  <c:v>0.70537261698440901</c:v>
                </c:pt>
                <c:pt idx="161">
                  <c:v>0.70926466278921296</c:v>
                </c:pt>
                <c:pt idx="162">
                  <c:v>0.71272721326085531</c:v>
                </c:pt>
                <c:pt idx="163">
                  <c:v>0.71405728531641088</c:v>
                </c:pt>
                <c:pt idx="164">
                  <c:v>0.71798955370003625</c:v>
                </c:pt>
                <c:pt idx="165">
                  <c:v>0.73092758930759771</c:v>
                </c:pt>
                <c:pt idx="166">
                  <c:v>0.73108302571388251</c:v>
                </c:pt>
                <c:pt idx="167">
                  <c:v>0.73145457326400276</c:v>
                </c:pt>
                <c:pt idx="168">
                  <c:v>0.74443241943102834</c:v>
                </c:pt>
                <c:pt idx="169">
                  <c:v>0.74546047624226119</c:v>
                </c:pt>
                <c:pt idx="170">
                  <c:v>0.75179246339736849</c:v>
                </c:pt>
                <c:pt idx="171">
                  <c:v>0.76126776148219832</c:v>
                </c:pt>
                <c:pt idx="172">
                  <c:v>0.76318217695864021</c:v>
                </c:pt>
                <c:pt idx="173">
                  <c:v>0.76722472885992943</c:v>
                </c:pt>
                <c:pt idx="174">
                  <c:v>0.78471153815660699</c:v>
                </c:pt>
                <c:pt idx="175">
                  <c:v>0.7850815173455814</c:v>
                </c:pt>
                <c:pt idx="176">
                  <c:v>0.78693040517275037</c:v>
                </c:pt>
                <c:pt idx="177">
                  <c:v>0.79648815070621382</c:v>
                </c:pt>
                <c:pt idx="178">
                  <c:v>0.79921963309870492</c:v>
                </c:pt>
                <c:pt idx="179">
                  <c:v>0.80234945667342927</c:v>
                </c:pt>
                <c:pt idx="180">
                  <c:v>0.81247955322044874</c:v>
                </c:pt>
                <c:pt idx="181">
                  <c:v>0.81381981417049332</c:v>
                </c:pt>
                <c:pt idx="182">
                  <c:v>0.81542506968100525</c:v>
                </c:pt>
                <c:pt idx="183">
                  <c:v>0.83142751363525846</c:v>
                </c:pt>
                <c:pt idx="184">
                  <c:v>0.83159738194325072</c:v>
                </c:pt>
                <c:pt idx="185">
                  <c:v>0.83351179777430318</c:v>
                </c:pt>
                <c:pt idx="186">
                  <c:v>0.84020921269958748</c:v>
                </c:pt>
                <c:pt idx="187">
                  <c:v>0.84601909523004792</c:v>
                </c:pt>
                <c:pt idx="188">
                  <c:v>0.84701570436416063</c:v>
                </c:pt>
                <c:pt idx="189">
                  <c:v>0.86044882085142405</c:v>
                </c:pt>
                <c:pt idx="190">
                  <c:v>0.86105174184692501</c:v>
                </c:pt>
                <c:pt idx="191">
                  <c:v>0.86188683789853116</c:v>
                </c:pt>
                <c:pt idx="192">
                  <c:v>0.87932658005756181</c:v>
                </c:pt>
                <c:pt idx="193">
                  <c:v>0.87965327697445517</c:v>
                </c:pt>
                <c:pt idx="194">
                  <c:v>0.88222372097505541</c:v>
                </c:pt>
                <c:pt idx="195">
                  <c:v>0.89035787963047142</c:v>
                </c:pt>
                <c:pt idx="196">
                  <c:v>0.90149576754338057</c:v>
                </c:pt>
                <c:pt idx="197">
                  <c:v>0.90331789510435101</c:v>
                </c:pt>
                <c:pt idx="198">
                  <c:v>0.92180822756153802</c:v>
                </c:pt>
                <c:pt idx="199">
                  <c:v>0.92555504395702215</c:v>
                </c:pt>
                <c:pt idx="200">
                  <c:v>0.92987860102055819</c:v>
                </c:pt>
                <c:pt idx="201">
                  <c:v>0.95048409324881789</c:v>
                </c:pt>
                <c:pt idx="202">
                  <c:v>0.95101288319158428</c:v>
                </c:pt>
                <c:pt idx="203">
                  <c:v>0.956467278193184</c:v>
                </c:pt>
                <c:pt idx="204">
                  <c:v>0.95830564784053962</c:v>
                </c:pt>
                <c:pt idx="205">
                  <c:v>0.96561233536960245</c:v>
                </c:pt>
                <c:pt idx="206">
                  <c:v>0.9689992648531387</c:v>
                </c:pt>
                <c:pt idx="207">
                  <c:v>0.97790759089989976</c:v>
                </c:pt>
                <c:pt idx="208">
                  <c:v>0.98204095329498386</c:v>
                </c:pt>
                <c:pt idx="209">
                  <c:v>0.9845222318647231</c:v>
                </c:pt>
                <c:pt idx="210">
                  <c:v>0.99531201024501925</c:v>
                </c:pt>
                <c:pt idx="211">
                  <c:v>0.99546255796002114</c:v>
                </c:pt>
                <c:pt idx="212">
                  <c:v>0.99923019187468398</c:v>
                </c:pt>
                <c:pt idx="213">
                  <c:v>0.99927358576228897</c:v>
                </c:pt>
                <c:pt idx="214">
                  <c:v>1.0021997971565426</c:v>
                </c:pt>
                <c:pt idx="215">
                  <c:v>1.0042180426825027</c:v>
                </c:pt>
                <c:pt idx="216">
                  <c:v>1.0068800662266462</c:v>
                </c:pt>
                <c:pt idx="217">
                  <c:v>1.0098255593049501</c:v>
                </c:pt>
                <c:pt idx="218">
                  <c:v>1.0102534975763149</c:v>
                </c:pt>
                <c:pt idx="219">
                  <c:v>1.0132007173725981</c:v>
                </c:pt>
                <c:pt idx="220">
                  <c:v>1.0148733315173075</c:v>
                </c:pt>
                <c:pt idx="221">
                  <c:v>1.0156095143706771</c:v>
                </c:pt>
                <c:pt idx="222">
                  <c:v>1.0207192383700558</c:v>
                </c:pt>
                <c:pt idx="223">
                  <c:v>1.0265757046128812</c:v>
                </c:pt>
                <c:pt idx="224">
                  <c:v>1.0302196886988497</c:v>
                </c:pt>
                <c:pt idx="225">
                  <c:v>1.0326151669785979</c:v>
                </c:pt>
                <c:pt idx="226">
                  <c:v>1.0376587762497032</c:v>
                </c:pt>
                <c:pt idx="227">
                  <c:v>1.0388706828313516</c:v>
                </c:pt>
                <c:pt idx="228">
                  <c:v>1.0431462986963602</c:v>
                </c:pt>
                <c:pt idx="229">
                  <c:v>1.0460984393757613</c:v>
                </c:pt>
                <c:pt idx="230">
                  <c:v>1.0475809218803711</c:v>
                </c:pt>
                <c:pt idx="231">
                  <c:v>1.0542661870661227</c:v>
                </c:pt>
                <c:pt idx="232">
                  <c:v>1.0651158972406449</c:v>
                </c:pt>
                <c:pt idx="233">
                  <c:v>1.0685353514270517</c:v>
                </c:pt>
                <c:pt idx="234">
                  <c:v>1.0726810376546148</c:v>
                </c:pt>
                <c:pt idx="235">
                  <c:v>1.0820523787908662</c:v>
                </c:pt>
                <c:pt idx="236">
                  <c:v>1.0836817111931687</c:v>
                </c:pt>
                <c:pt idx="237">
                  <c:v>1.088965428934177</c:v>
                </c:pt>
                <c:pt idx="238">
                  <c:v>1.0922106946236241</c:v>
                </c:pt>
                <c:pt idx="239">
                  <c:v>1.0944080660763547</c:v>
                </c:pt>
                <c:pt idx="240">
                  <c:v>1.0959460585821219</c:v>
                </c:pt>
                <c:pt idx="241">
                  <c:v>1.0998631915188462</c:v>
                </c:pt>
                <c:pt idx="242">
                  <c:v>1.1005497082258593</c:v>
                </c:pt>
                <c:pt idx="243">
                  <c:v>1.1019660613318081</c:v>
                </c:pt>
                <c:pt idx="244">
                  <c:v>1.1058794647586261</c:v>
                </c:pt>
                <c:pt idx="245">
                  <c:v>1.1071715964963609</c:v>
                </c:pt>
                <c:pt idx="246">
                  <c:v>1.107811924657689</c:v>
                </c:pt>
                <c:pt idx="247">
                  <c:v>1.1083739331111104</c:v>
                </c:pt>
                <c:pt idx="248">
                  <c:v>1.1125290023201906</c:v>
                </c:pt>
                <c:pt idx="249">
                  <c:v>1.1155845056521159</c:v>
                </c:pt>
                <c:pt idx="250">
                  <c:v>1.128057410748994</c:v>
                </c:pt>
                <c:pt idx="251">
                  <c:v>1.1287050047636242</c:v>
                </c:pt>
                <c:pt idx="252">
                  <c:v>1.1326418876223769</c:v>
                </c:pt>
                <c:pt idx="253">
                  <c:v>1.1477507854630851</c:v>
                </c:pt>
                <c:pt idx="254">
                  <c:v>1.1499322405211743</c:v>
                </c:pt>
                <c:pt idx="255">
                  <c:v>1.15028902816697</c:v>
                </c:pt>
                <c:pt idx="256">
                  <c:v>1.1505415491034903</c:v>
                </c:pt>
                <c:pt idx="257">
                  <c:v>1.1594063222821944</c:v>
                </c:pt>
                <c:pt idx="258">
                  <c:v>1.1644143784845191</c:v>
                </c:pt>
                <c:pt idx="259">
                  <c:v>1.1859326598983131</c:v>
                </c:pt>
                <c:pt idx="260">
                  <c:v>1.1876565461530788</c:v>
                </c:pt>
                <c:pt idx="261">
                  <c:v>1.1937386228779232</c:v>
                </c:pt>
                <c:pt idx="262">
                  <c:v>1.2254684308675969</c:v>
                </c:pt>
                <c:pt idx="263">
                  <c:v>1.2257595511102259</c:v>
                </c:pt>
                <c:pt idx="264">
                  <c:v>1.2272405900144783</c:v>
                </c:pt>
                <c:pt idx="265">
                  <c:v>1.2302634356406124</c:v>
                </c:pt>
                <c:pt idx="266">
                  <c:v>1.2434090691208937</c:v>
                </c:pt>
                <c:pt idx="267">
                  <c:v>1.2442641464217061</c:v>
                </c:pt>
                <c:pt idx="268">
                  <c:v>1.2534329955242498</c:v>
                </c:pt>
                <c:pt idx="269">
                  <c:v>1.2551618797044917</c:v>
                </c:pt>
                <c:pt idx="270">
                  <c:v>1.2577919447636816</c:v>
                </c:pt>
                <c:pt idx="271">
                  <c:v>1.2718348065176919</c:v>
                </c:pt>
                <c:pt idx="272">
                  <c:v>1.2729891309892132</c:v>
                </c:pt>
                <c:pt idx="273">
                  <c:v>1.2756943036056896</c:v>
                </c:pt>
                <c:pt idx="274">
                  <c:v>1.2767408549762393</c:v>
                </c:pt>
                <c:pt idx="275">
                  <c:v>1.2817173965322759</c:v>
                </c:pt>
                <c:pt idx="276">
                  <c:v>1.281819747087301</c:v>
                </c:pt>
                <c:pt idx="277">
                  <c:v>1.2898508644611084</c:v>
                </c:pt>
                <c:pt idx="278">
                  <c:v>1.2925268244825503</c:v>
                </c:pt>
                <c:pt idx="279">
                  <c:v>1.2941124586689767</c:v>
                </c:pt>
                <c:pt idx="280">
                  <c:v>1.3061254667110305</c:v>
                </c:pt>
                <c:pt idx="281">
                  <c:v>1.3079548674195607</c:v>
                </c:pt>
                <c:pt idx="282">
                  <c:v>1.312006668988829</c:v>
                </c:pt>
                <c:pt idx="283">
                  <c:v>1.3122418690799229</c:v>
                </c:pt>
                <c:pt idx="284">
                  <c:v>1.3160626705597238</c:v>
                </c:pt>
                <c:pt idx="285">
                  <c:v>1.3160684081027512</c:v>
                </c:pt>
                <c:pt idx="286">
                  <c:v>1.3229700348548548</c:v>
                </c:pt>
                <c:pt idx="287">
                  <c:v>1.3265202989766394</c:v>
                </c:pt>
                <c:pt idx="288">
                  <c:v>1.3279540472276565</c:v>
                </c:pt>
                <c:pt idx="289">
                  <c:v>1.338910204382799</c:v>
                </c:pt>
                <c:pt idx="290">
                  <c:v>1.3408640675411903</c:v>
                </c:pt>
                <c:pt idx="291">
                  <c:v>1.3463981339257742</c:v>
                </c:pt>
                <c:pt idx="292">
                  <c:v>1.3468550554832817</c:v>
                </c:pt>
                <c:pt idx="293">
                  <c:v>1.3483111909286123</c:v>
                </c:pt>
                <c:pt idx="294">
                  <c:v>1.348775092486413</c:v>
                </c:pt>
                <c:pt idx="295">
                  <c:v>1.3565086937383697</c:v>
                </c:pt>
                <c:pt idx="296">
                  <c:v>1.3614432903926286</c:v>
                </c:pt>
                <c:pt idx="297">
                  <c:v>1.3630585881191806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396-4B8B-94C9-747D2D4C113F}"/>
            </c:ext>
          </c:extLst>
        </c:ser>
        <c:ser>
          <c:idx val="5"/>
          <c:order val="5"/>
          <c:tx>
            <c:strRef>
              <c:f>race_data!$Z$1</c:f>
              <c:strCache>
                <c:ptCount val="1"/>
                <c:pt idx="0">
                  <c:v>GökhanB</c:v>
                </c:pt>
              </c:strCache>
            </c:strRef>
          </c:tx>
          <c:marker>
            <c:symbol val="none"/>
          </c:marker>
          <c:xVal>
            <c:numRef>
              <c:f>intermediate_data!$A$2:$A$299</c:f>
              <c:numCache>
                <c:formatCode>General</c:formatCode>
                <c:ptCount val="298"/>
                <c:pt idx="0">
                  <c:v>53.683999999999997</c:v>
                </c:pt>
                <c:pt idx="1">
                  <c:v>53.756</c:v>
                </c:pt>
                <c:pt idx="2">
                  <c:v>54.529000000000003</c:v>
                </c:pt>
                <c:pt idx="3">
                  <c:v>55.472999999999999</c:v>
                </c:pt>
                <c:pt idx="4">
                  <c:v>55.91</c:v>
                </c:pt>
                <c:pt idx="5">
                  <c:v>56.984000000000002</c:v>
                </c:pt>
                <c:pt idx="6">
                  <c:v>57.091999999999999</c:v>
                </c:pt>
                <c:pt idx="7">
                  <c:v>57.482999999999997</c:v>
                </c:pt>
                <c:pt idx="8">
                  <c:v>58.719000000000001</c:v>
                </c:pt>
                <c:pt idx="9">
                  <c:v>107.248</c:v>
                </c:pt>
                <c:pt idx="10">
                  <c:v>107.48399999999999</c:v>
                </c:pt>
                <c:pt idx="11">
                  <c:v>109.506</c:v>
                </c:pt>
                <c:pt idx="12">
                  <c:v>111.09399999999999</c:v>
                </c:pt>
                <c:pt idx="13">
                  <c:v>111.527</c:v>
                </c:pt>
                <c:pt idx="14">
                  <c:v>112.53</c:v>
                </c:pt>
                <c:pt idx="15">
                  <c:v>113.36199999999999</c:v>
                </c:pt>
                <c:pt idx="16">
                  <c:v>113.758</c:v>
                </c:pt>
                <c:pt idx="17">
                  <c:v>115.387</c:v>
                </c:pt>
                <c:pt idx="18">
                  <c:v>160.595</c:v>
                </c:pt>
                <c:pt idx="19">
                  <c:v>160.697</c:v>
                </c:pt>
                <c:pt idx="20">
                  <c:v>163.79</c:v>
                </c:pt>
                <c:pt idx="21">
                  <c:v>166.34</c:v>
                </c:pt>
                <c:pt idx="22">
                  <c:v>166.87200000000001</c:v>
                </c:pt>
                <c:pt idx="23">
                  <c:v>167.84800000000001</c:v>
                </c:pt>
                <c:pt idx="24">
                  <c:v>169.19900000000001</c:v>
                </c:pt>
                <c:pt idx="25">
                  <c:v>170.291</c:v>
                </c:pt>
                <c:pt idx="26">
                  <c:v>171.417</c:v>
                </c:pt>
                <c:pt idx="27">
                  <c:v>214.05799999999999</c:v>
                </c:pt>
                <c:pt idx="28">
                  <c:v>214.31100000000001</c:v>
                </c:pt>
                <c:pt idx="29">
                  <c:v>217.57599999999999</c:v>
                </c:pt>
                <c:pt idx="30">
                  <c:v>221.208</c:v>
                </c:pt>
                <c:pt idx="31">
                  <c:v>222.99600000000001</c:v>
                </c:pt>
                <c:pt idx="32">
                  <c:v>223.346</c:v>
                </c:pt>
                <c:pt idx="33">
                  <c:v>224.792</c:v>
                </c:pt>
                <c:pt idx="34">
                  <c:v>227.23699999999999</c:v>
                </c:pt>
                <c:pt idx="35">
                  <c:v>227.387</c:v>
                </c:pt>
                <c:pt idx="36">
                  <c:v>267.20299999999997</c:v>
                </c:pt>
                <c:pt idx="37">
                  <c:v>267.286</c:v>
                </c:pt>
                <c:pt idx="38">
                  <c:v>271.62</c:v>
                </c:pt>
                <c:pt idx="39">
                  <c:v>276.245</c:v>
                </c:pt>
                <c:pt idx="40">
                  <c:v>278.11500000000001</c:v>
                </c:pt>
                <c:pt idx="41">
                  <c:v>278.77100000000002</c:v>
                </c:pt>
                <c:pt idx="42">
                  <c:v>280.43099999999998</c:v>
                </c:pt>
                <c:pt idx="43">
                  <c:v>283.97699999999998</c:v>
                </c:pt>
                <c:pt idx="44">
                  <c:v>284.36900000000003</c:v>
                </c:pt>
                <c:pt idx="45">
                  <c:v>319.94</c:v>
                </c:pt>
                <c:pt idx="46">
                  <c:v>320.41699999999997</c:v>
                </c:pt>
                <c:pt idx="47">
                  <c:v>325.77699999999999</c:v>
                </c:pt>
                <c:pt idx="48">
                  <c:v>331.447</c:v>
                </c:pt>
                <c:pt idx="49">
                  <c:v>333.30500000000001</c:v>
                </c:pt>
                <c:pt idx="50">
                  <c:v>333.83100000000002</c:v>
                </c:pt>
                <c:pt idx="51">
                  <c:v>335.64</c:v>
                </c:pt>
                <c:pt idx="52">
                  <c:v>340.83300000000003</c:v>
                </c:pt>
                <c:pt idx="53">
                  <c:v>341.09199999999998</c:v>
                </c:pt>
                <c:pt idx="54">
                  <c:v>372.53500000000003</c:v>
                </c:pt>
                <c:pt idx="55">
                  <c:v>373.22</c:v>
                </c:pt>
                <c:pt idx="56">
                  <c:v>380.05599999999998</c:v>
                </c:pt>
                <c:pt idx="57">
                  <c:v>386.74900000000002</c:v>
                </c:pt>
                <c:pt idx="58">
                  <c:v>388.19299999999998</c:v>
                </c:pt>
                <c:pt idx="59">
                  <c:v>388.30299999999988</c:v>
                </c:pt>
                <c:pt idx="60">
                  <c:v>391.55099999999999</c:v>
                </c:pt>
                <c:pt idx="61">
                  <c:v>397.34199999999998</c:v>
                </c:pt>
                <c:pt idx="62">
                  <c:v>397.60199999999998</c:v>
                </c:pt>
                <c:pt idx="63">
                  <c:v>425.07600000000002</c:v>
                </c:pt>
                <c:pt idx="64">
                  <c:v>426.26299999999998</c:v>
                </c:pt>
                <c:pt idx="65">
                  <c:v>434.23099999999999</c:v>
                </c:pt>
                <c:pt idx="66">
                  <c:v>442.30500000000001</c:v>
                </c:pt>
                <c:pt idx="67">
                  <c:v>442.87700000000001</c:v>
                </c:pt>
                <c:pt idx="68">
                  <c:v>443.70699999999999</c:v>
                </c:pt>
                <c:pt idx="69">
                  <c:v>447.20600000000002</c:v>
                </c:pt>
                <c:pt idx="70">
                  <c:v>453.82100000000003</c:v>
                </c:pt>
                <c:pt idx="71">
                  <c:v>454.59500000000003</c:v>
                </c:pt>
                <c:pt idx="72">
                  <c:v>477.66599999999988</c:v>
                </c:pt>
                <c:pt idx="73">
                  <c:v>479.28800000000001</c:v>
                </c:pt>
                <c:pt idx="74">
                  <c:v>488.19099999999997</c:v>
                </c:pt>
                <c:pt idx="75">
                  <c:v>497.56099999999998</c:v>
                </c:pt>
                <c:pt idx="76">
                  <c:v>497.72300000000001</c:v>
                </c:pt>
                <c:pt idx="77">
                  <c:v>498.91699999999997</c:v>
                </c:pt>
                <c:pt idx="78">
                  <c:v>502.58499999999998</c:v>
                </c:pt>
                <c:pt idx="79">
                  <c:v>509.87099999999998</c:v>
                </c:pt>
                <c:pt idx="80">
                  <c:v>511.53800000000001</c:v>
                </c:pt>
                <c:pt idx="81">
                  <c:v>530.65299999999991</c:v>
                </c:pt>
                <c:pt idx="82">
                  <c:v>532.33299999999997</c:v>
                </c:pt>
                <c:pt idx="83">
                  <c:v>541.52099999999996</c:v>
                </c:pt>
                <c:pt idx="84">
                  <c:v>551.93500000000006</c:v>
                </c:pt>
                <c:pt idx="85">
                  <c:v>552.71499999999992</c:v>
                </c:pt>
                <c:pt idx="86">
                  <c:v>553.38400000000001</c:v>
                </c:pt>
                <c:pt idx="87">
                  <c:v>558.18000000000006</c:v>
                </c:pt>
                <c:pt idx="88">
                  <c:v>566.23699999999997</c:v>
                </c:pt>
                <c:pt idx="89">
                  <c:v>569.47499999999991</c:v>
                </c:pt>
                <c:pt idx="90">
                  <c:v>583.65299999999991</c:v>
                </c:pt>
                <c:pt idx="91">
                  <c:v>585.43899999999996</c:v>
                </c:pt>
                <c:pt idx="92">
                  <c:v>594.96499999999992</c:v>
                </c:pt>
                <c:pt idx="93">
                  <c:v>606.97200000000009</c:v>
                </c:pt>
                <c:pt idx="94">
                  <c:v>607.32999999999993</c:v>
                </c:pt>
                <c:pt idx="95">
                  <c:v>608.36599999999999</c:v>
                </c:pt>
                <c:pt idx="96">
                  <c:v>613.03800000000001</c:v>
                </c:pt>
                <c:pt idx="97">
                  <c:v>621.69099999999992</c:v>
                </c:pt>
                <c:pt idx="98">
                  <c:v>625.02299999999991</c:v>
                </c:pt>
                <c:pt idx="99">
                  <c:v>636.24399999999991</c:v>
                </c:pt>
                <c:pt idx="100">
                  <c:v>638.471</c:v>
                </c:pt>
                <c:pt idx="101">
                  <c:v>648.21699999999987</c:v>
                </c:pt>
                <c:pt idx="102">
                  <c:v>661.52299999999991</c:v>
                </c:pt>
                <c:pt idx="103">
                  <c:v>661.65100000000007</c:v>
                </c:pt>
                <c:pt idx="104">
                  <c:v>663.02</c:v>
                </c:pt>
                <c:pt idx="105">
                  <c:v>668.73</c:v>
                </c:pt>
                <c:pt idx="106">
                  <c:v>677.15299999999991</c:v>
                </c:pt>
                <c:pt idx="107">
                  <c:v>680.47199999999987</c:v>
                </c:pt>
                <c:pt idx="108">
                  <c:v>688.80799999999988</c:v>
                </c:pt>
                <c:pt idx="109">
                  <c:v>691.47199999999998</c:v>
                </c:pt>
                <c:pt idx="110">
                  <c:v>701.5089999999999</c:v>
                </c:pt>
                <c:pt idx="111">
                  <c:v>716.07599999999991</c:v>
                </c:pt>
                <c:pt idx="112">
                  <c:v>716.20200000000011</c:v>
                </c:pt>
                <c:pt idx="113">
                  <c:v>717.66599999999994</c:v>
                </c:pt>
                <c:pt idx="114">
                  <c:v>724.04100000000005</c:v>
                </c:pt>
                <c:pt idx="115">
                  <c:v>733.63499999999988</c:v>
                </c:pt>
                <c:pt idx="116">
                  <c:v>737.13299999999981</c:v>
                </c:pt>
                <c:pt idx="117">
                  <c:v>741.71299999999985</c:v>
                </c:pt>
                <c:pt idx="118">
                  <c:v>744.25900000000001</c:v>
                </c:pt>
                <c:pt idx="119">
                  <c:v>754.44999999999993</c:v>
                </c:pt>
                <c:pt idx="120">
                  <c:v>770.65599999999995</c:v>
                </c:pt>
                <c:pt idx="121">
                  <c:v>770.76300000000015</c:v>
                </c:pt>
                <c:pt idx="122">
                  <c:v>772.13699999999994</c:v>
                </c:pt>
                <c:pt idx="123">
                  <c:v>779.18400000000008</c:v>
                </c:pt>
                <c:pt idx="124">
                  <c:v>789.3359999999999</c:v>
                </c:pt>
                <c:pt idx="125">
                  <c:v>794.03099999999984</c:v>
                </c:pt>
                <c:pt idx="126">
                  <c:v>794.50299999999982</c:v>
                </c:pt>
                <c:pt idx="127">
                  <c:v>797.92899999999997</c:v>
                </c:pt>
                <c:pt idx="128">
                  <c:v>808.10399999999993</c:v>
                </c:pt>
                <c:pt idx="129">
                  <c:v>825.70099999999991</c:v>
                </c:pt>
                <c:pt idx="130">
                  <c:v>826.44900000000018</c:v>
                </c:pt>
                <c:pt idx="131">
                  <c:v>826.54</c:v>
                </c:pt>
                <c:pt idx="132">
                  <c:v>834.33500000000004</c:v>
                </c:pt>
                <c:pt idx="133">
                  <c:v>845.66899999999987</c:v>
                </c:pt>
                <c:pt idx="134">
                  <c:v>846.68199999999979</c:v>
                </c:pt>
                <c:pt idx="135">
                  <c:v>850.2489999999998</c:v>
                </c:pt>
                <c:pt idx="136">
                  <c:v>851.06</c:v>
                </c:pt>
                <c:pt idx="137">
                  <c:v>862.00699999999995</c:v>
                </c:pt>
                <c:pt idx="138">
                  <c:v>879.50599999999986</c:v>
                </c:pt>
                <c:pt idx="139">
                  <c:v>880.33399999999995</c:v>
                </c:pt>
                <c:pt idx="140">
                  <c:v>880.38000000000022</c:v>
                </c:pt>
                <c:pt idx="141">
                  <c:v>889.13300000000004</c:v>
                </c:pt>
                <c:pt idx="142">
                  <c:v>899.13499999999976</c:v>
                </c:pt>
                <c:pt idx="143">
                  <c:v>902.08499999999981</c:v>
                </c:pt>
                <c:pt idx="144">
                  <c:v>903.89799999999991</c:v>
                </c:pt>
                <c:pt idx="145">
                  <c:v>905.23399999999981</c:v>
                </c:pt>
                <c:pt idx="146">
                  <c:v>914.92899999999997</c:v>
                </c:pt>
                <c:pt idx="147">
                  <c:v>933.46699999999987</c:v>
                </c:pt>
                <c:pt idx="148">
                  <c:v>934.0619999999999</c:v>
                </c:pt>
                <c:pt idx="149">
                  <c:v>934.23800000000017</c:v>
                </c:pt>
                <c:pt idx="150">
                  <c:v>944.41399999999999</c:v>
                </c:pt>
                <c:pt idx="151">
                  <c:v>951.75499999999977</c:v>
                </c:pt>
                <c:pt idx="152">
                  <c:v>956.57899999999995</c:v>
                </c:pt>
                <c:pt idx="153">
                  <c:v>959.00699999999983</c:v>
                </c:pt>
                <c:pt idx="154">
                  <c:v>960.36199999999985</c:v>
                </c:pt>
                <c:pt idx="155">
                  <c:v>968.27699999999993</c:v>
                </c:pt>
                <c:pt idx="156">
                  <c:v>987.40599999999984</c:v>
                </c:pt>
                <c:pt idx="157">
                  <c:v>988.2829999999999</c:v>
                </c:pt>
                <c:pt idx="158">
                  <c:v>988.29300000000012</c:v>
                </c:pt>
                <c:pt idx="159">
                  <c:v>1000.082</c:v>
                </c:pt>
                <c:pt idx="160">
                  <c:v>1004.273</c:v>
                </c:pt>
                <c:pt idx="161">
                  <c:v>1009.982</c:v>
                </c:pt>
                <c:pt idx="162">
                  <c:v>1015.061</c:v>
                </c:pt>
                <c:pt idx="163">
                  <c:v>1017.0119999999999</c:v>
                </c:pt>
                <c:pt idx="164">
                  <c:v>1022.78</c:v>
                </c:pt>
                <c:pt idx="165">
                  <c:v>1041.758</c:v>
                </c:pt>
                <c:pt idx="166">
                  <c:v>1041.9860000000001</c:v>
                </c:pt>
                <c:pt idx="167">
                  <c:v>1042.5309999999999</c:v>
                </c:pt>
                <c:pt idx="168">
                  <c:v>1055.546</c:v>
                </c:pt>
                <c:pt idx="169">
                  <c:v>1056.577</c:v>
                </c:pt>
                <c:pt idx="170">
                  <c:v>1062.8579999999999</c:v>
                </c:pt>
                <c:pt idx="171">
                  <c:v>1072.2570000000001</c:v>
                </c:pt>
                <c:pt idx="172">
                  <c:v>1074.1559999999999</c:v>
                </c:pt>
                <c:pt idx="173">
                  <c:v>1078.1659999999999</c:v>
                </c:pt>
                <c:pt idx="174">
                  <c:v>1095.5119999999999</c:v>
                </c:pt>
                <c:pt idx="175">
                  <c:v>1095.8789999999999</c:v>
                </c:pt>
                <c:pt idx="176">
                  <c:v>1097.713</c:v>
                </c:pt>
                <c:pt idx="177">
                  <c:v>1108.8510000000001</c:v>
                </c:pt>
                <c:pt idx="178">
                  <c:v>1112.067</c:v>
                </c:pt>
                <c:pt idx="179">
                  <c:v>1115.752</c:v>
                </c:pt>
                <c:pt idx="180">
                  <c:v>1127.6790000000001</c:v>
                </c:pt>
                <c:pt idx="181">
                  <c:v>1129.2570000000001</c:v>
                </c:pt>
                <c:pt idx="182">
                  <c:v>1131.1469999999999</c:v>
                </c:pt>
                <c:pt idx="183">
                  <c:v>1149.9880000000001</c:v>
                </c:pt>
                <c:pt idx="184">
                  <c:v>1150.1880000000001</c:v>
                </c:pt>
                <c:pt idx="185">
                  <c:v>1152.442</c:v>
                </c:pt>
                <c:pt idx="186">
                  <c:v>1161.1489999999999</c:v>
                </c:pt>
                <c:pt idx="187">
                  <c:v>1167.48</c:v>
                </c:pt>
                <c:pt idx="188">
                  <c:v>1168.566</c:v>
                </c:pt>
                <c:pt idx="189">
                  <c:v>1183.204</c:v>
                </c:pt>
                <c:pt idx="190">
                  <c:v>1183.8610000000001</c:v>
                </c:pt>
                <c:pt idx="191">
                  <c:v>1184.771</c:v>
                </c:pt>
                <c:pt idx="192">
                  <c:v>1203.7750000000001</c:v>
                </c:pt>
                <c:pt idx="193">
                  <c:v>1204.1310000000001</c:v>
                </c:pt>
                <c:pt idx="194">
                  <c:v>1206.932</c:v>
                </c:pt>
                <c:pt idx="195">
                  <c:v>1213.0440000000001</c:v>
                </c:pt>
                <c:pt idx="196">
                  <c:v>1221.4059999999999</c:v>
                </c:pt>
                <c:pt idx="197">
                  <c:v>1222.7739999999999</c:v>
                </c:pt>
                <c:pt idx="198">
                  <c:v>1236.6559999999999</c:v>
                </c:pt>
                <c:pt idx="199">
                  <c:v>1239.4690000000001</c:v>
                </c:pt>
                <c:pt idx="200">
                  <c:v>1242.714999999999</c:v>
                </c:pt>
                <c:pt idx="201">
                  <c:v>1258.1849999999999</c:v>
                </c:pt>
                <c:pt idx="202">
                  <c:v>1258.5820000000001</c:v>
                </c:pt>
                <c:pt idx="203">
                  <c:v>1262.6769999999999</c:v>
                </c:pt>
                <c:pt idx="204">
                  <c:v>1264.9359999999999</c:v>
                </c:pt>
                <c:pt idx="205">
                  <c:v>1274.2059999999999</c:v>
                </c:pt>
                <c:pt idx="206">
                  <c:v>1278.5029999999999</c:v>
                </c:pt>
                <c:pt idx="207">
                  <c:v>1289.8050000000001</c:v>
                </c:pt>
                <c:pt idx="208">
                  <c:v>1295.049</c:v>
                </c:pt>
                <c:pt idx="209">
                  <c:v>1298.196999999999</c:v>
                </c:pt>
                <c:pt idx="210">
                  <c:v>1311.886</c:v>
                </c:pt>
                <c:pt idx="211">
                  <c:v>1312.077</c:v>
                </c:pt>
                <c:pt idx="212">
                  <c:v>1316.857</c:v>
                </c:pt>
                <c:pt idx="213">
                  <c:v>1316.8969999999999</c:v>
                </c:pt>
                <c:pt idx="214">
                  <c:v>1327.0650000000001</c:v>
                </c:pt>
                <c:pt idx="215">
                  <c:v>1334.078</c:v>
                </c:pt>
                <c:pt idx="216">
                  <c:v>1343.328</c:v>
                </c:pt>
                <c:pt idx="217">
                  <c:v>1353.5630000000001</c:v>
                </c:pt>
                <c:pt idx="218">
                  <c:v>1355.049999999999</c:v>
                </c:pt>
                <c:pt idx="219">
                  <c:v>1365.2909999999999</c:v>
                </c:pt>
                <c:pt idx="220">
                  <c:v>1371.1030000000001</c:v>
                </c:pt>
                <c:pt idx="221">
                  <c:v>1371.922</c:v>
                </c:pt>
                <c:pt idx="222">
                  <c:v>1380.578</c:v>
                </c:pt>
                <c:pt idx="223">
                  <c:v>1390.499</c:v>
                </c:pt>
                <c:pt idx="224">
                  <c:v>1396.672</c:v>
                </c:pt>
                <c:pt idx="225">
                  <c:v>1400.73</c:v>
                </c:pt>
                <c:pt idx="226">
                  <c:v>1409.2739999999999</c:v>
                </c:pt>
                <c:pt idx="227">
                  <c:v>1411.327</c:v>
                </c:pt>
                <c:pt idx="228">
                  <c:v>1418.57</c:v>
                </c:pt>
                <c:pt idx="229">
                  <c:v>1423.5709999999999</c:v>
                </c:pt>
                <c:pt idx="230">
                  <c:v>1426.067</c:v>
                </c:pt>
                <c:pt idx="231">
                  <c:v>1433.5509999999999</c:v>
                </c:pt>
                <c:pt idx="232">
                  <c:v>1445.6969999999999</c:v>
                </c:pt>
                <c:pt idx="233">
                  <c:v>1449.5250000000001</c:v>
                </c:pt>
                <c:pt idx="234">
                  <c:v>1454.1659999999999</c:v>
                </c:pt>
                <c:pt idx="235">
                  <c:v>1464.6569999999999</c:v>
                </c:pt>
                <c:pt idx="236">
                  <c:v>1466.481</c:v>
                </c:pt>
                <c:pt idx="237">
                  <c:v>1472.396</c:v>
                </c:pt>
                <c:pt idx="238">
                  <c:v>1476.029</c:v>
                </c:pt>
                <c:pt idx="239">
                  <c:v>1481.104</c:v>
                </c:pt>
                <c:pt idx="240">
                  <c:v>1486.4649999999999</c:v>
                </c:pt>
                <c:pt idx="241">
                  <c:v>1500.1189999999999</c:v>
                </c:pt>
                <c:pt idx="242">
                  <c:v>1502.5119999999999</c:v>
                </c:pt>
                <c:pt idx="243">
                  <c:v>1507.4490000000001</c:v>
                </c:pt>
                <c:pt idx="244">
                  <c:v>1521.09</c:v>
                </c:pt>
                <c:pt idx="245">
                  <c:v>1525.5940000000001</c:v>
                </c:pt>
                <c:pt idx="246">
                  <c:v>1527.826</c:v>
                </c:pt>
                <c:pt idx="247">
                  <c:v>1529.7850000000001</c:v>
                </c:pt>
                <c:pt idx="248">
                  <c:v>1535.702</c:v>
                </c:pt>
                <c:pt idx="249">
                  <c:v>1539.453</c:v>
                </c:pt>
                <c:pt idx="250">
                  <c:v>1554.7650000000001</c:v>
                </c:pt>
                <c:pt idx="251">
                  <c:v>1555.56</c:v>
                </c:pt>
                <c:pt idx="252">
                  <c:v>1560.393</c:v>
                </c:pt>
                <c:pt idx="253">
                  <c:v>1578.941</c:v>
                </c:pt>
                <c:pt idx="254">
                  <c:v>1581.6189999999999</c:v>
                </c:pt>
                <c:pt idx="255">
                  <c:v>1582.057</c:v>
                </c:pt>
                <c:pt idx="256">
                  <c:v>1582.367</c:v>
                </c:pt>
                <c:pt idx="257">
                  <c:v>1590.6369999999999</c:v>
                </c:pt>
                <c:pt idx="258">
                  <c:v>1593.943</c:v>
                </c:pt>
                <c:pt idx="259">
                  <c:v>1608.1479999999999</c:v>
                </c:pt>
                <c:pt idx="260">
                  <c:v>1609.2860000000001</c:v>
                </c:pt>
                <c:pt idx="261">
                  <c:v>1613.3009999999999</c:v>
                </c:pt>
                <c:pt idx="262">
                  <c:v>1634.2470000000001</c:v>
                </c:pt>
                <c:pt idx="263">
                  <c:v>1634.453</c:v>
                </c:pt>
                <c:pt idx="264">
                  <c:v>1635.501</c:v>
                </c:pt>
                <c:pt idx="265">
                  <c:v>1637.64</c:v>
                </c:pt>
                <c:pt idx="266">
                  <c:v>1646.942</c:v>
                </c:pt>
                <c:pt idx="267">
                  <c:v>1648.1289999999999</c:v>
                </c:pt>
                <c:pt idx="268">
                  <c:v>1660.857</c:v>
                </c:pt>
                <c:pt idx="269">
                  <c:v>1663.2570000000001</c:v>
                </c:pt>
                <c:pt idx="270">
                  <c:v>1666.9079999999999</c:v>
                </c:pt>
                <c:pt idx="271">
                  <c:v>1686.402</c:v>
                </c:pt>
                <c:pt idx="272">
                  <c:v>1688.105</c:v>
                </c:pt>
                <c:pt idx="273">
                  <c:v>1692.096</c:v>
                </c:pt>
                <c:pt idx="274">
                  <c:v>1693.64</c:v>
                </c:pt>
                <c:pt idx="275">
                  <c:v>1700.982</c:v>
                </c:pt>
                <c:pt idx="276">
                  <c:v>1701.133</c:v>
                </c:pt>
                <c:pt idx="277">
                  <c:v>1713.537</c:v>
                </c:pt>
                <c:pt idx="278">
                  <c:v>1717.67</c:v>
                </c:pt>
                <c:pt idx="279">
                  <c:v>1720.1189999999999</c:v>
                </c:pt>
                <c:pt idx="280">
                  <c:v>1738.673</c:v>
                </c:pt>
                <c:pt idx="281">
                  <c:v>1741.722</c:v>
                </c:pt>
                <c:pt idx="282">
                  <c:v>1748.4749999999999</c:v>
                </c:pt>
                <c:pt idx="283">
                  <c:v>1748.867</c:v>
                </c:pt>
                <c:pt idx="284">
                  <c:v>1755.2349999999999</c:v>
                </c:pt>
                <c:pt idx="285">
                  <c:v>1755.2439999999999</c:v>
                </c:pt>
                <c:pt idx="286">
                  <c:v>1766.07</c:v>
                </c:pt>
                <c:pt idx="287">
                  <c:v>1771.6389999999999</c:v>
                </c:pt>
                <c:pt idx="288">
                  <c:v>1773.8879999999999</c:v>
                </c:pt>
                <c:pt idx="289">
                  <c:v>1791.0740000000001</c:v>
                </c:pt>
                <c:pt idx="290">
                  <c:v>1794.713</c:v>
                </c:pt>
                <c:pt idx="291">
                  <c:v>1805.02</c:v>
                </c:pt>
                <c:pt idx="292">
                  <c:v>1805.8710000000001</c:v>
                </c:pt>
                <c:pt idx="293">
                  <c:v>1808.5830000000001</c:v>
                </c:pt>
                <c:pt idx="294">
                  <c:v>1809.4469999999999</c:v>
                </c:pt>
                <c:pt idx="295">
                  <c:v>1819.8219999999999</c:v>
                </c:pt>
                <c:pt idx="296">
                  <c:v>1826.442</c:v>
                </c:pt>
                <c:pt idx="297">
                  <c:v>1828.6089999999999</c:v>
                </c:pt>
              </c:numCache>
            </c:numRef>
          </c:xVal>
          <c:yVal>
            <c:numRef>
              <c:f>intermediate_data!$P$2:$P$299</c:f>
              <c:numCache>
                <c:formatCode>General</c:formatCode>
                <c:ptCount val="298"/>
                <c:pt idx="0">
                  <c:v>6.4749719233904268E-2</c:v>
                </c:pt>
                <c:pt idx="1">
                  <c:v>6.4836560374371466E-2</c:v>
                </c:pt>
                <c:pt idx="2">
                  <c:v>6.5839865336483228E-2</c:v>
                </c:pt>
                <c:pt idx="3">
                  <c:v>6.7065117450627376E-2</c:v>
                </c:pt>
                <c:pt idx="4">
                  <c:v>6.7632315728043735E-2</c:v>
                </c:pt>
                <c:pt idx="5">
                  <c:v>6.9026299595195018E-2</c:v>
                </c:pt>
                <c:pt idx="6">
                  <c:v>6.9166476743847016E-2</c:v>
                </c:pt>
                <c:pt idx="7">
                  <c:v>6.9673969939430203E-2</c:v>
                </c:pt>
                <c:pt idx="8">
                  <c:v>7.0661006929107151E-2</c:v>
                </c:pt>
                <c:pt idx="9">
                  <c:v>0.109414985951789</c:v>
                </c:pt>
                <c:pt idx="10">
                  <c:v>0.1096154410366128</c:v>
                </c:pt>
                <c:pt idx="11">
                  <c:v>0.11133289943286151</c:v>
                </c:pt>
                <c:pt idx="12">
                  <c:v>0.1126817243256617</c:v>
                </c:pt>
                <c:pt idx="13">
                  <c:v>0.11304950844315687</c:v>
                </c:pt>
                <c:pt idx="14">
                  <c:v>0.11390144255365975</c:v>
                </c:pt>
                <c:pt idx="15">
                  <c:v>0.1146081316662606</c:v>
                </c:pt>
                <c:pt idx="16">
                  <c:v>0.11493915793199161</c:v>
                </c:pt>
                <c:pt idx="17">
                  <c:v>0.11630087961602298</c:v>
                </c:pt>
                <c:pt idx="18">
                  <c:v>0.15409137310385557</c:v>
                </c:pt>
                <c:pt idx="19">
                  <c:v>0.15417248890930368</c:v>
                </c:pt>
                <c:pt idx="20">
                  <c:v>0.15663220642155107</c:v>
                </c:pt>
                <c:pt idx="21">
                  <c:v>0.1586601015577398</c:v>
                </c:pt>
                <c:pt idx="22">
                  <c:v>0.15908317615085865</c:v>
                </c:pt>
                <c:pt idx="23">
                  <c:v>0.15985934307357264</c:v>
                </c:pt>
                <c:pt idx="24">
                  <c:v>0.16093372986925569</c:v>
                </c:pt>
                <c:pt idx="25">
                  <c:v>0.16171630997998232</c:v>
                </c:pt>
                <c:pt idx="26">
                  <c:v>0.16252325613811225</c:v>
                </c:pt>
                <c:pt idx="27">
                  <c:v>0.19308186282445661</c:v>
                </c:pt>
                <c:pt idx="28">
                  <c:v>0.19329149088315534</c:v>
                </c:pt>
                <c:pt idx="29">
                  <c:v>0.19599676998058957</c:v>
                </c:pt>
                <c:pt idx="30">
                  <c:v>0.19900613404854806</c:v>
                </c:pt>
                <c:pt idx="31">
                  <c:v>0.20048761613927102</c:v>
                </c:pt>
                <c:pt idx="32">
                  <c:v>0.20077761542996075</c:v>
                </c:pt>
                <c:pt idx="33">
                  <c:v>0.2019757267852107</c:v>
                </c:pt>
                <c:pt idx="34">
                  <c:v>0.20403794009441878</c:v>
                </c:pt>
                <c:pt idx="35">
                  <c:v>0.20416445624835866</c:v>
                </c:pt>
                <c:pt idx="36">
                  <c:v>0.2377469041499678</c:v>
                </c:pt>
                <c:pt idx="37">
                  <c:v>0.23782899235584321</c:v>
                </c:pt>
                <c:pt idx="38">
                  <c:v>0.24211538132288712</c:v>
                </c:pt>
                <c:pt idx="39">
                  <c:v>0.24668957351775944</c:v>
                </c:pt>
                <c:pt idx="40">
                  <c:v>0.24853903068628025</c:v>
                </c:pt>
                <c:pt idx="41">
                  <c:v>0.24918782421705554</c:v>
                </c:pt>
                <c:pt idx="42">
                  <c:v>0.25082958833456726</c:v>
                </c:pt>
                <c:pt idx="43">
                  <c:v>0.25384024960640428</c:v>
                </c:pt>
                <c:pt idx="44">
                  <c:v>0.25417306946499441</c:v>
                </c:pt>
                <c:pt idx="45">
                  <c:v>0.28437392454128929</c:v>
                </c:pt>
                <c:pt idx="46">
                  <c:v>0.28480333203780539</c:v>
                </c:pt>
                <c:pt idx="47">
                  <c:v>0.2896285399651104</c:v>
                </c:pt>
                <c:pt idx="48">
                  <c:v>0.29473281775388305</c:v>
                </c:pt>
                <c:pt idx="49">
                  <c:v>0.29640543647196793</c:v>
                </c:pt>
                <c:pt idx="50">
                  <c:v>0.29687895501110262</c:v>
                </c:pt>
                <c:pt idx="51">
                  <c:v>0.29850746268656803</c:v>
                </c:pt>
                <c:pt idx="52">
                  <c:v>0.30436332861791282</c:v>
                </c:pt>
                <c:pt idx="53">
                  <c:v>0.30465538894454891</c:v>
                </c:pt>
                <c:pt idx="54">
                  <c:v>0.34011196365652641</c:v>
                </c:pt>
                <c:pt idx="55">
                  <c:v>0.34089778691381944</c:v>
                </c:pt>
                <c:pt idx="56">
                  <c:v>0.34873995886542719</c:v>
                </c:pt>
                <c:pt idx="57">
                  <c:v>0.35641808304215683</c:v>
                </c:pt>
                <c:pt idx="58">
                  <c:v>0.35807462141227386</c:v>
                </c:pt>
                <c:pt idx="59">
                  <c:v>0.35820081200833531</c:v>
                </c:pt>
                <c:pt idx="60">
                  <c:v>0.36192687615386188</c:v>
                </c:pt>
                <c:pt idx="61">
                  <c:v>0.3680938151408828</c:v>
                </c:pt>
                <c:pt idx="62">
                  <c:v>0.36837069376920706</c:v>
                </c:pt>
                <c:pt idx="63">
                  <c:v>0.39762824544066344</c:v>
                </c:pt>
                <c:pt idx="64">
                  <c:v>0.39887125320063976</c:v>
                </c:pt>
                <c:pt idx="65">
                  <c:v>0.40721521767536561</c:v>
                </c:pt>
                <c:pt idx="66">
                  <c:v>0.41567018368552233</c:v>
                </c:pt>
                <c:pt idx="67">
                  <c:v>0.41626917310313516</c:v>
                </c:pt>
                <c:pt idx="68">
                  <c:v>0.41713833606925288</c:v>
                </c:pt>
                <c:pt idx="69">
                  <c:v>0.42080243392280003</c:v>
                </c:pt>
                <c:pt idx="70">
                  <c:v>0.42713719271150197</c:v>
                </c:pt>
                <c:pt idx="71">
                  <c:v>0.42787840258337617</c:v>
                </c:pt>
                <c:pt idx="72">
                  <c:v>0.44997201105112161</c:v>
                </c:pt>
                <c:pt idx="73">
                  <c:v>0.45129421236523015</c:v>
                </c:pt>
                <c:pt idx="74">
                  <c:v>0.4585516465819488</c:v>
                </c:pt>
                <c:pt idx="75">
                  <c:v>0.46618976391438061</c:v>
                </c:pt>
                <c:pt idx="76">
                  <c:v>0.46632182101233788</c:v>
                </c:pt>
                <c:pt idx="77">
                  <c:v>0.46729513073431583</c:v>
                </c:pt>
                <c:pt idx="78">
                  <c:v>0.47028516428557943</c:v>
                </c:pt>
                <c:pt idx="79">
                  <c:v>0.47673563915995487</c:v>
                </c:pt>
                <c:pt idx="80">
                  <c:v>0.47821147523126584</c:v>
                </c:pt>
                <c:pt idx="81">
                  <c:v>0.49513445453728089</c:v>
                </c:pt>
                <c:pt idx="82">
                  <c:v>0.49661402291165935</c:v>
                </c:pt>
                <c:pt idx="83">
                  <c:v>0.50470585280677405</c:v>
                </c:pt>
                <c:pt idx="84">
                  <c:v>0.51387741533699938</c:v>
                </c:pt>
                <c:pt idx="85">
                  <c:v>0.51456435779653198</c:v>
                </c:pt>
                <c:pt idx="86">
                  <c:v>0.51515354305990257</c:v>
                </c:pt>
                <c:pt idx="87">
                  <c:v>0.51937735849056921</c:v>
                </c:pt>
                <c:pt idx="88">
                  <c:v>0.52452612542709254</c:v>
                </c:pt>
                <c:pt idx="89">
                  <c:v>0.52659534565055743</c:v>
                </c:pt>
                <c:pt idx="90">
                  <c:v>0.53565569287980175</c:v>
                </c:pt>
                <c:pt idx="91">
                  <c:v>0.53705909321419476</c:v>
                </c:pt>
                <c:pt idx="92">
                  <c:v>0.5445444188499291</c:v>
                </c:pt>
                <c:pt idx="93">
                  <c:v>0.55397926085163718</c:v>
                </c:pt>
                <c:pt idx="94">
                  <c:v>0.55426056954128633</c:v>
                </c:pt>
                <c:pt idx="95">
                  <c:v>0.55507463602864959</c:v>
                </c:pt>
                <c:pt idx="96">
                  <c:v>0.55874579300640903</c:v>
                </c:pt>
                <c:pt idx="97">
                  <c:v>0.56790724323667341</c:v>
                </c:pt>
                <c:pt idx="98">
                  <c:v>0.57143503153752206</c:v>
                </c:pt>
                <c:pt idx="99">
                  <c:v>0.58331537743302597</c:v>
                </c:pt>
                <c:pt idx="100">
                  <c:v>0.58569498718650514</c:v>
                </c:pt>
                <c:pt idx="101">
                  <c:v>0.59610885187325557</c:v>
                </c:pt>
                <c:pt idx="102">
                  <c:v>0.61032667287899223</c:v>
                </c:pt>
                <c:pt idx="103">
                  <c:v>0.61046344434214639</c:v>
                </c:pt>
                <c:pt idx="104">
                  <c:v>0.61192625788166666</c:v>
                </c:pt>
                <c:pt idx="105">
                  <c:v>0.61802754737082566</c:v>
                </c:pt>
                <c:pt idx="106">
                  <c:v>0.62598594333005941</c:v>
                </c:pt>
                <c:pt idx="107">
                  <c:v>0.62912187069426473</c:v>
                </c:pt>
                <c:pt idx="108">
                  <c:v>0.63699806548426352</c:v>
                </c:pt>
                <c:pt idx="109">
                  <c:v>0.63918845632304233</c:v>
                </c:pt>
                <c:pt idx="110">
                  <c:v>0.64744106625126996</c:v>
                </c:pt>
                <c:pt idx="111">
                  <c:v>0.65941832726796079</c:v>
                </c:pt>
                <c:pt idx="112">
                  <c:v>0.6595219268346586</c:v>
                </c:pt>
                <c:pt idx="113">
                  <c:v>0.66072565513344728</c:v>
                </c:pt>
                <c:pt idx="114">
                  <c:v>0.66596729987714198</c:v>
                </c:pt>
                <c:pt idx="115">
                  <c:v>0.67332721299855791</c:v>
                </c:pt>
                <c:pt idx="116">
                  <c:v>0.67601065849560982</c:v>
                </c:pt>
                <c:pt idx="117">
                  <c:v>0.67952414631050573</c:v>
                </c:pt>
                <c:pt idx="118">
                  <c:v>0.6820172212212352</c:v>
                </c:pt>
                <c:pt idx="119">
                  <c:v>0.69199637535134073</c:v>
                </c:pt>
                <c:pt idx="120">
                  <c:v>0.70786549239897667</c:v>
                </c:pt>
                <c:pt idx="121">
                  <c:v>0.70797026813167463</c:v>
                </c:pt>
                <c:pt idx="122">
                  <c:v>0.70931570604500394</c:v>
                </c:pt>
                <c:pt idx="123">
                  <c:v>0.71621621621622111</c:v>
                </c:pt>
                <c:pt idx="124">
                  <c:v>0.72618388638232645</c:v>
                </c:pt>
                <c:pt idx="125">
                  <c:v>0.73079363928125041</c:v>
                </c:pt>
                <c:pt idx="126">
                  <c:v>0.73120000961128362</c:v>
                </c:pt>
                <c:pt idx="127">
                  <c:v>0.73414963832037117</c:v>
                </c:pt>
                <c:pt idx="128">
                  <c:v>0.74290984617646849</c:v>
                </c:pt>
                <c:pt idx="129">
                  <c:v>0.75806005528150244</c:v>
                </c:pt>
                <c:pt idx="130">
                  <c:v>0.75870404894011223</c:v>
                </c:pt>
                <c:pt idx="131">
                  <c:v>0.75878239576221596</c:v>
                </c:pt>
                <c:pt idx="132">
                  <c:v>0.76549353288636901</c:v>
                </c:pt>
                <c:pt idx="133">
                  <c:v>0.77392773337852994</c:v>
                </c:pt>
                <c:pt idx="134">
                  <c:v>0.77468155772108993</c:v>
                </c:pt>
                <c:pt idx="135">
                  <c:v>0.77759167784429195</c:v>
                </c:pt>
                <c:pt idx="136">
                  <c:v>0.77825332836851757</c:v>
                </c:pt>
                <c:pt idx="137">
                  <c:v>0.78718438667765511</c:v>
                </c:pt>
                <c:pt idx="138">
                  <c:v>0.80146086327869348</c:v>
                </c:pt>
                <c:pt idx="139">
                  <c:v>0.80213638317272462</c:v>
                </c:pt>
                <c:pt idx="140">
                  <c:v>0.80217391205572497</c:v>
                </c:pt>
                <c:pt idx="141">
                  <c:v>0.80931500581473514</c:v>
                </c:pt>
                <c:pt idx="142">
                  <c:v>0.81906984316492526</c:v>
                </c:pt>
                <c:pt idx="143">
                  <c:v>0.82176845335669668</c:v>
                </c:pt>
                <c:pt idx="144">
                  <c:v>0.82342695514574515</c:v>
                </c:pt>
                <c:pt idx="145">
                  <c:v>0.8246491053885272</c:v>
                </c:pt>
                <c:pt idx="146">
                  <c:v>0.83351792769674304</c:v>
                </c:pt>
                <c:pt idx="147">
                  <c:v>0.8504761770984679</c:v>
                </c:pt>
                <c:pt idx="148">
                  <c:v>0.85102047305240092</c:v>
                </c:pt>
                <c:pt idx="149">
                  <c:v>0.85118147488079288</c:v>
                </c:pt>
                <c:pt idx="150">
                  <c:v>0.86049030786773528</c:v>
                </c:pt>
                <c:pt idx="151">
                  <c:v>0.86812890709204993</c:v>
                </c:pt>
                <c:pt idx="152">
                  <c:v>0.87332652147447831</c:v>
                </c:pt>
                <c:pt idx="153">
                  <c:v>0.87594256785103397</c:v>
                </c:pt>
                <c:pt idx="154">
                  <c:v>0.87740251136019509</c:v>
                </c:pt>
                <c:pt idx="155">
                  <c:v>0.88593052086203983</c:v>
                </c:pt>
                <c:pt idx="156">
                  <c:v>0.90654104439467176</c:v>
                </c:pt>
                <c:pt idx="157">
                  <c:v>0.90748596724156272</c:v>
                </c:pt>
                <c:pt idx="158">
                  <c:v>0.90749674173240535</c:v>
                </c:pt>
                <c:pt idx="159">
                  <c:v>0.92019878898663876</c:v>
                </c:pt>
                <c:pt idx="160">
                  <c:v>0.92443747295543233</c:v>
                </c:pt>
                <c:pt idx="161">
                  <c:v>0.93065619341654227</c:v>
                </c:pt>
                <c:pt idx="162">
                  <c:v>0.93618866516675681</c:v>
                </c:pt>
                <c:pt idx="163">
                  <c:v>0.93831385760319463</c:v>
                </c:pt>
                <c:pt idx="164">
                  <c:v>0.94459684580072079</c:v>
                </c:pt>
                <c:pt idx="165">
                  <c:v>0.96526927125367834</c:v>
                </c:pt>
                <c:pt idx="166">
                  <c:v>0.96551762792999796</c:v>
                </c:pt>
                <c:pt idx="167">
                  <c:v>0.96611128752910957</c:v>
                </c:pt>
                <c:pt idx="168">
                  <c:v>0.9802883144692629</c:v>
                </c:pt>
                <c:pt idx="169">
                  <c:v>0.98175899223297947</c:v>
                </c:pt>
                <c:pt idx="170">
                  <c:v>0.99078748976884512</c:v>
                </c:pt>
                <c:pt idx="171">
                  <c:v>1.0042978938986877</c:v>
                </c:pt>
                <c:pt idx="172">
                  <c:v>1.0070275733797587</c:v>
                </c:pt>
                <c:pt idx="173">
                  <c:v>1.0127916674919746</c:v>
                </c:pt>
                <c:pt idx="174">
                  <c:v>1.0377253274596612</c:v>
                </c:pt>
                <c:pt idx="175">
                  <c:v>1.0382528642524775</c:v>
                </c:pt>
                <c:pt idx="176">
                  <c:v>1.0408891107865905</c:v>
                </c:pt>
                <c:pt idx="177">
                  <c:v>1.0568992056050028</c:v>
                </c:pt>
                <c:pt idx="178">
                  <c:v>1.061493747370843</c:v>
                </c:pt>
                <c:pt idx="179">
                  <c:v>1.0654546922560328</c:v>
                </c:pt>
                <c:pt idx="180">
                  <c:v>1.0782748251313841</c:v>
                </c:pt>
                <c:pt idx="181">
                  <c:v>1.0799709909465349</c:v>
                </c:pt>
                <c:pt idx="182">
                  <c:v>1.0820025203449113</c:v>
                </c:pt>
                <c:pt idx="183">
                  <c:v>1.1022543962151659</c:v>
                </c:pt>
                <c:pt idx="184">
                  <c:v>1.1024693728710808</c:v>
                </c:pt>
                <c:pt idx="185">
                  <c:v>1.1048921597832155</c:v>
                </c:pt>
                <c:pt idx="186">
                  <c:v>1.1142511684983738</c:v>
                </c:pt>
                <c:pt idx="187">
                  <c:v>1.1219963387609653</c:v>
                </c:pt>
                <c:pt idx="188">
                  <c:v>1.12328274300841</c:v>
                </c:pt>
                <c:pt idx="189">
                  <c:v>1.1406219560600732</c:v>
                </c:pt>
                <c:pt idx="190">
                  <c:v>1.1414001950937482</c:v>
                </c:pt>
                <c:pt idx="191">
                  <c:v>1.142478121304773</c:v>
                </c:pt>
                <c:pt idx="192">
                  <c:v>1.1649890111007686</c:v>
                </c:pt>
                <c:pt idx="193">
                  <c:v>1.1654107053107943</c:v>
                </c:pt>
                <c:pt idx="194">
                  <c:v>1.1687285858790197</c:v>
                </c:pt>
                <c:pt idx="195">
                  <c:v>1.1759684595073665</c:v>
                </c:pt>
                <c:pt idx="196">
                  <c:v>1.1858828507912946</c:v>
                </c:pt>
                <c:pt idx="197">
                  <c:v>1.1875048176983043</c:v>
                </c:pt>
                <c:pt idx="198">
                  <c:v>1.2059236536438576</c:v>
                </c:pt>
                <c:pt idx="199">
                  <c:v>1.2096559822359119</c:v>
                </c:pt>
                <c:pt idx="200">
                  <c:v>1.2139628214146505</c:v>
                </c:pt>
                <c:pt idx="201">
                  <c:v>1.2344886384494949</c:v>
                </c:pt>
                <c:pt idx="202">
                  <c:v>1.2350153837218159</c:v>
                </c:pt>
                <c:pt idx="203">
                  <c:v>1.2404486882310408</c:v>
                </c:pt>
                <c:pt idx="204">
                  <c:v>1.2434459617075575</c:v>
                </c:pt>
                <c:pt idx="205">
                  <c:v>1.2555083103682136</c:v>
                </c:pt>
                <c:pt idx="206">
                  <c:v>1.2610996709070328</c:v>
                </c:pt>
                <c:pt idx="207">
                  <c:v>1.2752441344053551</c:v>
                </c:pt>
                <c:pt idx="208">
                  <c:v>1.281807005276459</c:v>
                </c:pt>
                <c:pt idx="209">
                  <c:v>1.2857467302006036</c:v>
                </c:pt>
                <c:pt idx="210">
                  <c:v>1.3028785264161868</c:v>
                </c:pt>
                <c:pt idx="211">
                  <c:v>1.3031175630936076</c:v>
                </c:pt>
                <c:pt idx="212">
                  <c:v>1.3090997375337032</c:v>
                </c:pt>
                <c:pt idx="213">
                  <c:v>1.309149797570857</c:v>
                </c:pt>
                <c:pt idx="214">
                  <c:v>1.3137705441807022</c:v>
                </c:pt>
                <c:pt idx="215">
                  <c:v>1.3169575323764988</c:v>
                </c:pt>
                <c:pt idx="216">
                  <c:v>1.3236567999360425</c:v>
                </c:pt>
                <c:pt idx="217">
                  <c:v>1.331069448960033</c:v>
                </c:pt>
                <c:pt idx="218">
                  <c:v>1.3321464014855486</c:v>
                </c:pt>
                <c:pt idx="219">
                  <c:v>1.3395633959803916</c:v>
                </c:pt>
                <c:pt idx="220">
                  <c:v>1.3437727087432094</c:v>
                </c:pt>
                <c:pt idx="221">
                  <c:v>1.3448663513639936</c:v>
                </c:pt>
                <c:pt idx="222">
                  <c:v>1.3564250455343263</c:v>
                </c:pt>
                <c:pt idx="223">
                  <c:v>1.3696729435084372</c:v>
                </c:pt>
                <c:pt idx="224">
                  <c:v>1.3754918458968142</c:v>
                </c:pt>
                <c:pt idx="225">
                  <c:v>1.3793170695955084</c:v>
                </c:pt>
                <c:pt idx="226">
                  <c:v>1.3873709659192244</c:v>
                </c:pt>
                <c:pt idx="227">
                  <c:v>1.3893062010728521</c:v>
                </c:pt>
                <c:pt idx="228">
                  <c:v>1.3961337257770516</c:v>
                </c:pt>
                <c:pt idx="229">
                  <c:v>1.4008478568064149</c:v>
                </c:pt>
                <c:pt idx="230">
                  <c:v>1.4032097490117899</c:v>
                </c:pt>
                <c:pt idx="231">
                  <c:v>1.4102916405442478</c:v>
                </c:pt>
                <c:pt idx="232">
                  <c:v>1.4217850470852973</c:v>
                </c:pt>
                <c:pt idx="233">
                  <c:v>1.4244185098722646</c:v>
                </c:pt>
                <c:pt idx="234">
                  <c:v>1.4276112739251197</c:v>
                </c:pt>
                <c:pt idx="235">
                  <c:v>1.4348285304815604</c:v>
                </c:pt>
                <c:pt idx="236">
                  <c:v>1.4360833466057592</c:v>
                </c:pt>
                <c:pt idx="237">
                  <c:v>1.4401525556927233</c:v>
                </c:pt>
                <c:pt idx="238">
                  <c:v>1.4426518687295662</c:v>
                </c:pt>
                <c:pt idx="239">
                  <c:v>1.4438072061300105</c:v>
                </c:pt>
                <c:pt idx="240">
                  <c:v>1.4450276521997161</c:v>
                </c:pt>
                <c:pt idx="241">
                  <c:v>1.4481360220254587</c:v>
                </c:pt>
                <c:pt idx="242">
                  <c:v>1.448861037677073</c:v>
                </c:pt>
                <c:pt idx="243">
                  <c:v>1.4503568179829678</c:v>
                </c:pt>
                <c:pt idx="244">
                  <c:v>1.4544896798733333</c:v>
                </c:pt>
                <c:pt idx="245">
                  <c:v>1.4558542726417691</c:v>
                </c:pt>
                <c:pt idx="246">
                  <c:v>1.4565305095554351</c:v>
                </c:pt>
                <c:pt idx="247">
                  <c:v>1.4571240346960508</c:v>
                </c:pt>
                <c:pt idx="248">
                  <c:v>1.4613742974927604</c:v>
                </c:pt>
                <c:pt idx="249">
                  <c:v>1.464068692583254</c:v>
                </c:pt>
                <c:pt idx="250">
                  <c:v>1.4750675135978177</c:v>
                </c:pt>
                <c:pt idx="251">
                  <c:v>1.4756052185348274</c:v>
                </c:pt>
                <c:pt idx="252">
                  <c:v>1.4788740587367926</c:v>
                </c:pt>
                <c:pt idx="253">
                  <c:v>1.4914191545501652</c:v>
                </c:pt>
                <c:pt idx="254">
                  <c:v>1.4932304423757117</c:v>
                </c:pt>
                <c:pt idx="255">
                  <c:v>1.4935266873598749</c:v>
                </c:pt>
                <c:pt idx="256">
                  <c:v>1.4937363584673875</c:v>
                </c:pt>
                <c:pt idx="257">
                  <c:v>1.5014580087883154</c:v>
                </c:pt>
                <c:pt idx="258">
                  <c:v>1.504544801528457</c:v>
                </c:pt>
                <c:pt idx="259">
                  <c:v>1.517807926414644</c:v>
                </c:pt>
                <c:pt idx="260">
                  <c:v>1.51887047031612</c:v>
                </c:pt>
                <c:pt idx="261">
                  <c:v>1.5218687983825063</c:v>
                </c:pt>
                <c:pt idx="262">
                  <c:v>1.5375108854755375</c:v>
                </c:pt>
                <c:pt idx="263">
                  <c:v>1.5376437859862513</c:v>
                </c:pt>
                <c:pt idx="264">
                  <c:v>1.5383199012058029</c:v>
                </c:pt>
                <c:pt idx="265">
                  <c:v>1.539699873013646</c:v>
                </c:pt>
                <c:pt idx="266">
                  <c:v>1.5457010407352811</c:v>
                </c:pt>
                <c:pt idx="267">
                  <c:v>1.5464668315421584</c:v>
                </c:pt>
                <c:pt idx="268">
                  <c:v>1.5546782766895362</c:v>
                </c:pt>
                <c:pt idx="269">
                  <c:v>1.5562266321541607</c:v>
                </c:pt>
                <c:pt idx="270">
                  <c:v>1.559131572041764</c:v>
                </c:pt>
                <c:pt idx="271">
                  <c:v>1.5746420892066268</c:v>
                </c:pt>
                <c:pt idx="272">
                  <c:v>1.575924628368039</c:v>
                </c:pt>
                <c:pt idx="273">
                  <c:v>1.5789302735783757</c:v>
                </c:pt>
                <c:pt idx="274">
                  <c:v>1.5800930689190871</c:v>
                </c:pt>
                <c:pt idx="275">
                  <c:v>1.5856223716337645</c:v>
                </c:pt>
                <c:pt idx="276">
                  <c:v>1.585736090608151</c:v>
                </c:pt>
                <c:pt idx="277">
                  <c:v>1.5950776148349135</c:v>
                </c:pt>
                <c:pt idx="278">
                  <c:v>1.5981902010675206</c:v>
                </c:pt>
                <c:pt idx="279">
                  <c:v>1.5996642818736042</c:v>
                </c:pt>
                <c:pt idx="280">
                  <c:v>1.610832144379188</c:v>
                </c:pt>
                <c:pt idx="281">
                  <c:v>1.6125226613569446</c:v>
                </c:pt>
                <c:pt idx="282">
                  <c:v>1.6162668598321197</c:v>
                </c:pt>
                <c:pt idx="283">
                  <c:v>1.6164842040942666</c:v>
                </c:pt>
                <c:pt idx="284">
                  <c:v>1.6200149394548298</c:v>
                </c:pt>
                <c:pt idx="285">
                  <c:v>1.6200199295016731</c:v>
                </c:pt>
                <c:pt idx="286">
                  <c:v>1.6260224013944935</c:v>
                </c:pt>
                <c:pt idx="287">
                  <c:v>1.6291101314860441</c:v>
                </c:pt>
                <c:pt idx="288">
                  <c:v>1.6309912603637997</c:v>
                </c:pt>
                <c:pt idx="289">
                  <c:v>1.6453661295914515</c:v>
                </c:pt>
                <c:pt idx="290">
                  <c:v>1.6480438780769617</c:v>
                </c:pt>
                <c:pt idx="291">
                  <c:v>1.6556282566535216</c:v>
                </c:pt>
                <c:pt idx="292">
                  <c:v>1.6562544627434264</c:v>
                </c:pt>
                <c:pt idx="293">
                  <c:v>1.6582500807408707</c:v>
                </c:pt>
                <c:pt idx="294">
                  <c:v>1.6588858528462467</c:v>
                </c:pt>
                <c:pt idx="295">
                  <c:v>1.6665202690422163</c:v>
                </c:pt>
                <c:pt idx="296">
                  <c:v>1.6713915784607494</c:v>
                </c:pt>
                <c:pt idx="297">
                  <c:v>1.6733746173694684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396-4B8B-94C9-747D2D4C113F}"/>
            </c:ext>
          </c:extLst>
        </c:ser>
        <c:ser>
          <c:idx val="6"/>
          <c:order val="6"/>
          <c:tx>
            <c:strRef>
              <c:f>race_data!$AE$1</c:f>
              <c:strCache>
                <c:ptCount val="1"/>
                <c:pt idx="0">
                  <c:v>KyleS</c:v>
                </c:pt>
              </c:strCache>
            </c:strRef>
          </c:tx>
          <c:marker>
            <c:symbol val="none"/>
          </c:marker>
          <c:xVal>
            <c:numRef>
              <c:f>intermediate_data!$A$2:$A$299</c:f>
              <c:numCache>
                <c:formatCode>General</c:formatCode>
                <c:ptCount val="298"/>
                <c:pt idx="0">
                  <c:v>53.683999999999997</c:v>
                </c:pt>
                <c:pt idx="1">
                  <c:v>53.756</c:v>
                </c:pt>
                <c:pt idx="2">
                  <c:v>54.529000000000003</c:v>
                </c:pt>
                <c:pt idx="3">
                  <c:v>55.472999999999999</c:v>
                </c:pt>
                <c:pt idx="4">
                  <c:v>55.91</c:v>
                </c:pt>
                <c:pt idx="5">
                  <c:v>56.984000000000002</c:v>
                </c:pt>
                <c:pt idx="6">
                  <c:v>57.091999999999999</c:v>
                </c:pt>
                <c:pt idx="7">
                  <c:v>57.482999999999997</c:v>
                </c:pt>
                <c:pt idx="8">
                  <c:v>58.719000000000001</c:v>
                </c:pt>
                <c:pt idx="9">
                  <c:v>107.248</c:v>
                </c:pt>
                <c:pt idx="10">
                  <c:v>107.48399999999999</c:v>
                </c:pt>
                <c:pt idx="11">
                  <c:v>109.506</c:v>
                </c:pt>
                <c:pt idx="12">
                  <c:v>111.09399999999999</c:v>
                </c:pt>
                <c:pt idx="13">
                  <c:v>111.527</c:v>
                </c:pt>
                <c:pt idx="14">
                  <c:v>112.53</c:v>
                </c:pt>
                <c:pt idx="15">
                  <c:v>113.36199999999999</c:v>
                </c:pt>
                <c:pt idx="16">
                  <c:v>113.758</c:v>
                </c:pt>
                <c:pt idx="17">
                  <c:v>115.387</c:v>
                </c:pt>
                <c:pt idx="18">
                  <c:v>160.595</c:v>
                </c:pt>
                <c:pt idx="19">
                  <c:v>160.697</c:v>
                </c:pt>
                <c:pt idx="20">
                  <c:v>163.79</c:v>
                </c:pt>
                <c:pt idx="21">
                  <c:v>166.34</c:v>
                </c:pt>
                <c:pt idx="22">
                  <c:v>166.87200000000001</c:v>
                </c:pt>
                <c:pt idx="23">
                  <c:v>167.84800000000001</c:v>
                </c:pt>
                <c:pt idx="24">
                  <c:v>169.19900000000001</c:v>
                </c:pt>
                <c:pt idx="25">
                  <c:v>170.291</c:v>
                </c:pt>
                <c:pt idx="26">
                  <c:v>171.417</c:v>
                </c:pt>
                <c:pt idx="27">
                  <c:v>214.05799999999999</c:v>
                </c:pt>
                <c:pt idx="28">
                  <c:v>214.31100000000001</c:v>
                </c:pt>
                <c:pt idx="29">
                  <c:v>217.57599999999999</c:v>
                </c:pt>
                <c:pt idx="30">
                  <c:v>221.208</c:v>
                </c:pt>
                <c:pt idx="31">
                  <c:v>222.99600000000001</c:v>
                </c:pt>
                <c:pt idx="32">
                  <c:v>223.346</c:v>
                </c:pt>
                <c:pt idx="33">
                  <c:v>224.792</c:v>
                </c:pt>
                <c:pt idx="34">
                  <c:v>227.23699999999999</c:v>
                </c:pt>
                <c:pt idx="35">
                  <c:v>227.387</c:v>
                </c:pt>
                <c:pt idx="36">
                  <c:v>267.20299999999997</c:v>
                </c:pt>
                <c:pt idx="37">
                  <c:v>267.286</c:v>
                </c:pt>
                <c:pt idx="38">
                  <c:v>271.62</c:v>
                </c:pt>
                <c:pt idx="39">
                  <c:v>276.245</c:v>
                </c:pt>
                <c:pt idx="40">
                  <c:v>278.11500000000001</c:v>
                </c:pt>
                <c:pt idx="41">
                  <c:v>278.77100000000002</c:v>
                </c:pt>
                <c:pt idx="42">
                  <c:v>280.43099999999998</c:v>
                </c:pt>
                <c:pt idx="43">
                  <c:v>283.97699999999998</c:v>
                </c:pt>
                <c:pt idx="44">
                  <c:v>284.36900000000003</c:v>
                </c:pt>
                <c:pt idx="45">
                  <c:v>319.94</c:v>
                </c:pt>
                <c:pt idx="46">
                  <c:v>320.41699999999997</c:v>
                </c:pt>
                <c:pt idx="47">
                  <c:v>325.77699999999999</c:v>
                </c:pt>
                <c:pt idx="48">
                  <c:v>331.447</c:v>
                </c:pt>
                <c:pt idx="49">
                  <c:v>333.30500000000001</c:v>
                </c:pt>
                <c:pt idx="50">
                  <c:v>333.83100000000002</c:v>
                </c:pt>
                <c:pt idx="51">
                  <c:v>335.64</c:v>
                </c:pt>
                <c:pt idx="52">
                  <c:v>340.83300000000003</c:v>
                </c:pt>
                <c:pt idx="53">
                  <c:v>341.09199999999998</c:v>
                </c:pt>
                <c:pt idx="54">
                  <c:v>372.53500000000003</c:v>
                </c:pt>
                <c:pt idx="55">
                  <c:v>373.22</c:v>
                </c:pt>
                <c:pt idx="56">
                  <c:v>380.05599999999998</c:v>
                </c:pt>
                <c:pt idx="57">
                  <c:v>386.74900000000002</c:v>
                </c:pt>
                <c:pt idx="58">
                  <c:v>388.19299999999998</c:v>
                </c:pt>
                <c:pt idx="59">
                  <c:v>388.30299999999988</c:v>
                </c:pt>
                <c:pt idx="60">
                  <c:v>391.55099999999999</c:v>
                </c:pt>
                <c:pt idx="61">
                  <c:v>397.34199999999998</c:v>
                </c:pt>
                <c:pt idx="62">
                  <c:v>397.60199999999998</c:v>
                </c:pt>
                <c:pt idx="63">
                  <c:v>425.07600000000002</c:v>
                </c:pt>
                <c:pt idx="64">
                  <c:v>426.26299999999998</c:v>
                </c:pt>
                <c:pt idx="65">
                  <c:v>434.23099999999999</c:v>
                </c:pt>
                <c:pt idx="66">
                  <c:v>442.30500000000001</c:v>
                </c:pt>
                <c:pt idx="67">
                  <c:v>442.87700000000001</c:v>
                </c:pt>
                <c:pt idx="68">
                  <c:v>443.70699999999999</c:v>
                </c:pt>
                <c:pt idx="69">
                  <c:v>447.20600000000002</c:v>
                </c:pt>
                <c:pt idx="70">
                  <c:v>453.82100000000003</c:v>
                </c:pt>
                <c:pt idx="71">
                  <c:v>454.59500000000003</c:v>
                </c:pt>
                <c:pt idx="72">
                  <c:v>477.66599999999988</c:v>
                </c:pt>
                <c:pt idx="73">
                  <c:v>479.28800000000001</c:v>
                </c:pt>
                <c:pt idx="74">
                  <c:v>488.19099999999997</c:v>
                </c:pt>
                <c:pt idx="75">
                  <c:v>497.56099999999998</c:v>
                </c:pt>
                <c:pt idx="76">
                  <c:v>497.72300000000001</c:v>
                </c:pt>
                <c:pt idx="77">
                  <c:v>498.91699999999997</c:v>
                </c:pt>
                <c:pt idx="78">
                  <c:v>502.58499999999998</c:v>
                </c:pt>
                <c:pt idx="79">
                  <c:v>509.87099999999998</c:v>
                </c:pt>
                <c:pt idx="80">
                  <c:v>511.53800000000001</c:v>
                </c:pt>
                <c:pt idx="81">
                  <c:v>530.65299999999991</c:v>
                </c:pt>
                <c:pt idx="82">
                  <c:v>532.33299999999997</c:v>
                </c:pt>
                <c:pt idx="83">
                  <c:v>541.52099999999996</c:v>
                </c:pt>
                <c:pt idx="84">
                  <c:v>551.93500000000006</c:v>
                </c:pt>
                <c:pt idx="85">
                  <c:v>552.71499999999992</c:v>
                </c:pt>
                <c:pt idx="86">
                  <c:v>553.38400000000001</c:v>
                </c:pt>
                <c:pt idx="87">
                  <c:v>558.18000000000006</c:v>
                </c:pt>
                <c:pt idx="88">
                  <c:v>566.23699999999997</c:v>
                </c:pt>
                <c:pt idx="89">
                  <c:v>569.47499999999991</c:v>
                </c:pt>
                <c:pt idx="90">
                  <c:v>583.65299999999991</c:v>
                </c:pt>
                <c:pt idx="91">
                  <c:v>585.43899999999996</c:v>
                </c:pt>
                <c:pt idx="92">
                  <c:v>594.96499999999992</c:v>
                </c:pt>
                <c:pt idx="93">
                  <c:v>606.97200000000009</c:v>
                </c:pt>
                <c:pt idx="94">
                  <c:v>607.32999999999993</c:v>
                </c:pt>
                <c:pt idx="95">
                  <c:v>608.36599999999999</c:v>
                </c:pt>
                <c:pt idx="96">
                  <c:v>613.03800000000001</c:v>
                </c:pt>
                <c:pt idx="97">
                  <c:v>621.69099999999992</c:v>
                </c:pt>
                <c:pt idx="98">
                  <c:v>625.02299999999991</c:v>
                </c:pt>
                <c:pt idx="99">
                  <c:v>636.24399999999991</c:v>
                </c:pt>
                <c:pt idx="100">
                  <c:v>638.471</c:v>
                </c:pt>
                <c:pt idx="101">
                  <c:v>648.21699999999987</c:v>
                </c:pt>
                <c:pt idx="102">
                  <c:v>661.52299999999991</c:v>
                </c:pt>
                <c:pt idx="103">
                  <c:v>661.65100000000007</c:v>
                </c:pt>
                <c:pt idx="104">
                  <c:v>663.02</c:v>
                </c:pt>
                <c:pt idx="105">
                  <c:v>668.73</c:v>
                </c:pt>
                <c:pt idx="106">
                  <c:v>677.15299999999991</c:v>
                </c:pt>
                <c:pt idx="107">
                  <c:v>680.47199999999987</c:v>
                </c:pt>
                <c:pt idx="108">
                  <c:v>688.80799999999988</c:v>
                </c:pt>
                <c:pt idx="109">
                  <c:v>691.47199999999998</c:v>
                </c:pt>
                <c:pt idx="110">
                  <c:v>701.5089999999999</c:v>
                </c:pt>
                <c:pt idx="111">
                  <c:v>716.07599999999991</c:v>
                </c:pt>
                <c:pt idx="112">
                  <c:v>716.20200000000011</c:v>
                </c:pt>
                <c:pt idx="113">
                  <c:v>717.66599999999994</c:v>
                </c:pt>
                <c:pt idx="114">
                  <c:v>724.04100000000005</c:v>
                </c:pt>
                <c:pt idx="115">
                  <c:v>733.63499999999988</c:v>
                </c:pt>
                <c:pt idx="116">
                  <c:v>737.13299999999981</c:v>
                </c:pt>
                <c:pt idx="117">
                  <c:v>741.71299999999985</c:v>
                </c:pt>
                <c:pt idx="118">
                  <c:v>744.25900000000001</c:v>
                </c:pt>
                <c:pt idx="119">
                  <c:v>754.44999999999993</c:v>
                </c:pt>
                <c:pt idx="120">
                  <c:v>770.65599999999995</c:v>
                </c:pt>
                <c:pt idx="121">
                  <c:v>770.76300000000015</c:v>
                </c:pt>
                <c:pt idx="122">
                  <c:v>772.13699999999994</c:v>
                </c:pt>
                <c:pt idx="123">
                  <c:v>779.18400000000008</c:v>
                </c:pt>
                <c:pt idx="124">
                  <c:v>789.3359999999999</c:v>
                </c:pt>
                <c:pt idx="125">
                  <c:v>794.03099999999984</c:v>
                </c:pt>
                <c:pt idx="126">
                  <c:v>794.50299999999982</c:v>
                </c:pt>
                <c:pt idx="127">
                  <c:v>797.92899999999997</c:v>
                </c:pt>
                <c:pt idx="128">
                  <c:v>808.10399999999993</c:v>
                </c:pt>
                <c:pt idx="129">
                  <c:v>825.70099999999991</c:v>
                </c:pt>
                <c:pt idx="130">
                  <c:v>826.44900000000018</c:v>
                </c:pt>
                <c:pt idx="131">
                  <c:v>826.54</c:v>
                </c:pt>
                <c:pt idx="132">
                  <c:v>834.33500000000004</c:v>
                </c:pt>
                <c:pt idx="133">
                  <c:v>845.66899999999987</c:v>
                </c:pt>
                <c:pt idx="134">
                  <c:v>846.68199999999979</c:v>
                </c:pt>
                <c:pt idx="135">
                  <c:v>850.2489999999998</c:v>
                </c:pt>
                <c:pt idx="136">
                  <c:v>851.06</c:v>
                </c:pt>
                <c:pt idx="137">
                  <c:v>862.00699999999995</c:v>
                </c:pt>
                <c:pt idx="138">
                  <c:v>879.50599999999986</c:v>
                </c:pt>
                <c:pt idx="139">
                  <c:v>880.33399999999995</c:v>
                </c:pt>
                <c:pt idx="140">
                  <c:v>880.38000000000022</c:v>
                </c:pt>
                <c:pt idx="141">
                  <c:v>889.13300000000004</c:v>
                </c:pt>
                <c:pt idx="142">
                  <c:v>899.13499999999976</c:v>
                </c:pt>
                <c:pt idx="143">
                  <c:v>902.08499999999981</c:v>
                </c:pt>
                <c:pt idx="144">
                  <c:v>903.89799999999991</c:v>
                </c:pt>
                <c:pt idx="145">
                  <c:v>905.23399999999981</c:v>
                </c:pt>
                <c:pt idx="146">
                  <c:v>914.92899999999997</c:v>
                </c:pt>
                <c:pt idx="147">
                  <c:v>933.46699999999987</c:v>
                </c:pt>
                <c:pt idx="148">
                  <c:v>934.0619999999999</c:v>
                </c:pt>
                <c:pt idx="149">
                  <c:v>934.23800000000017</c:v>
                </c:pt>
                <c:pt idx="150">
                  <c:v>944.41399999999999</c:v>
                </c:pt>
                <c:pt idx="151">
                  <c:v>951.75499999999977</c:v>
                </c:pt>
                <c:pt idx="152">
                  <c:v>956.57899999999995</c:v>
                </c:pt>
                <c:pt idx="153">
                  <c:v>959.00699999999983</c:v>
                </c:pt>
                <c:pt idx="154">
                  <c:v>960.36199999999985</c:v>
                </c:pt>
                <c:pt idx="155">
                  <c:v>968.27699999999993</c:v>
                </c:pt>
                <c:pt idx="156">
                  <c:v>987.40599999999984</c:v>
                </c:pt>
                <c:pt idx="157">
                  <c:v>988.2829999999999</c:v>
                </c:pt>
                <c:pt idx="158">
                  <c:v>988.29300000000012</c:v>
                </c:pt>
                <c:pt idx="159">
                  <c:v>1000.082</c:v>
                </c:pt>
                <c:pt idx="160">
                  <c:v>1004.273</c:v>
                </c:pt>
                <c:pt idx="161">
                  <c:v>1009.982</c:v>
                </c:pt>
                <c:pt idx="162">
                  <c:v>1015.061</c:v>
                </c:pt>
                <c:pt idx="163">
                  <c:v>1017.0119999999999</c:v>
                </c:pt>
                <c:pt idx="164">
                  <c:v>1022.78</c:v>
                </c:pt>
                <c:pt idx="165">
                  <c:v>1041.758</c:v>
                </c:pt>
                <c:pt idx="166">
                  <c:v>1041.9860000000001</c:v>
                </c:pt>
                <c:pt idx="167">
                  <c:v>1042.5309999999999</c:v>
                </c:pt>
                <c:pt idx="168">
                  <c:v>1055.546</c:v>
                </c:pt>
                <c:pt idx="169">
                  <c:v>1056.577</c:v>
                </c:pt>
                <c:pt idx="170">
                  <c:v>1062.8579999999999</c:v>
                </c:pt>
                <c:pt idx="171">
                  <c:v>1072.2570000000001</c:v>
                </c:pt>
                <c:pt idx="172">
                  <c:v>1074.1559999999999</c:v>
                </c:pt>
                <c:pt idx="173">
                  <c:v>1078.1659999999999</c:v>
                </c:pt>
                <c:pt idx="174">
                  <c:v>1095.5119999999999</c:v>
                </c:pt>
                <c:pt idx="175">
                  <c:v>1095.8789999999999</c:v>
                </c:pt>
                <c:pt idx="176">
                  <c:v>1097.713</c:v>
                </c:pt>
                <c:pt idx="177">
                  <c:v>1108.8510000000001</c:v>
                </c:pt>
                <c:pt idx="178">
                  <c:v>1112.067</c:v>
                </c:pt>
                <c:pt idx="179">
                  <c:v>1115.752</c:v>
                </c:pt>
                <c:pt idx="180">
                  <c:v>1127.6790000000001</c:v>
                </c:pt>
                <c:pt idx="181">
                  <c:v>1129.2570000000001</c:v>
                </c:pt>
                <c:pt idx="182">
                  <c:v>1131.1469999999999</c:v>
                </c:pt>
                <c:pt idx="183">
                  <c:v>1149.9880000000001</c:v>
                </c:pt>
                <c:pt idx="184">
                  <c:v>1150.1880000000001</c:v>
                </c:pt>
                <c:pt idx="185">
                  <c:v>1152.442</c:v>
                </c:pt>
                <c:pt idx="186">
                  <c:v>1161.1489999999999</c:v>
                </c:pt>
                <c:pt idx="187">
                  <c:v>1167.48</c:v>
                </c:pt>
                <c:pt idx="188">
                  <c:v>1168.566</c:v>
                </c:pt>
                <c:pt idx="189">
                  <c:v>1183.204</c:v>
                </c:pt>
                <c:pt idx="190">
                  <c:v>1183.8610000000001</c:v>
                </c:pt>
                <c:pt idx="191">
                  <c:v>1184.771</c:v>
                </c:pt>
                <c:pt idx="192">
                  <c:v>1203.7750000000001</c:v>
                </c:pt>
                <c:pt idx="193">
                  <c:v>1204.1310000000001</c:v>
                </c:pt>
                <c:pt idx="194">
                  <c:v>1206.932</c:v>
                </c:pt>
                <c:pt idx="195">
                  <c:v>1213.0440000000001</c:v>
                </c:pt>
                <c:pt idx="196">
                  <c:v>1221.4059999999999</c:v>
                </c:pt>
                <c:pt idx="197">
                  <c:v>1222.7739999999999</c:v>
                </c:pt>
                <c:pt idx="198">
                  <c:v>1236.6559999999999</c:v>
                </c:pt>
                <c:pt idx="199">
                  <c:v>1239.4690000000001</c:v>
                </c:pt>
                <c:pt idx="200">
                  <c:v>1242.714999999999</c:v>
                </c:pt>
                <c:pt idx="201">
                  <c:v>1258.1849999999999</c:v>
                </c:pt>
                <c:pt idx="202">
                  <c:v>1258.5820000000001</c:v>
                </c:pt>
                <c:pt idx="203">
                  <c:v>1262.6769999999999</c:v>
                </c:pt>
                <c:pt idx="204">
                  <c:v>1264.9359999999999</c:v>
                </c:pt>
                <c:pt idx="205">
                  <c:v>1274.2059999999999</c:v>
                </c:pt>
                <c:pt idx="206">
                  <c:v>1278.5029999999999</c:v>
                </c:pt>
                <c:pt idx="207">
                  <c:v>1289.8050000000001</c:v>
                </c:pt>
                <c:pt idx="208">
                  <c:v>1295.049</c:v>
                </c:pt>
                <c:pt idx="209">
                  <c:v>1298.196999999999</c:v>
                </c:pt>
                <c:pt idx="210">
                  <c:v>1311.886</c:v>
                </c:pt>
                <c:pt idx="211">
                  <c:v>1312.077</c:v>
                </c:pt>
                <c:pt idx="212">
                  <c:v>1316.857</c:v>
                </c:pt>
                <c:pt idx="213">
                  <c:v>1316.8969999999999</c:v>
                </c:pt>
                <c:pt idx="214">
                  <c:v>1327.0650000000001</c:v>
                </c:pt>
                <c:pt idx="215">
                  <c:v>1334.078</c:v>
                </c:pt>
                <c:pt idx="216">
                  <c:v>1343.328</c:v>
                </c:pt>
                <c:pt idx="217">
                  <c:v>1353.5630000000001</c:v>
                </c:pt>
                <c:pt idx="218">
                  <c:v>1355.049999999999</c:v>
                </c:pt>
                <c:pt idx="219">
                  <c:v>1365.2909999999999</c:v>
                </c:pt>
                <c:pt idx="220">
                  <c:v>1371.1030000000001</c:v>
                </c:pt>
                <c:pt idx="221">
                  <c:v>1371.922</c:v>
                </c:pt>
                <c:pt idx="222">
                  <c:v>1380.578</c:v>
                </c:pt>
                <c:pt idx="223">
                  <c:v>1390.499</c:v>
                </c:pt>
                <c:pt idx="224">
                  <c:v>1396.672</c:v>
                </c:pt>
                <c:pt idx="225">
                  <c:v>1400.73</c:v>
                </c:pt>
                <c:pt idx="226">
                  <c:v>1409.2739999999999</c:v>
                </c:pt>
                <c:pt idx="227">
                  <c:v>1411.327</c:v>
                </c:pt>
                <c:pt idx="228">
                  <c:v>1418.57</c:v>
                </c:pt>
                <c:pt idx="229">
                  <c:v>1423.5709999999999</c:v>
                </c:pt>
                <c:pt idx="230">
                  <c:v>1426.067</c:v>
                </c:pt>
                <c:pt idx="231">
                  <c:v>1433.5509999999999</c:v>
                </c:pt>
                <c:pt idx="232">
                  <c:v>1445.6969999999999</c:v>
                </c:pt>
                <c:pt idx="233">
                  <c:v>1449.5250000000001</c:v>
                </c:pt>
                <c:pt idx="234">
                  <c:v>1454.1659999999999</c:v>
                </c:pt>
                <c:pt idx="235">
                  <c:v>1464.6569999999999</c:v>
                </c:pt>
                <c:pt idx="236">
                  <c:v>1466.481</c:v>
                </c:pt>
                <c:pt idx="237">
                  <c:v>1472.396</c:v>
                </c:pt>
                <c:pt idx="238">
                  <c:v>1476.029</c:v>
                </c:pt>
                <c:pt idx="239">
                  <c:v>1481.104</c:v>
                </c:pt>
                <c:pt idx="240">
                  <c:v>1486.4649999999999</c:v>
                </c:pt>
                <c:pt idx="241">
                  <c:v>1500.1189999999999</c:v>
                </c:pt>
                <c:pt idx="242">
                  <c:v>1502.5119999999999</c:v>
                </c:pt>
                <c:pt idx="243">
                  <c:v>1507.4490000000001</c:v>
                </c:pt>
                <c:pt idx="244">
                  <c:v>1521.09</c:v>
                </c:pt>
                <c:pt idx="245">
                  <c:v>1525.5940000000001</c:v>
                </c:pt>
                <c:pt idx="246">
                  <c:v>1527.826</c:v>
                </c:pt>
                <c:pt idx="247">
                  <c:v>1529.7850000000001</c:v>
                </c:pt>
                <c:pt idx="248">
                  <c:v>1535.702</c:v>
                </c:pt>
                <c:pt idx="249">
                  <c:v>1539.453</c:v>
                </c:pt>
                <c:pt idx="250">
                  <c:v>1554.7650000000001</c:v>
                </c:pt>
                <c:pt idx="251">
                  <c:v>1555.56</c:v>
                </c:pt>
                <c:pt idx="252">
                  <c:v>1560.393</c:v>
                </c:pt>
                <c:pt idx="253">
                  <c:v>1578.941</c:v>
                </c:pt>
                <c:pt idx="254">
                  <c:v>1581.6189999999999</c:v>
                </c:pt>
                <c:pt idx="255">
                  <c:v>1582.057</c:v>
                </c:pt>
                <c:pt idx="256">
                  <c:v>1582.367</c:v>
                </c:pt>
                <c:pt idx="257">
                  <c:v>1590.6369999999999</c:v>
                </c:pt>
                <c:pt idx="258">
                  <c:v>1593.943</c:v>
                </c:pt>
                <c:pt idx="259">
                  <c:v>1608.1479999999999</c:v>
                </c:pt>
                <c:pt idx="260">
                  <c:v>1609.2860000000001</c:v>
                </c:pt>
                <c:pt idx="261">
                  <c:v>1613.3009999999999</c:v>
                </c:pt>
                <c:pt idx="262">
                  <c:v>1634.2470000000001</c:v>
                </c:pt>
                <c:pt idx="263">
                  <c:v>1634.453</c:v>
                </c:pt>
                <c:pt idx="264">
                  <c:v>1635.501</c:v>
                </c:pt>
                <c:pt idx="265">
                  <c:v>1637.64</c:v>
                </c:pt>
                <c:pt idx="266">
                  <c:v>1646.942</c:v>
                </c:pt>
                <c:pt idx="267">
                  <c:v>1648.1289999999999</c:v>
                </c:pt>
                <c:pt idx="268">
                  <c:v>1660.857</c:v>
                </c:pt>
                <c:pt idx="269">
                  <c:v>1663.2570000000001</c:v>
                </c:pt>
                <c:pt idx="270">
                  <c:v>1666.9079999999999</c:v>
                </c:pt>
                <c:pt idx="271">
                  <c:v>1686.402</c:v>
                </c:pt>
                <c:pt idx="272">
                  <c:v>1688.105</c:v>
                </c:pt>
                <c:pt idx="273">
                  <c:v>1692.096</c:v>
                </c:pt>
                <c:pt idx="274">
                  <c:v>1693.64</c:v>
                </c:pt>
                <c:pt idx="275">
                  <c:v>1700.982</c:v>
                </c:pt>
                <c:pt idx="276">
                  <c:v>1701.133</c:v>
                </c:pt>
                <c:pt idx="277">
                  <c:v>1713.537</c:v>
                </c:pt>
                <c:pt idx="278">
                  <c:v>1717.67</c:v>
                </c:pt>
                <c:pt idx="279">
                  <c:v>1720.1189999999999</c:v>
                </c:pt>
                <c:pt idx="280">
                  <c:v>1738.673</c:v>
                </c:pt>
                <c:pt idx="281">
                  <c:v>1741.722</c:v>
                </c:pt>
                <c:pt idx="282">
                  <c:v>1748.4749999999999</c:v>
                </c:pt>
                <c:pt idx="283">
                  <c:v>1748.867</c:v>
                </c:pt>
                <c:pt idx="284">
                  <c:v>1755.2349999999999</c:v>
                </c:pt>
                <c:pt idx="285">
                  <c:v>1755.2439999999999</c:v>
                </c:pt>
                <c:pt idx="286">
                  <c:v>1766.07</c:v>
                </c:pt>
                <c:pt idx="287">
                  <c:v>1771.6389999999999</c:v>
                </c:pt>
                <c:pt idx="288">
                  <c:v>1773.8879999999999</c:v>
                </c:pt>
                <c:pt idx="289">
                  <c:v>1791.0740000000001</c:v>
                </c:pt>
                <c:pt idx="290">
                  <c:v>1794.713</c:v>
                </c:pt>
                <c:pt idx="291">
                  <c:v>1805.02</c:v>
                </c:pt>
                <c:pt idx="292">
                  <c:v>1805.8710000000001</c:v>
                </c:pt>
                <c:pt idx="293">
                  <c:v>1808.5830000000001</c:v>
                </c:pt>
                <c:pt idx="294">
                  <c:v>1809.4469999999999</c:v>
                </c:pt>
                <c:pt idx="295">
                  <c:v>1819.8219999999999</c:v>
                </c:pt>
                <c:pt idx="296">
                  <c:v>1826.442</c:v>
                </c:pt>
                <c:pt idx="297">
                  <c:v>1828.6089999999999</c:v>
                </c:pt>
              </c:numCache>
            </c:numRef>
          </c:xVal>
          <c:yVal>
            <c:numRef>
              <c:f>intermediate_data!$Q$2:$Q$299</c:f>
              <c:numCache>
                <c:formatCode>General</c:formatCode>
                <c:ptCount val="298"/>
                <c:pt idx="0">
                  <c:v>3.8474601393507446E-2</c:v>
                </c:pt>
                <c:pt idx="1">
                  <c:v>3.8526202825970302E-2</c:v>
                </c:pt>
                <c:pt idx="2">
                  <c:v>3.9151170367423549E-2</c:v>
                </c:pt>
                <c:pt idx="3">
                  <c:v>3.9914390754398843E-2</c:v>
                </c:pt>
                <c:pt idx="4">
                  <c:v>4.026770358184395E-2</c:v>
                </c:pt>
                <c:pt idx="5">
                  <c:v>4.1034829790671967E-2</c:v>
                </c:pt>
                <c:pt idx="6">
                  <c:v>4.1111970973682466E-2</c:v>
                </c:pt>
                <c:pt idx="7">
                  <c:v>4.1391250626989784E-2</c:v>
                </c:pt>
                <c:pt idx="8">
                  <c:v>4.227408861033366E-2</c:v>
                </c:pt>
                <c:pt idx="9">
                  <c:v>7.6936907779995511E-2</c:v>
                </c:pt>
                <c:pt idx="10">
                  <c:v>7.7117467261668793E-2</c:v>
                </c:pt>
                <c:pt idx="11">
                  <c:v>7.8664464176683158E-2</c:v>
                </c:pt>
                <c:pt idx="12">
                  <c:v>7.9879415265230236E-2</c:v>
                </c:pt>
                <c:pt idx="13">
                  <c:v>8.021069600914732E-2</c:v>
                </c:pt>
                <c:pt idx="14">
                  <c:v>8.0889443166104247E-2</c:v>
                </c:pt>
                <c:pt idx="15">
                  <c:v>8.1452471715045327E-2</c:v>
                </c:pt>
                <c:pt idx="16">
                  <c:v>8.172045164939723E-2</c:v>
                </c:pt>
                <c:pt idx="17">
                  <c:v>8.2822823652071165E-2</c:v>
                </c:pt>
                <c:pt idx="18">
                  <c:v>0.11341584605655397</c:v>
                </c:pt>
                <c:pt idx="19">
                  <c:v>0.11348072265543419</c:v>
                </c:pt>
                <c:pt idx="20">
                  <c:v>0.11544801010971018</c:v>
                </c:pt>
                <c:pt idx="21">
                  <c:v>0.11706992508171199</c:v>
                </c:pt>
                <c:pt idx="22">
                  <c:v>0.11740830106802802</c:v>
                </c:pt>
                <c:pt idx="23">
                  <c:v>0.11838162790651907</c:v>
                </c:pt>
                <c:pt idx="24">
                  <c:v>0.1197289276593887</c:v>
                </c:pt>
                <c:pt idx="25">
                  <c:v>0.1208179367860609</c:v>
                </c:pt>
                <c:pt idx="26">
                  <c:v>0.1219408527903032</c:v>
                </c:pt>
                <c:pt idx="27">
                  <c:v>0.16446506356907609</c:v>
                </c:pt>
                <c:pt idx="28">
                  <c:v>0.1647456866287218</c:v>
                </c:pt>
                <c:pt idx="29">
                  <c:v>0.16836716603482049</c:v>
                </c:pt>
                <c:pt idx="30">
                  <c:v>0.17239571525471487</c:v>
                </c:pt>
                <c:pt idx="31">
                  <c:v>0.17437893276715144</c:v>
                </c:pt>
                <c:pt idx="32">
                  <c:v>0.17476714648602787</c:v>
                </c:pt>
                <c:pt idx="33">
                  <c:v>0.17588641690699625</c:v>
                </c:pt>
                <c:pt idx="34">
                  <c:v>0.17777895921630815</c:v>
                </c:pt>
                <c:pt idx="35">
                  <c:v>0.17789506610645045</c:v>
                </c:pt>
                <c:pt idx="36">
                  <c:v>0.20871447902571028</c:v>
                </c:pt>
                <c:pt idx="37">
                  <c:v>0.20879080743895173</c:v>
                </c:pt>
                <c:pt idx="38">
                  <c:v>0.21277643807734581</c:v>
                </c:pt>
                <c:pt idx="39">
                  <c:v>0.2170296779718015</c:v>
                </c:pt>
                <c:pt idx="40">
                  <c:v>0.21874936631831687</c:v>
                </c:pt>
                <c:pt idx="41">
                  <c:v>0.21935263666875215</c:v>
                </c:pt>
                <c:pt idx="42">
                  <c:v>0.22068065989286634</c:v>
                </c:pt>
                <c:pt idx="43">
                  <c:v>0.22351750950292892</c:v>
                </c:pt>
                <c:pt idx="44">
                  <c:v>0.22383111498717767</c:v>
                </c:pt>
                <c:pt idx="45">
                  <c:v>0.25228841264075452</c:v>
                </c:pt>
                <c:pt idx="46">
                  <c:v>0.25269443938073799</c:v>
                </c:pt>
                <c:pt idx="47">
                  <c:v>0.25725692014867807</c:v>
                </c:pt>
                <c:pt idx="48">
                  <c:v>0.26208327573715273</c:v>
                </c:pt>
                <c:pt idx="49">
                  <c:v>0.26366482224215915</c:v>
                </c:pt>
                <c:pt idx="50">
                  <c:v>0.26411255822796775</c:v>
                </c:pt>
                <c:pt idx="51">
                  <c:v>0.26529774026036623</c:v>
                </c:pt>
                <c:pt idx="52">
                  <c:v>0.26869997922899103</c:v>
                </c:pt>
                <c:pt idx="53">
                  <c:v>0.26886966532428769</c:v>
                </c:pt>
                <c:pt idx="54">
                  <c:v>0.2894698193567331</c:v>
                </c:pt>
                <c:pt idx="55">
                  <c:v>0.28993198875893977</c:v>
                </c:pt>
                <c:pt idx="56">
                  <c:v>0.29454423698300047</c:v>
                </c:pt>
                <c:pt idx="57">
                  <c:v>0.29906000312747683</c:v>
                </c:pt>
                <c:pt idx="58">
                  <c:v>0.30003426972132452</c:v>
                </c:pt>
                <c:pt idx="59">
                  <c:v>0.30010848670562051</c:v>
                </c:pt>
                <c:pt idx="60">
                  <c:v>0.30241135594277058</c:v>
                </c:pt>
                <c:pt idx="61">
                  <c:v>0.3065172413345012</c:v>
                </c:pt>
                <c:pt idx="62">
                  <c:v>0.30670158431530758</c:v>
                </c:pt>
                <c:pt idx="63">
                  <c:v>0.32618096529482976</c:v>
                </c:pt>
                <c:pt idx="64">
                  <c:v>0.32700151223325324</c:v>
                </c:pt>
                <c:pt idx="65">
                  <c:v>0.33250961501789611</c:v>
                </c:pt>
                <c:pt idx="66">
                  <c:v>0.33809099326628989</c:v>
                </c:pt>
                <c:pt idx="67">
                  <c:v>0.33848640425936338</c:v>
                </c:pt>
                <c:pt idx="68">
                  <c:v>0.33913559012790628</c:v>
                </c:pt>
                <c:pt idx="69">
                  <c:v>0.34187233874721557</c:v>
                </c:pt>
                <c:pt idx="70">
                  <c:v>0.34704627190432902</c:v>
                </c:pt>
                <c:pt idx="71">
                  <c:v>0.34765165728053482</c:v>
                </c:pt>
                <c:pt idx="72">
                  <c:v>0.36569667797104621</c:v>
                </c:pt>
                <c:pt idx="73">
                  <c:v>0.36673424448932224</c:v>
                </c:pt>
                <c:pt idx="74">
                  <c:v>0.37242934603815847</c:v>
                </c:pt>
                <c:pt idx="75">
                  <c:v>0.3784231797473101</c:v>
                </c:pt>
                <c:pt idx="76">
                  <c:v>0.37852680846245335</c:v>
                </c:pt>
                <c:pt idx="77">
                  <c:v>0.37934838846045515</c:v>
                </c:pt>
                <c:pt idx="78">
                  <c:v>0.38187230423320706</c:v>
                </c:pt>
                <c:pt idx="79">
                  <c:v>0.38688573125618753</c:v>
                </c:pt>
                <c:pt idx="80">
                  <c:v>0.3880327780373154</c:v>
                </c:pt>
                <c:pt idx="81">
                  <c:v>0.40118562700029159</c:v>
                </c:pt>
                <c:pt idx="82">
                  <c:v>0.402333842040834</c:v>
                </c:pt>
                <c:pt idx="83">
                  <c:v>0.40861348477445958</c:v>
                </c:pt>
                <c:pt idx="84">
                  <c:v>0.41573105110314579</c:v>
                </c:pt>
                <c:pt idx="85">
                  <c:v>0.41626415094339642</c:v>
                </c:pt>
                <c:pt idx="86">
                  <c:v>0.41663741041492841</c:v>
                </c:pt>
                <c:pt idx="87">
                  <c:v>0.41931327353222159</c:v>
                </c:pt>
                <c:pt idx="88">
                  <c:v>0.42380856734707351</c:v>
                </c:pt>
                <c:pt idx="89">
                  <c:v>0.42561516550674661</c:v>
                </c:pt>
                <c:pt idx="90">
                  <c:v>0.43352558820836862</c:v>
                </c:pt>
                <c:pt idx="91">
                  <c:v>0.434784132765758</c:v>
                </c:pt>
                <c:pt idx="92">
                  <c:v>0.44149684018664281</c:v>
                </c:pt>
                <c:pt idx="93">
                  <c:v>0.44995783934710865</c:v>
                </c:pt>
                <c:pt idx="94">
                  <c:v>0.45021011199635019</c:v>
                </c:pt>
                <c:pt idx="95">
                  <c:v>0.45079243995927065</c:v>
                </c:pt>
                <c:pt idx="96">
                  <c:v>0.45341853671869536</c:v>
                </c:pt>
                <c:pt idx="97">
                  <c:v>0.4582823242313907</c:v>
                </c:pt>
                <c:pt idx="98">
                  <c:v>0.46015521686889116</c:v>
                </c:pt>
                <c:pt idx="99">
                  <c:v>0.46646245825106547</c:v>
                </c:pt>
                <c:pt idx="100">
                  <c:v>0.46773598978057151</c:v>
                </c:pt>
                <c:pt idx="101">
                  <c:v>0.47330933431877042</c:v>
                </c:pt>
                <c:pt idx="102">
                  <c:v>0.48091849935316944</c:v>
                </c:pt>
                <c:pt idx="103">
                  <c:v>0.48100728396651249</c:v>
                </c:pt>
                <c:pt idx="104">
                  <c:v>0.48195686315139419</c:v>
                </c:pt>
                <c:pt idx="105">
                  <c:v>0.4859174892621958</c:v>
                </c:pt>
                <c:pt idx="106">
                  <c:v>0.49175993299797049</c:v>
                </c:pt>
                <c:pt idx="107">
                  <c:v>0.49406209027673498</c:v>
                </c:pt>
                <c:pt idx="108">
                  <c:v>0.4998441882206297</c:v>
                </c:pt>
                <c:pt idx="109">
                  <c:v>0.50136535233219703</c:v>
                </c:pt>
                <c:pt idx="110">
                  <c:v>0.50709655510539164</c:v>
                </c:pt>
                <c:pt idx="111">
                  <c:v>0.51541442207730981</c:v>
                </c:pt>
                <c:pt idx="112">
                  <c:v>0.51548751159674921</c:v>
                </c:pt>
                <c:pt idx="113">
                  <c:v>0.5163367422035865</c:v>
                </c:pt>
                <c:pt idx="114">
                  <c:v>0.52003472384196137</c:v>
                </c:pt>
                <c:pt idx="115">
                  <c:v>0.52559996867938352</c:v>
                </c:pt>
                <c:pt idx="116">
                  <c:v>0.5276290729571933</c:v>
                </c:pt>
                <c:pt idx="117">
                  <c:v>0.53028581898131222</c:v>
                </c:pt>
                <c:pt idx="118">
                  <c:v>0.53230263524590349</c:v>
                </c:pt>
                <c:pt idx="119">
                  <c:v>0.54037544536077142</c:v>
                </c:pt>
                <c:pt idx="120">
                  <c:v>0.55321304331205567</c:v>
                </c:pt>
                <c:pt idx="121">
                  <c:v>0.55331436441437631</c:v>
                </c:pt>
                <c:pt idx="122">
                  <c:v>0.55461544099931004</c:v>
                </c:pt>
                <c:pt idx="123">
                  <c:v>0.56128842985960148</c:v>
                </c:pt>
                <c:pt idx="124">
                  <c:v>0.57090162453955884</c:v>
                </c:pt>
                <c:pt idx="125">
                  <c:v>0.57534744300118312</c:v>
                </c:pt>
                <c:pt idx="126">
                  <c:v>0.57573733259545179</c:v>
                </c:pt>
                <c:pt idx="127">
                  <c:v>0.57856733630300994</c:v>
                </c:pt>
                <c:pt idx="128">
                  <c:v>0.58697226558625815</c:v>
                </c:pt>
                <c:pt idx="129">
                  <c:v>0.60150804353193799</c:v>
                </c:pt>
                <c:pt idx="130">
                  <c:v>0.60181274752586411</c:v>
                </c:pt>
                <c:pt idx="131">
                  <c:v>0.601849817129402</c:v>
                </c:pt>
                <c:pt idx="132">
                  <c:v>0.60502517492706964</c:v>
                </c:pt>
                <c:pt idx="133">
                  <c:v>0.60964217367995488</c:v>
                </c:pt>
                <c:pt idx="134">
                  <c:v>0.61005482761825292</c:v>
                </c:pt>
                <c:pt idx="135">
                  <c:v>0.61176361029624715</c:v>
                </c:pt>
                <c:pt idx="136">
                  <c:v>0.61215212242180073</c:v>
                </c:pt>
                <c:pt idx="137">
                  <c:v>0.61739631753702184</c:v>
                </c:pt>
                <c:pt idx="138">
                  <c:v>0.62577926905992243</c:v>
                </c:pt>
                <c:pt idx="139">
                  <c:v>0.62622041405525053</c:v>
                </c:pt>
                <c:pt idx="140">
                  <c:v>0.62624492211054417</c:v>
                </c:pt>
                <c:pt idx="141">
                  <c:v>0.63090837880633543</c:v>
                </c:pt>
                <c:pt idx="142">
                  <c:v>0.6362372824817939</c:v>
                </c:pt>
                <c:pt idx="143">
                  <c:v>0.63763050331738924</c:v>
                </c:pt>
                <c:pt idx="144">
                  <c:v>0.63848674378347425</c:v>
                </c:pt>
                <c:pt idx="145">
                  <c:v>0.63911770752461194</c:v>
                </c:pt>
                <c:pt idx="146">
                  <c:v>0.64369644515210922</c:v>
                </c:pt>
                <c:pt idx="147">
                  <c:v>0.65245153933865652</c:v>
                </c:pt>
                <c:pt idx="148">
                  <c:v>0.6527280475462014</c:v>
                </c:pt>
                <c:pt idx="149">
                  <c:v>0.65280983820927219</c:v>
                </c:pt>
                <c:pt idx="150">
                  <c:v>0.65753882563780763</c:v>
                </c:pt>
                <c:pt idx="151">
                  <c:v>0.66095033278332949</c:v>
                </c:pt>
                <c:pt idx="152">
                  <c:v>0.66337019315566792</c:v>
                </c:pt>
                <c:pt idx="153">
                  <c:v>0.66458814941271882</c:v>
                </c:pt>
                <c:pt idx="154">
                  <c:v>0.66526785729093518</c:v>
                </c:pt>
                <c:pt idx="155">
                  <c:v>0.66923825423268823</c:v>
                </c:pt>
                <c:pt idx="156">
                  <c:v>0.67883392360714367</c:v>
                </c:pt>
                <c:pt idx="157">
                  <c:v>0.67939739933902743</c:v>
                </c:pt>
                <c:pt idx="158">
                  <c:v>0.67940382437587843</c:v>
                </c:pt>
                <c:pt idx="159">
                  <c:v>0.68697830032016682</c:v>
                </c:pt>
                <c:pt idx="160">
                  <c:v>0.68967103326464496</c:v>
                </c:pt>
                <c:pt idx="161">
                  <c:v>0.69378385193672898</c:v>
                </c:pt>
                <c:pt idx="162">
                  <c:v>0.69744281253149154</c:v>
                </c:pt>
                <c:pt idx="163">
                  <c:v>0.69884833175188277</c:v>
                </c:pt>
                <c:pt idx="164">
                  <c:v>0.70300365459311109</c:v>
                </c:pt>
                <c:pt idx="165">
                  <c:v>0.71667558886509752</c:v>
                </c:pt>
                <c:pt idx="166">
                  <c:v>0.71679317528261777</c:v>
                </c:pt>
                <c:pt idx="167">
                  <c:v>0.71707424807889453</c:v>
                </c:pt>
                <c:pt idx="168">
                  <c:v>0.72378647274585006</c:v>
                </c:pt>
                <c:pt idx="169">
                  <c:v>0.72431819027421085</c:v>
                </c:pt>
                <c:pt idx="170">
                  <c:v>0.72762640726858763</c:v>
                </c:pt>
                <c:pt idx="171">
                  <c:v>0.73257688195894133</c:v>
                </c:pt>
                <c:pt idx="172">
                  <c:v>0.73357708958070589</c:v>
                </c:pt>
                <c:pt idx="173">
                  <c:v>0.73568916570671306</c:v>
                </c:pt>
                <c:pt idx="174">
                  <c:v>0.74482534338294215</c:v>
                </c:pt>
                <c:pt idx="175">
                  <c:v>0.74510913034188775</c:v>
                </c:pt>
                <c:pt idx="176">
                  <c:v>0.74652729187514311</c:v>
                </c:pt>
                <c:pt idx="177">
                  <c:v>0.75513987811146066</c:v>
                </c:pt>
                <c:pt idx="178">
                  <c:v>0.75759845403065285</c:v>
                </c:pt>
                <c:pt idx="179">
                  <c:v>0.76041557227138767</c:v>
                </c:pt>
                <c:pt idx="180">
                  <c:v>0.76953355578760352</c:v>
                </c:pt>
                <c:pt idx="181">
                  <c:v>0.77073990927033975</c:v>
                </c:pt>
                <c:pt idx="182">
                  <c:v>0.77218478131240076</c:v>
                </c:pt>
                <c:pt idx="183">
                  <c:v>0.78658839726184837</c:v>
                </c:pt>
                <c:pt idx="184">
                  <c:v>0.78669426467242687</c:v>
                </c:pt>
                <c:pt idx="185">
                  <c:v>0.78788739038961353</c:v>
                </c:pt>
                <c:pt idx="186">
                  <c:v>0.79249632810902426</c:v>
                </c:pt>
                <c:pt idx="187">
                  <c:v>0.7967876452104754</c:v>
                </c:pt>
                <c:pt idx="188">
                  <c:v>0.79752376436577066</c:v>
                </c:pt>
                <c:pt idx="189">
                  <c:v>0.80744578296173586</c:v>
                </c:pt>
                <c:pt idx="190">
                  <c:v>0.80789111471590758</c:v>
                </c:pt>
                <c:pt idx="191">
                  <c:v>0.80850793647586983</c:v>
                </c:pt>
                <c:pt idx="192">
                  <c:v>0.82138934386743045</c:v>
                </c:pt>
                <c:pt idx="193">
                  <c:v>0.82170643474298544</c:v>
                </c:pt>
                <c:pt idx="194">
                  <c:v>0.82420129862621749</c:v>
                </c:pt>
                <c:pt idx="195">
                  <c:v>0.82964528579305608</c:v>
                </c:pt>
                <c:pt idx="196">
                  <c:v>0.83710267403524341</c:v>
                </c:pt>
                <c:pt idx="197">
                  <c:v>0.8383226820614702</c:v>
                </c:pt>
                <c:pt idx="198">
                  <c:v>0.85070290970772788</c:v>
                </c:pt>
                <c:pt idx="199">
                  <c:v>0.85321159580259476</c:v>
                </c:pt>
                <c:pt idx="200">
                  <c:v>0.85610643940868414</c:v>
                </c:pt>
                <c:pt idx="201">
                  <c:v>0.86990287520234943</c:v>
                </c:pt>
                <c:pt idx="202">
                  <c:v>0.87016059411548952</c:v>
                </c:pt>
                <c:pt idx="203">
                  <c:v>0.87281892900042379</c:v>
                </c:pt>
                <c:pt idx="204">
                  <c:v>0.8742853950578251</c:v>
                </c:pt>
                <c:pt idx="205">
                  <c:v>0.88006594434920871</c:v>
                </c:pt>
                <c:pt idx="206">
                  <c:v>0.88274545031523388</c:v>
                </c:pt>
                <c:pt idx="207">
                  <c:v>0.88979310598850603</c:v>
                </c:pt>
                <c:pt idx="208">
                  <c:v>0.89306313840317841</c:v>
                </c:pt>
                <c:pt idx="209">
                  <c:v>0.89502615557354304</c:v>
                </c:pt>
                <c:pt idx="210">
                  <c:v>0.90356228709994468</c:v>
                </c:pt>
                <c:pt idx="211">
                  <c:v>0.90508828523136131</c:v>
                </c:pt>
                <c:pt idx="212">
                  <c:v>0.94327818611176895</c:v>
                </c:pt>
                <c:pt idx="213">
                  <c:v>0.94359776687227281</c:v>
                </c:pt>
                <c:pt idx="214">
                  <c:v>1.0167306813576644</c:v>
                </c:pt>
                <c:pt idx="215">
                  <c:v>1.067171390374785</c:v>
                </c:pt>
                <c:pt idx="216">
                  <c:v>1.1337016282770129</c:v>
                </c:pt>
                <c:pt idx="217">
                  <c:v>1.2073164374585623</c:v>
                </c:pt>
                <c:pt idx="218">
                  <c:v>1.2180116227299713</c:v>
                </c:pt>
                <c:pt idx="219">
                  <c:v>1.2916695866604364</c:v>
                </c:pt>
                <c:pt idx="220">
                  <c:v>1.3334721534374907</c:v>
                </c:pt>
                <c:pt idx="221">
                  <c:v>1.3398632625134859</c:v>
                </c:pt>
                <c:pt idx="222">
                  <c:v>1.4074108084985504</c:v>
                </c:pt>
                <c:pt idx="223">
                  <c:v>1.4848298477450719</c:v>
                </c:pt>
                <c:pt idx="224">
                  <c:v>1.5330011741505487</c:v>
                </c:pt>
                <c:pt idx="225">
                  <c:v>1.5646679881070433</c:v>
                </c:pt>
                <c:pt idx="226">
                  <c:v>1.5676178938945817</c:v>
                </c:pt>
                <c:pt idx="227">
                  <c:v>1.5683267137192338</c:v>
                </c:pt>
                <c:pt idx="228">
                  <c:v>1.5708274355847678</c:v>
                </c:pt>
                <c:pt idx="229">
                  <c:v>1.5725540833894804</c:v>
                </c:pt>
                <c:pt idx="230">
                  <c:v>1.5734249221797896</c:v>
                </c:pt>
                <c:pt idx="231">
                  <c:v>1.576036042975737</c:v>
                </c:pt>
                <c:pt idx="232">
                  <c:v>1.5802737064160794</c:v>
                </c:pt>
                <c:pt idx="233">
                  <c:v>1.5816092716762213</c:v>
                </c:pt>
                <c:pt idx="234">
                  <c:v>1.5832284875519527</c:v>
                </c:pt>
                <c:pt idx="235">
                  <c:v>1.5863249829422195</c:v>
                </c:pt>
                <c:pt idx="236">
                  <c:v>1.5868633498845384</c:v>
                </c:pt>
                <c:pt idx="237">
                  <c:v>1.5886092054019763</c:v>
                </c:pt>
                <c:pt idx="238">
                  <c:v>1.5896815119268837</c:v>
                </c:pt>
                <c:pt idx="239">
                  <c:v>1.5888434394599784</c:v>
                </c:pt>
                <c:pt idx="240">
                  <c:v>1.5879581376875471</c:v>
                </c:pt>
                <c:pt idx="241">
                  <c:v>1.5857033511923539</c:v>
                </c:pt>
                <c:pt idx="242">
                  <c:v>1.5853081773178097</c:v>
                </c:pt>
                <c:pt idx="243">
                  <c:v>1.5844928938165062</c:v>
                </c:pt>
                <c:pt idx="244">
                  <c:v>1.5806010218632025</c:v>
                </c:pt>
                <c:pt idx="245">
                  <c:v>1.5793159994104755</c:v>
                </c:pt>
                <c:pt idx="246">
                  <c:v>1.5786791943228913</c:v>
                </c:pt>
                <c:pt idx="247">
                  <c:v>1.5781202780296155</c:v>
                </c:pt>
                <c:pt idx="248">
                  <c:v>1.5788896853059811</c:v>
                </c:pt>
                <c:pt idx="249">
                  <c:v>1.5793774403665957</c:v>
                </c:pt>
                <c:pt idx="250">
                  <c:v>1.5813685108779545</c:v>
                </c:pt>
                <c:pt idx="251">
                  <c:v>1.581471887383735</c:v>
                </c:pt>
                <c:pt idx="252">
                  <c:v>1.5821003385188845</c:v>
                </c:pt>
                <c:pt idx="253">
                  <c:v>1.5842738214883383</c:v>
                </c:pt>
                <c:pt idx="254">
                  <c:v>1.5845876336186073</c:v>
                </c:pt>
                <c:pt idx="255">
                  <c:v>1.5846389591275916</c:v>
                </c:pt>
                <c:pt idx="256">
                  <c:v>1.5846752854010688</c:v>
                </c:pt>
                <c:pt idx="257">
                  <c:v>1.5877725428915461</c:v>
                </c:pt>
                <c:pt idx="258">
                  <c:v>1.5890106968532791</c:v>
                </c:pt>
                <c:pt idx="259">
                  <c:v>1.5943307141026359</c:v>
                </c:pt>
                <c:pt idx="260">
                  <c:v>1.5947569147101532</c:v>
                </c:pt>
                <c:pt idx="261">
                  <c:v>1.5962606013878151</c:v>
                </c:pt>
                <c:pt idx="262">
                  <c:v>1.6092674464155721</c:v>
                </c:pt>
                <c:pt idx="263">
                  <c:v>1.6093744298124975</c:v>
                </c:pt>
                <c:pt idx="264">
                  <c:v>1.609918694860923</c:v>
                </c:pt>
                <c:pt idx="265">
                  <c:v>1.6110295564435404</c:v>
                </c:pt>
                <c:pt idx="266">
                  <c:v>1.6158604280851989</c:v>
                </c:pt>
                <c:pt idx="267">
                  <c:v>1.6164768809597021</c:v>
                </c:pt>
                <c:pt idx="268">
                  <c:v>1.6230870007463096</c:v>
                </c:pt>
                <c:pt idx="269">
                  <c:v>1.6243334092541559</c:v>
                </c:pt>
                <c:pt idx="270">
                  <c:v>1.6262295081967153</c:v>
                </c:pt>
                <c:pt idx="271">
                  <c:v>1.6336471782150248</c:v>
                </c:pt>
                <c:pt idx="272">
                  <c:v>1.6342227245227079</c:v>
                </c:pt>
                <c:pt idx="273">
                  <c:v>1.6355715238849946</c:v>
                </c:pt>
                <c:pt idx="274">
                  <c:v>1.6360933345127506</c:v>
                </c:pt>
                <c:pt idx="275">
                  <c:v>1.6385746386765945</c:v>
                </c:pt>
                <c:pt idx="276">
                  <c:v>1.6386256706745179</c:v>
                </c:pt>
                <c:pt idx="277">
                  <c:v>1.6428177296296127</c:v>
                </c:pt>
                <c:pt idx="278">
                  <c:v>1.6442145193475639</c:v>
                </c:pt>
                <c:pt idx="279">
                  <c:v>1.6450421840025946</c:v>
                </c:pt>
                <c:pt idx="280">
                  <c:v>1.6549312801056324</c:v>
                </c:pt>
                <c:pt idx="281">
                  <c:v>1.6564116559407047</c:v>
                </c:pt>
                <c:pt idx="282">
                  <c:v>1.659690428657747</c:v>
                </c:pt>
                <c:pt idx="283">
                  <c:v>1.6598807557575697</c:v>
                </c:pt>
                <c:pt idx="284">
                  <c:v>1.662972600073001</c:v>
                </c:pt>
                <c:pt idx="285">
                  <c:v>1.6629769698278487</c:v>
                </c:pt>
                <c:pt idx="286">
                  <c:v>1.6682332993754123</c:v>
                </c:pt>
                <c:pt idx="287">
                  <c:v>1.6709372065664709</c:v>
                </c:pt>
                <c:pt idx="288">
                  <c:v>1.6720291597488526</c:v>
                </c:pt>
                <c:pt idx="289">
                  <c:v>1.6859341020814611</c:v>
                </c:pt>
                <c:pt idx="290">
                  <c:v>1.6885123472520007</c:v>
                </c:pt>
                <c:pt idx="291">
                  <c:v>1.6958148954720329</c:v>
                </c:pt>
                <c:pt idx="292">
                  <c:v>1.6964178321689616</c:v>
                </c:pt>
                <c:pt idx="293">
                  <c:v>1.6983392943570621</c:v>
                </c:pt>
                <c:pt idx="294">
                  <c:v>1.69895144160283</c:v>
                </c:pt>
                <c:pt idx="295">
                  <c:v>1.7063021680783166</c:v>
                </c:pt>
                <c:pt idx="296">
                  <c:v>1.7109924629474946</c:v>
                </c:pt>
                <c:pt idx="297">
                  <c:v>1.7125277905882044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396-4B8B-94C9-747D2D4C113F}"/>
            </c:ext>
          </c:extLst>
        </c:ser>
        <c:ser>
          <c:idx val="7"/>
          <c:order val="7"/>
          <c:tx>
            <c:strRef>
              <c:f>race_data!$AJ$1</c:f>
              <c:strCache>
                <c:ptCount val="1"/>
                <c:pt idx="0">
                  <c:v>HannesD</c:v>
                </c:pt>
              </c:strCache>
            </c:strRef>
          </c:tx>
          <c:marker>
            <c:symbol val="none"/>
          </c:marker>
          <c:xVal>
            <c:numRef>
              <c:f>intermediate_data!$A$2:$A$299</c:f>
              <c:numCache>
                <c:formatCode>General</c:formatCode>
                <c:ptCount val="298"/>
                <c:pt idx="0">
                  <c:v>53.683999999999997</c:v>
                </c:pt>
                <c:pt idx="1">
                  <c:v>53.756</c:v>
                </c:pt>
                <c:pt idx="2">
                  <c:v>54.529000000000003</c:v>
                </c:pt>
                <c:pt idx="3">
                  <c:v>55.472999999999999</c:v>
                </c:pt>
                <c:pt idx="4">
                  <c:v>55.91</c:v>
                </c:pt>
                <c:pt idx="5">
                  <c:v>56.984000000000002</c:v>
                </c:pt>
                <c:pt idx="6">
                  <c:v>57.091999999999999</c:v>
                </c:pt>
                <c:pt idx="7">
                  <c:v>57.482999999999997</c:v>
                </c:pt>
                <c:pt idx="8">
                  <c:v>58.719000000000001</c:v>
                </c:pt>
                <c:pt idx="9">
                  <c:v>107.248</c:v>
                </c:pt>
                <c:pt idx="10">
                  <c:v>107.48399999999999</c:v>
                </c:pt>
                <c:pt idx="11">
                  <c:v>109.506</c:v>
                </c:pt>
                <c:pt idx="12">
                  <c:v>111.09399999999999</c:v>
                </c:pt>
                <c:pt idx="13">
                  <c:v>111.527</c:v>
                </c:pt>
                <c:pt idx="14">
                  <c:v>112.53</c:v>
                </c:pt>
                <c:pt idx="15">
                  <c:v>113.36199999999999</c:v>
                </c:pt>
                <c:pt idx="16">
                  <c:v>113.758</c:v>
                </c:pt>
                <c:pt idx="17">
                  <c:v>115.387</c:v>
                </c:pt>
                <c:pt idx="18">
                  <c:v>160.595</c:v>
                </c:pt>
                <c:pt idx="19">
                  <c:v>160.697</c:v>
                </c:pt>
                <c:pt idx="20">
                  <c:v>163.79</c:v>
                </c:pt>
                <c:pt idx="21">
                  <c:v>166.34</c:v>
                </c:pt>
                <c:pt idx="22">
                  <c:v>166.87200000000001</c:v>
                </c:pt>
                <c:pt idx="23">
                  <c:v>167.84800000000001</c:v>
                </c:pt>
                <c:pt idx="24">
                  <c:v>169.19900000000001</c:v>
                </c:pt>
                <c:pt idx="25">
                  <c:v>170.291</c:v>
                </c:pt>
                <c:pt idx="26">
                  <c:v>171.417</c:v>
                </c:pt>
                <c:pt idx="27">
                  <c:v>214.05799999999999</c:v>
                </c:pt>
                <c:pt idx="28">
                  <c:v>214.31100000000001</c:v>
                </c:pt>
                <c:pt idx="29">
                  <c:v>217.57599999999999</c:v>
                </c:pt>
                <c:pt idx="30">
                  <c:v>221.208</c:v>
                </c:pt>
                <c:pt idx="31">
                  <c:v>222.99600000000001</c:v>
                </c:pt>
                <c:pt idx="32">
                  <c:v>223.346</c:v>
                </c:pt>
                <c:pt idx="33">
                  <c:v>224.792</c:v>
                </c:pt>
                <c:pt idx="34">
                  <c:v>227.23699999999999</c:v>
                </c:pt>
                <c:pt idx="35">
                  <c:v>227.387</c:v>
                </c:pt>
                <c:pt idx="36">
                  <c:v>267.20299999999997</c:v>
                </c:pt>
                <c:pt idx="37">
                  <c:v>267.286</c:v>
                </c:pt>
                <c:pt idx="38">
                  <c:v>271.62</c:v>
                </c:pt>
                <c:pt idx="39">
                  <c:v>276.245</c:v>
                </c:pt>
                <c:pt idx="40">
                  <c:v>278.11500000000001</c:v>
                </c:pt>
                <c:pt idx="41">
                  <c:v>278.77100000000002</c:v>
                </c:pt>
                <c:pt idx="42">
                  <c:v>280.43099999999998</c:v>
                </c:pt>
                <c:pt idx="43">
                  <c:v>283.97699999999998</c:v>
                </c:pt>
                <c:pt idx="44">
                  <c:v>284.36900000000003</c:v>
                </c:pt>
                <c:pt idx="45">
                  <c:v>319.94</c:v>
                </c:pt>
                <c:pt idx="46">
                  <c:v>320.41699999999997</c:v>
                </c:pt>
                <c:pt idx="47">
                  <c:v>325.77699999999999</c:v>
                </c:pt>
                <c:pt idx="48">
                  <c:v>331.447</c:v>
                </c:pt>
                <c:pt idx="49">
                  <c:v>333.30500000000001</c:v>
                </c:pt>
                <c:pt idx="50">
                  <c:v>333.83100000000002</c:v>
                </c:pt>
                <c:pt idx="51">
                  <c:v>335.64</c:v>
                </c:pt>
                <c:pt idx="52">
                  <c:v>340.83300000000003</c:v>
                </c:pt>
                <c:pt idx="53">
                  <c:v>341.09199999999998</c:v>
                </c:pt>
                <c:pt idx="54">
                  <c:v>372.53500000000003</c:v>
                </c:pt>
                <c:pt idx="55">
                  <c:v>373.22</c:v>
                </c:pt>
                <c:pt idx="56">
                  <c:v>380.05599999999998</c:v>
                </c:pt>
                <c:pt idx="57">
                  <c:v>386.74900000000002</c:v>
                </c:pt>
                <c:pt idx="58">
                  <c:v>388.19299999999998</c:v>
                </c:pt>
                <c:pt idx="59">
                  <c:v>388.30299999999988</c:v>
                </c:pt>
                <c:pt idx="60">
                  <c:v>391.55099999999999</c:v>
                </c:pt>
                <c:pt idx="61">
                  <c:v>397.34199999999998</c:v>
                </c:pt>
                <c:pt idx="62">
                  <c:v>397.60199999999998</c:v>
                </c:pt>
                <c:pt idx="63">
                  <c:v>425.07600000000002</c:v>
                </c:pt>
                <c:pt idx="64">
                  <c:v>426.26299999999998</c:v>
                </c:pt>
                <c:pt idx="65">
                  <c:v>434.23099999999999</c:v>
                </c:pt>
                <c:pt idx="66">
                  <c:v>442.30500000000001</c:v>
                </c:pt>
                <c:pt idx="67">
                  <c:v>442.87700000000001</c:v>
                </c:pt>
                <c:pt idx="68">
                  <c:v>443.70699999999999</c:v>
                </c:pt>
                <c:pt idx="69">
                  <c:v>447.20600000000002</c:v>
                </c:pt>
                <c:pt idx="70">
                  <c:v>453.82100000000003</c:v>
                </c:pt>
                <c:pt idx="71">
                  <c:v>454.59500000000003</c:v>
                </c:pt>
                <c:pt idx="72">
                  <c:v>477.66599999999988</c:v>
                </c:pt>
                <c:pt idx="73">
                  <c:v>479.28800000000001</c:v>
                </c:pt>
                <c:pt idx="74">
                  <c:v>488.19099999999997</c:v>
                </c:pt>
                <c:pt idx="75">
                  <c:v>497.56099999999998</c:v>
                </c:pt>
                <c:pt idx="76">
                  <c:v>497.72300000000001</c:v>
                </c:pt>
                <c:pt idx="77">
                  <c:v>498.91699999999997</c:v>
                </c:pt>
                <c:pt idx="78">
                  <c:v>502.58499999999998</c:v>
                </c:pt>
                <c:pt idx="79">
                  <c:v>509.87099999999998</c:v>
                </c:pt>
                <c:pt idx="80">
                  <c:v>511.53800000000001</c:v>
                </c:pt>
                <c:pt idx="81">
                  <c:v>530.65299999999991</c:v>
                </c:pt>
                <c:pt idx="82">
                  <c:v>532.33299999999997</c:v>
                </c:pt>
                <c:pt idx="83">
                  <c:v>541.52099999999996</c:v>
                </c:pt>
                <c:pt idx="84">
                  <c:v>551.93500000000006</c:v>
                </c:pt>
                <c:pt idx="85">
                  <c:v>552.71499999999992</c:v>
                </c:pt>
                <c:pt idx="86">
                  <c:v>553.38400000000001</c:v>
                </c:pt>
                <c:pt idx="87">
                  <c:v>558.18000000000006</c:v>
                </c:pt>
                <c:pt idx="88">
                  <c:v>566.23699999999997</c:v>
                </c:pt>
                <c:pt idx="89">
                  <c:v>569.47499999999991</c:v>
                </c:pt>
                <c:pt idx="90">
                  <c:v>583.65299999999991</c:v>
                </c:pt>
                <c:pt idx="91">
                  <c:v>585.43899999999996</c:v>
                </c:pt>
                <c:pt idx="92">
                  <c:v>594.96499999999992</c:v>
                </c:pt>
                <c:pt idx="93">
                  <c:v>606.97200000000009</c:v>
                </c:pt>
                <c:pt idx="94">
                  <c:v>607.32999999999993</c:v>
                </c:pt>
                <c:pt idx="95">
                  <c:v>608.36599999999999</c:v>
                </c:pt>
                <c:pt idx="96">
                  <c:v>613.03800000000001</c:v>
                </c:pt>
                <c:pt idx="97">
                  <c:v>621.69099999999992</c:v>
                </c:pt>
                <c:pt idx="98">
                  <c:v>625.02299999999991</c:v>
                </c:pt>
                <c:pt idx="99">
                  <c:v>636.24399999999991</c:v>
                </c:pt>
                <c:pt idx="100">
                  <c:v>638.471</c:v>
                </c:pt>
                <c:pt idx="101">
                  <c:v>648.21699999999987</c:v>
                </c:pt>
                <c:pt idx="102">
                  <c:v>661.52299999999991</c:v>
                </c:pt>
                <c:pt idx="103">
                  <c:v>661.65100000000007</c:v>
                </c:pt>
                <c:pt idx="104">
                  <c:v>663.02</c:v>
                </c:pt>
                <c:pt idx="105">
                  <c:v>668.73</c:v>
                </c:pt>
                <c:pt idx="106">
                  <c:v>677.15299999999991</c:v>
                </c:pt>
                <c:pt idx="107">
                  <c:v>680.47199999999987</c:v>
                </c:pt>
                <c:pt idx="108">
                  <c:v>688.80799999999988</c:v>
                </c:pt>
                <c:pt idx="109">
                  <c:v>691.47199999999998</c:v>
                </c:pt>
                <c:pt idx="110">
                  <c:v>701.5089999999999</c:v>
                </c:pt>
                <c:pt idx="111">
                  <c:v>716.07599999999991</c:v>
                </c:pt>
                <c:pt idx="112">
                  <c:v>716.20200000000011</c:v>
                </c:pt>
                <c:pt idx="113">
                  <c:v>717.66599999999994</c:v>
                </c:pt>
                <c:pt idx="114">
                  <c:v>724.04100000000005</c:v>
                </c:pt>
                <c:pt idx="115">
                  <c:v>733.63499999999988</c:v>
                </c:pt>
                <c:pt idx="116">
                  <c:v>737.13299999999981</c:v>
                </c:pt>
                <c:pt idx="117">
                  <c:v>741.71299999999985</c:v>
                </c:pt>
                <c:pt idx="118">
                  <c:v>744.25900000000001</c:v>
                </c:pt>
                <c:pt idx="119">
                  <c:v>754.44999999999993</c:v>
                </c:pt>
                <c:pt idx="120">
                  <c:v>770.65599999999995</c:v>
                </c:pt>
                <c:pt idx="121">
                  <c:v>770.76300000000015</c:v>
                </c:pt>
                <c:pt idx="122">
                  <c:v>772.13699999999994</c:v>
                </c:pt>
                <c:pt idx="123">
                  <c:v>779.18400000000008</c:v>
                </c:pt>
                <c:pt idx="124">
                  <c:v>789.3359999999999</c:v>
                </c:pt>
                <c:pt idx="125">
                  <c:v>794.03099999999984</c:v>
                </c:pt>
                <c:pt idx="126">
                  <c:v>794.50299999999982</c:v>
                </c:pt>
                <c:pt idx="127">
                  <c:v>797.92899999999997</c:v>
                </c:pt>
                <c:pt idx="128">
                  <c:v>808.10399999999993</c:v>
                </c:pt>
                <c:pt idx="129">
                  <c:v>825.70099999999991</c:v>
                </c:pt>
                <c:pt idx="130">
                  <c:v>826.44900000000018</c:v>
                </c:pt>
                <c:pt idx="131">
                  <c:v>826.54</c:v>
                </c:pt>
                <c:pt idx="132">
                  <c:v>834.33500000000004</c:v>
                </c:pt>
                <c:pt idx="133">
                  <c:v>845.66899999999987</c:v>
                </c:pt>
                <c:pt idx="134">
                  <c:v>846.68199999999979</c:v>
                </c:pt>
                <c:pt idx="135">
                  <c:v>850.2489999999998</c:v>
                </c:pt>
                <c:pt idx="136">
                  <c:v>851.06</c:v>
                </c:pt>
                <c:pt idx="137">
                  <c:v>862.00699999999995</c:v>
                </c:pt>
                <c:pt idx="138">
                  <c:v>879.50599999999986</c:v>
                </c:pt>
                <c:pt idx="139">
                  <c:v>880.33399999999995</c:v>
                </c:pt>
                <c:pt idx="140">
                  <c:v>880.38000000000022</c:v>
                </c:pt>
                <c:pt idx="141">
                  <c:v>889.13300000000004</c:v>
                </c:pt>
                <c:pt idx="142">
                  <c:v>899.13499999999976</c:v>
                </c:pt>
                <c:pt idx="143">
                  <c:v>902.08499999999981</c:v>
                </c:pt>
                <c:pt idx="144">
                  <c:v>903.89799999999991</c:v>
                </c:pt>
                <c:pt idx="145">
                  <c:v>905.23399999999981</c:v>
                </c:pt>
                <c:pt idx="146">
                  <c:v>914.92899999999997</c:v>
                </c:pt>
                <c:pt idx="147">
                  <c:v>933.46699999999987</c:v>
                </c:pt>
                <c:pt idx="148">
                  <c:v>934.0619999999999</c:v>
                </c:pt>
                <c:pt idx="149">
                  <c:v>934.23800000000017</c:v>
                </c:pt>
                <c:pt idx="150">
                  <c:v>944.41399999999999</c:v>
                </c:pt>
                <c:pt idx="151">
                  <c:v>951.75499999999977</c:v>
                </c:pt>
                <c:pt idx="152">
                  <c:v>956.57899999999995</c:v>
                </c:pt>
                <c:pt idx="153">
                  <c:v>959.00699999999983</c:v>
                </c:pt>
                <c:pt idx="154">
                  <c:v>960.36199999999985</c:v>
                </c:pt>
                <c:pt idx="155">
                  <c:v>968.27699999999993</c:v>
                </c:pt>
                <c:pt idx="156">
                  <c:v>987.40599999999984</c:v>
                </c:pt>
                <c:pt idx="157">
                  <c:v>988.2829999999999</c:v>
                </c:pt>
                <c:pt idx="158">
                  <c:v>988.29300000000012</c:v>
                </c:pt>
                <c:pt idx="159">
                  <c:v>1000.082</c:v>
                </c:pt>
                <c:pt idx="160">
                  <c:v>1004.273</c:v>
                </c:pt>
                <c:pt idx="161">
                  <c:v>1009.982</c:v>
                </c:pt>
                <c:pt idx="162">
                  <c:v>1015.061</c:v>
                </c:pt>
                <c:pt idx="163">
                  <c:v>1017.0119999999999</c:v>
                </c:pt>
                <c:pt idx="164">
                  <c:v>1022.78</c:v>
                </c:pt>
                <c:pt idx="165">
                  <c:v>1041.758</c:v>
                </c:pt>
                <c:pt idx="166">
                  <c:v>1041.9860000000001</c:v>
                </c:pt>
                <c:pt idx="167">
                  <c:v>1042.5309999999999</c:v>
                </c:pt>
                <c:pt idx="168">
                  <c:v>1055.546</c:v>
                </c:pt>
                <c:pt idx="169">
                  <c:v>1056.577</c:v>
                </c:pt>
                <c:pt idx="170">
                  <c:v>1062.8579999999999</c:v>
                </c:pt>
                <c:pt idx="171">
                  <c:v>1072.2570000000001</c:v>
                </c:pt>
                <c:pt idx="172">
                  <c:v>1074.1559999999999</c:v>
                </c:pt>
                <c:pt idx="173">
                  <c:v>1078.1659999999999</c:v>
                </c:pt>
                <c:pt idx="174">
                  <c:v>1095.5119999999999</c:v>
                </c:pt>
                <c:pt idx="175">
                  <c:v>1095.8789999999999</c:v>
                </c:pt>
                <c:pt idx="176">
                  <c:v>1097.713</c:v>
                </c:pt>
                <c:pt idx="177">
                  <c:v>1108.8510000000001</c:v>
                </c:pt>
                <c:pt idx="178">
                  <c:v>1112.067</c:v>
                </c:pt>
                <c:pt idx="179">
                  <c:v>1115.752</c:v>
                </c:pt>
                <c:pt idx="180">
                  <c:v>1127.6790000000001</c:v>
                </c:pt>
                <c:pt idx="181">
                  <c:v>1129.2570000000001</c:v>
                </c:pt>
                <c:pt idx="182">
                  <c:v>1131.1469999999999</c:v>
                </c:pt>
                <c:pt idx="183">
                  <c:v>1149.9880000000001</c:v>
                </c:pt>
                <c:pt idx="184">
                  <c:v>1150.1880000000001</c:v>
                </c:pt>
                <c:pt idx="185">
                  <c:v>1152.442</c:v>
                </c:pt>
                <c:pt idx="186">
                  <c:v>1161.1489999999999</c:v>
                </c:pt>
                <c:pt idx="187">
                  <c:v>1167.48</c:v>
                </c:pt>
                <c:pt idx="188">
                  <c:v>1168.566</c:v>
                </c:pt>
                <c:pt idx="189">
                  <c:v>1183.204</c:v>
                </c:pt>
                <c:pt idx="190">
                  <c:v>1183.8610000000001</c:v>
                </c:pt>
                <c:pt idx="191">
                  <c:v>1184.771</c:v>
                </c:pt>
                <c:pt idx="192">
                  <c:v>1203.7750000000001</c:v>
                </c:pt>
                <c:pt idx="193">
                  <c:v>1204.1310000000001</c:v>
                </c:pt>
                <c:pt idx="194">
                  <c:v>1206.932</c:v>
                </c:pt>
                <c:pt idx="195">
                  <c:v>1213.0440000000001</c:v>
                </c:pt>
                <c:pt idx="196">
                  <c:v>1221.4059999999999</c:v>
                </c:pt>
                <c:pt idx="197">
                  <c:v>1222.7739999999999</c:v>
                </c:pt>
                <c:pt idx="198">
                  <c:v>1236.6559999999999</c:v>
                </c:pt>
                <c:pt idx="199">
                  <c:v>1239.4690000000001</c:v>
                </c:pt>
                <c:pt idx="200">
                  <c:v>1242.714999999999</c:v>
                </c:pt>
                <c:pt idx="201">
                  <c:v>1258.1849999999999</c:v>
                </c:pt>
                <c:pt idx="202">
                  <c:v>1258.5820000000001</c:v>
                </c:pt>
                <c:pt idx="203">
                  <c:v>1262.6769999999999</c:v>
                </c:pt>
                <c:pt idx="204">
                  <c:v>1264.9359999999999</c:v>
                </c:pt>
                <c:pt idx="205">
                  <c:v>1274.2059999999999</c:v>
                </c:pt>
                <c:pt idx="206">
                  <c:v>1278.5029999999999</c:v>
                </c:pt>
                <c:pt idx="207">
                  <c:v>1289.8050000000001</c:v>
                </c:pt>
                <c:pt idx="208">
                  <c:v>1295.049</c:v>
                </c:pt>
                <c:pt idx="209">
                  <c:v>1298.196999999999</c:v>
                </c:pt>
                <c:pt idx="210">
                  <c:v>1311.886</c:v>
                </c:pt>
                <c:pt idx="211">
                  <c:v>1312.077</c:v>
                </c:pt>
                <c:pt idx="212">
                  <c:v>1316.857</c:v>
                </c:pt>
                <c:pt idx="213">
                  <c:v>1316.8969999999999</c:v>
                </c:pt>
                <c:pt idx="214">
                  <c:v>1327.0650000000001</c:v>
                </c:pt>
                <c:pt idx="215">
                  <c:v>1334.078</c:v>
                </c:pt>
                <c:pt idx="216">
                  <c:v>1343.328</c:v>
                </c:pt>
                <c:pt idx="217">
                  <c:v>1353.5630000000001</c:v>
                </c:pt>
                <c:pt idx="218">
                  <c:v>1355.049999999999</c:v>
                </c:pt>
                <c:pt idx="219">
                  <c:v>1365.2909999999999</c:v>
                </c:pt>
                <c:pt idx="220">
                  <c:v>1371.1030000000001</c:v>
                </c:pt>
                <c:pt idx="221">
                  <c:v>1371.922</c:v>
                </c:pt>
                <c:pt idx="222">
                  <c:v>1380.578</c:v>
                </c:pt>
                <c:pt idx="223">
                  <c:v>1390.499</c:v>
                </c:pt>
                <c:pt idx="224">
                  <c:v>1396.672</c:v>
                </c:pt>
                <c:pt idx="225">
                  <c:v>1400.73</c:v>
                </c:pt>
                <c:pt idx="226">
                  <c:v>1409.2739999999999</c:v>
                </c:pt>
                <c:pt idx="227">
                  <c:v>1411.327</c:v>
                </c:pt>
                <c:pt idx="228">
                  <c:v>1418.57</c:v>
                </c:pt>
                <c:pt idx="229">
                  <c:v>1423.5709999999999</c:v>
                </c:pt>
                <c:pt idx="230">
                  <c:v>1426.067</c:v>
                </c:pt>
                <c:pt idx="231">
                  <c:v>1433.5509999999999</c:v>
                </c:pt>
                <c:pt idx="232">
                  <c:v>1445.6969999999999</c:v>
                </c:pt>
                <c:pt idx="233">
                  <c:v>1449.5250000000001</c:v>
                </c:pt>
                <c:pt idx="234">
                  <c:v>1454.1659999999999</c:v>
                </c:pt>
                <c:pt idx="235">
                  <c:v>1464.6569999999999</c:v>
                </c:pt>
                <c:pt idx="236">
                  <c:v>1466.481</c:v>
                </c:pt>
                <c:pt idx="237">
                  <c:v>1472.396</c:v>
                </c:pt>
                <c:pt idx="238">
                  <c:v>1476.029</c:v>
                </c:pt>
                <c:pt idx="239">
                  <c:v>1481.104</c:v>
                </c:pt>
                <c:pt idx="240">
                  <c:v>1486.4649999999999</c:v>
                </c:pt>
                <c:pt idx="241">
                  <c:v>1500.1189999999999</c:v>
                </c:pt>
                <c:pt idx="242">
                  <c:v>1502.5119999999999</c:v>
                </c:pt>
                <c:pt idx="243">
                  <c:v>1507.4490000000001</c:v>
                </c:pt>
                <c:pt idx="244">
                  <c:v>1521.09</c:v>
                </c:pt>
                <c:pt idx="245">
                  <c:v>1525.5940000000001</c:v>
                </c:pt>
                <c:pt idx="246">
                  <c:v>1527.826</c:v>
                </c:pt>
                <c:pt idx="247">
                  <c:v>1529.7850000000001</c:v>
                </c:pt>
                <c:pt idx="248">
                  <c:v>1535.702</c:v>
                </c:pt>
                <c:pt idx="249">
                  <c:v>1539.453</c:v>
                </c:pt>
                <c:pt idx="250">
                  <c:v>1554.7650000000001</c:v>
                </c:pt>
                <c:pt idx="251">
                  <c:v>1555.56</c:v>
                </c:pt>
                <c:pt idx="252">
                  <c:v>1560.393</c:v>
                </c:pt>
                <c:pt idx="253">
                  <c:v>1578.941</c:v>
                </c:pt>
                <c:pt idx="254">
                  <c:v>1581.6189999999999</c:v>
                </c:pt>
                <c:pt idx="255">
                  <c:v>1582.057</c:v>
                </c:pt>
                <c:pt idx="256">
                  <c:v>1582.367</c:v>
                </c:pt>
                <c:pt idx="257">
                  <c:v>1590.6369999999999</c:v>
                </c:pt>
                <c:pt idx="258">
                  <c:v>1593.943</c:v>
                </c:pt>
                <c:pt idx="259">
                  <c:v>1608.1479999999999</c:v>
                </c:pt>
                <c:pt idx="260">
                  <c:v>1609.2860000000001</c:v>
                </c:pt>
                <c:pt idx="261">
                  <c:v>1613.3009999999999</c:v>
                </c:pt>
                <c:pt idx="262">
                  <c:v>1634.2470000000001</c:v>
                </c:pt>
                <c:pt idx="263">
                  <c:v>1634.453</c:v>
                </c:pt>
                <c:pt idx="264">
                  <c:v>1635.501</c:v>
                </c:pt>
                <c:pt idx="265">
                  <c:v>1637.64</c:v>
                </c:pt>
                <c:pt idx="266">
                  <c:v>1646.942</c:v>
                </c:pt>
                <c:pt idx="267">
                  <c:v>1648.1289999999999</c:v>
                </c:pt>
                <c:pt idx="268">
                  <c:v>1660.857</c:v>
                </c:pt>
                <c:pt idx="269">
                  <c:v>1663.2570000000001</c:v>
                </c:pt>
                <c:pt idx="270">
                  <c:v>1666.9079999999999</c:v>
                </c:pt>
                <c:pt idx="271">
                  <c:v>1686.402</c:v>
                </c:pt>
                <c:pt idx="272">
                  <c:v>1688.105</c:v>
                </c:pt>
                <c:pt idx="273">
                  <c:v>1692.096</c:v>
                </c:pt>
                <c:pt idx="274">
                  <c:v>1693.64</c:v>
                </c:pt>
                <c:pt idx="275">
                  <c:v>1700.982</c:v>
                </c:pt>
                <c:pt idx="276">
                  <c:v>1701.133</c:v>
                </c:pt>
                <c:pt idx="277">
                  <c:v>1713.537</c:v>
                </c:pt>
                <c:pt idx="278">
                  <c:v>1717.67</c:v>
                </c:pt>
                <c:pt idx="279">
                  <c:v>1720.1189999999999</c:v>
                </c:pt>
                <c:pt idx="280">
                  <c:v>1738.673</c:v>
                </c:pt>
                <c:pt idx="281">
                  <c:v>1741.722</c:v>
                </c:pt>
                <c:pt idx="282">
                  <c:v>1748.4749999999999</c:v>
                </c:pt>
                <c:pt idx="283">
                  <c:v>1748.867</c:v>
                </c:pt>
                <c:pt idx="284">
                  <c:v>1755.2349999999999</c:v>
                </c:pt>
                <c:pt idx="285">
                  <c:v>1755.2439999999999</c:v>
                </c:pt>
                <c:pt idx="286">
                  <c:v>1766.07</c:v>
                </c:pt>
                <c:pt idx="287">
                  <c:v>1771.6389999999999</c:v>
                </c:pt>
                <c:pt idx="288">
                  <c:v>1773.8879999999999</c:v>
                </c:pt>
                <c:pt idx="289">
                  <c:v>1791.0740000000001</c:v>
                </c:pt>
                <c:pt idx="290">
                  <c:v>1794.713</c:v>
                </c:pt>
                <c:pt idx="291">
                  <c:v>1805.02</c:v>
                </c:pt>
                <c:pt idx="292">
                  <c:v>1805.8710000000001</c:v>
                </c:pt>
                <c:pt idx="293">
                  <c:v>1808.5830000000001</c:v>
                </c:pt>
                <c:pt idx="294">
                  <c:v>1809.4469999999999</c:v>
                </c:pt>
                <c:pt idx="295">
                  <c:v>1819.8219999999999</c:v>
                </c:pt>
                <c:pt idx="296">
                  <c:v>1826.442</c:v>
                </c:pt>
                <c:pt idx="297">
                  <c:v>1828.6089999999999</c:v>
                </c:pt>
              </c:numCache>
            </c:numRef>
          </c:xVal>
          <c:yVal>
            <c:numRef>
              <c:f>intermediate_data!$R$2:$R$299</c:f>
              <c:numCache>
                <c:formatCode>General</c:formatCode>
                <c:ptCount val="298"/>
                <c:pt idx="0">
                  <c:v>8.4407987711031307E-2</c:v>
                </c:pt>
                <c:pt idx="1">
                  <c:v>8.452119416202597E-2</c:v>
                </c:pt>
                <c:pt idx="2">
                  <c:v>8.5807560027438834E-2</c:v>
                </c:pt>
                <c:pt idx="3">
                  <c:v>8.7378490657386787E-2</c:v>
                </c:pt>
                <c:pt idx="4">
                  <c:v>8.8105711722309632E-2</c:v>
                </c:pt>
                <c:pt idx="5">
                  <c:v>8.9892978138161439E-2</c:v>
                </c:pt>
                <c:pt idx="6">
                  <c:v>9.0072703252604525E-2</c:v>
                </c:pt>
                <c:pt idx="7">
                  <c:v>9.0723374731746187E-2</c:v>
                </c:pt>
                <c:pt idx="8">
                  <c:v>9.2780228819262733E-2</c:v>
                </c:pt>
                <c:pt idx="9">
                  <c:v>0.14362603232865156</c:v>
                </c:pt>
                <c:pt idx="10">
                  <c:v>0.1438852908213113</c:v>
                </c:pt>
                <c:pt idx="11">
                  <c:v>0.14610656485588169</c:v>
                </c:pt>
                <c:pt idx="12">
                  <c:v>0.14785106691666172</c:v>
                </c:pt>
                <c:pt idx="13">
                  <c:v>0.14832674033751658</c:v>
                </c:pt>
                <c:pt idx="14">
                  <c:v>0.14942858893132138</c:v>
                </c:pt>
                <c:pt idx="15">
                  <c:v>0.1503425849732416</c:v>
                </c:pt>
                <c:pt idx="16">
                  <c:v>0.15077761193550154</c:v>
                </c:pt>
                <c:pt idx="17">
                  <c:v>0.15256715466661674</c:v>
                </c:pt>
                <c:pt idx="18">
                  <c:v>0.19314652864536885</c:v>
                </c:pt>
                <c:pt idx="19">
                  <c:v>0.19323393682849455</c:v>
                </c:pt>
                <c:pt idx="20">
                  <c:v>0.19588446144033567</c:v>
                </c:pt>
                <c:pt idx="21">
                  <c:v>0.19806966601847797</c:v>
                </c:pt>
                <c:pt idx="22">
                  <c:v>0.19852555967948637</c:v>
                </c:pt>
                <c:pt idx="23">
                  <c:v>0.19936193601998342</c:v>
                </c:pt>
                <c:pt idx="24">
                  <c:v>0.20051966597491333</c:v>
                </c:pt>
                <c:pt idx="25">
                  <c:v>0.20145544770014112</c:v>
                </c:pt>
                <c:pt idx="26">
                  <c:v>0.2024203654864114</c:v>
                </c:pt>
                <c:pt idx="27">
                  <c:v>0.23814543505449359</c:v>
                </c:pt>
                <c:pt idx="28">
                  <c:v>0.23838571706382883</c:v>
                </c:pt>
                <c:pt idx="29">
                  <c:v>0.24148658963488856</c:v>
                </c:pt>
                <c:pt idx="30">
                  <c:v>0.24493601357917383</c:v>
                </c:pt>
                <c:pt idx="31">
                  <c:v>0.24663413307597493</c:v>
                </c:pt>
                <c:pt idx="32">
                  <c:v>0.24696653901774202</c:v>
                </c:pt>
                <c:pt idx="33">
                  <c:v>0.24833985042287399</c:v>
                </c:pt>
                <c:pt idx="34">
                  <c:v>0.25066194335893499</c:v>
                </c:pt>
                <c:pt idx="35">
                  <c:v>0.25080440304826457</c:v>
                </c:pt>
                <c:pt idx="36">
                  <c:v>0.29641279377982066</c:v>
                </c:pt>
                <c:pt idx="37">
                  <c:v>0.2965199511351555</c:v>
                </c:pt>
                <c:pt idx="38">
                  <c:v>0.3021153725571164</c:v>
                </c:pt>
                <c:pt idx="39">
                  <c:v>0.30808649024898749</c:v>
                </c:pt>
                <c:pt idx="40">
                  <c:v>0.31050075837521351</c:v>
                </c:pt>
                <c:pt idx="41">
                  <c:v>0.31134768879810437</c:v>
                </c:pt>
                <c:pt idx="42">
                  <c:v>0.3134908359048092</c:v>
                </c:pt>
                <c:pt idx="43">
                  <c:v>0.31806890797732112</c:v>
                </c:pt>
                <c:pt idx="44">
                  <c:v>0.31863867357391484</c:v>
                </c:pt>
                <c:pt idx="45">
                  <c:v>0.3703405410137437</c:v>
                </c:pt>
                <c:pt idx="46">
                  <c:v>0.37105827278839065</c:v>
                </c:pt>
                <c:pt idx="47">
                  <c:v>0.37912335101083983</c:v>
                </c:pt>
                <c:pt idx="48">
                  <c:v>0.38765487965287093</c:v>
                </c:pt>
                <c:pt idx="49">
                  <c:v>0.39045057281281625</c:v>
                </c:pt>
                <c:pt idx="50">
                  <c:v>0.39124203384733214</c:v>
                </c:pt>
                <c:pt idx="51">
                  <c:v>0.39396399774740942</c:v>
                </c:pt>
                <c:pt idx="52">
                  <c:v>0.40177779461479268</c:v>
                </c:pt>
                <c:pt idx="53">
                  <c:v>0.40216750641695942</c:v>
                </c:pt>
                <c:pt idx="54">
                  <c:v>0.44358520615820218</c:v>
                </c:pt>
                <c:pt idx="55">
                  <c:v>0.44450089522489744</c:v>
                </c:pt>
                <c:pt idx="56">
                  <c:v>0.45363907107880674</c:v>
                </c:pt>
                <c:pt idx="57">
                  <c:v>0.46258608848521732</c:v>
                </c:pt>
                <c:pt idx="58">
                  <c:v>0.46451638777325766</c:v>
                </c:pt>
                <c:pt idx="59">
                  <c:v>0.46466343273287247</c:v>
                </c:pt>
                <c:pt idx="60">
                  <c:v>0.46900526935860309</c:v>
                </c:pt>
                <c:pt idx="61">
                  <c:v>0.47674651809616808</c:v>
                </c:pt>
                <c:pt idx="62">
                  <c:v>0.47709407890980415</c:v>
                </c:pt>
                <c:pt idx="63">
                  <c:v>0.51794079974733798</c:v>
                </c:pt>
                <c:pt idx="64">
                  <c:v>0.51968451158390128</c:v>
                </c:pt>
                <c:pt idx="65">
                  <c:v>0.53138956290128903</c:v>
                </c:pt>
                <c:pt idx="66">
                  <c:v>0.54325032900778858</c:v>
                </c:pt>
                <c:pt idx="67">
                  <c:v>0.5440906012660145</c:v>
                </c:pt>
                <c:pt idx="68">
                  <c:v>0.54530987744490922</c:v>
                </c:pt>
                <c:pt idx="69">
                  <c:v>0.55044993449304513</c:v>
                </c:pt>
                <c:pt idx="70">
                  <c:v>0.56016741873809028</c:v>
                </c:pt>
                <c:pt idx="71">
                  <c:v>0.56130443050009404</c:v>
                </c:pt>
                <c:pt idx="72">
                  <c:v>0.59484045448957623</c:v>
                </c:pt>
                <c:pt idx="73">
                  <c:v>0.59696711152629334</c:v>
                </c:pt>
                <c:pt idx="74">
                  <c:v>0.60864012484188201</c:v>
                </c:pt>
                <c:pt idx="75">
                  <c:v>0.62092543707001369</c:v>
                </c:pt>
                <c:pt idx="76">
                  <c:v>0.62113784054717058</c:v>
                </c:pt>
                <c:pt idx="77">
                  <c:v>0.62270333284176971</c:v>
                </c:pt>
                <c:pt idx="78">
                  <c:v>0.62751256712701675</c:v>
                </c:pt>
                <c:pt idx="79">
                  <c:v>0.63706547906876487</c:v>
                </c:pt>
                <c:pt idx="80">
                  <c:v>0.63925113707135672</c:v>
                </c:pt>
                <c:pt idx="81">
                  <c:v>0.67007266513626895</c:v>
                </c:pt>
                <c:pt idx="82">
                  <c:v>0.67277376434585356</c:v>
                </c:pt>
                <c:pt idx="83">
                  <c:v>0.68754620454684101</c:v>
                </c:pt>
                <c:pt idx="84">
                  <c:v>0.70428980405196207</c:v>
                </c:pt>
                <c:pt idx="85">
                  <c:v>0.70554388582784</c:v>
                </c:pt>
                <c:pt idx="86">
                  <c:v>0.70661950212022973</c:v>
                </c:pt>
                <c:pt idx="87">
                  <c:v>0.71433049724473108</c:v>
                </c:pt>
                <c:pt idx="88">
                  <c:v>0.7272845188706949</c:v>
                </c:pt>
                <c:pt idx="89">
                  <c:v>0.7324905660377361</c:v>
                </c:pt>
                <c:pt idx="90">
                  <c:v>0.74476128753510551</c:v>
                </c:pt>
                <c:pt idx="91">
                  <c:v>0.74656909811374028</c:v>
                </c:pt>
                <c:pt idx="92">
                  <c:v>0.7562114293411053</c:v>
                </c:pt>
                <c:pt idx="93">
                  <c:v>0.76836505846634218</c:v>
                </c:pt>
                <c:pt idx="94">
                  <c:v>0.76872743035164603</c:v>
                </c:pt>
                <c:pt idx="95">
                  <c:v>0.76977608195269021</c:v>
                </c:pt>
                <c:pt idx="96">
                  <c:v>0.77450513627709228</c:v>
                </c:pt>
                <c:pt idx="97">
                  <c:v>0.78326380645454385</c:v>
                </c:pt>
                <c:pt idx="98">
                  <c:v>0.78663649673898561</c:v>
                </c:pt>
                <c:pt idx="99">
                  <c:v>0.79763386174682971</c:v>
                </c:pt>
                <c:pt idx="100">
                  <c:v>0.799838228791387</c:v>
                </c:pt>
                <c:pt idx="101">
                  <c:v>0.80948518039275008</c:v>
                </c:pt>
                <c:pt idx="102">
                  <c:v>0.82265595178693829</c:v>
                </c:pt>
                <c:pt idx="103">
                  <c:v>0.82278265092555536</c:v>
                </c:pt>
                <c:pt idx="104">
                  <c:v>0.8241377378065593</c:v>
                </c:pt>
                <c:pt idx="105">
                  <c:v>0.82978970719336331</c:v>
                </c:pt>
                <c:pt idx="106">
                  <c:v>0.83812710441666383</c:v>
                </c:pt>
                <c:pt idx="107">
                  <c:v>0.84141237348755737</c:v>
                </c:pt>
                <c:pt idx="108">
                  <c:v>0.85287940558761655</c:v>
                </c:pt>
                <c:pt idx="109">
                  <c:v>0.85621734808114525</c:v>
                </c:pt>
                <c:pt idx="110">
                  <c:v>0.86879352255844644</c:v>
                </c:pt>
                <c:pt idx="111">
                  <c:v>0.88704570285244522</c:v>
                </c:pt>
                <c:pt idx="112">
                  <c:v>0.88720357851092224</c:v>
                </c:pt>
                <c:pt idx="113">
                  <c:v>0.8890379433046629</c:v>
                </c:pt>
                <c:pt idx="114">
                  <c:v>0.89702569983478142</c:v>
                </c:pt>
                <c:pt idx="115">
                  <c:v>0.90904680354457668</c:v>
                </c:pt>
                <c:pt idx="116">
                  <c:v>0.91342973253945559</c:v>
                </c:pt>
                <c:pt idx="117">
                  <c:v>0.9201673348439936</c:v>
                </c:pt>
                <c:pt idx="118">
                  <c:v>0.92445267951250365</c:v>
                </c:pt>
                <c:pt idx="119">
                  <c:v>0.94160584035963169</c:v>
                </c:pt>
                <c:pt idx="120">
                  <c:v>0.96888325422368027</c:v>
                </c:pt>
                <c:pt idx="121">
                  <c:v>0.96906335315515335</c:v>
                </c:pt>
                <c:pt idx="122">
                  <c:v>0.97137602541537582</c:v>
                </c:pt>
                <c:pt idx="123">
                  <c:v>0.98323730737884496</c:v>
                </c:pt>
                <c:pt idx="124">
                  <c:v>1.0003248246901997</c:v>
                </c:pt>
                <c:pt idx="125">
                  <c:v>1.0082272964964254</c:v>
                </c:pt>
                <c:pt idx="126">
                  <c:v>1.0089646920286413</c:v>
                </c:pt>
                <c:pt idx="127">
                  <c:v>1.0125773569103096</c:v>
                </c:pt>
                <c:pt idx="128">
                  <c:v>1.023306739622214</c:v>
                </c:pt>
                <c:pt idx="129">
                  <c:v>1.0418625084262789</c:v>
                </c:pt>
                <c:pt idx="130">
                  <c:v>1.0426512630472615</c:v>
                </c:pt>
                <c:pt idx="131">
                  <c:v>1.0427472211629158</c:v>
                </c:pt>
                <c:pt idx="132">
                  <c:v>1.0509669300807829</c:v>
                </c:pt>
                <c:pt idx="133">
                  <c:v>1.0629184606612956</c:v>
                </c:pt>
                <c:pt idx="134">
                  <c:v>1.063986653750943</c:v>
                </c:pt>
                <c:pt idx="135">
                  <c:v>1.068003736678552</c:v>
                </c:pt>
                <c:pt idx="136">
                  <c:v>1.0687157202847022</c:v>
                </c:pt>
                <c:pt idx="137">
                  <c:v>1.07832618210535</c:v>
                </c:pt>
                <c:pt idx="138">
                  <c:v>1.0936886989044243</c:v>
                </c:pt>
                <c:pt idx="139">
                  <c:v>1.0944156069511486</c:v>
                </c:pt>
                <c:pt idx="140">
                  <c:v>1.0944559907315217</c:v>
                </c:pt>
                <c:pt idx="141">
                  <c:v>1.102140321810003</c:v>
                </c:pt>
                <c:pt idx="142">
                  <c:v>1.1109211603164511</c:v>
                </c:pt>
                <c:pt idx="143">
                  <c:v>1.1133324983037589</c:v>
                </c:pt>
                <c:pt idx="144">
                  <c:v>1.114814449412572</c:v>
                </c:pt>
                <c:pt idx="145">
                  <c:v>1.115906499429876</c:v>
                </c:pt>
                <c:pt idx="146">
                  <c:v>1.1242885883740747</c:v>
                </c:pt>
                <c:pt idx="147">
                  <c:v>1.1403161453464925</c:v>
                </c:pt>
                <c:pt idx="148">
                  <c:v>1.140830569577723</c:v>
                </c:pt>
                <c:pt idx="149">
                  <c:v>1.140982735400744</c:v>
                </c:pt>
                <c:pt idx="150">
                  <c:v>1.1497806866226306</c:v>
                </c:pt>
                <c:pt idx="151">
                  <c:v>1.1561275576839378</c:v>
                </c:pt>
                <c:pt idx="152">
                  <c:v>1.1604763372130265</c:v>
                </c:pt>
                <c:pt idx="153">
                  <c:v>1.1626651507902679</c:v>
                </c:pt>
                <c:pt idx="154">
                  <c:v>1.1638866674283115</c:v>
                </c:pt>
                <c:pt idx="155">
                  <c:v>1.1748793361210303</c:v>
                </c:pt>
                <c:pt idx="156">
                  <c:v>1.2014464567051135</c:v>
                </c:pt>
                <c:pt idx="157">
                  <c:v>1.2026644693953905</c:v>
                </c:pt>
                <c:pt idx="158">
                  <c:v>1.2026783577955058</c:v>
                </c:pt>
                <c:pt idx="159">
                  <c:v>1.2190513926936077</c:v>
                </c:pt>
                <c:pt idx="160">
                  <c:v>1.2248720211827013</c:v>
                </c:pt>
                <c:pt idx="161">
                  <c:v>1.233245673943113</c:v>
                </c:pt>
                <c:pt idx="162">
                  <c:v>1.2406952767404746</c:v>
                </c:pt>
                <c:pt idx="163">
                  <c:v>1.2435568981339848</c:v>
                </c:pt>
                <c:pt idx="164">
                  <c:v>1.2528972894846184</c:v>
                </c:pt>
                <c:pt idx="165">
                  <c:v>1.2836292497918791</c:v>
                </c:pt>
                <c:pt idx="166">
                  <c:v>1.2839984608230743</c:v>
                </c:pt>
                <c:pt idx="167">
                  <c:v>1.284881004735368</c:v>
                </c:pt>
                <c:pt idx="168">
                  <c:v>1.3059568010995264</c:v>
                </c:pt>
                <c:pt idx="169">
                  <c:v>1.3076263474730503</c:v>
                </c:pt>
                <c:pt idx="170">
                  <c:v>1.3178663811274447</c:v>
                </c:pt>
                <c:pt idx="171">
                  <c:v>1.3331897494314724</c:v>
                </c:pt>
                <c:pt idx="172">
                  <c:v>1.3362857252171239</c:v>
                </c:pt>
                <c:pt idx="173">
                  <c:v>1.3402214522235809</c:v>
                </c:pt>
                <c:pt idx="174">
                  <c:v>1.3572461705911607</c:v>
                </c:pt>
                <c:pt idx="175">
                  <c:v>1.3576063730378856</c:v>
                </c:pt>
                <c:pt idx="176">
                  <c:v>1.3594064037934572</c:v>
                </c:pt>
                <c:pt idx="177">
                  <c:v>1.3703381063864555</c:v>
                </c:pt>
                <c:pt idx="178">
                  <c:v>1.3734663068525172</c:v>
                </c:pt>
                <c:pt idx="179">
                  <c:v>1.3770507032198793</c:v>
                </c:pt>
                <c:pt idx="180">
                  <c:v>1.3886520859806737</c:v>
                </c:pt>
                <c:pt idx="181">
                  <c:v>1.3901870052392056</c:v>
                </c:pt>
                <c:pt idx="182">
                  <c:v>1.3922805885250575</c:v>
                </c:pt>
                <c:pt idx="183">
                  <c:v>1.4131510661381625</c:v>
                </c:pt>
                <c:pt idx="184">
                  <c:v>1.4133726093430177</c:v>
                </c:pt>
                <c:pt idx="185">
                  <c:v>1.4158694012617019</c:v>
                </c:pt>
                <c:pt idx="186">
                  <c:v>1.4255142846849438</c:v>
                </c:pt>
                <c:pt idx="187">
                  <c:v>1.4334673190542162</c:v>
                </c:pt>
                <c:pt idx="188">
                  <c:v>1.4348315577724335</c:v>
                </c:pt>
                <c:pt idx="189">
                  <c:v>1.4532198877514979</c:v>
                </c:pt>
                <c:pt idx="190">
                  <c:v>1.4540452144898701</c:v>
                </c:pt>
                <c:pt idx="191">
                  <c:v>1.4551883611137875</c:v>
                </c:pt>
                <c:pt idx="192">
                  <c:v>1.4934175089923727</c:v>
                </c:pt>
                <c:pt idx="193">
                  <c:v>1.494133651733101</c:v>
                </c:pt>
                <c:pt idx="194">
                  <c:v>1.4997682467240416</c:v>
                </c:pt>
                <c:pt idx="195">
                  <c:v>1.5120633715311307</c:v>
                </c:pt>
                <c:pt idx="196">
                  <c:v>1.5288939948760252</c:v>
                </c:pt>
                <c:pt idx="197">
                  <c:v>1.5316474381594283</c:v>
                </c:pt>
                <c:pt idx="198">
                  <c:v>1.5595884466829659</c:v>
                </c:pt>
                <c:pt idx="199">
                  <c:v>1.5652503150720136</c:v>
                </c:pt>
                <c:pt idx="200">
                  <c:v>1.5717837046172782</c:v>
                </c:pt>
                <c:pt idx="201">
                  <c:v>1.5910737053814969</c:v>
                </c:pt>
                <c:pt idx="202">
                  <c:v>1.5915687364289042</c:v>
                </c:pt>
                <c:pt idx="203">
                  <c:v>1.5966749131017863</c:v>
                </c:pt>
                <c:pt idx="204">
                  <c:v>1.5994917270466047</c:v>
                </c:pt>
                <c:pt idx="205">
                  <c:v>1.6108135445612568</c:v>
                </c:pt>
                <c:pt idx="206">
                  <c:v>1.616061640554836</c:v>
                </c:pt>
                <c:pt idx="207">
                  <c:v>1.6298652200101316</c:v>
                </c:pt>
                <c:pt idx="208">
                  <c:v>1.6362699245459318</c:v>
                </c:pt>
                <c:pt idx="209">
                  <c:v>1.640114701410667</c:v>
                </c:pt>
                <c:pt idx="210">
                  <c:v>1.6627834363796552</c:v>
                </c:pt>
                <c:pt idx="211">
                  <c:v>1.663099728904978</c:v>
                </c:pt>
                <c:pt idx="212">
                  <c:v>1.6710153219469639</c:v>
                </c:pt>
                <c:pt idx="213">
                  <c:v>1.6710815612192782</c:v>
                </c:pt>
                <c:pt idx="214">
                  <c:v>1.6798150694073719</c:v>
                </c:pt>
                <c:pt idx="215">
                  <c:v>1.68583868200799</c:v>
                </c:pt>
                <c:pt idx="216">
                  <c:v>1.6937837007668293</c:v>
                </c:pt>
                <c:pt idx="217">
                  <c:v>1.7025747566583647</c:v>
                </c:pt>
                <c:pt idx="218">
                  <c:v>1.7038519721064027</c:v>
                </c:pt>
                <c:pt idx="219">
                  <c:v>1.7108045228321416</c:v>
                </c:pt>
                <c:pt idx="220">
                  <c:v>1.7147502532117898</c:v>
                </c:pt>
                <c:pt idx="221">
                  <c:v>1.7158067530294403</c:v>
                </c:pt>
                <c:pt idx="222">
                  <c:v>1.7269728854123123</c:v>
                </c:pt>
                <c:pt idx="223">
                  <c:v>1.7397708520678705</c:v>
                </c:pt>
                <c:pt idx="224">
                  <c:v>1.7477339453210448</c:v>
                </c:pt>
                <c:pt idx="225">
                  <c:v>1.7529687148693007</c:v>
                </c:pt>
                <c:pt idx="226">
                  <c:v>1.763990368644631</c:v>
                </c:pt>
                <c:pt idx="227">
                  <c:v>1.7666387131203791</c:v>
                </c:pt>
                <c:pt idx="228">
                  <c:v>1.7733615561154323</c:v>
                </c:pt>
                <c:pt idx="229">
                  <c:v>1.7780034086376304</c:v>
                </c:pt>
                <c:pt idx="230">
                  <c:v>1.7803292266270674</c:v>
                </c:pt>
                <c:pt idx="231">
                  <c:v>1.7873029533229641</c:v>
                </c:pt>
                <c:pt idx="232">
                  <c:v>1.7986208160231669</c:v>
                </c:pt>
                <c:pt idx="233">
                  <c:v>1.8021878157281215</c:v>
                </c:pt>
                <c:pt idx="234">
                  <c:v>1.806512383552235</c:v>
                </c:pt>
                <c:pt idx="235">
                  <c:v>1.8162880872890881</c:v>
                </c:pt>
                <c:pt idx="236">
                  <c:v>1.8179877235121431</c:v>
                </c:pt>
                <c:pt idx="237">
                  <c:v>1.8306820036916989</c:v>
                </c:pt>
                <c:pt idx="238">
                  <c:v>1.8384788456007932</c:v>
                </c:pt>
                <c:pt idx="239">
                  <c:v>1.8470343919268331</c:v>
                </c:pt>
                <c:pt idx="240">
                  <c:v>1.8560720833266089</c:v>
                </c:pt>
                <c:pt idx="241">
                  <c:v>1.8790902960430031</c:v>
                </c:pt>
                <c:pt idx="242">
                  <c:v>1.8831244679362484</c:v>
                </c:pt>
                <c:pt idx="243">
                  <c:v>1.8914473708350918</c:v>
                </c:pt>
                <c:pt idx="244">
                  <c:v>1.9144436678663155</c:v>
                </c:pt>
                <c:pt idx="245">
                  <c:v>1.9220366098668045</c:v>
                </c:pt>
                <c:pt idx="246">
                  <c:v>1.9240272444801398</c:v>
                </c:pt>
                <c:pt idx="247">
                  <c:v>1.9257744009351221</c:v>
                </c:pt>
                <c:pt idx="248">
                  <c:v>1.9335091131892455</c:v>
                </c:pt>
                <c:pt idx="249">
                  <c:v>1.9384124266361304</c:v>
                </c:pt>
                <c:pt idx="250">
                  <c:v>1.9584282985366137</c:v>
                </c:pt>
                <c:pt idx="251">
                  <c:v>1.9594675238605994</c:v>
                </c:pt>
                <c:pt idx="252">
                  <c:v>1.9657852295094393</c:v>
                </c:pt>
                <c:pt idx="253">
                  <c:v>1.9900312059991307</c:v>
                </c:pt>
                <c:pt idx="254">
                  <c:v>1.9935318920590532</c:v>
                </c:pt>
                <c:pt idx="255">
                  <c:v>1.9941044463884943</c:v>
                </c:pt>
                <c:pt idx="256">
                  <c:v>1.9944227551589435</c:v>
                </c:pt>
                <c:pt idx="257">
                  <c:v>2.0050425779718744</c:v>
                </c:pt>
                <c:pt idx="258">
                  <c:v>2.0092879388206661</c:v>
                </c:pt>
                <c:pt idx="259">
                  <c:v>2.0275291217780591</c:v>
                </c:pt>
                <c:pt idx="260">
                  <c:v>2.0289904710357511</c:v>
                </c:pt>
                <c:pt idx="261">
                  <c:v>2.0341462858596842</c:v>
                </c:pt>
                <c:pt idx="262">
                  <c:v>2.0610438443408867</c:v>
                </c:pt>
                <c:pt idx="263">
                  <c:v>2.0612874403116379</c:v>
                </c:pt>
                <c:pt idx="264">
                  <c:v>2.062526705250221</c:v>
                </c:pt>
                <c:pt idx="265">
                  <c:v>2.0650560828300186</c:v>
                </c:pt>
                <c:pt idx="266">
                  <c:v>2.0773019262637398</c:v>
                </c:pt>
                <c:pt idx="267">
                  <c:v>2.0788645811934146</c:v>
                </c:pt>
                <c:pt idx="268">
                  <c:v>2.0956206653929819</c:v>
                </c:pt>
                <c:pt idx="269">
                  <c:v>2.0987802035827201</c:v>
                </c:pt>
                <c:pt idx="270">
                  <c:v>2.1035866510538561</c:v>
                </c:pt>
                <c:pt idx="271">
                  <c:v>2.1292499999999919</c:v>
                </c:pt>
                <c:pt idx="272">
                  <c:v>2.1314194927124213</c:v>
                </c:pt>
                <c:pt idx="273">
                  <c:v>2.1365037237255216</c:v>
                </c:pt>
                <c:pt idx="274">
                  <c:v>2.1384706625088441</c:v>
                </c:pt>
                <c:pt idx="275">
                  <c:v>2.1459887356886078</c:v>
                </c:pt>
                <c:pt idx="276">
                  <c:v>2.1461433569158146</c:v>
                </c:pt>
                <c:pt idx="277">
                  <c:v>2.1588448251427046</c:v>
                </c:pt>
                <c:pt idx="278">
                  <c:v>2.1630769412489421</c:v>
                </c:pt>
                <c:pt idx="279">
                  <c:v>2.165584672278257</c:v>
                </c:pt>
                <c:pt idx="280">
                  <c:v>2.1845836275734634</c:v>
                </c:pt>
                <c:pt idx="281">
                  <c:v>2.1875610369687912</c:v>
                </c:pt>
                <c:pt idx="282">
                  <c:v>2.1941554763412547</c:v>
                </c:pt>
                <c:pt idx="283">
                  <c:v>2.194538272170373</c:v>
                </c:pt>
                <c:pt idx="284">
                  <c:v>2.2043512117147195</c:v>
                </c:pt>
                <c:pt idx="285">
                  <c:v>2.2043650805049104</c:v>
                </c:pt>
                <c:pt idx="286">
                  <c:v>2.2210476941209762</c:v>
                </c:pt>
                <c:pt idx="287">
                  <c:v>2.2296293932922246</c:v>
                </c:pt>
                <c:pt idx="288">
                  <c:v>2.2330950498618307</c:v>
                </c:pt>
                <c:pt idx="289">
                  <c:v>2.259578275208753</c:v>
                </c:pt>
                <c:pt idx="290">
                  <c:v>2.2648198726363056</c:v>
                </c:pt>
                <c:pt idx="291">
                  <c:v>2.2796660239651843</c:v>
                </c:pt>
                <c:pt idx="292">
                  <c:v>2.2808918001154552</c:v>
                </c:pt>
                <c:pt idx="293">
                  <c:v>2.2843171713418116</c:v>
                </c:pt>
                <c:pt idx="294">
                  <c:v>2.2854084400510928</c:v>
                </c:pt>
                <c:pt idx="295">
                  <c:v>2.2985125058598896</c:v>
                </c:pt>
                <c:pt idx="296">
                  <c:v>2.3068738471277683</c:v>
                </c:pt>
                <c:pt idx="297">
                  <c:v>2.3096108601983829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396-4B8B-94C9-747D2D4C113F}"/>
            </c:ext>
          </c:extLst>
        </c:ser>
        <c:ser>
          <c:idx val="8"/>
          <c:order val="8"/>
          <c:tx>
            <c:strRef>
              <c:f>race_data!$AO$1</c:f>
              <c:strCache>
                <c:ptCount val="1"/>
                <c:pt idx="0">
                  <c:v>DieterV</c:v>
                </c:pt>
              </c:strCache>
            </c:strRef>
          </c:tx>
          <c:marker>
            <c:symbol val="none"/>
          </c:marker>
          <c:xVal>
            <c:numRef>
              <c:f>intermediate_data!$A$2:$A$299</c:f>
              <c:numCache>
                <c:formatCode>General</c:formatCode>
                <c:ptCount val="298"/>
                <c:pt idx="0">
                  <c:v>53.683999999999997</c:v>
                </c:pt>
                <c:pt idx="1">
                  <c:v>53.756</c:v>
                </c:pt>
                <c:pt idx="2">
                  <c:v>54.529000000000003</c:v>
                </c:pt>
                <c:pt idx="3">
                  <c:v>55.472999999999999</c:v>
                </c:pt>
                <c:pt idx="4">
                  <c:v>55.91</c:v>
                </c:pt>
                <c:pt idx="5">
                  <c:v>56.984000000000002</c:v>
                </c:pt>
                <c:pt idx="6">
                  <c:v>57.091999999999999</c:v>
                </c:pt>
                <c:pt idx="7">
                  <c:v>57.482999999999997</c:v>
                </c:pt>
                <c:pt idx="8">
                  <c:v>58.719000000000001</c:v>
                </c:pt>
                <c:pt idx="9">
                  <c:v>107.248</c:v>
                </c:pt>
                <c:pt idx="10">
                  <c:v>107.48399999999999</c:v>
                </c:pt>
                <c:pt idx="11">
                  <c:v>109.506</c:v>
                </c:pt>
                <c:pt idx="12">
                  <c:v>111.09399999999999</c:v>
                </c:pt>
                <c:pt idx="13">
                  <c:v>111.527</c:v>
                </c:pt>
                <c:pt idx="14">
                  <c:v>112.53</c:v>
                </c:pt>
                <c:pt idx="15">
                  <c:v>113.36199999999999</c:v>
                </c:pt>
                <c:pt idx="16">
                  <c:v>113.758</c:v>
                </c:pt>
                <c:pt idx="17">
                  <c:v>115.387</c:v>
                </c:pt>
                <c:pt idx="18">
                  <c:v>160.595</c:v>
                </c:pt>
                <c:pt idx="19">
                  <c:v>160.697</c:v>
                </c:pt>
                <c:pt idx="20">
                  <c:v>163.79</c:v>
                </c:pt>
                <c:pt idx="21">
                  <c:v>166.34</c:v>
                </c:pt>
                <c:pt idx="22">
                  <c:v>166.87200000000001</c:v>
                </c:pt>
                <c:pt idx="23">
                  <c:v>167.84800000000001</c:v>
                </c:pt>
                <c:pt idx="24">
                  <c:v>169.19900000000001</c:v>
                </c:pt>
                <c:pt idx="25">
                  <c:v>170.291</c:v>
                </c:pt>
                <c:pt idx="26">
                  <c:v>171.417</c:v>
                </c:pt>
                <c:pt idx="27">
                  <c:v>214.05799999999999</c:v>
                </c:pt>
                <c:pt idx="28">
                  <c:v>214.31100000000001</c:v>
                </c:pt>
                <c:pt idx="29">
                  <c:v>217.57599999999999</c:v>
                </c:pt>
                <c:pt idx="30">
                  <c:v>221.208</c:v>
                </c:pt>
                <c:pt idx="31">
                  <c:v>222.99600000000001</c:v>
                </c:pt>
                <c:pt idx="32">
                  <c:v>223.346</c:v>
                </c:pt>
                <c:pt idx="33">
                  <c:v>224.792</c:v>
                </c:pt>
                <c:pt idx="34">
                  <c:v>227.23699999999999</c:v>
                </c:pt>
                <c:pt idx="35">
                  <c:v>227.387</c:v>
                </c:pt>
                <c:pt idx="36">
                  <c:v>267.20299999999997</c:v>
                </c:pt>
                <c:pt idx="37">
                  <c:v>267.286</c:v>
                </c:pt>
                <c:pt idx="38">
                  <c:v>271.62</c:v>
                </c:pt>
                <c:pt idx="39">
                  <c:v>276.245</c:v>
                </c:pt>
                <c:pt idx="40">
                  <c:v>278.11500000000001</c:v>
                </c:pt>
                <c:pt idx="41">
                  <c:v>278.77100000000002</c:v>
                </c:pt>
                <c:pt idx="42">
                  <c:v>280.43099999999998</c:v>
                </c:pt>
                <c:pt idx="43">
                  <c:v>283.97699999999998</c:v>
                </c:pt>
                <c:pt idx="44">
                  <c:v>284.36900000000003</c:v>
                </c:pt>
                <c:pt idx="45">
                  <c:v>319.94</c:v>
                </c:pt>
                <c:pt idx="46">
                  <c:v>320.41699999999997</c:v>
                </c:pt>
                <c:pt idx="47">
                  <c:v>325.77699999999999</c:v>
                </c:pt>
                <c:pt idx="48">
                  <c:v>331.447</c:v>
                </c:pt>
                <c:pt idx="49">
                  <c:v>333.30500000000001</c:v>
                </c:pt>
                <c:pt idx="50">
                  <c:v>333.83100000000002</c:v>
                </c:pt>
                <c:pt idx="51">
                  <c:v>335.64</c:v>
                </c:pt>
                <c:pt idx="52">
                  <c:v>340.83300000000003</c:v>
                </c:pt>
                <c:pt idx="53">
                  <c:v>341.09199999999998</c:v>
                </c:pt>
                <c:pt idx="54">
                  <c:v>372.53500000000003</c:v>
                </c:pt>
                <c:pt idx="55">
                  <c:v>373.22</c:v>
                </c:pt>
                <c:pt idx="56">
                  <c:v>380.05599999999998</c:v>
                </c:pt>
                <c:pt idx="57">
                  <c:v>386.74900000000002</c:v>
                </c:pt>
                <c:pt idx="58">
                  <c:v>388.19299999999998</c:v>
                </c:pt>
                <c:pt idx="59">
                  <c:v>388.30299999999988</c:v>
                </c:pt>
                <c:pt idx="60">
                  <c:v>391.55099999999999</c:v>
                </c:pt>
                <c:pt idx="61">
                  <c:v>397.34199999999998</c:v>
                </c:pt>
                <c:pt idx="62">
                  <c:v>397.60199999999998</c:v>
                </c:pt>
                <c:pt idx="63">
                  <c:v>425.07600000000002</c:v>
                </c:pt>
                <c:pt idx="64">
                  <c:v>426.26299999999998</c:v>
                </c:pt>
                <c:pt idx="65">
                  <c:v>434.23099999999999</c:v>
                </c:pt>
                <c:pt idx="66">
                  <c:v>442.30500000000001</c:v>
                </c:pt>
                <c:pt idx="67">
                  <c:v>442.87700000000001</c:v>
                </c:pt>
                <c:pt idx="68">
                  <c:v>443.70699999999999</c:v>
                </c:pt>
                <c:pt idx="69">
                  <c:v>447.20600000000002</c:v>
                </c:pt>
                <c:pt idx="70">
                  <c:v>453.82100000000003</c:v>
                </c:pt>
                <c:pt idx="71">
                  <c:v>454.59500000000003</c:v>
                </c:pt>
                <c:pt idx="72">
                  <c:v>477.66599999999988</c:v>
                </c:pt>
                <c:pt idx="73">
                  <c:v>479.28800000000001</c:v>
                </c:pt>
                <c:pt idx="74">
                  <c:v>488.19099999999997</c:v>
                </c:pt>
                <c:pt idx="75">
                  <c:v>497.56099999999998</c:v>
                </c:pt>
                <c:pt idx="76">
                  <c:v>497.72300000000001</c:v>
                </c:pt>
                <c:pt idx="77">
                  <c:v>498.91699999999997</c:v>
                </c:pt>
                <c:pt idx="78">
                  <c:v>502.58499999999998</c:v>
                </c:pt>
                <c:pt idx="79">
                  <c:v>509.87099999999998</c:v>
                </c:pt>
                <c:pt idx="80">
                  <c:v>511.53800000000001</c:v>
                </c:pt>
                <c:pt idx="81">
                  <c:v>530.65299999999991</c:v>
                </c:pt>
                <c:pt idx="82">
                  <c:v>532.33299999999997</c:v>
                </c:pt>
                <c:pt idx="83">
                  <c:v>541.52099999999996</c:v>
                </c:pt>
                <c:pt idx="84">
                  <c:v>551.93500000000006</c:v>
                </c:pt>
                <c:pt idx="85">
                  <c:v>552.71499999999992</c:v>
                </c:pt>
                <c:pt idx="86">
                  <c:v>553.38400000000001</c:v>
                </c:pt>
                <c:pt idx="87">
                  <c:v>558.18000000000006</c:v>
                </c:pt>
                <c:pt idx="88">
                  <c:v>566.23699999999997</c:v>
                </c:pt>
                <c:pt idx="89">
                  <c:v>569.47499999999991</c:v>
                </c:pt>
                <c:pt idx="90">
                  <c:v>583.65299999999991</c:v>
                </c:pt>
                <c:pt idx="91">
                  <c:v>585.43899999999996</c:v>
                </c:pt>
                <c:pt idx="92">
                  <c:v>594.96499999999992</c:v>
                </c:pt>
                <c:pt idx="93">
                  <c:v>606.97200000000009</c:v>
                </c:pt>
                <c:pt idx="94">
                  <c:v>607.32999999999993</c:v>
                </c:pt>
                <c:pt idx="95">
                  <c:v>608.36599999999999</c:v>
                </c:pt>
                <c:pt idx="96">
                  <c:v>613.03800000000001</c:v>
                </c:pt>
                <c:pt idx="97">
                  <c:v>621.69099999999992</c:v>
                </c:pt>
                <c:pt idx="98">
                  <c:v>625.02299999999991</c:v>
                </c:pt>
                <c:pt idx="99">
                  <c:v>636.24399999999991</c:v>
                </c:pt>
                <c:pt idx="100">
                  <c:v>638.471</c:v>
                </c:pt>
                <c:pt idx="101">
                  <c:v>648.21699999999987</c:v>
                </c:pt>
                <c:pt idx="102">
                  <c:v>661.52299999999991</c:v>
                </c:pt>
                <c:pt idx="103">
                  <c:v>661.65100000000007</c:v>
                </c:pt>
                <c:pt idx="104">
                  <c:v>663.02</c:v>
                </c:pt>
                <c:pt idx="105">
                  <c:v>668.73</c:v>
                </c:pt>
                <c:pt idx="106">
                  <c:v>677.15299999999991</c:v>
                </c:pt>
                <c:pt idx="107">
                  <c:v>680.47199999999987</c:v>
                </c:pt>
                <c:pt idx="108">
                  <c:v>688.80799999999988</c:v>
                </c:pt>
                <c:pt idx="109">
                  <c:v>691.47199999999998</c:v>
                </c:pt>
                <c:pt idx="110">
                  <c:v>701.5089999999999</c:v>
                </c:pt>
                <c:pt idx="111">
                  <c:v>716.07599999999991</c:v>
                </c:pt>
                <c:pt idx="112">
                  <c:v>716.20200000000011</c:v>
                </c:pt>
                <c:pt idx="113">
                  <c:v>717.66599999999994</c:v>
                </c:pt>
                <c:pt idx="114">
                  <c:v>724.04100000000005</c:v>
                </c:pt>
                <c:pt idx="115">
                  <c:v>733.63499999999988</c:v>
                </c:pt>
                <c:pt idx="116">
                  <c:v>737.13299999999981</c:v>
                </c:pt>
                <c:pt idx="117">
                  <c:v>741.71299999999985</c:v>
                </c:pt>
                <c:pt idx="118">
                  <c:v>744.25900000000001</c:v>
                </c:pt>
                <c:pt idx="119">
                  <c:v>754.44999999999993</c:v>
                </c:pt>
                <c:pt idx="120">
                  <c:v>770.65599999999995</c:v>
                </c:pt>
                <c:pt idx="121">
                  <c:v>770.76300000000015</c:v>
                </c:pt>
                <c:pt idx="122">
                  <c:v>772.13699999999994</c:v>
                </c:pt>
                <c:pt idx="123">
                  <c:v>779.18400000000008</c:v>
                </c:pt>
                <c:pt idx="124">
                  <c:v>789.3359999999999</c:v>
                </c:pt>
                <c:pt idx="125">
                  <c:v>794.03099999999984</c:v>
                </c:pt>
                <c:pt idx="126">
                  <c:v>794.50299999999982</c:v>
                </c:pt>
                <c:pt idx="127">
                  <c:v>797.92899999999997</c:v>
                </c:pt>
                <c:pt idx="128">
                  <c:v>808.10399999999993</c:v>
                </c:pt>
                <c:pt idx="129">
                  <c:v>825.70099999999991</c:v>
                </c:pt>
                <c:pt idx="130">
                  <c:v>826.44900000000018</c:v>
                </c:pt>
                <c:pt idx="131">
                  <c:v>826.54</c:v>
                </c:pt>
                <c:pt idx="132">
                  <c:v>834.33500000000004</c:v>
                </c:pt>
                <c:pt idx="133">
                  <c:v>845.66899999999987</c:v>
                </c:pt>
                <c:pt idx="134">
                  <c:v>846.68199999999979</c:v>
                </c:pt>
                <c:pt idx="135">
                  <c:v>850.2489999999998</c:v>
                </c:pt>
                <c:pt idx="136">
                  <c:v>851.06</c:v>
                </c:pt>
                <c:pt idx="137">
                  <c:v>862.00699999999995</c:v>
                </c:pt>
                <c:pt idx="138">
                  <c:v>879.50599999999986</c:v>
                </c:pt>
                <c:pt idx="139">
                  <c:v>880.33399999999995</c:v>
                </c:pt>
                <c:pt idx="140">
                  <c:v>880.38000000000022</c:v>
                </c:pt>
                <c:pt idx="141">
                  <c:v>889.13300000000004</c:v>
                </c:pt>
                <c:pt idx="142">
                  <c:v>899.13499999999976</c:v>
                </c:pt>
                <c:pt idx="143">
                  <c:v>902.08499999999981</c:v>
                </c:pt>
                <c:pt idx="144">
                  <c:v>903.89799999999991</c:v>
                </c:pt>
                <c:pt idx="145">
                  <c:v>905.23399999999981</c:v>
                </c:pt>
                <c:pt idx="146">
                  <c:v>914.92899999999997</c:v>
                </c:pt>
                <c:pt idx="147">
                  <c:v>933.46699999999987</c:v>
                </c:pt>
                <c:pt idx="148">
                  <c:v>934.0619999999999</c:v>
                </c:pt>
                <c:pt idx="149">
                  <c:v>934.23800000000017</c:v>
                </c:pt>
                <c:pt idx="150">
                  <c:v>944.41399999999999</c:v>
                </c:pt>
                <c:pt idx="151">
                  <c:v>951.75499999999977</c:v>
                </c:pt>
                <c:pt idx="152">
                  <c:v>956.57899999999995</c:v>
                </c:pt>
                <c:pt idx="153">
                  <c:v>959.00699999999983</c:v>
                </c:pt>
                <c:pt idx="154">
                  <c:v>960.36199999999985</c:v>
                </c:pt>
                <c:pt idx="155">
                  <c:v>968.27699999999993</c:v>
                </c:pt>
                <c:pt idx="156">
                  <c:v>987.40599999999984</c:v>
                </c:pt>
                <c:pt idx="157">
                  <c:v>988.2829999999999</c:v>
                </c:pt>
                <c:pt idx="158">
                  <c:v>988.29300000000012</c:v>
                </c:pt>
                <c:pt idx="159">
                  <c:v>1000.082</c:v>
                </c:pt>
                <c:pt idx="160">
                  <c:v>1004.273</c:v>
                </c:pt>
                <c:pt idx="161">
                  <c:v>1009.982</c:v>
                </c:pt>
                <c:pt idx="162">
                  <c:v>1015.061</c:v>
                </c:pt>
                <c:pt idx="163">
                  <c:v>1017.0119999999999</c:v>
                </c:pt>
                <c:pt idx="164">
                  <c:v>1022.78</c:v>
                </c:pt>
                <c:pt idx="165">
                  <c:v>1041.758</c:v>
                </c:pt>
                <c:pt idx="166">
                  <c:v>1041.9860000000001</c:v>
                </c:pt>
                <c:pt idx="167">
                  <c:v>1042.5309999999999</c:v>
                </c:pt>
                <c:pt idx="168">
                  <c:v>1055.546</c:v>
                </c:pt>
                <c:pt idx="169">
                  <c:v>1056.577</c:v>
                </c:pt>
                <c:pt idx="170">
                  <c:v>1062.8579999999999</c:v>
                </c:pt>
                <c:pt idx="171">
                  <c:v>1072.2570000000001</c:v>
                </c:pt>
                <c:pt idx="172">
                  <c:v>1074.1559999999999</c:v>
                </c:pt>
                <c:pt idx="173">
                  <c:v>1078.1659999999999</c:v>
                </c:pt>
                <c:pt idx="174">
                  <c:v>1095.5119999999999</c:v>
                </c:pt>
                <c:pt idx="175">
                  <c:v>1095.8789999999999</c:v>
                </c:pt>
                <c:pt idx="176">
                  <c:v>1097.713</c:v>
                </c:pt>
                <c:pt idx="177">
                  <c:v>1108.8510000000001</c:v>
                </c:pt>
                <c:pt idx="178">
                  <c:v>1112.067</c:v>
                </c:pt>
                <c:pt idx="179">
                  <c:v>1115.752</c:v>
                </c:pt>
                <c:pt idx="180">
                  <c:v>1127.6790000000001</c:v>
                </c:pt>
                <c:pt idx="181">
                  <c:v>1129.2570000000001</c:v>
                </c:pt>
                <c:pt idx="182">
                  <c:v>1131.1469999999999</c:v>
                </c:pt>
                <c:pt idx="183">
                  <c:v>1149.9880000000001</c:v>
                </c:pt>
                <c:pt idx="184">
                  <c:v>1150.1880000000001</c:v>
                </c:pt>
                <c:pt idx="185">
                  <c:v>1152.442</c:v>
                </c:pt>
                <c:pt idx="186">
                  <c:v>1161.1489999999999</c:v>
                </c:pt>
                <c:pt idx="187">
                  <c:v>1167.48</c:v>
                </c:pt>
                <c:pt idx="188">
                  <c:v>1168.566</c:v>
                </c:pt>
                <c:pt idx="189">
                  <c:v>1183.204</c:v>
                </c:pt>
                <c:pt idx="190">
                  <c:v>1183.8610000000001</c:v>
                </c:pt>
                <c:pt idx="191">
                  <c:v>1184.771</c:v>
                </c:pt>
                <c:pt idx="192">
                  <c:v>1203.7750000000001</c:v>
                </c:pt>
                <c:pt idx="193">
                  <c:v>1204.1310000000001</c:v>
                </c:pt>
                <c:pt idx="194">
                  <c:v>1206.932</c:v>
                </c:pt>
                <c:pt idx="195">
                  <c:v>1213.0440000000001</c:v>
                </c:pt>
                <c:pt idx="196">
                  <c:v>1221.4059999999999</c:v>
                </c:pt>
                <c:pt idx="197">
                  <c:v>1222.7739999999999</c:v>
                </c:pt>
                <c:pt idx="198">
                  <c:v>1236.6559999999999</c:v>
                </c:pt>
                <c:pt idx="199">
                  <c:v>1239.4690000000001</c:v>
                </c:pt>
                <c:pt idx="200">
                  <c:v>1242.714999999999</c:v>
                </c:pt>
                <c:pt idx="201">
                  <c:v>1258.1849999999999</c:v>
                </c:pt>
                <c:pt idx="202">
                  <c:v>1258.5820000000001</c:v>
                </c:pt>
                <c:pt idx="203">
                  <c:v>1262.6769999999999</c:v>
                </c:pt>
                <c:pt idx="204">
                  <c:v>1264.9359999999999</c:v>
                </c:pt>
                <c:pt idx="205">
                  <c:v>1274.2059999999999</c:v>
                </c:pt>
                <c:pt idx="206">
                  <c:v>1278.5029999999999</c:v>
                </c:pt>
                <c:pt idx="207">
                  <c:v>1289.8050000000001</c:v>
                </c:pt>
                <c:pt idx="208">
                  <c:v>1295.049</c:v>
                </c:pt>
                <c:pt idx="209">
                  <c:v>1298.196999999999</c:v>
                </c:pt>
                <c:pt idx="210">
                  <c:v>1311.886</c:v>
                </c:pt>
                <c:pt idx="211">
                  <c:v>1312.077</c:v>
                </c:pt>
                <c:pt idx="212">
                  <c:v>1316.857</c:v>
                </c:pt>
                <c:pt idx="213">
                  <c:v>1316.8969999999999</c:v>
                </c:pt>
                <c:pt idx="214">
                  <c:v>1327.0650000000001</c:v>
                </c:pt>
                <c:pt idx="215">
                  <c:v>1334.078</c:v>
                </c:pt>
                <c:pt idx="216">
                  <c:v>1343.328</c:v>
                </c:pt>
                <c:pt idx="217">
                  <c:v>1353.5630000000001</c:v>
                </c:pt>
                <c:pt idx="218">
                  <c:v>1355.049999999999</c:v>
                </c:pt>
                <c:pt idx="219">
                  <c:v>1365.2909999999999</c:v>
                </c:pt>
                <c:pt idx="220">
                  <c:v>1371.1030000000001</c:v>
                </c:pt>
                <c:pt idx="221">
                  <c:v>1371.922</c:v>
                </c:pt>
                <c:pt idx="222">
                  <c:v>1380.578</c:v>
                </c:pt>
                <c:pt idx="223">
                  <c:v>1390.499</c:v>
                </c:pt>
                <c:pt idx="224">
                  <c:v>1396.672</c:v>
                </c:pt>
                <c:pt idx="225">
                  <c:v>1400.73</c:v>
                </c:pt>
                <c:pt idx="226">
                  <c:v>1409.2739999999999</c:v>
                </c:pt>
                <c:pt idx="227">
                  <c:v>1411.327</c:v>
                </c:pt>
                <c:pt idx="228">
                  <c:v>1418.57</c:v>
                </c:pt>
                <c:pt idx="229">
                  <c:v>1423.5709999999999</c:v>
                </c:pt>
                <c:pt idx="230">
                  <c:v>1426.067</c:v>
                </c:pt>
                <c:pt idx="231">
                  <c:v>1433.5509999999999</c:v>
                </c:pt>
                <c:pt idx="232">
                  <c:v>1445.6969999999999</c:v>
                </c:pt>
                <c:pt idx="233">
                  <c:v>1449.5250000000001</c:v>
                </c:pt>
                <c:pt idx="234">
                  <c:v>1454.1659999999999</c:v>
                </c:pt>
                <c:pt idx="235">
                  <c:v>1464.6569999999999</c:v>
                </c:pt>
                <c:pt idx="236">
                  <c:v>1466.481</c:v>
                </c:pt>
                <c:pt idx="237">
                  <c:v>1472.396</c:v>
                </c:pt>
                <c:pt idx="238">
                  <c:v>1476.029</c:v>
                </c:pt>
                <c:pt idx="239">
                  <c:v>1481.104</c:v>
                </c:pt>
                <c:pt idx="240">
                  <c:v>1486.4649999999999</c:v>
                </c:pt>
                <c:pt idx="241">
                  <c:v>1500.1189999999999</c:v>
                </c:pt>
                <c:pt idx="242">
                  <c:v>1502.5119999999999</c:v>
                </c:pt>
                <c:pt idx="243">
                  <c:v>1507.4490000000001</c:v>
                </c:pt>
                <c:pt idx="244">
                  <c:v>1521.09</c:v>
                </c:pt>
                <c:pt idx="245">
                  <c:v>1525.5940000000001</c:v>
                </c:pt>
                <c:pt idx="246">
                  <c:v>1527.826</c:v>
                </c:pt>
                <c:pt idx="247">
                  <c:v>1529.7850000000001</c:v>
                </c:pt>
                <c:pt idx="248">
                  <c:v>1535.702</c:v>
                </c:pt>
                <c:pt idx="249">
                  <c:v>1539.453</c:v>
                </c:pt>
                <c:pt idx="250">
                  <c:v>1554.7650000000001</c:v>
                </c:pt>
                <c:pt idx="251">
                  <c:v>1555.56</c:v>
                </c:pt>
                <c:pt idx="252">
                  <c:v>1560.393</c:v>
                </c:pt>
                <c:pt idx="253">
                  <c:v>1578.941</c:v>
                </c:pt>
                <c:pt idx="254">
                  <c:v>1581.6189999999999</c:v>
                </c:pt>
                <c:pt idx="255">
                  <c:v>1582.057</c:v>
                </c:pt>
                <c:pt idx="256">
                  <c:v>1582.367</c:v>
                </c:pt>
                <c:pt idx="257">
                  <c:v>1590.6369999999999</c:v>
                </c:pt>
                <c:pt idx="258">
                  <c:v>1593.943</c:v>
                </c:pt>
                <c:pt idx="259">
                  <c:v>1608.1479999999999</c:v>
                </c:pt>
                <c:pt idx="260">
                  <c:v>1609.2860000000001</c:v>
                </c:pt>
                <c:pt idx="261">
                  <c:v>1613.3009999999999</c:v>
                </c:pt>
                <c:pt idx="262">
                  <c:v>1634.2470000000001</c:v>
                </c:pt>
                <c:pt idx="263">
                  <c:v>1634.453</c:v>
                </c:pt>
                <c:pt idx="264">
                  <c:v>1635.501</c:v>
                </c:pt>
                <c:pt idx="265">
                  <c:v>1637.64</c:v>
                </c:pt>
                <c:pt idx="266">
                  <c:v>1646.942</c:v>
                </c:pt>
                <c:pt idx="267">
                  <c:v>1648.1289999999999</c:v>
                </c:pt>
                <c:pt idx="268">
                  <c:v>1660.857</c:v>
                </c:pt>
                <c:pt idx="269">
                  <c:v>1663.2570000000001</c:v>
                </c:pt>
                <c:pt idx="270">
                  <c:v>1666.9079999999999</c:v>
                </c:pt>
                <c:pt idx="271">
                  <c:v>1686.402</c:v>
                </c:pt>
                <c:pt idx="272">
                  <c:v>1688.105</c:v>
                </c:pt>
                <c:pt idx="273">
                  <c:v>1692.096</c:v>
                </c:pt>
                <c:pt idx="274">
                  <c:v>1693.64</c:v>
                </c:pt>
                <c:pt idx="275">
                  <c:v>1700.982</c:v>
                </c:pt>
                <c:pt idx="276">
                  <c:v>1701.133</c:v>
                </c:pt>
                <c:pt idx="277">
                  <c:v>1713.537</c:v>
                </c:pt>
                <c:pt idx="278">
                  <c:v>1717.67</c:v>
                </c:pt>
                <c:pt idx="279">
                  <c:v>1720.1189999999999</c:v>
                </c:pt>
                <c:pt idx="280">
                  <c:v>1738.673</c:v>
                </c:pt>
                <c:pt idx="281">
                  <c:v>1741.722</c:v>
                </c:pt>
                <c:pt idx="282">
                  <c:v>1748.4749999999999</c:v>
                </c:pt>
                <c:pt idx="283">
                  <c:v>1748.867</c:v>
                </c:pt>
                <c:pt idx="284">
                  <c:v>1755.2349999999999</c:v>
                </c:pt>
                <c:pt idx="285">
                  <c:v>1755.2439999999999</c:v>
                </c:pt>
                <c:pt idx="286">
                  <c:v>1766.07</c:v>
                </c:pt>
                <c:pt idx="287">
                  <c:v>1771.6389999999999</c:v>
                </c:pt>
                <c:pt idx="288">
                  <c:v>1773.8879999999999</c:v>
                </c:pt>
                <c:pt idx="289">
                  <c:v>1791.0740000000001</c:v>
                </c:pt>
                <c:pt idx="290">
                  <c:v>1794.713</c:v>
                </c:pt>
                <c:pt idx="291">
                  <c:v>1805.02</c:v>
                </c:pt>
                <c:pt idx="292">
                  <c:v>1805.8710000000001</c:v>
                </c:pt>
                <c:pt idx="293">
                  <c:v>1808.5830000000001</c:v>
                </c:pt>
                <c:pt idx="294">
                  <c:v>1809.4469999999999</c:v>
                </c:pt>
                <c:pt idx="295">
                  <c:v>1819.8219999999999</c:v>
                </c:pt>
                <c:pt idx="296">
                  <c:v>1826.442</c:v>
                </c:pt>
                <c:pt idx="297">
                  <c:v>1828.6089999999999</c:v>
                </c:pt>
              </c:numCache>
            </c:numRef>
          </c:xVal>
          <c:yVal>
            <c:numRef>
              <c:f>intermediate_data!$S$2:$S$299</c:f>
              <c:numCache>
                <c:formatCode>General</c:formatCode>
                <c:ptCount val="298"/>
                <c:pt idx="0">
                  <c:v>5.8353741511990465E-2</c:v>
                </c:pt>
                <c:pt idx="1">
                  <c:v>5.8432004483990774E-2</c:v>
                </c:pt>
                <c:pt idx="2">
                  <c:v>5.9343213276311868E-2</c:v>
                </c:pt>
                <c:pt idx="3">
                  <c:v>6.0455996070556517E-2</c:v>
                </c:pt>
                <c:pt idx="4">
                  <c:v>6.0971129631027798E-2</c:v>
                </c:pt>
                <c:pt idx="5">
                  <c:v>6.2237155818547607E-2</c:v>
                </c:pt>
                <c:pt idx="6">
                  <c:v>6.2364465714499273E-2</c:v>
                </c:pt>
                <c:pt idx="7">
                  <c:v>6.2773888762004626E-2</c:v>
                </c:pt>
                <c:pt idx="8">
                  <c:v>6.4068126323939323E-2</c:v>
                </c:pt>
                <c:pt idx="9">
                  <c:v>0.11488370451417107</c:v>
                </c:pt>
                <c:pt idx="10">
                  <c:v>0.11514281601894072</c:v>
                </c:pt>
                <c:pt idx="11">
                  <c:v>0.11736283069116404</c:v>
                </c:pt>
                <c:pt idx="12">
                  <c:v>0.1191063436978359</c:v>
                </c:pt>
                <c:pt idx="13">
                  <c:v>0.11958174743328209</c:v>
                </c:pt>
                <c:pt idx="14">
                  <c:v>0.12068297132855399</c:v>
                </c:pt>
                <c:pt idx="15">
                  <c:v>0.12159644917587853</c:v>
                </c:pt>
                <c:pt idx="16">
                  <c:v>0.12203122949744127</c:v>
                </c:pt>
                <c:pt idx="17">
                  <c:v>0.12375212627611898</c:v>
                </c:pt>
                <c:pt idx="18">
                  <c:v>0.1715104452266818</c:v>
                </c:pt>
                <c:pt idx="19">
                  <c:v>0.17161405081706116</c:v>
                </c:pt>
                <c:pt idx="20">
                  <c:v>0.174755737984154</c:v>
                </c:pt>
                <c:pt idx="21">
                  <c:v>0.17734587774363852</c:v>
                </c:pt>
                <c:pt idx="22">
                  <c:v>0.17788625199934271</c:v>
                </c:pt>
                <c:pt idx="23">
                  <c:v>0.17887761529552204</c:v>
                </c:pt>
                <c:pt idx="24">
                  <c:v>0.18024988149750776</c:v>
                </c:pt>
                <c:pt idx="25">
                  <c:v>0.18135907075921676</c:v>
                </c:pt>
                <c:pt idx="26">
                  <c:v>0.18264724709354807</c:v>
                </c:pt>
                <c:pt idx="27">
                  <c:v>0.23142977557686217</c:v>
                </c:pt>
                <c:pt idx="28">
                  <c:v>0.23174753084211419</c:v>
                </c:pt>
                <c:pt idx="29">
                  <c:v>0.23584820649842619</c:v>
                </c:pt>
                <c:pt idx="30">
                  <c:v>0.24040981568180353</c:v>
                </c:pt>
                <c:pt idx="31">
                  <c:v>0.24265545368287134</c:v>
                </c:pt>
                <c:pt idx="32">
                  <c:v>0.24309503606563032</c:v>
                </c:pt>
                <c:pt idx="33">
                  <c:v>0.24491113928125952</c:v>
                </c:pt>
                <c:pt idx="34">
                  <c:v>0.24798193621224929</c:v>
                </c:pt>
                <c:pt idx="35">
                  <c:v>0.24817890420348387</c:v>
                </c:pt>
                <c:pt idx="36">
                  <c:v>0.30046208779668149</c:v>
                </c:pt>
                <c:pt idx="37">
                  <c:v>0.30058315935252722</c:v>
                </c:pt>
                <c:pt idx="38">
                  <c:v>0.30690513673848141</c:v>
                </c:pt>
                <c:pt idx="39">
                  <c:v>0.31365159391661646</c:v>
                </c:pt>
                <c:pt idx="40">
                  <c:v>0.31637935065674849</c:v>
                </c:pt>
                <c:pt idx="41">
                  <c:v>0.31733625355596118</c:v>
                </c:pt>
                <c:pt idx="42">
                  <c:v>0.31975768467287047</c:v>
                </c:pt>
                <c:pt idx="43">
                  <c:v>0.32493021162501456</c:v>
                </c:pt>
                <c:pt idx="44">
                  <c:v>0.32550201945503154</c:v>
                </c:pt>
                <c:pt idx="45">
                  <c:v>0.37002337772740113</c:v>
                </c:pt>
                <c:pt idx="46">
                  <c:v>0.37064482030936663</c:v>
                </c:pt>
                <c:pt idx="47">
                  <c:v>0.37762790676499414</c:v>
                </c:pt>
                <c:pt idx="48">
                  <c:v>0.38501486575816823</c:v>
                </c:pt>
                <c:pt idx="49">
                  <c:v>0.38743549535416744</c:v>
                </c:pt>
                <c:pt idx="50">
                  <c:v>0.38812077585335736</c:v>
                </c:pt>
                <c:pt idx="51">
                  <c:v>0.39047756753213214</c:v>
                </c:pt>
                <c:pt idx="52">
                  <c:v>0.39724308394333985</c:v>
                </c:pt>
                <c:pt idx="53">
                  <c:v>0.3975841657101693</c:v>
                </c:pt>
                <c:pt idx="54">
                  <c:v>0.4389920189704295</c:v>
                </c:pt>
                <c:pt idx="55">
                  <c:v>0.43990749352707503</c:v>
                </c:pt>
                <c:pt idx="56">
                  <c:v>0.44904352866464148</c:v>
                </c:pt>
                <c:pt idx="57">
                  <c:v>0.45798845013563749</c:v>
                </c:pt>
                <c:pt idx="58">
                  <c:v>0.45991829723023159</c:v>
                </c:pt>
                <c:pt idx="59">
                  <c:v>0.46006530774297705</c:v>
                </c:pt>
                <c:pt idx="60">
                  <c:v>0.46440612724660735</c:v>
                </c:pt>
                <c:pt idx="61">
                  <c:v>0.47214556251308526</c:v>
                </c:pt>
                <c:pt idx="62">
                  <c:v>0.47249059796998605</c:v>
                </c:pt>
                <c:pt idx="63">
                  <c:v>0.50895022928876354</c:v>
                </c:pt>
                <c:pt idx="64">
                  <c:v>0.51050439918535506</c:v>
                </c:pt>
                <c:pt idx="65">
                  <c:v>0.52093710831429441</c:v>
                </c:pt>
                <c:pt idx="66">
                  <c:v>0.53150860599339111</c:v>
                </c:pt>
                <c:pt idx="67">
                  <c:v>0.5322575404338723</c:v>
                </c:pt>
                <c:pt idx="68">
                  <c:v>0.53334428096813724</c:v>
                </c:pt>
                <c:pt idx="69">
                  <c:v>0.53792561244933168</c:v>
                </c:pt>
                <c:pt idx="70">
                  <c:v>0.54658680357482403</c:v>
                </c:pt>
                <c:pt idx="71">
                  <c:v>0.54749533148136109</c:v>
                </c:pt>
                <c:pt idx="72">
                  <c:v>0.57457627118644083</c:v>
                </c:pt>
                <c:pt idx="73">
                  <c:v>0.57624910538455865</c:v>
                </c:pt>
                <c:pt idx="74">
                  <c:v>0.58543112934623842</c:v>
                </c:pt>
                <c:pt idx="75">
                  <c:v>0.59509478929467363</c:v>
                </c:pt>
                <c:pt idx="76">
                  <c:v>0.595261866446398</c:v>
                </c:pt>
                <c:pt idx="77">
                  <c:v>0.5964932869350239</c:v>
                </c:pt>
                <c:pt idx="78">
                  <c:v>0.60027624367897836</c:v>
                </c:pt>
                <c:pt idx="79">
                  <c:v>0.60779059014475401</c:v>
                </c:pt>
                <c:pt idx="80">
                  <c:v>0.60967657084349014</c:v>
                </c:pt>
                <c:pt idx="81">
                  <c:v>0.63130255827981507</c:v>
                </c:pt>
                <c:pt idx="82">
                  <c:v>0.63319546977001551</c:v>
                </c:pt>
                <c:pt idx="83">
                  <c:v>0.64354789284856118</c:v>
                </c:pt>
                <c:pt idx="84">
                  <c:v>0.6552816906217398</c:v>
                </c:pt>
                <c:pt idx="85">
                  <c:v>0.65616054238504695</c:v>
                </c:pt>
                <c:pt idx="86">
                  <c:v>0.65691432678203832</c:v>
                </c:pt>
                <c:pt idx="87">
                  <c:v>0.66231813839334563</c:v>
                </c:pt>
                <c:pt idx="88">
                  <c:v>0.67139622641509611</c:v>
                </c:pt>
                <c:pt idx="89">
                  <c:v>0.67409982776818111</c:v>
                </c:pt>
                <c:pt idx="90">
                  <c:v>0.68593789447109366</c:v>
                </c:pt>
                <c:pt idx="91">
                  <c:v>0.68769120360644465</c:v>
                </c:pt>
                <c:pt idx="92">
                  <c:v>0.69704284012567364</c:v>
                </c:pt>
                <c:pt idx="93">
                  <c:v>0.7088300645311314</c:v>
                </c:pt>
                <c:pt idx="94">
                  <c:v>0.70918151171503574</c:v>
                </c:pt>
                <c:pt idx="95">
                  <c:v>0.71019854881706479</c:v>
                </c:pt>
                <c:pt idx="96">
                  <c:v>0.71478503273663563</c:v>
                </c:pt>
                <c:pt idx="97">
                  <c:v>0.72327964860907734</c:v>
                </c:pt>
                <c:pt idx="98">
                  <c:v>0.7265593267847823</c:v>
                </c:pt>
                <c:pt idx="99">
                  <c:v>0.73760412534708486</c:v>
                </c:pt>
                <c:pt idx="100">
                  <c:v>0.73981790639447276</c:v>
                </c:pt>
                <c:pt idx="101">
                  <c:v>0.7495060564114624</c:v>
                </c:pt>
                <c:pt idx="102">
                  <c:v>0.76273307509872446</c:v>
                </c:pt>
                <c:pt idx="103">
                  <c:v>0.76286031532057841</c:v>
                </c:pt>
                <c:pt idx="104">
                  <c:v>0.76422118925585991</c:v>
                </c:pt>
                <c:pt idx="105">
                  <c:v>0.76989729602756185</c:v>
                </c:pt>
                <c:pt idx="106">
                  <c:v>0.77827029906399758</c:v>
                </c:pt>
                <c:pt idx="107">
                  <c:v>0.7826502899919312</c:v>
                </c:pt>
                <c:pt idx="108">
                  <c:v>0.79365107467865847</c:v>
                </c:pt>
                <c:pt idx="109">
                  <c:v>0.7968400148798267</c:v>
                </c:pt>
                <c:pt idx="110">
                  <c:v>0.80885480196657866</c:v>
                </c:pt>
                <c:pt idx="111">
                  <c:v>0.82629222385486756</c:v>
                </c:pt>
                <c:pt idx="112">
                  <c:v>0.82644305210762425</c:v>
                </c:pt>
                <c:pt idx="113">
                  <c:v>0.82819553275871627</c:v>
                </c:pt>
                <c:pt idx="114">
                  <c:v>0.83582672411849046</c:v>
                </c:pt>
                <c:pt idx="115">
                  <c:v>0.84731121822133915</c:v>
                </c:pt>
                <c:pt idx="116">
                  <c:v>0.85063014186783548</c:v>
                </c:pt>
                <c:pt idx="117">
                  <c:v>0.85497567368629035</c:v>
                </c:pt>
                <c:pt idx="118">
                  <c:v>0.85793127786187995</c:v>
                </c:pt>
                <c:pt idx="119">
                  <c:v>0.86976182073440356</c:v>
                </c:pt>
                <c:pt idx="120">
                  <c:v>0.88857506553786791</c:v>
                </c:pt>
                <c:pt idx="121">
                  <c:v>0.88869927985318142</c:v>
                </c:pt>
                <c:pt idx="122">
                  <c:v>0.89029433096757948</c:v>
                </c:pt>
                <c:pt idx="123">
                  <c:v>0.89847506255649812</c:v>
                </c:pt>
                <c:pt idx="124">
                  <c:v>0.91026033105241133</c:v>
                </c:pt>
                <c:pt idx="125">
                  <c:v>0.9166563115758084</c:v>
                </c:pt>
                <c:pt idx="126">
                  <c:v>0.91724225580120944</c:v>
                </c:pt>
                <c:pt idx="127">
                  <c:v>0.92149531706438736</c:v>
                </c:pt>
                <c:pt idx="128">
                  <c:v>0.93412663590643241</c:v>
                </c:pt>
                <c:pt idx="129">
                  <c:v>0.95597167941144079</c:v>
                </c:pt>
                <c:pt idx="130">
                  <c:v>0.9569002520398282</c:v>
                </c:pt>
                <c:pt idx="131">
                  <c:v>0.95701322010023304</c:v>
                </c:pt>
                <c:pt idx="132">
                  <c:v>0.96668998967013486</c:v>
                </c:pt>
                <c:pt idx="133">
                  <c:v>0.98076009952327681</c:v>
                </c:pt>
                <c:pt idx="134">
                  <c:v>0.98204410096426642</c:v>
                </c:pt>
                <c:pt idx="135">
                  <c:v>0.98682109345677205</c:v>
                </c:pt>
                <c:pt idx="136">
                  <c:v>0.9879071996836899</c:v>
                </c:pt>
                <c:pt idx="137">
                  <c:v>1.0025676249193065</c:v>
                </c:pt>
                <c:pt idx="138">
                  <c:v>1.026002609956123</c:v>
                </c:pt>
                <c:pt idx="139">
                  <c:v>1.0271114828980323</c:v>
                </c:pt>
                <c:pt idx="140">
                  <c:v>1.0271730869503592</c:v>
                </c:pt>
                <c:pt idx="141">
                  <c:v>1.0388952667336202</c:v>
                </c:pt>
                <c:pt idx="142">
                  <c:v>1.0522901304594452</c:v>
                </c:pt>
                <c:pt idx="143">
                  <c:v>1.0560623337134167</c:v>
                </c:pt>
                <c:pt idx="144">
                  <c:v>1.0586663111420513</c:v>
                </c:pt>
                <c:pt idx="145">
                  <c:v>1.0605851825400983</c:v>
                </c:pt>
                <c:pt idx="146">
                  <c:v>1.0745099267047991</c:v>
                </c:pt>
                <c:pt idx="147">
                  <c:v>1.1011357036336555</c:v>
                </c:pt>
                <c:pt idx="148">
                  <c:v>1.1019902908206589</c:v>
                </c:pt>
                <c:pt idx="149">
                  <c:v>1.1022430762742914</c:v>
                </c:pt>
                <c:pt idx="150">
                  <c:v>1.1168586715935334</c:v>
                </c:pt>
                <c:pt idx="151">
                  <c:v>1.1274024103158702</c:v>
                </c:pt>
                <c:pt idx="152">
                  <c:v>1.1345090824477175</c:v>
                </c:pt>
                <c:pt idx="153">
                  <c:v>1.1380859895654822</c:v>
                </c:pt>
                <c:pt idx="154">
                  <c:v>1.1397135486499899</c:v>
                </c:pt>
                <c:pt idx="155">
                  <c:v>1.1492206557746201</c:v>
                </c:pt>
                <c:pt idx="156">
                  <c:v>1.17219746590564</c:v>
                </c:pt>
                <c:pt idx="157">
                  <c:v>1.173250874995766</c:v>
                </c:pt>
                <c:pt idx="158">
                  <c:v>1.1732628865019237</c:v>
                </c:pt>
                <c:pt idx="159">
                  <c:v>1.1874232511124418</c:v>
                </c:pt>
                <c:pt idx="160">
                  <c:v>1.1924572733435603</c:v>
                </c:pt>
                <c:pt idx="161">
                  <c:v>1.1997594073431124</c:v>
                </c:pt>
                <c:pt idx="162">
                  <c:v>1.206255735698992</c:v>
                </c:pt>
                <c:pt idx="163">
                  <c:v>1.2094461211565743</c:v>
                </c:pt>
                <c:pt idx="164">
                  <c:v>1.2188782807256935</c:v>
                </c:pt>
                <c:pt idx="165">
                  <c:v>1.2499121788364249</c:v>
                </c:pt>
                <c:pt idx="166">
                  <c:v>1.2502850173214703</c:v>
                </c:pt>
                <c:pt idx="167">
                  <c:v>1.2511762321212601</c:v>
                </c:pt>
                <c:pt idx="168">
                  <c:v>1.2724590956427662</c:v>
                </c:pt>
                <c:pt idx="169">
                  <c:v>1.2741450451080496</c:v>
                </c:pt>
                <c:pt idx="170">
                  <c:v>1.2844850087520925</c:v>
                </c:pt>
                <c:pt idx="171">
                  <c:v>1.2999579140681803</c:v>
                </c:pt>
                <c:pt idx="172">
                  <c:v>1.3020213536679215</c:v>
                </c:pt>
                <c:pt idx="173">
                  <c:v>1.3063785905267764</c:v>
                </c:pt>
                <c:pt idx="174">
                  <c:v>1.3252266280713343</c:v>
                </c:pt>
                <c:pt idx="175">
                  <c:v>1.3256254076043028</c:v>
                </c:pt>
                <c:pt idx="176">
                  <c:v>1.3276182186764061</c:v>
                </c:pt>
                <c:pt idx="177">
                  <c:v>1.3397206885352411</c:v>
                </c:pt>
                <c:pt idx="178">
                  <c:v>1.3431869378006347</c:v>
                </c:pt>
                <c:pt idx="179">
                  <c:v>1.3471586817505603</c:v>
                </c:pt>
                <c:pt idx="180">
                  <c:v>1.3600137672568771</c:v>
                </c:pt>
                <c:pt idx="181">
                  <c:v>1.3617673744422696</c:v>
                </c:pt>
                <c:pt idx="182">
                  <c:v>1.3638677024399861</c:v>
                </c:pt>
                <c:pt idx="183">
                  <c:v>1.3848054166224983</c:v>
                </c:pt>
                <c:pt idx="184">
                  <c:v>1.3850276735534734</c:v>
                </c:pt>
                <c:pt idx="185">
                  <c:v>1.3875325091655633</c:v>
                </c:pt>
                <c:pt idx="186">
                  <c:v>1.3972084646555629</c:v>
                </c:pt>
                <c:pt idx="187">
                  <c:v>1.4051840920252587</c:v>
                </c:pt>
                <c:pt idx="188">
                  <c:v>1.4065522062763236</c:v>
                </c:pt>
                <c:pt idx="189">
                  <c:v>1.4249927738703221</c:v>
                </c:pt>
                <c:pt idx="190">
                  <c:v>1.4259760669146502</c:v>
                </c:pt>
                <c:pt idx="191">
                  <c:v>1.4273380100962889</c:v>
                </c:pt>
                <c:pt idx="192">
                  <c:v>1.4557801729796687</c:v>
                </c:pt>
                <c:pt idx="193">
                  <c:v>1.456312977125453</c:v>
                </c:pt>
                <c:pt idx="194">
                  <c:v>1.4605050681713543</c:v>
                </c:pt>
                <c:pt idx="195">
                  <c:v>1.4696525371012221</c:v>
                </c:pt>
                <c:pt idx="196">
                  <c:v>1.4821767634491749</c:v>
                </c:pt>
                <c:pt idx="197">
                  <c:v>1.4842256921317869</c:v>
                </c:pt>
                <c:pt idx="198">
                  <c:v>1.5050175254446607</c:v>
                </c:pt>
                <c:pt idx="199">
                  <c:v>1.5092307099360305</c:v>
                </c:pt>
                <c:pt idx="200">
                  <c:v>1.5133814016306033</c:v>
                </c:pt>
                <c:pt idx="201">
                  <c:v>1.5331630407295194</c:v>
                </c:pt>
                <c:pt idx="202">
                  <c:v>1.5336706884814433</c:v>
                </c:pt>
                <c:pt idx="203">
                  <c:v>1.5389070047135114</c:v>
                </c:pt>
                <c:pt idx="204">
                  <c:v>1.5417956099316363</c:v>
                </c:pt>
                <c:pt idx="205">
                  <c:v>1.5534120290857594</c:v>
                </c:pt>
                <c:pt idx="206">
                  <c:v>1.5587966842211749</c:v>
                </c:pt>
                <c:pt idx="207">
                  <c:v>1.572959442503798</c:v>
                </c:pt>
                <c:pt idx="208">
                  <c:v>1.5795308019476195</c:v>
                </c:pt>
                <c:pt idx="209">
                  <c:v>1.5863156105948022</c:v>
                </c:pt>
                <c:pt idx="210">
                  <c:v>1.6158191828855699</c:v>
                </c:pt>
                <c:pt idx="211">
                  <c:v>1.6162308405893882</c:v>
                </c:pt>
                <c:pt idx="212">
                  <c:v>1.6265330595644656</c:v>
                </c:pt>
                <c:pt idx="213">
                  <c:v>1.6266192706019105</c:v>
                </c:pt>
                <c:pt idx="214">
                  <c:v>1.6404296014861686</c:v>
                </c:pt>
                <c:pt idx="215">
                  <c:v>1.6499547638082888</c:v>
                </c:pt>
                <c:pt idx="216">
                  <c:v>1.6625182532535483</c:v>
                </c:pt>
                <c:pt idx="217">
                  <c:v>1.6764195845478405</c:v>
                </c:pt>
                <c:pt idx="218">
                  <c:v>1.6771606544133171</c:v>
                </c:pt>
                <c:pt idx="219">
                  <c:v>1.6822644180262039</c:v>
                </c:pt>
                <c:pt idx="220">
                  <c:v>1.6851609197465542</c:v>
                </c:pt>
                <c:pt idx="221">
                  <c:v>1.686069567143015</c:v>
                </c:pt>
                <c:pt idx="222">
                  <c:v>1.6956730492721199</c:v>
                </c:pt>
                <c:pt idx="223">
                  <c:v>1.7066799977706069</c:v>
                </c:pt>
                <c:pt idx="224">
                  <c:v>1.713528691761244</c:v>
                </c:pt>
                <c:pt idx="225">
                  <c:v>1.7180308787390537</c:v>
                </c:pt>
                <c:pt idx="226">
                  <c:v>1.7275101013951399</c:v>
                </c:pt>
                <c:pt idx="227">
                  <c:v>1.7295695763816745</c:v>
                </c:pt>
                <c:pt idx="228">
                  <c:v>1.7368354201846188</c:v>
                </c:pt>
                <c:pt idx="229">
                  <c:v>1.7418521929111854</c:v>
                </c:pt>
                <c:pt idx="230">
                  <c:v>1.7443651336420984</c:v>
                </c:pt>
                <c:pt idx="231">
                  <c:v>1.7518999286862247</c:v>
                </c:pt>
                <c:pt idx="232">
                  <c:v>1.7641283654320752</c:v>
                </c:pt>
                <c:pt idx="233">
                  <c:v>1.7679823466491946</c:v>
                </c:pt>
                <c:pt idx="234">
                  <c:v>1.7726548458207354</c:v>
                </c:pt>
                <c:pt idx="235">
                  <c:v>1.7832170498303448</c:v>
                </c:pt>
                <c:pt idx="236">
                  <c:v>1.785666209504388</c:v>
                </c:pt>
                <c:pt idx="237">
                  <c:v>1.7936085228113789</c:v>
                </c:pt>
                <c:pt idx="238">
                  <c:v>1.7984867010437178</c:v>
                </c:pt>
                <c:pt idx="239">
                  <c:v>1.8029651160293909</c:v>
                </c:pt>
                <c:pt idx="240">
                  <c:v>1.8076959106576034</c:v>
                </c:pt>
                <c:pt idx="241">
                  <c:v>1.8197448324732406</c:v>
                </c:pt>
                <c:pt idx="242">
                  <c:v>1.8218565264753508</c:v>
                </c:pt>
                <c:pt idx="243">
                  <c:v>1.8262131638712624</c:v>
                </c:pt>
                <c:pt idx="244">
                  <c:v>1.8382506138849628</c:v>
                </c:pt>
                <c:pt idx="245">
                  <c:v>1.8441814301810666</c:v>
                </c:pt>
                <c:pt idx="246">
                  <c:v>1.8471205025551534</c:v>
                </c:pt>
                <c:pt idx="247">
                  <c:v>1.8497000916146646</c:v>
                </c:pt>
                <c:pt idx="248">
                  <c:v>1.8599490987748695</c:v>
                </c:pt>
                <c:pt idx="249">
                  <c:v>1.8664463145696892</c:v>
                </c:pt>
                <c:pt idx="250">
                  <c:v>1.8929686734740443</c:v>
                </c:pt>
                <c:pt idx="251">
                  <c:v>1.8943457160112018</c:v>
                </c:pt>
                <c:pt idx="252">
                  <c:v>1.902717095359737</c:v>
                </c:pt>
                <c:pt idx="253">
                  <c:v>1.9348446236354633</c:v>
                </c:pt>
                <c:pt idx="254">
                  <c:v>1.9375327780847655</c:v>
                </c:pt>
                <c:pt idx="255">
                  <c:v>1.9379724388946222</c:v>
                </c:pt>
                <c:pt idx="256">
                  <c:v>1.9382836143536508</c:v>
                </c:pt>
                <c:pt idx="257">
                  <c:v>1.9487131388263599</c:v>
                </c:pt>
                <c:pt idx="258">
                  <c:v>1.9528824263604285</c:v>
                </c:pt>
                <c:pt idx="259">
                  <c:v>1.9707967425798714</c:v>
                </c:pt>
                <c:pt idx="260">
                  <c:v>1.9722319056814399</c:v>
                </c:pt>
                <c:pt idx="261">
                  <c:v>1.9772953326170999</c:v>
                </c:pt>
                <c:pt idx="262">
                  <c:v>2.0037109093529288</c:v>
                </c:pt>
                <c:pt idx="263">
                  <c:v>2.0039497651231848</c:v>
                </c:pt>
                <c:pt idx="264">
                  <c:v>2.0058628439284547</c:v>
                </c:pt>
                <c:pt idx="265">
                  <c:v>2.009767496184633</c:v>
                </c:pt>
                <c:pt idx="266">
                  <c:v>2.026747896038291</c:v>
                </c:pt>
                <c:pt idx="267">
                  <c:v>2.0289147133492236</c:v>
                </c:pt>
                <c:pt idx="268">
                  <c:v>2.0521491284575113</c:v>
                </c:pt>
                <c:pt idx="269">
                  <c:v>2.0565302249581343</c:v>
                </c:pt>
                <c:pt idx="270">
                  <c:v>2.0631949680097037</c:v>
                </c:pt>
                <c:pt idx="271">
                  <c:v>2.0987804243359953</c:v>
                </c:pt>
                <c:pt idx="272">
                  <c:v>2.1018167144665192</c:v>
                </c:pt>
                <c:pt idx="273">
                  <c:v>2.1089322951540943</c:v>
                </c:pt>
                <c:pt idx="274">
                  <c:v>2.1110845790380495</c:v>
                </c:pt>
                <c:pt idx="275">
                  <c:v>2.1213190792167858</c:v>
                </c:pt>
                <c:pt idx="276">
                  <c:v>2.1215295681199464</c:v>
                </c:pt>
                <c:pt idx="277">
                  <c:v>2.1388203254363525</c:v>
                </c:pt>
                <c:pt idx="278">
                  <c:v>2.1445815879314161</c:v>
                </c:pt>
                <c:pt idx="279">
                  <c:v>2.1479954112680666</c:v>
                </c:pt>
                <c:pt idx="280">
                  <c:v>2.1738590609978843</c:v>
                </c:pt>
                <c:pt idx="281">
                  <c:v>2.1779645534659267</c:v>
                </c:pt>
                <c:pt idx="282">
                  <c:v>2.1870574989026856</c:v>
                </c:pt>
                <c:pt idx="283">
                  <c:v>2.1876057405583822</c:v>
                </c:pt>
                <c:pt idx="284">
                  <c:v>2.196511870312122</c:v>
                </c:pt>
                <c:pt idx="285">
                  <c:v>2.1965244574929983</c:v>
                </c:pt>
                <c:pt idx="286">
                  <c:v>2.211665437504621</c:v>
                </c:pt>
                <c:pt idx="287">
                  <c:v>2.2194541053121881</c:v>
                </c:pt>
                <c:pt idx="288">
                  <c:v>2.2225995019541784</c:v>
                </c:pt>
                <c:pt idx="289">
                  <c:v>2.2466354231143271</c:v>
                </c:pt>
                <c:pt idx="290">
                  <c:v>2.2513588231756714</c:v>
                </c:pt>
                <c:pt idx="291">
                  <c:v>2.264737247037246</c:v>
                </c:pt>
                <c:pt idx="292">
                  <c:v>2.2658049866729471</c:v>
                </c:pt>
                <c:pt idx="293">
                  <c:v>2.2692077009996368</c:v>
                </c:pt>
                <c:pt idx="294">
                  <c:v>2.2702917515815955</c:v>
                </c:pt>
                <c:pt idx="295">
                  <c:v>2.2833091413822615</c:v>
                </c:pt>
                <c:pt idx="296">
                  <c:v>2.2916151770912236</c:v>
                </c:pt>
                <c:pt idx="297">
                  <c:v>2.294334086363321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0396-4B8B-94C9-747D2D4C11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20001"/>
        <c:axId val="50020002"/>
      </c:scatterChart>
      <c:valAx>
        <c:axId val="50020001"/>
        <c:scaling>
          <c:orientation val="minMax"/>
          <c:max val="1800"/>
          <c:min val="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[sec]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crossAx val="50020002"/>
        <c:crosses val="autoZero"/>
        <c:crossBetween val="midCat"/>
        <c:majorUnit val="250"/>
        <c:minorUnit val="50"/>
      </c:valAx>
      <c:valAx>
        <c:axId val="50020002"/>
        <c:scaling>
          <c:orientation val="minMax"/>
          <c:max val="2.5"/>
          <c:min val="-0.5"/>
        </c:scaling>
        <c:delete val="0"/>
        <c:axPos val="l"/>
        <c:majorGridlines/>
        <c:min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Distance to winner [laps]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crossAx val="50020001"/>
        <c:crosses val="autoZero"/>
        <c:crossBetween val="midCat"/>
        <c:majorUnit val="0.25"/>
        <c:minorUnit val="0.05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Running distance to leader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race_data!$A$1</c:f>
              <c:strCache>
                <c:ptCount val="1"/>
                <c:pt idx="0">
                  <c:v>SanderV</c:v>
                </c:pt>
              </c:strCache>
            </c:strRef>
          </c:tx>
          <c:marker>
            <c:symbol val="none"/>
          </c:marker>
          <c:xVal>
            <c:numRef>
              <c:f>intermediate_data!$A$2:$A$299</c:f>
              <c:numCache>
                <c:formatCode>General</c:formatCode>
                <c:ptCount val="298"/>
                <c:pt idx="0">
                  <c:v>53.683999999999997</c:v>
                </c:pt>
                <c:pt idx="1">
                  <c:v>53.756</c:v>
                </c:pt>
                <c:pt idx="2">
                  <c:v>54.529000000000003</c:v>
                </c:pt>
                <c:pt idx="3">
                  <c:v>55.472999999999999</c:v>
                </c:pt>
                <c:pt idx="4">
                  <c:v>55.91</c:v>
                </c:pt>
                <c:pt idx="5">
                  <c:v>56.984000000000002</c:v>
                </c:pt>
                <c:pt idx="6">
                  <c:v>57.091999999999999</c:v>
                </c:pt>
                <c:pt idx="7">
                  <c:v>57.482999999999997</c:v>
                </c:pt>
                <c:pt idx="8">
                  <c:v>58.719000000000001</c:v>
                </c:pt>
                <c:pt idx="9">
                  <c:v>107.248</c:v>
                </c:pt>
                <c:pt idx="10">
                  <c:v>107.48399999999999</c:v>
                </c:pt>
                <c:pt idx="11">
                  <c:v>109.506</c:v>
                </c:pt>
                <c:pt idx="12">
                  <c:v>111.09399999999999</c:v>
                </c:pt>
                <c:pt idx="13">
                  <c:v>111.527</c:v>
                </c:pt>
                <c:pt idx="14">
                  <c:v>112.53</c:v>
                </c:pt>
                <c:pt idx="15">
                  <c:v>113.36199999999999</c:v>
                </c:pt>
                <c:pt idx="16">
                  <c:v>113.758</c:v>
                </c:pt>
                <c:pt idx="17">
                  <c:v>115.387</c:v>
                </c:pt>
                <c:pt idx="18">
                  <c:v>160.595</c:v>
                </c:pt>
                <c:pt idx="19">
                  <c:v>160.697</c:v>
                </c:pt>
                <c:pt idx="20">
                  <c:v>163.79</c:v>
                </c:pt>
                <c:pt idx="21">
                  <c:v>166.34</c:v>
                </c:pt>
                <c:pt idx="22">
                  <c:v>166.87200000000001</c:v>
                </c:pt>
                <c:pt idx="23">
                  <c:v>167.84800000000001</c:v>
                </c:pt>
                <c:pt idx="24">
                  <c:v>169.19900000000001</c:v>
                </c:pt>
                <c:pt idx="25">
                  <c:v>170.291</c:v>
                </c:pt>
                <c:pt idx="26">
                  <c:v>171.417</c:v>
                </c:pt>
                <c:pt idx="27">
                  <c:v>214.05799999999999</c:v>
                </c:pt>
                <c:pt idx="28">
                  <c:v>214.31100000000001</c:v>
                </c:pt>
                <c:pt idx="29">
                  <c:v>217.57599999999999</c:v>
                </c:pt>
                <c:pt idx="30">
                  <c:v>221.208</c:v>
                </c:pt>
                <c:pt idx="31">
                  <c:v>222.99600000000001</c:v>
                </c:pt>
                <c:pt idx="32">
                  <c:v>223.346</c:v>
                </c:pt>
                <c:pt idx="33">
                  <c:v>224.792</c:v>
                </c:pt>
                <c:pt idx="34">
                  <c:v>227.23699999999999</c:v>
                </c:pt>
                <c:pt idx="35">
                  <c:v>227.387</c:v>
                </c:pt>
                <c:pt idx="36">
                  <c:v>267.20299999999997</c:v>
                </c:pt>
                <c:pt idx="37">
                  <c:v>267.286</c:v>
                </c:pt>
                <c:pt idx="38">
                  <c:v>271.62</c:v>
                </c:pt>
                <c:pt idx="39">
                  <c:v>276.245</c:v>
                </c:pt>
                <c:pt idx="40">
                  <c:v>278.11500000000001</c:v>
                </c:pt>
                <c:pt idx="41">
                  <c:v>278.77100000000002</c:v>
                </c:pt>
                <c:pt idx="42">
                  <c:v>280.43099999999998</c:v>
                </c:pt>
                <c:pt idx="43">
                  <c:v>283.97699999999998</c:v>
                </c:pt>
                <c:pt idx="44">
                  <c:v>284.36900000000003</c:v>
                </c:pt>
                <c:pt idx="45">
                  <c:v>319.94</c:v>
                </c:pt>
                <c:pt idx="46">
                  <c:v>320.41699999999997</c:v>
                </c:pt>
                <c:pt idx="47">
                  <c:v>325.77699999999999</c:v>
                </c:pt>
                <c:pt idx="48">
                  <c:v>331.447</c:v>
                </c:pt>
                <c:pt idx="49">
                  <c:v>333.30500000000001</c:v>
                </c:pt>
                <c:pt idx="50">
                  <c:v>333.83100000000002</c:v>
                </c:pt>
                <c:pt idx="51">
                  <c:v>335.64</c:v>
                </c:pt>
                <c:pt idx="52">
                  <c:v>340.83300000000003</c:v>
                </c:pt>
                <c:pt idx="53">
                  <c:v>341.09199999999998</c:v>
                </c:pt>
                <c:pt idx="54">
                  <c:v>372.53500000000003</c:v>
                </c:pt>
                <c:pt idx="55">
                  <c:v>373.22</c:v>
                </c:pt>
                <c:pt idx="56">
                  <c:v>380.05599999999998</c:v>
                </c:pt>
                <c:pt idx="57">
                  <c:v>386.74900000000002</c:v>
                </c:pt>
                <c:pt idx="58">
                  <c:v>388.19299999999998</c:v>
                </c:pt>
                <c:pt idx="59">
                  <c:v>388.30299999999988</c:v>
                </c:pt>
                <c:pt idx="60">
                  <c:v>391.55099999999999</c:v>
                </c:pt>
                <c:pt idx="61">
                  <c:v>397.34199999999998</c:v>
                </c:pt>
                <c:pt idx="62">
                  <c:v>397.60199999999998</c:v>
                </c:pt>
                <c:pt idx="63">
                  <c:v>425.07600000000002</c:v>
                </c:pt>
                <c:pt idx="64">
                  <c:v>426.26299999999998</c:v>
                </c:pt>
                <c:pt idx="65">
                  <c:v>434.23099999999999</c:v>
                </c:pt>
                <c:pt idx="66">
                  <c:v>442.30500000000001</c:v>
                </c:pt>
                <c:pt idx="67">
                  <c:v>442.87700000000001</c:v>
                </c:pt>
                <c:pt idx="68">
                  <c:v>443.70699999999999</c:v>
                </c:pt>
                <c:pt idx="69">
                  <c:v>447.20600000000002</c:v>
                </c:pt>
                <c:pt idx="70">
                  <c:v>453.82100000000003</c:v>
                </c:pt>
                <c:pt idx="71">
                  <c:v>454.59500000000003</c:v>
                </c:pt>
                <c:pt idx="72">
                  <c:v>477.66599999999988</c:v>
                </c:pt>
                <c:pt idx="73">
                  <c:v>479.28800000000001</c:v>
                </c:pt>
                <c:pt idx="74">
                  <c:v>488.19099999999997</c:v>
                </c:pt>
                <c:pt idx="75">
                  <c:v>497.56099999999998</c:v>
                </c:pt>
                <c:pt idx="76">
                  <c:v>497.72300000000001</c:v>
                </c:pt>
                <c:pt idx="77">
                  <c:v>498.91699999999997</c:v>
                </c:pt>
                <c:pt idx="78">
                  <c:v>502.58499999999998</c:v>
                </c:pt>
                <c:pt idx="79">
                  <c:v>509.87099999999998</c:v>
                </c:pt>
                <c:pt idx="80">
                  <c:v>511.53800000000001</c:v>
                </c:pt>
                <c:pt idx="81">
                  <c:v>530.65299999999991</c:v>
                </c:pt>
                <c:pt idx="82">
                  <c:v>532.33299999999997</c:v>
                </c:pt>
                <c:pt idx="83">
                  <c:v>541.52099999999996</c:v>
                </c:pt>
                <c:pt idx="84">
                  <c:v>551.93500000000006</c:v>
                </c:pt>
                <c:pt idx="85">
                  <c:v>552.71499999999992</c:v>
                </c:pt>
                <c:pt idx="86">
                  <c:v>553.38400000000001</c:v>
                </c:pt>
                <c:pt idx="87">
                  <c:v>558.18000000000006</c:v>
                </c:pt>
                <c:pt idx="88">
                  <c:v>566.23699999999997</c:v>
                </c:pt>
                <c:pt idx="89">
                  <c:v>569.47499999999991</c:v>
                </c:pt>
                <c:pt idx="90">
                  <c:v>583.65299999999991</c:v>
                </c:pt>
                <c:pt idx="91">
                  <c:v>585.43899999999996</c:v>
                </c:pt>
                <c:pt idx="92">
                  <c:v>594.96499999999992</c:v>
                </c:pt>
                <c:pt idx="93">
                  <c:v>606.97200000000009</c:v>
                </c:pt>
                <c:pt idx="94">
                  <c:v>607.32999999999993</c:v>
                </c:pt>
                <c:pt idx="95">
                  <c:v>608.36599999999999</c:v>
                </c:pt>
                <c:pt idx="96">
                  <c:v>613.03800000000001</c:v>
                </c:pt>
                <c:pt idx="97">
                  <c:v>621.69099999999992</c:v>
                </c:pt>
                <c:pt idx="98">
                  <c:v>625.02299999999991</c:v>
                </c:pt>
                <c:pt idx="99">
                  <c:v>636.24399999999991</c:v>
                </c:pt>
                <c:pt idx="100">
                  <c:v>638.471</c:v>
                </c:pt>
                <c:pt idx="101">
                  <c:v>648.21699999999987</c:v>
                </c:pt>
                <c:pt idx="102">
                  <c:v>661.52299999999991</c:v>
                </c:pt>
                <c:pt idx="103">
                  <c:v>661.65100000000007</c:v>
                </c:pt>
                <c:pt idx="104">
                  <c:v>663.02</c:v>
                </c:pt>
                <c:pt idx="105">
                  <c:v>668.73</c:v>
                </c:pt>
                <c:pt idx="106">
                  <c:v>677.15299999999991</c:v>
                </c:pt>
                <c:pt idx="107">
                  <c:v>680.47199999999987</c:v>
                </c:pt>
                <c:pt idx="108">
                  <c:v>688.80799999999988</c:v>
                </c:pt>
                <c:pt idx="109">
                  <c:v>691.47199999999998</c:v>
                </c:pt>
                <c:pt idx="110">
                  <c:v>701.5089999999999</c:v>
                </c:pt>
                <c:pt idx="111">
                  <c:v>716.07599999999991</c:v>
                </c:pt>
                <c:pt idx="112">
                  <c:v>716.20200000000011</c:v>
                </c:pt>
                <c:pt idx="113">
                  <c:v>717.66599999999994</c:v>
                </c:pt>
                <c:pt idx="114">
                  <c:v>724.04100000000005</c:v>
                </c:pt>
                <c:pt idx="115">
                  <c:v>733.63499999999988</c:v>
                </c:pt>
                <c:pt idx="116">
                  <c:v>737.13299999999981</c:v>
                </c:pt>
                <c:pt idx="117">
                  <c:v>741.71299999999985</c:v>
                </c:pt>
                <c:pt idx="118">
                  <c:v>744.25900000000001</c:v>
                </c:pt>
                <c:pt idx="119">
                  <c:v>754.44999999999993</c:v>
                </c:pt>
                <c:pt idx="120">
                  <c:v>770.65599999999995</c:v>
                </c:pt>
                <c:pt idx="121">
                  <c:v>770.76300000000015</c:v>
                </c:pt>
                <c:pt idx="122">
                  <c:v>772.13699999999994</c:v>
                </c:pt>
                <c:pt idx="123">
                  <c:v>779.18400000000008</c:v>
                </c:pt>
                <c:pt idx="124">
                  <c:v>789.3359999999999</c:v>
                </c:pt>
                <c:pt idx="125">
                  <c:v>794.03099999999984</c:v>
                </c:pt>
                <c:pt idx="126">
                  <c:v>794.50299999999982</c:v>
                </c:pt>
                <c:pt idx="127">
                  <c:v>797.92899999999997</c:v>
                </c:pt>
                <c:pt idx="128">
                  <c:v>808.10399999999993</c:v>
                </c:pt>
                <c:pt idx="129">
                  <c:v>825.70099999999991</c:v>
                </c:pt>
                <c:pt idx="130">
                  <c:v>826.44900000000018</c:v>
                </c:pt>
                <c:pt idx="131">
                  <c:v>826.54</c:v>
                </c:pt>
                <c:pt idx="132">
                  <c:v>834.33500000000004</c:v>
                </c:pt>
                <c:pt idx="133">
                  <c:v>845.66899999999987</c:v>
                </c:pt>
                <c:pt idx="134">
                  <c:v>846.68199999999979</c:v>
                </c:pt>
                <c:pt idx="135">
                  <c:v>850.2489999999998</c:v>
                </c:pt>
                <c:pt idx="136">
                  <c:v>851.06</c:v>
                </c:pt>
                <c:pt idx="137">
                  <c:v>862.00699999999995</c:v>
                </c:pt>
                <c:pt idx="138">
                  <c:v>879.50599999999986</c:v>
                </c:pt>
                <c:pt idx="139">
                  <c:v>880.33399999999995</c:v>
                </c:pt>
                <c:pt idx="140">
                  <c:v>880.38000000000022</c:v>
                </c:pt>
                <c:pt idx="141">
                  <c:v>889.13300000000004</c:v>
                </c:pt>
                <c:pt idx="142">
                  <c:v>899.13499999999976</c:v>
                </c:pt>
                <c:pt idx="143">
                  <c:v>902.08499999999981</c:v>
                </c:pt>
                <c:pt idx="144">
                  <c:v>903.89799999999991</c:v>
                </c:pt>
                <c:pt idx="145">
                  <c:v>905.23399999999981</c:v>
                </c:pt>
                <c:pt idx="146">
                  <c:v>914.92899999999997</c:v>
                </c:pt>
                <c:pt idx="147">
                  <c:v>933.46699999999987</c:v>
                </c:pt>
                <c:pt idx="148">
                  <c:v>934.0619999999999</c:v>
                </c:pt>
                <c:pt idx="149">
                  <c:v>934.23800000000017</c:v>
                </c:pt>
                <c:pt idx="150">
                  <c:v>944.41399999999999</c:v>
                </c:pt>
                <c:pt idx="151">
                  <c:v>951.75499999999977</c:v>
                </c:pt>
                <c:pt idx="152">
                  <c:v>956.57899999999995</c:v>
                </c:pt>
                <c:pt idx="153">
                  <c:v>959.00699999999983</c:v>
                </c:pt>
                <c:pt idx="154">
                  <c:v>960.36199999999985</c:v>
                </c:pt>
                <c:pt idx="155">
                  <c:v>968.27699999999993</c:v>
                </c:pt>
                <c:pt idx="156">
                  <c:v>987.40599999999984</c:v>
                </c:pt>
                <c:pt idx="157">
                  <c:v>988.2829999999999</c:v>
                </c:pt>
                <c:pt idx="158">
                  <c:v>988.29300000000012</c:v>
                </c:pt>
                <c:pt idx="159">
                  <c:v>1000.082</c:v>
                </c:pt>
                <c:pt idx="160">
                  <c:v>1004.273</c:v>
                </c:pt>
                <c:pt idx="161">
                  <c:v>1009.982</c:v>
                </c:pt>
                <c:pt idx="162">
                  <c:v>1015.061</c:v>
                </c:pt>
                <c:pt idx="163">
                  <c:v>1017.0119999999999</c:v>
                </c:pt>
                <c:pt idx="164">
                  <c:v>1022.78</c:v>
                </c:pt>
                <c:pt idx="165">
                  <c:v>1041.758</c:v>
                </c:pt>
                <c:pt idx="166">
                  <c:v>1041.9860000000001</c:v>
                </c:pt>
                <c:pt idx="167">
                  <c:v>1042.5309999999999</c:v>
                </c:pt>
                <c:pt idx="168">
                  <c:v>1055.546</c:v>
                </c:pt>
                <c:pt idx="169">
                  <c:v>1056.577</c:v>
                </c:pt>
                <c:pt idx="170">
                  <c:v>1062.8579999999999</c:v>
                </c:pt>
                <c:pt idx="171">
                  <c:v>1072.2570000000001</c:v>
                </c:pt>
                <c:pt idx="172">
                  <c:v>1074.1559999999999</c:v>
                </c:pt>
                <c:pt idx="173">
                  <c:v>1078.1659999999999</c:v>
                </c:pt>
                <c:pt idx="174">
                  <c:v>1095.5119999999999</c:v>
                </c:pt>
                <c:pt idx="175">
                  <c:v>1095.8789999999999</c:v>
                </c:pt>
                <c:pt idx="176">
                  <c:v>1097.713</c:v>
                </c:pt>
                <c:pt idx="177">
                  <c:v>1108.8510000000001</c:v>
                </c:pt>
                <c:pt idx="178">
                  <c:v>1112.067</c:v>
                </c:pt>
                <c:pt idx="179">
                  <c:v>1115.752</c:v>
                </c:pt>
                <c:pt idx="180">
                  <c:v>1127.6790000000001</c:v>
                </c:pt>
                <c:pt idx="181">
                  <c:v>1129.2570000000001</c:v>
                </c:pt>
                <c:pt idx="182">
                  <c:v>1131.1469999999999</c:v>
                </c:pt>
                <c:pt idx="183">
                  <c:v>1149.9880000000001</c:v>
                </c:pt>
                <c:pt idx="184">
                  <c:v>1150.1880000000001</c:v>
                </c:pt>
                <c:pt idx="185">
                  <c:v>1152.442</c:v>
                </c:pt>
                <c:pt idx="186">
                  <c:v>1161.1489999999999</c:v>
                </c:pt>
                <c:pt idx="187">
                  <c:v>1167.48</c:v>
                </c:pt>
                <c:pt idx="188">
                  <c:v>1168.566</c:v>
                </c:pt>
                <c:pt idx="189">
                  <c:v>1183.204</c:v>
                </c:pt>
                <c:pt idx="190">
                  <c:v>1183.8610000000001</c:v>
                </c:pt>
                <c:pt idx="191">
                  <c:v>1184.771</c:v>
                </c:pt>
                <c:pt idx="192">
                  <c:v>1203.7750000000001</c:v>
                </c:pt>
                <c:pt idx="193">
                  <c:v>1204.1310000000001</c:v>
                </c:pt>
                <c:pt idx="194">
                  <c:v>1206.932</c:v>
                </c:pt>
                <c:pt idx="195">
                  <c:v>1213.0440000000001</c:v>
                </c:pt>
                <c:pt idx="196">
                  <c:v>1221.4059999999999</c:v>
                </c:pt>
                <c:pt idx="197">
                  <c:v>1222.7739999999999</c:v>
                </c:pt>
                <c:pt idx="198">
                  <c:v>1236.6559999999999</c:v>
                </c:pt>
                <c:pt idx="199">
                  <c:v>1239.4690000000001</c:v>
                </c:pt>
                <c:pt idx="200">
                  <c:v>1242.714999999999</c:v>
                </c:pt>
                <c:pt idx="201">
                  <c:v>1258.1849999999999</c:v>
                </c:pt>
                <c:pt idx="202">
                  <c:v>1258.5820000000001</c:v>
                </c:pt>
                <c:pt idx="203">
                  <c:v>1262.6769999999999</c:v>
                </c:pt>
                <c:pt idx="204">
                  <c:v>1264.9359999999999</c:v>
                </c:pt>
                <c:pt idx="205">
                  <c:v>1274.2059999999999</c:v>
                </c:pt>
                <c:pt idx="206">
                  <c:v>1278.5029999999999</c:v>
                </c:pt>
                <c:pt idx="207">
                  <c:v>1289.8050000000001</c:v>
                </c:pt>
                <c:pt idx="208">
                  <c:v>1295.049</c:v>
                </c:pt>
                <c:pt idx="209">
                  <c:v>1298.196999999999</c:v>
                </c:pt>
                <c:pt idx="210">
                  <c:v>1311.886</c:v>
                </c:pt>
                <c:pt idx="211">
                  <c:v>1312.077</c:v>
                </c:pt>
                <c:pt idx="212">
                  <c:v>1316.857</c:v>
                </c:pt>
                <c:pt idx="213">
                  <c:v>1316.8969999999999</c:v>
                </c:pt>
                <c:pt idx="214">
                  <c:v>1327.0650000000001</c:v>
                </c:pt>
                <c:pt idx="215">
                  <c:v>1334.078</c:v>
                </c:pt>
                <c:pt idx="216">
                  <c:v>1343.328</c:v>
                </c:pt>
                <c:pt idx="217">
                  <c:v>1353.5630000000001</c:v>
                </c:pt>
                <c:pt idx="218">
                  <c:v>1355.049999999999</c:v>
                </c:pt>
                <c:pt idx="219">
                  <c:v>1365.2909999999999</c:v>
                </c:pt>
                <c:pt idx="220">
                  <c:v>1371.1030000000001</c:v>
                </c:pt>
                <c:pt idx="221">
                  <c:v>1371.922</c:v>
                </c:pt>
                <c:pt idx="222">
                  <c:v>1380.578</c:v>
                </c:pt>
                <c:pt idx="223">
                  <c:v>1390.499</c:v>
                </c:pt>
                <c:pt idx="224">
                  <c:v>1396.672</c:v>
                </c:pt>
                <c:pt idx="225">
                  <c:v>1400.73</c:v>
                </c:pt>
                <c:pt idx="226">
                  <c:v>1409.2739999999999</c:v>
                </c:pt>
                <c:pt idx="227">
                  <c:v>1411.327</c:v>
                </c:pt>
                <c:pt idx="228">
                  <c:v>1418.57</c:v>
                </c:pt>
                <c:pt idx="229">
                  <c:v>1423.5709999999999</c:v>
                </c:pt>
                <c:pt idx="230">
                  <c:v>1426.067</c:v>
                </c:pt>
                <c:pt idx="231">
                  <c:v>1433.5509999999999</c:v>
                </c:pt>
                <c:pt idx="232">
                  <c:v>1445.6969999999999</c:v>
                </c:pt>
                <c:pt idx="233">
                  <c:v>1449.5250000000001</c:v>
                </c:pt>
                <c:pt idx="234">
                  <c:v>1454.1659999999999</c:v>
                </c:pt>
                <c:pt idx="235">
                  <c:v>1464.6569999999999</c:v>
                </c:pt>
                <c:pt idx="236">
                  <c:v>1466.481</c:v>
                </c:pt>
                <c:pt idx="237">
                  <c:v>1472.396</c:v>
                </c:pt>
                <c:pt idx="238">
                  <c:v>1476.029</c:v>
                </c:pt>
                <c:pt idx="239">
                  <c:v>1481.104</c:v>
                </c:pt>
                <c:pt idx="240">
                  <c:v>1486.4649999999999</c:v>
                </c:pt>
                <c:pt idx="241">
                  <c:v>1500.1189999999999</c:v>
                </c:pt>
                <c:pt idx="242">
                  <c:v>1502.5119999999999</c:v>
                </c:pt>
                <c:pt idx="243">
                  <c:v>1507.4490000000001</c:v>
                </c:pt>
                <c:pt idx="244">
                  <c:v>1521.09</c:v>
                </c:pt>
                <c:pt idx="245">
                  <c:v>1525.5940000000001</c:v>
                </c:pt>
                <c:pt idx="246">
                  <c:v>1527.826</c:v>
                </c:pt>
                <c:pt idx="247">
                  <c:v>1529.7850000000001</c:v>
                </c:pt>
                <c:pt idx="248">
                  <c:v>1535.702</c:v>
                </c:pt>
                <c:pt idx="249">
                  <c:v>1539.453</c:v>
                </c:pt>
                <c:pt idx="250">
                  <c:v>1554.7650000000001</c:v>
                </c:pt>
                <c:pt idx="251">
                  <c:v>1555.56</c:v>
                </c:pt>
                <c:pt idx="252">
                  <c:v>1560.393</c:v>
                </c:pt>
                <c:pt idx="253">
                  <c:v>1578.941</c:v>
                </c:pt>
                <c:pt idx="254">
                  <c:v>1581.6189999999999</c:v>
                </c:pt>
                <c:pt idx="255">
                  <c:v>1582.057</c:v>
                </c:pt>
                <c:pt idx="256">
                  <c:v>1582.367</c:v>
                </c:pt>
                <c:pt idx="257">
                  <c:v>1590.6369999999999</c:v>
                </c:pt>
                <c:pt idx="258">
                  <c:v>1593.943</c:v>
                </c:pt>
                <c:pt idx="259">
                  <c:v>1608.1479999999999</c:v>
                </c:pt>
                <c:pt idx="260">
                  <c:v>1609.2860000000001</c:v>
                </c:pt>
                <c:pt idx="261">
                  <c:v>1613.3009999999999</c:v>
                </c:pt>
                <c:pt idx="262">
                  <c:v>1634.2470000000001</c:v>
                </c:pt>
                <c:pt idx="263">
                  <c:v>1634.453</c:v>
                </c:pt>
                <c:pt idx="264">
                  <c:v>1635.501</c:v>
                </c:pt>
                <c:pt idx="265">
                  <c:v>1637.64</c:v>
                </c:pt>
                <c:pt idx="266">
                  <c:v>1646.942</c:v>
                </c:pt>
                <c:pt idx="267">
                  <c:v>1648.1289999999999</c:v>
                </c:pt>
                <c:pt idx="268">
                  <c:v>1660.857</c:v>
                </c:pt>
                <c:pt idx="269">
                  <c:v>1663.2570000000001</c:v>
                </c:pt>
                <c:pt idx="270">
                  <c:v>1666.9079999999999</c:v>
                </c:pt>
                <c:pt idx="271">
                  <c:v>1686.402</c:v>
                </c:pt>
                <c:pt idx="272">
                  <c:v>1688.105</c:v>
                </c:pt>
                <c:pt idx="273">
                  <c:v>1692.096</c:v>
                </c:pt>
                <c:pt idx="274">
                  <c:v>1693.64</c:v>
                </c:pt>
                <c:pt idx="275">
                  <c:v>1700.982</c:v>
                </c:pt>
                <c:pt idx="276">
                  <c:v>1701.133</c:v>
                </c:pt>
                <c:pt idx="277">
                  <c:v>1713.537</c:v>
                </c:pt>
                <c:pt idx="278">
                  <c:v>1717.67</c:v>
                </c:pt>
                <c:pt idx="279">
                  <c:v>1720.1189999999999</c:v>
                </c:pt>
                <c:pt idx="280">
                  <c:v>1738.673</c:v>
                </c:pt>
                <c:pt idx="281">
                  <c:v>1741.722</c:v>
                </c:pt>
                <c:pt idx="282">
                  <c:v>1748.4749999999999</c:v>
                </c:pt>
                <c:pt idx="283">
                  <c:v>1748.867</c:v>
                </c:pt>
                <c:pt idx="284">
                  <c:v>1755.2349999999999</c:v>
                </c:pt>
                <c:pt idx="285">
                  <c:v>1755.2439999999999</c:v>
                </c:pt>
                <c:pt idx="286">
                  <c:v>1766.07</c:v>
                </c:pt>
                <c:pt idx="287">
                  <c:v>1771.6389999999999</c:v>
                </c:pt>
                <c:pt idx="288">
                  <c:v>1773.8879999999999</c:v>
                </c:pt>
                <c:pt idx="289">
                  <c:v>1791.0740000000001</c:v>
                </c:pt>
                <c:pt idx="290">
                  <c:v>1794.713</c:v>
                </c:pt>
                <c:pt idx="291">
                  <c:v>1805.02</c:v>
                </c:pt>
                <c:pt idx="292">
                  <c:v>1805.8710000000001</c:v>
                </c:pt>
                <c:pt idx="293">
                  <c:v>1808.5830000000001</c:v>
                </c:pt>
                <c:pt idx="294">
                  <c:v>1809.4469999999999</c:v>
                </c:pt>
                <c:pt idx="295">
                  <c:v>1819.8219999999999</c:v>
                </c:pt>
                <c:pt idx="296">
                  <c:v>1826.442</c:v>
                </c:pt>
                <c:pt idx="297">
                  <c:v>1828.6089999999999</c:v>
                </c:pt>
              </c:numCache>
            </c:numRef>
          </c:xVal>
          <c:yVal>
            <c:numRef>
              <c:f>intermediate_data!$T$2:$T$299</c:f>
              <c:numCache>
                <c:formatCode>General</c:formatCode>
                <c:ptCount val="298"/>
                <c:pt idx="0">
                  <c:v>1.3393853709353643E-3</c:v>
                </c:pt>
                <c:pt idx="1">
                  <c:v>1.3382899628253675E-3</c:v>
                </c:pt>
                <c:pt idx="2">
                  <c:v>1.2555607106035094E-3</c:v>
                </c:pt>
                <c:pt idx="3">
                  <c:v>1.1545304206972418E-3</c:v>
                </c:pt>
                <c:pt idx="4">
                  <c:v>1.1077611021708123E-3</c:v>
                </c:pt>
                <c:pt idx="5">
                  <c:v>9.9281774268034084E-4</c:v>
                </c:pt>
                <c:pt idx="6">
                  <c:v>9.8125919256397687E-4</c:v>
                </c:pt>
                <c:pt idx="7">
                  <c:v>9.3941296019806053E-4</c:v>
                </c:pt>
                <c:pt idx="8">
                  <c:v>8.0713177553293214E-4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27-43D6-9656-5E17AC81F88D}"/>
            </c:ext>
          </c:extLst>
        </c:ser>
        <c:ser>
          <c:idx val="1"/>
          <c:order val="1"/>
          <c:tx>
            <c:strRef>
              <c:f>race_data!$F$1</c:f>
              <c:strCache>
                <c:ptCount val="1"/>
                <c:pt idx="0">
                  <c:v>InigoM</c:v>
                </c:pt>
              </c:strCache>
            </c:strRef>
          </c:tx>
          <c:marker>
            <c:symbol val="none"/>
          </c:marker>
          <c:xVal>
            <c:numRef>
              <c:f>intermediate_data!$A$2:$A$299</c:f>
              <c:numCache>
                <c:formatCode>General</c:formatCode>
                <c:ptCount val="298"/>
                <c:pt idx="0">
                  <c:v>53.683999999999997</c:v>
                </c:pt>
                <c:pt idx="1">
                  <c:v>53.756</c:v>
                </c:pt>
                <c:pt idx="2">
                  <c:v>54.529000000000003</c:v>
                </c:pt>
                <c:pt idx="3">
                  <c:v>55.472999999999999</c:v>
                </c:pt>
                <c:pt idx="4">
                  <c:v>55.91</c:v>
                </c:pt>
                <c:pt idx="5">
                  <c:v>56.984000000000002</c:v>
                </c:pt>
                <c:pt idx="6">
                  <c:v>57.091999999999999</c:v>
                </c:pt>
                <c:pt idx="7">
                  <c:v>57.482999999999997</c:v>
                </c:pt>
                <c:pt idx="8">
                  <c:v>58.719000000000001</c:v>
                </c:pt>
                <c:pt idx="9">
                  <c:v>107.248</c:v>
                </c:pt>
                <c:pt idx="10">
                  <c:v>107.48399999999999</c:v>
                </c:pt>
                <c:pt idx="11">
                  <c:v>109.506</c:v>
                </c:pt>
                <c:pt idx="12">
                  <c:v>111.09399999999999</c:v>
                </c:pt>
                <c:pt idx="13">
                  <c:v>111.527</c:v>
                </c:pt>
                <c:pt idx="14">
                  <c:v>112.53</c:v>
                </c:pt>
                <c:pt idx="15">
                  <c:v>113.36199999999999</c:v>
                </c:pt>
                <c:pt idx="16">
                  <c:v>113.758</c:v>
                </c:pt>
                <c:pt idx="17">
                  <c:v>115.387</c:v>
                </c:pt>
                <c:pt idx="18">
                  <c:v>160.595</c:v>
                </c:pt>
                <c:pt idx="19">
                  <c:v>160.697</c:v>
                </c:pt>
                <c:pt idx="20">
                  <c:v>163.79</c:v>
                </c:pt>
                <c:pt idx="21">
                  <c:v>166.34</c:v>
                </c:pt>
                <c:pt idx="22">
                  <c:v>166.87200000000001</c:v>
                </c:pt>
                <c:pt idx="23">
                  <c:v>167.84800000000001</c:v>
                </c:pt>
                <c:pt idx="24">
                  <c:v>169.19900000000001</c:v>
                </c:pt>
                <c:pt idx="25">
                  <c:v>170.291</c:v>
                </c:pt>
                <c:pt idx="26">
                  <c:v>171.417</c:v>
                </c:pt>
                <c:pt idx="27">
                  <c:v>214.05799999999999</c:v>
                </c:pt>
                <c:pt idx="28">
                  <c:v>214.31100000000001</c:v>
                </c:pt>
                <c:pt idx="29">
                  <c:v>217.57599999999999</c:v>
                </c:pt>
                <c:pt idx="30">
                  <c:v>221.208</c:v>
                </c:pt>
                <c:pt idx="31">
                  <c:v>222.99600000000001</c:v>
                </c:pt>
                <c:pt idx="32">
                  <c:v>223.346</c:v>
                </c:pt>
                <c:pt idx="33">
                  <c:v>224.792</c:v>
                </c:pt>
                <c:pt idx="34">
                  <c:v>227.23699999999999</c:v>
                </c:pt>
                <c:pt idx="35">
                  <c:v>227.387</c:v>
                </c:pt>
                <c:pt idx="36">
                  <c:v>267.20299999999997</c:v>
                </c:pt>
                <c:pt idx="37">
                  <c:v>267.286</c:v>
                </c:pt>
                <c:pt idx="38">
                  <c:v>271.62</c:v>
                </c:pt>
                <c:pt idx="39">
                  <c:v>276.245</c:v>
                </c:pt>
                <c:pt idx="40">
                  <c:v>278.11500000000001</c:v>
                </c:pt>
                <c:pt idx="41">
                  <c:v>278.77100000000002</c:v>
                </c:pt>
                <c:pt idx="42">
                  <c:v>280.43099999999998</c:v>
                </c:pt>
                <c:pt idx="43">
                  <c:v>283.97699999999998</c:v>
                </c:pt>
                <c:pt idx="44">
                  <c:v>284.36900000000003</c:v>
                </c:pt>
                <c:pt idx="45">
                  <c:v>319.94</c:v>
                </c:pt>
                <c:pt idx="46">
                  <c:v>320.41699999999997</c:v>
                </c:pt>
                <c:pt idx="47">
                  <c:v>325.77699999999999</c:v>
                </c:pt>
                <c:pt idx="48">
                  <c:v>331.447</c:v>
                </c:pt>
                <c:pt idx="49">
                  <c:v>333.30500000000001</c:v>
                </c:pt>
                <c:pt idx="50">
                  <c:v>333.83100000000002</c:v>
                </c:pt>
                <c:pt idx="51">
                  <c:v>335.64</c:v>
                </c:pt>
                <c:pt idx="52">
                  <c:v>340.83300000000003</c:v>
                </c:pt>
                <c:pt idx="53">
                  <c:v>341.09199999999998</c:v>
                </c:pt>
                <c:pt idx="54">
                  <c:v>372.53500000000003</c:v>
                </c:pt>
                <c:pt idx="55">
                  <c:v>373.22</c:v>
                </c:pt>
                <c:pt idx="56">
                  <c:v>380.05599999999998</c:v>
                </c:pt>
                <c:pt idx="57">
                  <c:v>386.74900000000002</c:v>
                </c:pt>
                <c:pt idx="58">
                  <c:v>388.19299999999998</c:v>
                </c:pt>
                <c:pt idx="59">
                  <c:v>388.30299999999988</c:v>
                </c:pt>
                <c:pt idx="60">
                  <c:v>391.55099999999999</c:v>
                </c:pt>
                <c:pt idx="61">
                  <c:v>397.34199999999998</c:v>
                </c:pt>
                <c:pt idx="62">
                  <c:v>397.60199999999998</c:v>
                </c:pt>
                <c:pt idx="63">
                  <c:v>425.07600000000002</c:v>
                </c:pt>
                <c:pt idx="64">
                  <c:v>426.26299999999998</c:v>
                </c:pt>
                <c:pt idx="65">
                  <c:v>434.23099999999999</c:v>
                </c:pt>
                <c:pt idx="66">
                  <c:v>442.30500000000001</c:v>
                </c:pt>
                <c:pt idx="67">
                  <c:v>442.87700000000001</c:v>
                </c:pt>
                <c:pt idx="68">
                  <c:v>443.70699999999999</c:v>
                </c:pt>
                <c:pt idx="69">
                  <c:v>447.20600000000002</c:v>
                </c:pt>
                <c:pt idx="70">
                  <c:v>453.82100000000003</c:v>
                </c:pt>
                <c:pt idx="71">
                  <c:v>454.59500000000003</c:v>
                </c:pt>
                <c:pt idx="72">
                  <c:v>477.66599999999988</c:v>
                </c:pt>
                <c:pt idx="73">
                  <c:v>479.28800000000001</c:v>
                </c:pt>
                <c:pt idx="74">
                  <c:v>488.19099999999997</c:v>
                </c:pt>
                <c:pt idx="75">
                  <c:v>497.56099999999998</c:v>
                </c:pt>
                <c:pt idx="76">
                  <c:v>497.72300000000001</c:v>
                </c:pt>
                <c:pt idx="77">
                  <c:v>498.91699999999997</c:v>
                </c:pt>
                <c:pt idx="78">
                  <c:v>502.58499999999998</c:v>
                </c:pt>
                <c:pt idx="79">
                  <c:v>509.87099999999998</c:v>
                </c:pt>
                <c:pt idx="80">
                  <c:v>511.53800000000001</c:v>
                </c:pt>
                <c:pt idx="81">
                  <c:v>530.65299999999991</c:v>
                </c:pt>
                <c:pt idx="82">
                  <c:v>532.33299999999997</c:v>
                </c:pt>
                <c:pt idx="83">
                  <c:v>541.52099999999996</c:v>
                </c:pt>
                <c:pt idx="84">
                  <c:v>551.93500000000006</c:v>
                </c:pt>
                <c:pt idx="85">
                  <c:v>552.71499999999992</c:v>
                </c:pt>
                <c:pt idx="86">
                  <c:v>553.38400000000001</c:v>
                </c:pt>
                <c:pt idx="87">
                  <c:v>558.18000000000006</c:v>
                </c:pt>
                <c:pt idx="88">
                  <c:v>566.23699999999997</c:v>
                </c:pt>
                <c:pt idx="89">
                  <c:v>569.47499999999991</c:v>
                </c:pt>
                <c:pt idx="90">
                  <c:v>583.65299999999991</c:v>
                </c:pt>
                <c:pt idx="91">
                  <c:v>585.43899999999996</c:v>
                </c:pt>
                <c:pt idx="92">
                  <c:v>594.96499999999992</c:v>
                </c:pt>
                <c:pt idx="93">
                  <c:v>606.97200000000009</c:v>
                </c:pt>
                <c:pt idx="94">
                  <c:v>607.32999999999993</c:v>
                </c:pt>
                <c:pt idx="95">
                  <c:v>608.36599999999999</c:v>
                </c:pt>
                <c:pt idx="96">
                  <c:v>613.03800000000001</c:v>
                </c:pt>
                <c:pt idx="97">
                  <c:v>621.69099999999992</c:v>
                </c:pt>
                <c:pt idx="98">
                  <c:v>625.02299999999991</c:v>
                </c:pt>
                <c:pt idx="99">
                  <c:v>636.24399999999991</c:v>
                </c:pt>
                <c:pt idx="100">
                  <c:v>638.471</c:v>
                </c:pt>
                <c:pt idx="101">
                  <c:v>648.21699999999987</c:v>
                </c:pt>
                <c:pt idx="102">
                  <c:v>661.52299999999991</c:v>
                </c:pt>
                <c:pt idx="103">
                  <c:v>661.65100000000007</c:v>
                </c:pt>
                <c:pt idx="104">
                  <c:v>663.02</c:v>
                </c:pt>
                <c:pt idx="105">
                  <c:v>668.73</c:v>
                </c:pt>
                <c:pt idx="106">
                  <c:v>677.15299999999991</c:v>
                </c:pt>
                <c:pt idx="107">
                  <c:v>680.47199999999987</c:v>
                </c:pt>
                <c:pt idx="108">
                  <c:v>688.80799999999988</c:v>
                </c:pt>
                <c:pt idx="109">
                  <c:v>691.47199999999998</c:v>
                </c:pt>
                <c:pt idx="110">
                  <c:v>701.5089999999999</c:v>
                </c:pt>
                <c:pt idx="111">
                  <c:v>716.07599999999991</c:v>
                </c:pt>
                <c:pt idx="112">
                  <c:v>716.20200000000011</c:v>
                </c:pt>
                <c:pt idx="113">
                  <c:v>717.66599999999994</c:v>
                </c:pt>
                <c:pt idx="114">
                  <c:v>724.04100000000005</c:v>
                </c:pt>
                <c:pt idx="115">
                  <c:v>733.63499999999988</c:v>
                </c:pt>
                <c:pt idx="116">
                  <c:v>737.13299999999981</c:v>
                </c:pt>
                <c:pt idx="117">
                  <c:v>741.71299999999985</c:v>
                </c:pt>
                <c:pt idx="118">
                  <c:v>744.25900000000001</c:v>
                </c:pt>
                <c:pt idx="119">
                  <c:v>754.44999999999993</c:v>
                </c:pt>
                <c:pt idx="120">
                  <c:v>770.65599999999995</c:v>
                </c:pt>
                <c:pt idx="121">
                  <c:v>770.76300000000015</c:v>
                </c:pt>
                <c:pt idx="122">
                  <c:v>772.13699999999994</c:v>
                </c:pt>
                <c:pt idx="123">
                  <c:v>779.18400000000008</c:v>
                </c:pt>
                <c:pt idx="124">
                  <c:v>789.3359999999999</c:v>
                </c:pt>
                <c:pt idx="125">
                  <c:v>794.03099999999984</c:v>
                </c:pt>
                <c:pt idx="126">
                  <c:v>794.50299999999982</c:v>
                </c:pt>
                <c:pt idx="127">
                  <c:v>797.92899999999997</c:v>
                </c:pt>
                <c:pt idx="128">
                  <c:v>808.10399999999993</c:v>
                </c:pt>
                <c:pt idx="129">
                  <c:v>825.70099999999991</c:v>
                </c:pt>
                <c:pt idx="130">
                  <c:v>826.44900000000018</c:v>
                </c:pt>
                <c:pt idx="131">
                  <c:v>826.54</c:v>
                </c:pt>
                <c:pt idx="132">
                  <c:v>834.33500000000004</c:v>
                </c:pt>
                <c:pt idx="133">
                  <c:v>845.66899999999987</c:v>
                </c:pt>
                <c:pt idx="134">
                  <c:v>846.68199999999979</c:v>
                </c:pt>
                <c:pt idx="135">
                  <c:v>850.2489999999998</c:v>
                </c:pt>
                <c:pt idx="136">
                  <c:v>851.06</c:v>
                </c:pt>
                <c:pt idx="137">
                  <c:v>862.00699999999995</c:v>
                </c:pt>
                <c:pt idx="138">
                  <c:v>879.50599999999986</c:v>
                </c:pt>
                <c:pt idx="139">
                  <c:v>880.33399999999995</c:v>
                </c:pt>
                <c:pt idx="140">
                  <c:v>880.38000000000022</c:v>
                </c:pt>
                <c:pt idx="141">
                  <c:v>889.13300000000004</c:v>
                </c:pt>
                <c:pt idx="142">
                  <c:v>899.13499999999976</c:v>
                </c:pt>
                <c:pt idx="143">
                  <c:v>902.08499999999981</c:v>
                </c:pt>
                <c:pt idx="144">
                  <c:v>903.89799999999991</c:v>
                </c:pt>
                <c:pt idx="145">
                  <c:v>905.23399999999981</c:v>
                </c:pt>
                <c:pt idx="146">
                  <c:v>914.92899999999997</c:v>
                </c:pt>
                <c:pt idx="147">
                  <c:v>933.46699999999987</c:v>
                </c:pt>
                <c:pt idx="148">
                  <c:v>934.0619999999999</c:v>
                </c:pt>
                <c:pt idx="149">
                  <c:v>934.23800000000017</c:v>
                </c:pt>
                <c:pt idx="150">
                  <c:v>944.41399999999999</c:v>
                </c:pt>
                <c:pt idx="151">
                  <c:v>951.75499999999977</c:v>
                </c:pt>
                <c:pt idx="152">
                  <c:v>956.57899999999995</c:v>
                </c:pt>
                <c:pt idx="153">
                  <c:v>959.00699999999983</c:v>
                </c:pt>
                <c:pt idx="154">
                  <c:v>960.36199999999985</c:v>
                </c:pt>
                <c:pt idx="155">
                  <c:v>968.27699999999993</c:v>
                </c:pt>
                <c:pt idx="156">
                  <c:v>987.40599999999984</c:v>
                </c:pt>
                <c:pt idx="157">
                  <c:v>988.2829999999999</c:v>
                </c:pt>
                <c:pt idx="158">
                  <c:v>988.29300000000012</c:v>
                </c:pt>
                <c:pt idx="159">
                  <c:v>1000.082</c:v>
                </c:pt>
                <c:pt idx="160">
                  <c:v>1004.273</c:v>
                </c:pt>
                <c:pt idx="161">
                  <c:v>1009.982</c:v>
                </c:pt>
                <c:pt idx="162">
                  <c:v>1015.061</c:v>
                </c:pt>
                <c:pt idx="163">
                  <c:v>1017.0119999999999</c:v>
                </c:pt>
                <c:pt idx="164">
                  <c:v>1022.78</c:v>
                </c:pt>
                <c:pt idx="165">
                  <c:v>1041.758</c:v>
                </c:pt>
                <c:pt idx="166">
                  <c:v>1041.9860000000001</c:v>
                </c:pt>
                <c:pt idx="167">
                  <c:v>1042.5309999999999</c:v>
                </c:pt>
                <c:pt idx="168">
                  <c:v>1055.546</c:v>
                </c:pt>
                <c:pt idx="169">
                  <c:v>1056.577</c:v>
                </c:pt>
                <c:pt idx="170">
                  <c:v>1062.8579999999999</c:v>
                </c:pt>
                <c:pt idx="171">
                  <c:v>1072.2570000000001</c:v>
                </c:pt>
                <c:pt idx="172">
                  <c:v>1074.1559999999999</c:v>
                </c:pt>
                <c:pt idx="173">
                  <c:v>1078.1659999999999</c:v>
                </c:pt>
                <c:pt idx="174">
                  <c:v>1095.5119999999999</c:v>
                </c:pt>
                <c:pt idx="175">
                  <c:v>1095.8789999999999</c:v>
                </c:pt>
                <c:pt idx="176">
                  <c:v>1097.713</c:v>
                </c:pt>
                <c:pt idx="177">
                  <c:v>1108.8510000000001</c:v>
                </c:pt>
                <c:pt idx="178">
                  <c:v>1112.067</c:v>
                </c:pt>
                <c:pt idx="179">
                  <c:v>1115.752</c:v>
                </c:pt>
                <c:pt idx="180">
                  <c:v>1127.6790000000001</c:v>
                </c:pt>
                <c:pt idx="181">
                  <c:v>1129.2570000000001</c:v>
                </c:pt>
                <c:pt idx="182">
                  <c:v>1131.1469999999999</c:v>
                </c:pt>
                <c:pt idx="183">
                  <c:v>1149.9880000000001</c:v>
                </c:pt>
                <c:pt idx="184">
                  <c:v>1150.1880000000001</c:v>
                </c:pt>
                <c:pt idx="185">
                  <c:v>1152.442</c:v>
                </c:pt>
                <c:pt idx="186">
                  <c:v>1161.1489999999999</c:v>
                </c:pt>
                <c:pt idx="187">
                  <c:v>1167.48</c:v>
                </c:pt>
                <c:pt idx="188">
                  <c:v>1168.566</c:v>
                </c:pt>
                <c:pt idx="189">
                  <c:v>1183.204</c:v>
                </c:pt>
                <c:pt idx="190">
                  <c:v>1183.8610000000001</c:v>
                </c:pt>
                <c:pt idx="191">
                  <c:v>1184.771</c:v>
                </c:pt>
                <c:pt idx="192">
                  <c:v>1203.7750000000001</c:v>
                </c:pt>
                <c:pt idx="193">
                  <c:v>1204.1310000000001</c:v>
                </c:pt>
                <c:pt idx="194">
                  <c:v>1206.932</c:v>
                </c:pt>
                <c:pt idx="195">
                  <c:v>1213.0440000000001</c:v>
                </c:pt>
                <c:pt idx="196">
                  <c:v>1221.4059999999999</c:v>
                </c:pt>
                <c:pt idx="197">
                  <c:v>1222.7739999999999</c:v>
                </c:pt>
                <c:pt idx="198">
                  <c:v>1236.6559999999999</c:v>
                </c:pt>
                <c:pt idx="199">
                  <c:v>1239.4690000000001</c:v>
                </c:pt>
                <c:pt idx="200">
                  <c:v>1242.714999999999</c:v>
                </c:pt>
                <c:pt idx="201">
                  <c:v>1258.1849999999999</c:v>
                </c:pt>
                <c:pt idx="202">
                  <c:v>1258.5820000000001</c:v>
                </c:pt>
                <c:pt idx="203">
                  <c:v>1262.6769999999999</c:v>
                </c:pt>
                <c:pt idx="204">
                  <c:v>1264.9359999999999</c:v>
                </c:pt>
                <c:pt idx="205">
                  <c:v>1274.2059999999999</c:v>
                </c:pt>
                <c:pt idx="206">
                  <c:v>1278.5029999999999</c:v>
                </c:pt>
                <c:pt idx="207">
                  <c:v>1289.8050000000001</c:v>
                </c:pt>
                <c:pt idx="208">
                  <c:v>1295.049</c:v>
                </c:pt>
                <c:pt idx="209">
                  <c:v>1298.196999999999</c:v>
                </c:pt>
                <c:pt idx="210">
                  <c:v>1311.886</c:v>
                </c:pt>
                <c:pt idx="211">
                  <c:v>1312.077</c:v>
                </c:pt>
                <c:pt idx="212">
                  <c:v>1316.857</c:v>
                </c:pt>
                <c:pt idx="213">
                  <c:v>1316.8969999999999</c:v>
                </c:pt>
                <c:pt idx="214">
                  <c:v>1327.0650000000001</c:v>
                </c:pt>
                <c:pt idx="215">
                  <c:v>1334.078</c:v>
                </c:pt>
                <c:pt idx="216">
                  <c:v>1343.328</c:v>
                </c:pt>
                <c:pt idx="217">
                  <c:v>1353.5630000000001</c:v>
                </c:pt>
                <c:pt idx="218">
                  <c:v>1355.049999999999</c:v>
                </c:pt>
                <c:pt idx="219">
                  <c:v>1365.2909999999999</c:v>
                </c:pt>
                <c:pt idx="220">
                  <c:v>1371.1030000000001</c:v>
                </c:pt>
                <c:pt idx="221">
                  <c:v>1371.922</c:v>
                </c:pt>
                <c:pt idx="222">
                  <c:v>1380.578</c:v>
                </c:pt>
                <c:pt idx="223">
                  <c:v>1390.499</c:v>
                </c:pt>
                <c:pt idx="224">
                  <c:v>1396.672</c:v>
                </c:pt>
                <c:pt idx="225">
                  <c:v>1400.73</c:v>
                </c:pt>
                <c:pt idx="226">
                  <c:v>1409.2739999999999</c:v>
                </c:pt>
                <c:pt idx="227">
                  <c:v>1411.327</c:v>
                </c:pt>
                <c:pt idx="228">
                  <c:v>1418.57</c:v>
                </c:pt>
                <c:pt idx="229">
                  <c:v>1423.5709999999999</c:v>
                </c:pt>
                <c:pt idx="230">
                  <c:v>1426.067</c:v>
                </c:pt>
                <c:pt idx="231">
                  <c:v>1433.5509999999999</c:v>
                </c:pt>
                <c:pt idx="232">
                  <c:v>1445.6969999999999</c:v>
                </c:pt>
                <c:pt idx="233">
                  <c:v>1449.5250000000001</c:v>
                </c:pt>
                <c:pt idx="234">
                  <c:v>1454.1659999999999</c:v>
                </c:pt>
                <c:pt idx="235">
                  <c:v>1464.6569999999999</c:v>
                </c:pt>
                <c:pt idx="236">
                  <c:v>1466.481</c:v>
                </c:pt>
                <c:pt idx="237">
                  <c:v>1472.396</c:v>
                </c:pt>
                <c:pt idx="238">
                  <c:v>1476.029</c:v>
                </c:pt>
                <c:pt idx="239">
                  <c:v>1481.104</c:v>
                </c:pt>
                <c:pt idx="240">
                  <c:v>1486.4649999999999</c:v>
                </c:pt>
                <c:pt idx="241">
                  <c:v>1500.1189999999999</c:v>
                </c:pt>
                <c:pt idx="242">
                  <c:v>1502.5119999999999</c:v>
                </c:pt>
                <c:pt idx="243">
                  <c:v>1507.4490000000001</c:v>
                </c:pt>
                <c:pt idx="244">
                  <c:v>1521.09</c:v>
                </c:pt>
                <c:pt idx="245">
                  <c:v>1525.5940000000001</c:v>
                </c:pt>
                <c:pt idx="246">
                  <c:v>1527.826</c:v>
                </c:pt>
                <c:pt idx="247">
                  <c:v>1529.7850000000001</c:v>
                </c:pt>
                <c:pt idx="248">
                  <c:v>1535.702</c:v>
                </c:pt>
                <c:pt idx="249">
                  <c:v>1539.453</c:v>
                </c:pt>
                <c:pt idx="250">
                  <c:v>1554.7650000000001</c:v>
                </c:pt>
                <c:pt idx="251">
                  <c:v>1555.56</c:v>
                </c:pt>
                <c:pt idx="252">
                  <c:v>1560.393</c:v>
                </c:pt>
                <c:pt idx="253">
                  <c:v>1578.941</c:v>
                </c:pt>
                <c:pt idx="254">
                  <c:v>1581.6189999999999</c:v>
                </c:pt>
                <c:pt idx="255">
                  <c:v>1582.057</c:v>
                </c:pt>
                <c:pt idx="256">
                  <c:v>1582.367</c:v>
                </c:pt>
                <c:pt idx="257">
                  <c:v>1590.6369999999999</c:v>
                </c:pt>
                <c:pt idx="258">
                  <c:v>1593.943</c:v>
                </c:pt>
                <c:pt idx="259">
                  <c:v>1608.1479999999999</c:v>
                </c:pt>
                <c:pt idx="260">
                  <c:v>1609.2860000000001</c:v>
                </c:pt>
                <c:pt idx="261">
                  <c:v>1613.3009999999999</c:v>
                </c:pt>
                <c:pt idx="262">
                  <c:v>1634.2470000000001</c:v>
                </c:pt>
                <c:pt idx="263">
                  <c:v>1634.453</c:v>
                </c:pt>
                <c:pt idx="264">
                  <c:v>1635.501</c:v>
                </c:pt>
                <c:pt idx="265">
                  <c:v>1637.64</c:v>
                </c:pt>
                <c:pt idx="266">
                  <c:v>1646.942</c:v>
                </c:pt>
                <c:pt idx="267">
                  <c:v>1648.1289999999999</c:v>
                </c:pt>
                <c:pt idx="268">
                  <c:v>1660.857</c:v>
                </c:pt>
                <c:pt idx="269">
                  <c:v>1663.2570000000001</c:v>
                </c:pt>
                <c:pt idx="270">
                  <c:v>1666.9079999999999</c:v>
                </c:pt>
                <c:pt idx="271">
                  <c:v>1686.402</c:v>
                </c:pt>
                <c:pt idx="272">
                  <c:v>1688.105</c:v>
                </c:pt>
                <c:pt idx="273">
                  <c:v>1692.096</c:v>
                </c:pt>
                <c:pt idx="274">
                  <c:v>1693.64</c:v>
                </c:pt>
                <c:pt idx="275">
                  <c:v>1700.982</c:v>
                </c:pt>
                <c:pt idx="276">
                  <c:v>1701.133</c:v>
                </c:pt>
                <c:pt idx="277">
                  <c:v>1713.537</c:v>
                </c:pt>
                <c:pt idx="278">
                  <c:v>1717.67</c:v>
                </c:pt>
                <c:pt idx="279">
                  <c:v>1720.1189999999999</c:v>
                </c:pt>
                <c:pt idx="280">
                  <c:v>1738.673</c:v>
                </c:pt>
                <c:pt idx="281">
                  <c:v>1741.722</c:v>
                </c:pt>
                <c:pt idx="282">
                  <c:v>1748.4749999999999</c:v>
                </c:pt>
                <c:pt idx="283">
                  <c:v>1748.867</c:v>
                </c:pt>
                <c:pt idx="284">
                  <c:v>1755.2349999999999</c:v>
                </c:pt>
                <c:pt idx="285">
                  <c:v>1755.2439999999999</c:v>
                </c:pt>
                <c:pt idx="286">
                  <c:v>1766.07</c:v>
                </c:pt>
                <c:pt idx="287">
                  <c:v>1771.6389999999999</c:v>
                </c:pt>
                <c:pt idx="288">
                  <c:v>1773.8879999999999</c:v>
                </c:pt>
                <c:pt idx="289">
                  <c:v>1791.0740000000001</c:v>
                </c:pt>
                <c:pt idx="290">
                  <c:v>1794.713</c:v>
                </c:pt>
                <c:pt idx="291">
                  <c:v>1805.02</c:v>
                </c:pt>
                <c:pt idx="292">
                  <c:v>1805.8710000000001</c:v>
                </c:pt>
                <c:pt idx="293">
                  <c:v>1808.5830000000001</c:v>
                </c:pt>
                <c:pt idx="294">
                  <c:v>1809.4469999999999</c:v>
                </c:pt>
                <c:pt idx="295">
                  <c:v>1819.8219999999999</c:v>
                </c:pt>
                <c:pt idx="296">
                  <c:v>1826.442</c:v>
                </c:pt>
                <c:pt idx="297">
                  <c:v>1828.6089999999999</c:v>
                </c:pt>
              </c:numCache>
            </c:numRef>
          </c:xVal>
          <c:yVal>
            <c:numRef>
              <c:f>intermediate_data!$U$2:$U$299</c:f>
              <c:numCache>
                <c:formatCode>General</c:formatCode>
                <c:ptCount val="2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4.3866171003719145E-3</c:v>
                </c:pt>
                <c:pt idx="10">
                  <c:v>4.4238663842390835E-3</c:v>
                </c:pt>
                <c:pt idx="11">
                  <c:v>4.3284202805984329E-3</c:v>
                </c:pt>
                <c:pt idx="12">
                  <c:v>4.2534606304589495E-3</c:v>
                </c:pt>
                <c:pt idx="13">
                  <c:v>4.2330213807675321E-3</c:v>
                </c:pt>
                <c:pt idx="14">
                  <c:v>4.185675959426316E-3</c:v>
                </c:pt>
                <c:pt idx="15">
                  <c:v>4.1464023895803059E-3</c:v>
                </c:pt>
                <c:pt idx="16">
                  <c:v>4.1277096808549629E-3</c:v>
                </c:pt>
                <c:pt idx="17">
                  <c:v>4.0508146745095175E-3</c:v>
                </c:pt>
                <c:pt idx="18">
                  <c:v>1.9168248360363904E-3</c:v>
                </c:pt>
                <c:pt idx="19">
                  <c:v>1.9078615116998598E-3</c:v>
                </c:pt>
                <c:pt idx="20">
                  <c:v>2.0708006189145145E-3</c:v>
                </c:pt>
                <c:pt idx="21">
                  <c:v>2.2051345094404873E-3</c:v>
                </c:pt>
                <c:pt idx="22">
                  <c:v>2.2331602466008071E-3</c:v>
                </c:pt>
                <c:pt idx="23">
                  <c:v>2.284575884700768E-3</c:v>
                </c:pt>
                <c:pt idx="24">
                  <c:v>2.3557465067010064E-3</c:v>
                </c:pt>
                <c:pt idx="25">
                  <c:v>2.4132730198203056E-3</c:v>
                </c:pt>
                <c:pt idx="26">
                  <c:v>2.4725906514801999E-3</c:v>
                </c:pt>
                <c:pt idx="27">
                  <c:v>4.718916700861886E-3</c:v>
                </c:pt>
                <c:pt idx="28">
                  <c:v>4.7605607300784669E-3</c:v>
                </c:pt>
                <c:pt idx="29">
                  <c:v>4.5634098454057082E-3</c:v>
                </c:pt>
                <c:pt idx="30">
                  <c:v>4.3440983559328572E-3</c:v>
                </c:pt>
                <c:pt idx="31">
                  <c:v>4.2361333385372291E-3</c:v>
                </c:pt>
                <c:pt idx="32">
                  <c:v>4.2149992467646058E-3</c:v>
                </c:pt>
                <c:pt idx="33">
                  <c:v>4.1276852561873412E-3</c:v>
                </c:pt>
                <c:pt idx="34">
                  <c:v>3.9800485293799426E-3</c:v>
                </c:pt>
                <c:pt idx="35">
                  <c:v>3.9709910614780242E-3</c:v>
                </c:pt>
                <c:pt idx="36">
                  <c:v>1.5667767815017442E-3</c:v>
                </c:pt>
                <c:pt idx="37">
                  <c:v>1.5738475832911547E-3</c:v>
                </c:pt>
                <c:pt idx="38">
                  <c:v>2.1832746207222087E-3</c:v>
                </c:pt>
                <c:pt idx="39">
                  <c:v>2.8336207324244356E-3</c:v>
                </c:pt>
                <c:pt idx="40">
                  <c:v>3.0965714846153958E-3</c:v>
                </c:pt>
                <c:pt idx="41">
                  <c:v>3.1888151709456025E-3</c:v>
                </c:pt>
                <c:pt idx="42">
                  <c:v>3.4222366942815441E-3</c:v>
                </c:pt>
                <c:pt idx="43">
                  <c:v>3.9208588158148316E-3</c:v>
                </c:pt>
                <c:pt idx="44">
                  <c:v>3.9759800430125836E-3</c:v>
                </c:pt>
                <c:pt idx="45">
                  <c:v>8.9778095650370204E-3</c:v>
                </c:pt>
                <c:pt idx="46">
                  <c:v>9.0693031657007595E-3</c:v>
                </c:pt>
                <c:pt idx="47">
                  <c:v>9.4707472546593507E-3</c:v>
                </c:pt>
                <c:pt idx="48">
                  <c:v>9.8954091920475662E-3</c:v>
                </c:pt>
                <c:pt idx="49">
                  <c:v>1.0034566490048746E-2</c:v>
                </c:pt>
                <c:pt idx="50">
                  <c:v>1.0073961936091891E-2</c:v>
                </c:pt>
                <c:pt idx="51">
                  <c:v>1.020944931611556E-2</c:v>
                </c:pt>
                <c:pt idx="52">
                  <c:v>1.0598385725436366E-2</c:v>
                </c:pt>
                <c:pt idx="53">
                  <c:v>1.0617783863317243E-2</c:v>
                </c:pt>
                <c:pt idx="54">
                  <c:v>1.2972747760544578E-2</c:v>
                </c:pt>
                <c:pt idx="55">
                  <c:v>1.3037437429817444E-2</c:v>
                </c:pt>
                <c:pt idx="56">
                  <c:v>1.4268781314833667E-2</c:v>
                </c:pt>
                <c:pt idx="57">
                  <c:v>1.5474367128528677E-2</c:v>
                </c:pt>
                <c:pt idx="58">
                  <c:v>1.5734469610969803E-2</c:v>
                </c:pt>
                <c:pt idx="59">
                  <c:v>1.5754283511985712E-2</c:v>
                </c:pt>
                <c:pt idx="60">
                  <c:v>1.6339333971104431E-2</c:v>
                </c:pt>
                <c:pt idx="61">
                  <c:v>1.7382445796459756E-2</c:v>
                </c:pt>
                <c:pt idx="62">
                  <c:v>1.7429278653409597E-2</c:v>
                </c:pt>
                <c:pt idx="63">
                  <c:v>2.2378070621949853E-2</c:v>
                </c:pt>
                <c:pt idx="64">
                  <c:v>2.2570830956456511E-2</c:v>
                </c:pt>
                <c:pt idx="65">
                  <c:v>2.3813784035075614E-2</c:v>
                </c:pt>
                <c:pt idx="66">
                  <c:v>2.5073272383060896E-2</c:v>
                </c:pt>
                <c:pt idx="67">
                  <c:v>2.5162500440412572E-2</c:v>
                </c:pt>
                <c:pt idx="68">
                  <c:v>2.5291974719435117E-2</c:v>
                </c:pt>
                <c:pt idx="69">
                  <c:v>2.5837794601725861E-2</c:v>
                </c:pt>
                <c:pt idx="70">
                  <c:v>2.6869689006225883E-2</c:v>
                </c:pt>
                <c:pt idx="71">
                  <c:v>2.6990427671242045E-2</c:v>
                </c:pt>
                <c:pt idx="72">
                  <c:v>3.0589344648751293E-2</c:v>
                </c:pt>
                <c:pt idx="73">
                  <c:v>3.0611282012570129E-2</c:v>
                </c:pt>
                <c:pt idx="74">
                  <c:v>3.0794999535730838E-2</c:v>
                </c:pt>
                <c:pt idx="75">
                  <c:v>3.0988353819903836E-2</c:v>
                </c:pt>
                <c:pt idx="76">
                  <c:v>3.0991696764839816E-2</c:v>
                </c:pt>
                <c:pt idx="77">
                  <c:v>3.1016335507134229E-2</c:v>
                </c:pt>
                <c:pt idx="78">
                  <c:v>3.1092026383799265E-2</c:v>
                </c:pt>
                <c:pt idx="79">
                  <c:v>3.1242376364001956E-2</c:v>
                </c:pt>
                <c:pt idx="80">
                  <c:v>3.1276775680087354E-2</c:v>
                </c:pt>
                <c:pt idx="81">
                  <c:v>3.1671222546895805E-2</c:v>
                </c:pt>
                <c:pt idx="82">
                  <c:v>3.1698113207548673E-2</c:v>
                </c:pt>
                <c:pt idx="83">
                  <c:v>3.2044138138818568E-2</c:v>
                </c:pt>
                <c:pt idx="84">
                  <c:v>3.2436334877415263E-2</c:v>
                </c:pt>
                <c:pt idx="85">
                  <c:v>3.2465710089256916E-2</c:v>
                </c:pt>
                <c:pt idx="86">
                  <c:v>3.2490904982489965E-2</c:v>
                </c:pt>
                <c:pt idx="87">
                  <c:v>3.2671524874780644E-2</c:v>
                </c:pt>
                <c:pt idx="88">
                  <c:v>3.2974955748882095E-2</c:v>
                </c:pt>
                <c:pt idx="89">
                  <c:v>3.3096900538547303E-2</c:v>
                </c:pt>
                <c:pt idx="90">
                  <c:v>3.363085150454026E-2</c:v>
                </c:pt>
                <c:pt idx="91">
                  <c:v>3.3960183301326552E-2</c:v>
                </c:pt>
                <c:pt idx="92">
                  <c:v>3.546644256808662E-2</c:v>
                </c:pt>
                <c:pt idx="93">
                  <c:v>3.7364999676631427E-2</c:v>
                </c:pt>
                <c:pt idx="94">
                  <c:v>3.7421606942798391E-2</c:v>
                </c:pt>
                <c:pt idx="95">
                  <c:v>3.758542014879751E-2</c:v>
                </c:pt>
                <c:pt idx="96">
                  <c:v>3.8324160784354078E-2</c:v>
                </c:pt>
                <c:pt idx="97">
                  <c:v>3.9692380544513739E-2</c:v>
                </c:pt>
                <c:pt idx="98">
                  <c:v>4.0219239234083659E-2</c:v>
                </c:pt>
                <c:pt idx="99">
                  <c:v>4.1993513350430334E-2</c:v>
                </c:pt>
                <c:pt idx="100">
                  <c:v>4.2367399741269907E-2</c:v>
                </c:pt>
                <c:pt idx="101">
                  <c:v>4.3896145881818782E-2</c:v>
                </c:pt>
                <c:pt idx="102">
                  <c:v>4.5983309451093746E-2</c:v>
                </c:pt>
                <c:pt idx="103">
                  <c:v>4.6003387381116312E-2</c:v>
                </c:pt>
                <c:pt idx="104">
                  <c:v>4.6218127117048979E-2</c:v>
                </c:pt>
                <c:pt idx="105">
                  <c:v>4.7113791026605512E-2</c:v>
                </c:pt>
                <c:pt idx="106">
                  <c:v>4.8435012937321886E-2</c:v>
                </c:pt>
                <c:pt idx="107">
                  <c:v>4.8955627388430401E-2</c:v>
                </c:pt>
                <c:pt idx="108">
                  <c:v>5.0263202581085409E-2</c:v>
                </c:pt>
                <c:pt idx="109">
                  <c:v>5.0354408846047249E-2</c:v>
                </c:pt>
                <c:pt idx="110">
                  <c:v>4.9930314744740301E-2</c:v>
                </c:pt>
                <c:pt idx="111">
                  <c:v>4.931481421931494E-2</c:v>
                </c:pt>
                <c:pt idx="112">
                  <c:v>4.9309490332021255E-2</c:v>
                </c:pt>
                <c:pt idx="113">
                  <c:v>4.9247631832040284E-2</c:v>
                </c:pt>
                <c:pt idx="114">
                  <c:v>4.8978268486836285E-2</c:v>
                </c:pt>
                <c:pt idx="115">
                  <c:v>4.8572892497205089E-2</c:v>
                </c:pt>
                <c:pt idx="116">
                  <c:v>4.8425091245199781E-2</c:v>
                </c:pt>
                <c:pt idx="117">
                  <c:v>4.8231572167392045E-2</c:v>
                </c:pt>
                <c:pt idx="118">
                  <c:v>4.8663939753051721E-2</c:v>
                </c:pt>
                <c:pt idx="119">
                  <c:v>5.3570879942162364E-2</c:v>
                </c:pt>
                <c:pt idx="120">
                  <c:v>6.137402710188411E-2</c:v>
                </c:pt>
                <c:pt idx="121">
                  <c:v>6.1425547325633545E-2</c:v>
                </c:pt>
                <c:pt idx="122">
                  <c:v>6.2087124778269498E-2</c:v>
                </c:pt>
                <c:pt idx="123">
                  <c:v>6.5480237084489801E-2</c:v>
                </c:pt>
                <c:pt idx="124">
                  <c:v>7.0368398874288474E-2</c:v>
                </c:pt>
                <c:pt idx="125">
                  <c:v>7.2629029252844646E-2</c:v>
                </c:pt>
                <c:pt idx="126">
                  <c:v>7.2799236466877915E-2</c:v>
                </c:pt>
                <c:pt idx="127">
                  <c:v>7.4034681202638453E-2</c:v>
                </c:pt>
                <c:pt idx="128">
                  <c:v>7.5780587940824873E-2</c:v>
                </c:pt>
                <c:pt idx="129">
                  <c:v>7.8800019967541601E-2</c:v>
                </c:pt>
                <c:pt idx="130">
                  <c:v>7.8928367706131652E-2</c:v>
                </c:pt>
                <c:pt idx="131">
                  <c:v>7.8943982203741214E-2</c:v>
                </c:pt>
                <c:pt idx="132">
                  <c:v>8.0281509773683979E-2</c:v>
                </c:pt>
                <c:pt idx="133">
                  <c:v>8.2226286871531329E-2</c:v>
                </c:pt>
                <c:pt idx="134">
                  <c:v>8.2400105399864643E-2</c:v>
                </c:pt>
                <c:pt idx="135">
                  <c:v>8.3267895079488952E-2</c:v>
                </c:pt>
                <c:pt idx="136">
                  <c:v>8.3465197414831493E-2</c:v>
                </c:pt>
                <c:pt idx="137">
                  <c:v>8.4985882003962843E-2</c:v>
                </c:pt>
                <c:pt idx="138">
                  <c:v>8.7416726950078072E-2</c:v>
                </c:pt>
                <c:pt idx="139">
                  <c:v>8.7531747214971034E-2</c:v>
                </c:pt>
                <c:pt idx="140">
                  <c:v>8.7538137229689283E-2</c:v>
                </c:pt>
                <c:pt idx="141">
                  <c:v>8.8754045899520406E-2</c:v>
                </c:pt>
                <c:pt idx="142">
                  <c:v>9.0143457360237988E-2</c:v>
                </c:pt>
                <c:pt idx="143">
                  <c:v>9.0374760376047192E-2</c:v>
                </c:pt>
                <c:pt idx="144">
                  <c:v>9.0516913721021552E-2</c:v>
                </c:pt>
                <c:pt idx="145">
                  <c:v>9.0546312645269467E-2</c:v>
                </c:pt>
                <c:pt idx="146">
                  <c:v>9.075965289270016E-2</c:v>
                </c:pt>
                <c:pt idx="147">
                  <c:v>9.1167584971806548E-2</c:v>
                </c:pt>
                <c:pt idx="148">
                  <c:v>9.1180678055586384E-2</c:v>
                </c:pt>
                <c:pt idx="149">
                  <c:v>9.1184550967760458E-2</c:v>
                </c:pt>
                <c:pt idx="150">
                  <c:v>9.1408475708131931E-2</c:v>
                </c:pt>
                <c:pt idx="151">
                  <c:v>9.1570015755209511E-2</c:v>
                </c:pt>
                <c:pt idx="152">
                  <c:v>9.1854221409807479E-2</c:v>
                </c:pt>
                <c:pt idx="153">
                  <c:v>9.2620379019258792E-2</c:v>
                </c:pt>
                <c:pt idx="154">
                  <c:v>9.3047950502299415E-2</c:v>
                </c:pt>
                <c:pt idx="155">
                  <c:v>9.5545535954869365E-2</c:v>
                </c:pt>
                <c:pt idx="156">
                  <c:v>0.10158170931206811</c:v>
                </c:pt>
                <c:pt idx="157">
                  <c:v>0.10185844746013117</c:v>
                </c:pt>
                <c:pt idx="158">
                  <c:v>0.10186160296923319</c:v>
                </c:pt>
                <c:pt idx="159">
                  <c:v>0.10558163264710529</c:v>
                </c:pt>
                <c:pt idx="160">
                  <c:v>0.10690410651087134</c:v>
                </c:pt>
                <c:pt idx="161">
                  <c:v>0.10915035178954113</c:v>
                </c:pt>
                <c:pt idx="162">
                  <c:v>0.11020081475187382</c:v>
                </c:pt>
                <c:pt idx="163">
                  <c:v>0.11060432986104729</c:v>
                </c:pt>
                <c:pt idx="164">
                  <c:v>0.11179729508387481</c:v>
                </c:pt>
                <c:pt idx="165">
                  <c:v>0.11572241540265793</c:v>
                </c:pt>
                <c:pt idx="166">
                  <c:v>0.11576957144821876</c:v>
                </c:pt>
                <c:pt idx="167">
                  <c:v>0.1158822909430981</c:v>
                </c:pt>
                <c:pt idx="168">
                  <c:v>0.11857411521062033</c:v>
                </c:pt>
                <c:pt idx="169">
                  <c:v>0.11878735153945286</c:v>
                </c:pt>
                <c:pt idx="170">
                  <c:v>0.12015533534836109</c:v>
                </c:pt>
                <c:pt idx="171">
                  <c:v>0.12226290140133855</c:v>
                </c:pt>
                <c:pt idx="172">
                  <c:v>0.12268871988570851</c:v>
                </c:pt>
                <c:pt idx="173">
                  <c:v>0.12358789425239536</c:v>
                </c:pt>
                <c:pt idx="174">
                  <c:v>0.12747744002906813</c:v>
                </c:pt>
                <c:pt idx="175">
                  <c:v>0.12755973354342842</c:v>
                </c:pt>
                <c:pt idx="176">
                  <c:v>0.12797097688220305</c:v>
                </c:pt>
                <c:pt idx="177">
                  <c:v>0.13046848413809187</c:v>
                </c:pt>
                <c:pt idx="178">
                  <c:v>0.13116138453195703</c:v>
                </c:pt>
                <c:pt idx="179">
                  <c:v>0.13195533289992412</c:v>
                </c:pt>
                <c:pt idx="180">
                  <c:v>0.13418349498058646</c:v>
                </c:pt>
                <c:pt idx="181">
                  <c:v>0.13447829164054426</c:v>
                </c:pt>
                <c:pt idx="182">
                  <c:v>0.13483137509258114</c:v>
                </c:pt>
                <c:pt idx="183">
                  <c:v>0.13835118743112318</c:v>
                </c:pt>
                <c:pt idx="184">
                  <c:v>0.13838855075938383</c:v>
                </c:pt>
                <c:pt idx="185">
                  <c:v>0.13880963546884928</c:v>
                </c:pt>
                <c:pt idx="186">
                  <c:v>0.14043624796455845</c:v>
                </c:pt>
                <c:pt idx="187">
                  <c:v>0.14255906834024046</c:v>
                </c:pt>
                <c:pt idx="188">
                  <c:v>0.14292321032855426</c:v>
                </c:pt>
                <c:pt idx="189">
                  <c:v>0.14796779279538086</c:v>
                </c:pt>
                <c:pt idx="190">
                  <c:v>0.14819420970210828</c:v>
                </c:pt>
                <c:pt idx="191">
                  <c:v>0.14850781607216135</c:v>
                </c:pt>
                <c:pt idx="192">
                  <c:v>0.15505701987046194</c:v>
                </c:pt>
                <c:pt idx="193">
                  <c:v>0.15517970543940507</c:v>
                </c:pt>
                <c:pt idx="194">
                  <c:v>0.15614499273886651</c:v>
                </c:pt>
                <c:pt idx="195">
                  <c:v>0.15825132475398007</c:v>
                </c:pt>
                <c:pt idx="196">
                  <c:v>0.1611423726200627</c:v>
                </c:pt>
                <c:pt idx="197">
                  <c:v>0.16159572678921208</c:v>
                </c:pt>
                <c:pt idx="198">
                  <c:v>0.16619621112847938</c:v>
                </c:pt>
                <c:pt idx="199">
                  <c:v>0.16712843720875625</c:v>
                </c:pt>
                <c:pt idx="200">
                  <c:v>0.16820415916274456</c:v>
                </c:pt>
                <c:pt idx="201">
                  <c:v>0.17333090550538088</c:v>
                </c:pt>
                <c:pt idx="202">
                  <c:v>0.17346247100622136</c:v>
                </c:pt>
                <c:pt idx="203">
                  <c:v>0.17481955092044998</c:v>
                </c:pt>
                <c:pt idx="204">
                  <c:v>0.17556818181818556</c:v>
                </c:pt>
                <c:pt idx="205">
                  <c:v>0.17840303304401672</c:v>
                </c:pt>
                <c:pt idx="206">
                  <c:v>0.17980793250864835</c:v>
                </c:pt>
                <c:pt idx="207">
                  <c:v>0.18350310908515866</c:v>
                </c:pt>
                <c:pt idx="208">
                  <c:v>0.18521762916720164</c:v>
                </c:pt>
                <c:pt idx="209">
                  <c:v>0.1862468643346844</c:v>
                </c:pt>
                <c:pt idx="210">
                  <c:v>0.19072246795845516</c:v>
                </c:pt>
                <c:pt idx="211">
                  <c:v>0.19078491520019369</c:v>
                </c:pt>
                <c:pt idx="212">
                  <c:v>0.19234773098817115</c:v>
                </c:pt>
                <c:pt idx="213">
                  <c:v>0.19236080894455299</c:v>
                </c:pt>
                <c:pt idx="214">
                  <c:v>0.18758071062244142</c:v>
                </c:pt>
                <c:pt idx="215">
                  <c:v>0.18590526470321578</c:v>
                </c:pt>
                <c:pt idx="216">
                  <c:v>0.18369538665490026</c:v>
                </c:pt>
                <c:pt idx="217">
                  <c:v>0.18125018645765678</c:v>
                </c:pt>
                <c:pt idx="218">
                  <c:v>0.18089493362978004</c:v>
                </c:pt>
                <c:pt idx="219">
                  <c:v>0.17844829999812362</c:v>
                </c:pt>
                <c:pt idx="220">
                  <c:v>0.17705977986657828</c:v>
                </c:pt>
                <c:pt idx="221">
                  <c:v>0.17736460191948922</c:v>
                </c:pt>
                <c:pt idx="222">
                  <c:v>0.18058626210261863</c:v>
                </c:pt>
                <c:pt idx="223">
                  <c:v>0.18238885538806571</c:v>
                </c:pt>
                <c:pt idx="224">
                  <c:v>0.18351045687491663</c:v>
                </c:pt>
                <c:pt idx="225">
                  <c:v>0.18424777403571824</c:v>
                </c:pt>
                <c:pt idx="226">
                  <c:v>0.18580017369611923</c:v>
                </c:pt>
                <c:pt idx="227">
                  <c:v>0.18617319294972745</c:v>
                </c:pt>
                <c:pt idx="228">
                  <c:v>0.18748920778356393</c:v>
                </c:pt>
                <c:pt idx="229">
                  <c:v>0.18839786306231687</c:v>
                </c:pt>
                <c:pt idx="230">
                  <c:v>0.18886044163571114</c:v>
                </c:pt>
                <c:pt idx="231">
                  <c:v>0.1902474360440749</c:v>
                </c:pt>
                <c:pt idx="232">
                  <c:v>0.19224277093908881</c:v>
                </c:pt>
                <c:pt idx="233">
                  <c:v>0.19287163163216547</c:v>
                </c:pt>
                <c:pt idx="234">
                  <c:v>0.19363405129689326</c:v>
                </c:pt>
                <c:pt idx="235">
                  <c:v>0.19535750415244735</c:v>
                </c:pt>
                <c:pt idx="236">
                  <c:v>0.19565714937297685</c:v>
                </c:pt>
                <c:pt idx="237">
                  <c:v>0.19662886071036922</c:v>
                </c:pt>
                <c:pt idx="238">
                  <c:v>0.1972256869637512</c:v>
                </c:pt>
                <c:pt idx="239">
                  <c:v>0.19572340795184218</c:v>
                </c:pt>
                <c:pt idx="240">
                  <c:v>0.19413646848723687</c:v>
                </c:pt>
                <c:pt idx="241">
                  <c:v>0.19045503765162763</c:v>
                </c:pt>
                <c:pt idx="242">
                  <c:v>0.18980983009416263</c:v>
                </c:pt>
                <c:pt idx="243">
                  <c:v>0.18847870192399796</c:v>
                </c:pt>
                <c:pt idx="244">
                  <c:v>0.18480077618585611</c:v>
                </c:pt>
                <c:pt idx="245">
                  <c:v>0.18358639472375415</c:v>
                </c:pt>
                <c:pt idx="246">
                  <c:v>0.18298459645034626</c:v>
                </c:pt>
                <c:pt idx="247">
                  <c:v>0.18245640522382089</c:v>
                </c:pt>
                <c:pt idx="248">
                  <c:v>0.18331861506268865</c:v>
                </c:pt>
                <c:pt idx="249">
                  <c:v>0.18386520101935844</c:v>
                </c:pt>
                <c:pt idx="250">
                  <c:v>0.19406182448053855</c:v>
                </c:pt>
                <c:pt idx="251">
                  <c:v>0.19459123380993049</c:v>
                </c:pt>
                <c:pt idx="252">
                  <c:v>0.19780964297841663</c:v>
                </c:pt>
                <c:pt idx="253">
                  <c:v>0.21016119548350787</c:v>
                </c:pt>
                <c:pt idx="254">
                  <c:v>0.21194453911131816</c:v>
                </c:pt>
                <c:pt idx="255">
                  <c:v>0.21223621368524803</c:v>
                </c:pt>
                <c:pt idx="256">
                  <c:v>0.21244265002752272</c:v>
                </c:pt>
                <c:pt idx="257">
                  <c:v>0.22007800515978104</c:v>
                </c:pt>
                <c:pt idx="258">
                  <c:v>0.22313030069390649</c:v>
                </c:pt>
                <c:pt idx="259">
                  <c:v>0.23478264961935125</c:v>
                </c:pt>
                <c:pt idx="260">
                  <c:v>0.23571615001197443</c:v>
                </c:pt>
                <c:pt idx="261">
                  <c:v>0.23900965095781501</c:v>
                </c:pt>
                <c:pt idx="262">
                  <c:v>0.25619163621599128</c:v>
                </c:pt>
                <c:pt idx="263">
                  <c:v>0.25633968133770324</c:v>
                </c:pt>
                <c:pt idx="264">
                  <c:v>0.25709284292778634</c:v>
                </c:pt>
                <c:pt idx="265">
                  <c:v>0.25863006873043659</c:v>
                </c:pt>
                <c:pt idx="266">
                  <c:v>0.26531509650803287</c:v>
                </c:pt>
                <c:pt idx="267">
                  <c:v>0.26616815262198656</c:v>
                </c:pt>
                <c:pt idx="268">
                  <c:v>0.26939107611436341</c:v>
                </c:pt>
                <c:pt idx="269">
                  <c:v>0.26999879267484062</c:v>
                </c:pt>
                <c:pt idx="270">
                  <c:v>0.27092328149246114</c:v>
                </c:pt>
                <c:pt idx="271">
                  <c:v>0.27585945925490662</c:v>
                </c:pt>
                <c:pt idx="272">
                  <c:v>0.2762182218695699</c:v>
                </c:pt>
                <c:pt idx="273">
                  <c:v>0.27705898616500946</c:v>
                </c:pt>
                <c:pt idx="274">
                  <c:v>0.27738425303350667</c:v>
                </c:pt>
                <c:pt idx="275">
                  <c:v>0.27893095597940487</c:v>
                </c:pt>
                <c:pt idx="276">
                  <c:v>0.2790369524980747</c:v>
                </c:pt>
                <c:pt idx="277">
                  <c:v>0.28774411022997981</c:v>
                </c:pt>
                <c:pt idx="278">
                  <c:v>0.2906453262011226</c:v>
                </c:pt>
                <c:pt idx="279">
                  <c:v>0.29236443530184886</c:v>
                </c:pt>
                <c:pt idx="280">
                  <c:v>0.30538866978732671</c:v>
                </c:pt>
                <c:pt idx="281">
                  <c:v>0.30738424649165097</c:v>
                </c:pt>
                <c:pt idx="282">
                  <c:v>0.31180409873314119</c:v>
                </c:pt>
                <c:pt idx="283">
                  <c:v>0.31206066353080786</c:v>
                </c:pt>
                <c:pt idx="284">
                  <c:v>0.31622853248887139</c:v>
                </c:pt>
                <c:pt idx="285">
                  <c:v>0.31623442300718807</c:v>
                </c:pt>
                <c:pt idx="286">
                  <c:v>0.31986759884176053</c:v>
                </c:pt>
                <c:pt idx="287">
                  <c:v>0.32173653993013573</c:v>
                </c:pt>
                <c:pt idx="288">
                  <c:v>0.32249129814665167</c:v>
                </c:pt>
                <c:pt idx="289">
                  <c:v>0.3282588724947928</c:v>
                </c:pt>
                <c:pt idx="290">
                  <c:v>0.329114094152267</c:v>
                </c:pt>
                <c:pt idx="291">
                  <c:v>0.33153639962728221</c:v>
                </c:pt>
                <c:pt idx="292">
                  <c:v>0.33173639787694498</c:v>
                </c:pt>
                <c:pt idx="293">
                  <c:v>0.33237376010147557</c:v>
                </c:pt>
                <c:pt idx="294">
                  <c:v>0.33253254237949648</c:v>
                </c:pt>
                <c:pt idx="295">
                  <c:v>0.33443921614622241</c:v>
                </c:pt>
                <c:pt idx="296">
                  <c:v>0.33565581184123516</c:v>
                </c:pt>
                <c:pt idx="297">
                  <c:v>0.33605405396677668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E27-43D6-9656-5E17AC81F88D}"/>
            </c:ext>
          </c:extLst>
        </c:ser>
        <c:ser>
          <c:idx val="2"/>
          <c:order val="2"/>
          <c:tx>
            <c:strRef>
              <c:f>race_data!$K$1</c:f>
              <c:strCache>
                <c:ptCount val="1"/>
                <c:pt idx="0">
                  <c:v>LodeH</c:v>
                </c:pt>
              </c:strCache>
            </c:strRef>
          </c:tx>
          <c:marker>
            <c:symbol val="none"/>
          </c:marker>
          <c:xVal>
            <c:numRef>
              <c:f>intermediate_data!$A$2:$A$299</c:f>
              <c:numCache>
                <c:formatCode>General</c:formatCode>
                <c:ptCount val="298"/>
                <c:pt idx="0">
                  <c:v>53.683999999999997</c:v>
                </c:pt>
                <c:pt idx="1">
                  <c:v>53.756</c:v>
                </c:pt>
                <c:pt idx="2">
                  <c:v>54.529000000000003</c:v>
                </c:pt>
                <c:pt idx="3">
                  <c:v>55.472999999999999</c:v>
                </c:pt>
                <c:pt idx="4">
                  <c:v>55.91</c:v>
                </c:pt>
                <c:pt idx="5">
                  <c:v>56.984000000000002</c:v>
                </c:pt>
                <c:pt idx="6">
                  <c:v>57.091999999999999</c:v>
                </c:pt>
                <c:pt idx="7">
                  <c:v>57.482999999999997</c:v>
                </c:pt>
                <c:pt idx="8">
                  <c:v>58.719000000000001</c:v>
                </c:pt>
                <c:pt idx="9">
                  <c:v>107.248</c:v>
                </c:pt>
                <c:pt idx="10">
                  <c:v>107.48399999999999</c:v>
                </c:pt>
                <c:pt idx="11">
                  <c:v>109.506</c:v>
                </c:pt>
                <c:pt idx="12">
                  <c:v>111.09399999999999</c:v>
                </c:pt>
                <c:pt idx="13">
                  <c:v>111.527</c:v>
                </c:pt>
                <c:pt idx="14">
                  <c:v>112.53</c:v>
                </c:pt>
                <c:pt idx="15">
                  <c:v>113.36199999999999</c:v>
                </c:pt>
                <c:pt idx="16">
                  <c:v>113.758</c:v>
                </c:pt>
                <c:pt idx="17">
                  <c:v>115.387</c:v>
                </c:pt>
                <c:pt idx="18">
                  <c:v>160.595</c:v>
                </c:pt>
                <c:pt idx="19">
                  <c:v>160.697</c:v>
                </c:pt>
                <c:pt idx="20">
                  <c:v>163.79</c:v>
                </c:pt>
                <c:pt idx="21">
                  <c:v>166.34</c:v>
                </c:pt>
                <c:pt idx="22">
                  <c:v>166.87200000000001</c:v>
                </c:pt>
                <c:pt idx="23">
                  <c:v>167.84800000000001</c:v>
                </c:pt>
                <c:pt idx="24">
                  <c:v>169.19900000000001</c:v>
                </c:pt>
                <c:pt idx="25">
                  <c:v>170.291</c:v>
                </c:pt>
                <c:pt idx="26">
                  <c:v>171.417</c:v>
                </c:pt>
                <c:pt idx="27">
                  <c:v>214.05799999999999</c:v>
                </c:pt>
                <c:pt idx="28">
                  <c:v>214.31100000000001</c:v>
                </c:pt>
                <c:pt idx="29">
                  <c:v>217.57599999999999</c:v>
                </c:pt>
                <c:pt idx="30">
                  <c:v>221.208</c:v>
                </c:pt>
                <c:pt idx="31">
                  <c:v>222.99600000000001</c:v>
                </c:pt>
                <c:pt idx="32">
                  <c:v>223.346</c:v>
                </c:pt>
                <c:pt idx="33">
                  <c:v>224.792</c:v>
                </c:pt>
                <c:pt idx="34">
                  <c:v>227.23699999999999</c:v>
                </c:pt>
                <c:pt idx="35">
                  <c:v>227.387</c:v>
                </c:pt>
                <c:pt idx="36">
                  <c:v>267.20299999999997</c:v>
                </c:pt>
                <c:pt idx="37">
                  <c:v>267.286</c:v>
                </c:pt>
                <c:pt idx="38">
                  <c:v>271.62</c:v>
                </c:pt>
                <c:pt idx="39">
                  <c:v>276.245</c:v>
                </c:pt>
                <c:pt idx="40">
                  <c:v>278.11500000000001</c:v>
                </c:pt>
                <c:pt idx="41">
                  <c:v>278.77100000000002</c:v>
                </c:pt>
                <c:pt idx="42">
                  <c:v>280.43099999999998</c:v>
                </c:pt>
                <c:pt idx="43">
                  <c:v>283.97699999999998</c:v>
                </c:pt>
                <c:pt idx="44">
                  <c:v>284.36900000000003</c:v>
                </c:pt>
                <c:pt idx="45">
                  <c:v>319.94</c:v>
                </c:pt>
                <c:pt idx="46">
                  <c:v>320.41699999999997</c:v>
                </c:pt>
                <c:pt idx="47">
                  <c:v>325.77699999999999</c:v>
                </c:pt>
                <c:pt idx="48">
                  <c:v>331.447</c:v>
                </c:pt>
                <c:pt idx="49">
                  <c:v>333.30500000000001</c:v>
                </c:pt>
                <c:pt idx="50">
                  <c:v>333.83100000000002</c:v>
                </c:pt>
                <c:pt idx="51">
                  <c:v>335.64</c:v>
                </c:pt>
                <c:pt idx="52">
                  <c:v>340.83300000000003</c:v>
                </c:pt>
                <c:pt idx="53">
                  <c:v>341.09199999999998</c:v>
                </c:pt>
                <c:pt idx="54">
                  <c:v>372.53500000000003</c:v>
                </c:pt>
                <c:pt idx="55">
                  <c:v>373.22</c:v>
                </c:pt>
                <c:pt idx="56">
                  <c:v>380.05599999999998</c:v>
                </c:pt>
                <c:pt idx="57">
                  <c:v>386.74900000000002</c:v>
                </c:pt>
                <c:pt idx="58">
                  <c:v>388.19299999999998</c:v>
                </c:pt>
                <c:pt idx="59">
                  <c:v>388.30299999999988</c:v>
                </c:pt>
                <c:pt idx="60">
                  <c:v>391.55099999999999</c:v>
                </c:pt>
                <c:pt idx="61">
                  <c:v>397.34199999999998</c:v>
                </c:pt>
                <c:pt idx="62">
                  <c:v>397.60199999999998</c:v>
                </c:pt>
                <c:pt idx="63">
                  <c:v>425.07600000000002</c:v>
                </c:pt>
                <c:pt idx="64">
                  <c:v>426.26299999999998</c:v>
                </c:pt>
                <c:pt idx="65">
                  <c:v>434.23099999999999</c:v>
                </c:pt>
                <c:pt idx="66">
                  <c:v>442.30500000000001</c:v>
                </c:pt>
                <c:pt idx="67">
                  <c:v>442.87700000000001</c:v>
                </c:pt>
                <c:pt idx="68">
                  <c:v>443.70699999999999</c:v>
                </c:pt>
                <c:pt idx="69">
                  <c:v>447.20600000000002</c:v>
                </c:pt>
                <c:pt idx="70">
                  <c:v>453.82100000000003</c:v>
                </c:pt>
                <c:pt idx="71">
                  <c:v>454.59500000000003</c:v>
                </c:pt>
                <c:pt idx="72">
                  <c:v>477.66599999999988</c:v>
                </c:pt>
                <c:pt idx="73">
                  <c:v>479.28800000000001</c:v>
                </c:pt>
                <c:pt idx="74">
                  <c:v>488.19099999999997</c:v>
                </c:pt>
                <c:pt idx="75">
                  <c:v>497.56099999999998</c:v>
                </c:pt>
                <c:pt idx="76">
                  <c:v>497.72300000000001</c:v>
                </c:pt>
                <c:pt idx="77">
                  <c:v>498.91699999999997</c:v>
                </c:pt>
                <c:pt idx="78">
                  <c:v>502.58499999999998</c:v>
                </c:pt>
                <c:pt idx="79">
                  <c:v>509.87099999999998</c:v>
                </c:pt>
                <c:pt idx="80">
                  <c:v>511.53800000000001</c:v>
                </c:pt>
                <c:pt idx="81">
                  <c:v>530.65299999999991</c:v>
                </c:pt>
                <c:pt idx="82">
                  <c:v>532.33299999999997</c:v>
                </c:pt>
                <c:pt idx="83">
                  <c:v>541.52099999999996</c:v>
                </c:pt>
                <c:pt idx="84">
                  <c:v>551.93500000000006</c:v>
                </c:pt>
                <c:pt idx="85">
                  <c:v>552.71499999999992</c:v>
                </c:pt>
                <c:pt idx="86">
                  <c:v>553.38400000000001</c:v>
                </c:pt>
                <c:pt idx="87">
                  <c:v>558.18000000000006</c:v>
                </c:pt>
                <c:pt idx="88">
                  <c:v>566.23699999999997</c:v>
                </c:pt>
                <c:pt idx="89">
                  <c:v>569.47499999999991</c:v>
                </c:pt>
                <c:pt idx="90">
                  <c:v>583.65299999999991</c:v>
                </c:pt>
                <c:pt idx="91">
                  <c:v>585.43899999999996</c:v>
                </c:pt>
                <c:pt idx="92">
                  <c:v>594.96499999999992</c:v>
                </c:pt>
                <c:pt idx="93">
                  <c:v>606.97200000000009</c:v>
                </c:pt>
                <c:pt idx="94">
                  <c:v>607.32999999999993</c:v>
                </c:pt>
                <c:pt idx="95">
                  <c:v>608.36599999999999</c:v>
                </c:pt>
                <c:pt idx="96">
                  <c:v>613.03800000000001</c:v>
                </c:pt>
                <c:pt idx="97">
                  <c:v>621.69099999999992</c:v>
                </c:pt>
                <c:pt idx="98">
                  <c:v>625.02299999999991</c:v>
                </c:pt>
                <c:pt idx="99">
                  <c:v>636.24399999999991</c:v>
                </c:pt>
                <c:pt idx="100">
                  <c:v>638.471</c:v>
                </c:pt>
                <c:pt idx="101">
                  <c:v>648.21699999999987</c:v>
                </c:pt>
                <c:pt idx="102">
                  <c:v>661.52299999999991</c:v>
                </c:pt>
                <c:pt idx="103">
                  <c:v>661.65100000000007</c:v>
                </c:pt>
                <c:pt idx="104">
                  <c:v>663.02</c:v>
                </c:pt>
                <c:pt idx="105">
                  <c:v>668.73</c:v>
                </c:pt>
                <c:pt idx="106">
                  <c:v>677.15299999999991</c:v>
                </c:pt>
                <c:pt idx="107">
                  <c:v>680.47199999999987</c:v>
                </c:pt>
                <c:pt idx="108">
                  <c:v>688.80799999999988</c:v>
                </c:pt>
                <c:pt idx="109">
                  <c:v>691.47199999999998</c:v>
                </c:pt>
                <c:pt idx="110">
                  <c:v>701.5089999999999</c:v>
                </c:pt>
                <c:pt idx="111">
                  <c:v>716.07599999999991</c:v>
                </c:pt>
                <c:pt idx="112">
                  <c:v>716.20200000000011</c:v>
                </c:pt>
                <c:pt idx="113">
                  <c:v>717.66599999999994</c:v>
                </c:pt>
                <c:pt idx="114">
                  <c:v>724.04100000000005</c:v>
                </c:pt>
                <c:pt idx="115">
                  <c:v>733.63499999999988</c:v>
                </c:pt>
                <c:pt idx="116">
                  <c:v>737.13299999999981</c:v>
                </c:pt>
                <c:pt idx="117">
                  <c:v>741.71299999999985</c:v>
                </c:pt>
                <c:pt idx="118">
                  <c:v>744.25900000000001</c:v>
                </c:pt>
                <c:pt idx="119">
                  <c:v>754.44999999999993</c:v>
                </c:pt>
                <c:pt idx="120">
                  <c:v>770.65599999999995</c:v>
                </c:pt>
                <c:pt idx="121">
                  <c:v>770.76300000000015</c:v>
                </c:pt>
                <c:pt idx="122">
                  <c:v>772.13699999999994</c:v>
                </c:pt>
                <c:pt idx="123">
                  <c:v>779.18400000000008</c:v>
                </c:pt>
                <c:pt idx="124">
                  <c:v>789.3359999999999</c:v>
                </c:pt>
                <c:pt idx="125">
                  <c:v>794.03099999999984</c:v>
                </c:pt>
                <c:pt idx="126">
                  <c:v>794.50299999999982</c:v>
                </c:pt>
                <c:pt idx="127">
                  <c:v>797.92899999999997</c:v>
                </c:pt>
                <c:pt idx="128">
                  <c:v>808.10399999999993</c:v>
                </c:pt>
                <c:pt idx="129">
                  <c:v>825.70099999999991</c:v>
                </c:pt>
                <c:pt idx="130">
                  <c:v>826.44900000000018</c:v>
                </c:pt>
                <c:pt idx="131">
                  <c:v>826.54</c:v>
                </c:pt>
                <c:pt idx="132">
                  <c:v>834.33500000000004</c:v>
                </c:pt>
                <c:pt idx="133">
                  <c:v>845.66899999999987</c:v>
                </c:pt>
                <c:pt idx="134">
                  <c:v>846.68199999999979</c:v>
                </c:pt>
                <c:pt idx="135">
                  <c:v>850.2489999999998</c:v>
                </c:pt>
                <c:pt idx="136">
                  <c:v>851.06</c:v>
                </c:pt>
                <c:pt idx="137">
                  <c:v>862.00699999999995</c:v>
                </c:pt>
                <c:pt idx="138">
                  <c:v>879.50599999999986</c:v>
                </c:pt>
                <c:pt idx="139">
                  <c:v>880.33399999999995</c:v>
                </c:pt>
                <c:pt idx="140">
                  <c:v>880.38000000000022</c:v>
                </c:pt>
                <c:pt idx="141">
                  <c:v>889.13300000000004</c:v>
                </c:pt>
                <c:pt idx="142">
                  <c:v>899.13499999999976</c:v>
                </c:pt>
                <c:pt idx="143">
                  <c:v>902.08499999999981</c:v>
                </c:pt>
                <c:pt idx="144">
                  <c:v>903.89799999999991</c:v>
                </c:pt>
                <c:pt idx="145">
                  <c:v>905.23399999999981</c:v>
                </c:pt>
                <c:pt idx="146">
                  <c:v>914.92899999999997</c:v>
                </c:pt>
                <c:pt idx="147">
                  <c:v>933.46699999999987</c:v>
                </c:pt>
                <c:pt idx="148">
                  <c:v>934.0619999999999</c:v>
                </c:pt>
                <c:pt idx="149">
                  <c:v>934.23800000000017</c:v>
                </c:pt>
                <c:pt idx="150">
                  <c:v>944.41399999999999</c:v>
                </c:pt>
                <c:pt idx="151">
                  <c:v>951.75499999999977</c:v>
                </c:pt>
                <c:pt idx="152">
                  <c:v>956.57899999999995</c:v>
                </c:pt>
                <c:pt idx="153">
                  <c:v>959.00699999999983</c:v>
                </c:pt>
                <c:pt idx="154">
                  <c:v>960.36199999999985</c:v>
                </c:pt>
                <c:pt idx="155">
                  <c:v>968.27699999999993</c:v>
                </c:pt>
                <c:pt idx="156">
                  <c:v>987.40599999999984</c:v>
                </c:pt>
                <c:pt idx="157">
                  <c:v>988.2829999999999</c:v>
                </c:pt>
                <c:pt idx="158">
                  <c:v>988.29300000000012</c:v>
                </c:pt>
                <c:pt idx="159">
                  <c:v>1000.082</c:v>
                </c:pt>
                <c:pt idx="160">
                  <c:v>1004.273</c:v>
                </c:pt>
                <c:pt idx="161">
                  <c:v>1009.982</c:v>
                </c:pt>
                <c:pt idx="162">
                  <c:v>1015.061</c:v>
                </c:pt>
                <c:pt idx="163">
                  <c:v>1017.0119999999999</c:v>
                </c:pt>
                <c:pt idx="164">
                  <c:v>1022.78</c:v>
                </c:pt>
                <c:pt idx="165">
                  <c:v>1041.758</c:v>
                </c:pt>
                <c:pt idx="166">
                  <c:v>1041.9860000000001</c:v>
                </c:pt>
                <c:pt idx="167">
                  <c:v>1042.5309999999999</c:v>
                </c:pt>
                <c:pt idx="168">
                  <c:v>1055.546</c:v>
                </c:pt>
                <c:pt idx="169">
                  <c:v>1056.577</c:v>
                </c:pt>
                <c:pt idx="170">
                  <c:v>1062.8579999999999</c:v>
                </c:pt>
                <c:pt idx="171">
                  <c:v>1072.2570000000001</c:v>
                </c:pt>
                <c:pt idx="172">
                  <c:v>1074.1559999999999</c:v>
                </c:pt>
                <c:pt idx="173">
                  <c:v>1078.1659999999999</c:v>
                </c:pt>
                <c:pt idx="174">
                  <c:v>1095.5119999999999</c:v>
                </c:pt>
                <c:pt idx="175">
                  <c:v>1095.8789999999999</c:v>
                </c:pt>
                <c:pt idx="176">
                  <c:v>1097.713</c:v>
                </c:pt>
                <c:pt idx="177">
                  <c:v>1108.8510000000001</c:v>
                </c:pt>
                <c:pt idx="178">
                  <c:v>1112.067</c:v>
                </c:pt>
                <c:pt idx="179">
                  <c:v>1115.752</c:v>
                </c:pt>
                <c:pt idx="180">
                  <c:v>1127.6790000000001</c:v>
                </c:pt>
                <c:pt idx="181">
                  <c:v>1129.2570000000001</c:v>
                </c:pt>
                <c:pt idx="182">
                  <c:v>1131.1469999999999</c:v>
                </c:pt>
                <c:pt idx="183">
                  <c:v>1149.9880000000001</c:v>
                </c:pt>
                <c:pt idx="184">
                  <c:v>1150.1880000000001</c:v>
                </c:pt>
                <c:pt idx="185">
                  <c:v>1152.442</c:v>
                </c:pt>
                <c:pt idx="186">
                  <c:v>1161.1489999999999</c:v>
                </c:pt>
                <c:pt idx="187">
                  <c:v>1167.48</c:v>
                </c:pt>
                <c:pt idx="188">
                  <c:v>1168.566</c:v>
                </c:pt>
                <c:pt idx="189">
                  <c:v>1183.204</c:v>
                </c:pt>
                <c:pt idx="190">
                  <c:v>1183.8610000000001</c:v>
                </c:pt>
                <c:pt idx="191">
                  <c:v>1184.771</c:v>
                </c:pt>
                <c:pt idx="192">
                  <c:v>1203.7750000000001</c:v>
                </c:pt>
                <c:pt idx="193">
                  <c:v>1204.1310000000001</c:v>
                </c:pt>
                <c:pt idx="194">
                  <c:v>1206.932</c:v>
                </c:pt>
                <c:pt idx="195">
                  <c:v>1213.0440000000001</c:v>
                </c:pt>
                <c:pt idx="196">
                  <c:v>1221.4059999999999</c:v>
                </c:pt>
                <c:pt idx="197">
                  <c:v>1222.7739999999999</c:v>
                </c:pt>
                <c:pt idx="198">
                  <c:v>1236.6559999999999</c:v>
                </c:pt>
                <c:pt idx="199">
                  <c:v>1239.4690000000001</c:v>
                </c:pt>
                <c:pt idx="200">
                  <c:v>1242.714999999999</c:v>
                </c:pt>
                <c:pt idx="201">
                  <c:v>1258.1849999999999</c:v>
                </c:pt>
                <c:pt idx="202">
                  <c:v>1258.5820000000001</c:v>
                </c:pt>
                <c:pt idx="203">
                  <c:v>1262.6769999999999</c:v>
                </c:pt>
                <c:pt idx="204">
                  <c:v>1264.9359999999999</c:v>
                </c:pt>
                <c:pt idx="205">
                  <c:v>1274.2059999999999</c:v>
                </c:pt>
                <c:pt idx="206">
                  <c:v>1278.5029999999999</c:v>
                </c:pt>
                <c:pt idx="207">
                  <c:v>1289.8050000000001</c:v>
                </c:pt>
                <c:pt idx="208">
                  <c:v>1295.049</c:v>
                </c:pt>
                <c:pt idx="209">
                  <c:v>1298.196999999999</c:v>
                </c:pt>
                <c:pt idx="210">
                  <c:v>1311.886</c:v>
                </c:pt>
                <c:pt idx="211">
                  <c:v>1312.077</c:v>
                </c:pt>
                <c:pt idx="212">
                  <c:v>1316.857</c:v>
                </c:pt>
                <c:pt idx="213">
                  <c:v>1316.8969999999999</c:v>
                </c:pt>
                <c:pt idx="214">
                  <c:v>1327.0650000000001</c:v>
                </c:pt>
                <c:pt idx="215">
                  <c:v>1334.078</c:v>
                </c:pt>
                <c:pt idx="216">
                  <c:v>1343.328</c:v>
                </c:pt>
                <c:pt idx="217">
                  <c:v>1353.5630000000001</c:v>
                </c:pt>
                <c:pt idx="218">
                  <c:v>1355.049999999999</c:v>
                </c:pt>
                <c:pt idx="219">
                  <c:v>1365.2909999999999</c:v>
                </c:pt>
                <c:pt idx="220">
                  <c:v>1371.1030000000001</c:v>
                </c:pt>
                <c:pt idx="221">
                  <c:v>1371.922</c:v>
                </c:pt>
                <c:pt idx="222">
                  <c:v>1380.578</c:v>
                </c:pt>
                <c:pt idx="223">
                  <c:v>1390.499</c:v>
                </c:pt>
                <c:pt idx="224">
                  <c:v>1396.672</c:v>
                </c:pt>
                <c:pt idx="225">
                  <c:v>1400.73</c:v>
                </c:pt>
                <c:pt idx="226">
                  <c:v>1409.2739999999999</c:v>
                </c:pt>
                <c:pt idx="227">
                  <c:v>1411.327</c:v>
                </c:pt>
                <c:pt idx="228">
                  <c:v>1418.57</c:v>
                </c:pt>
                <c:pt idx="229">
                  <c:v>1423.5709999999999</c:v>
                </c:pt>
                <c:pt idx="230">
                  <c:v>1426.067</c:v>
                </c:pt>
                <c:pt idx="231">
                  <c:v>1433.5509999999999</c:v>
                </c:pt>
                <c:pt idx="232">
                  <c:v>1445.6969999999999</c:v>
                </c:pt>
                <c:pt idx="233">
                  <c:v>1449.5250000000001</c:v>
                </c:pt>
                <c:pt idx="234">
                  <c:v>1454.1659999999999</c:v>
                </c:pt>
                <c:pt idx="235">
                  <c:v>1464.6569999999999</c:v>
                </c:pt>
                <c:pt idx="236">
                  <c:v>1466.481</c:v>
                </c:pt>
                <c:pt idx="237">
                  <c:v>1472.396</c:v>
                </c:pt>
                <c:pt idx="238">
                  <c:v>1476.029</c:v>
                </c:pt>
                <c:pt idx="239">
                  <c:v>1481.104</c:v>
                </c:pt>
                <c:pt idx="240">
                  <c:v>1486.4649999999999</c:v>
                </c:pt>
                <c:pt idx="241">
                  <c:v>1500.1189999999999</c:v>
                </c:pt>
                <c:pt idx="242">
                  <c:v>1502.5119999999999</c:v>
                </c:pt>
                <c:pt idx="243">
                  <c:v>1507.4490000000001</c:v>
                </c:pt>
                <c:pt idx="244">
                  <c:v>1521.09</c:v>
                </c:pt>
                <c:pt idx="245">
                  <c:v>1525.5940000000001</c:v>
                </c:pt>
                <c:pt idx="246">
                  <c:v>1527.826</c:v>
                </c:pt>
                <c:pt idx="247">
                  <c:v>1529.7850000000001</c:v>
                </c:pt>
                <c:pt idx="248">
                  <c:v>1535.702</c:v>
                </c:pt>
                <c:pt idx="249">
                  <c:v>1539.453</c:v>
                </c:pt>
                <c:pt idx="250">
                  <c:v>1554.7650000000001</c:v>
                </c:pt>
                <c:pt idx="251">
                  <c:v>1555.56</c:v>
                </c:pt>
                <c:pt idx="252">
                  <c:v>1560.393</c:v>
                </c:pt>
                <c:pt idx="253">
                  <c:v>1578.941</c:v>
                </c:pt>
                <c:pt idx="254">
                  <c:v>1581.6189999999999</c:v>
                </c:pt>
                <c:pt idx="255">
                  <c:v>1582.057</c:v>
                </c:pt>
                <c:pt idx="256">
                  <c:v>1582.367</c:v>
                </c:pt>
                <c:pt idx="257">
                  <c:v>1590.6369999999999</c:v>
                </c:pt>
                <c:pt idx="258">
                  <c:v>1593.943</c:v>
                </c:pt>
                <c:pt idx="259">
                  <c:v>1608.1479999999999</c:v>
                </c:pt>
                <c:pt idx="260">
                  <c:v>1609.2860000000001</c:v>
                </c:pt>
                <c:pt idx="261">
                  <c:v>1613.3009999999999</c:v>
                </c:pt>
                <c:pt idx="262">
                  <c:v>1634.2470000000001</c:v>
                </c:pt>
                <c:pt idx="263">
                  <c:v>1634.453</c:v>
                </c:pt>
                <c:pt idx="264">
                  <c:v>1635.501</c:v>
                </c:pt>
                <c:pt idx="265">
                  <c:v>1637.64</c:v>
                </c:pt>
                <c:pt idx="266">
                  <c:v>1646.942</c:v>
                </c:pt>
                <c:pt idx="267">
                  <c:v>1648.1289999999999</c:v>
                </c:pt>
                <c:pt idx="268">
                  <c:v>1660.857</c:v>
                </c:pt>
                <c:pt idx="269">
                  <c:v>1663.2570000000001</c:v>
                </c:pt>
                <c:pt idx="270">
                  <c:v>1666.9079999999999</c:v>
                </c:pt>
                <c:pt idx="271">
                  <c:v>1686.402</c:v>
                </c:pt>
                <c:pt idx="272">
                  <c:v>1688.105</c:v>
                </c:pt>
                <c:pt idx="273">
                  <c:v>1692.096</c:v>
                </c:pt>
                <c:pt idx="274">
                  <c:v>1693.64</c:v>
                </c:pt>
                <c:pt idx="275">
                  <c:v>1700.982</c:v>
                </c:pt>
                <c:pt idx="276">
                  <c:v>1701.133</c:v>
                </c:pt>
                <c:pt idx="277">
                  <c:v>1713.537</c:v>
                </c:pt>
                <c:pt idx="278">
                  <c:v>1717.67</c:v>
                </c:pt>
                <c:pt idx="279">
                  <c:v>1720.1189999999999</c:v>
                </c:pt>
                <c:pt idx="280">
                  <c:v>1738.673</c:v>
                </c:pt>
                <c:pt idx="281">
                  <c:v>1741.722</c:v>
                </c:pt>
                <c:pt idx="282">
                  <c:v>1748.4749999999999</c:v>
                </c:pt>
                <c:pt idx="283">
                  <c:v>1748.867</c:v>
                </c:pt>
                <c:pt idx="284">
                  <c:v>1755.2349999999999</c:v>
                </c:pt>
                <c:pt idx="285">
                  <c:v>1755.2439999999999</c:v>
                </c:pt>
                <c:pt idx="286">
                  <c:v>1766.07</c:v>
                </c:pt>
                <c:pt idx="287">
                  <c:v>1771.6389999999999</c:v>
                </c:pt>
                <c:pt idx="288">
                  <c:v>1773.8879999999999</c:v>
                </c:pt>
                <c:pt idx="289">
                  <c:v>1791.0740000000001</c:v>
                </c:pt>
                <c:pt idx="290">
                  <c:v>1794.713</c:v>
                </c:pt>
                <c:pt idx="291">
                  <c:v>1805.02</c:v>
                </c:pt>
                <c:pt idx="292">
                  <c:v>1805.8710000000001</c:v>
                </c:pt>
                <c:pt idx="293">
                  <c:v>1808.5830000000001</c:v>
                </c:pt>
                <c:pt idx="294">
                  <c:v>1809.4469999999999</c:v>
                </c:pt>
                <c:pt idx="295">
                  <c:v>1819.8219999999999</c:v>
                </c:pt>
                <c:pt idx="296">
                  <c:v>1826.442</c:v>
                </c:pt>
                <c:pt idx="297">
                  <c:v>1828.6089999999999</c:v>
                </c:pt>
              </c:numCache>
            </c:numRef>
          </c:xVal>
          <c:yVal>
            <c:numRef>
              <c:f>intermediate_data!$V$2:$V$299</c:f>
              <c:numCache>
                <c:formatCode>General</c:formatCode>
                <c:ptCount val="298"/>
                <c:pt idx="0">
                  <c:v>1.5496341396321278E-2</c:v>
                </c:pt>
                <c:pt idx="1">
                  <c:v>1.5514233038986691E-2</c:v>
                </c:pt>
                <c:pt idx="2">
                  <c:v>1.5706319702602389E-2</c:v>
                </c:pt>
                <c:pt idx="3">
                  <c:v>1.608197121702748E-2</c:v>
                </c:pt>
                <c:pt idx="4">
                  <c:v>1.6255869216819541E-2</c:v>
                </c:pt>
                <c:pt idx="5">
                  <c:v>1.6683252401663573E-2</c:v>
                </c:pt>
                <c:pt idx="6">
                  <c:v>1.6726229481703658E-2</c:v>
                </c:pt>
                <c:pt idx="7">
                  <c:v>1.6881822428886029E-2</c:v>
                </c:pt>
                <c:pt idx="8">
                  <c:v>1.7373671233790189E-2</c:v>
                </c:pt>
                <c:pt idx="9">
                  <c:v>4.1071720901468378E-2</c:v>
                </c:pt>
                <c:pt idx="10">
                  <c:v>4.1202883063941709E-2</c:v>
                </c:pt>
                <c:pt idx="11">
                  <c:v>4.2326653794965363E-2</c:v>
                </c:pt>
                <c:pt idx="12">
                  <c:v>4.2840470530428831E-2</c:v>
                </c:pt>
                <c:pt idx="13">
                  <c:v>4.2980572952630247E-2</c:v>
                </c:pt>
                <c:pt idx="14">
                  <c:v>4.3305105815142575E-2</c:v>
                </c:pt>
                <c:pt idx="15">
                  <c:v>4.3574309545562073E-2</c:v>
                </c:pt>
                <c:pt idx="16">
                  <c:v>4.370244016725211E-2</c:v>
                </c:pt>
                <c:pt idx="17">
                  <c:v>4.4229522951931166E-2</c:v>
                </c:pt>
                <c:pt idx="18">
                  <c:v>5.885712180384628E-2</c:v>
                </c:pt>
                <c:pt idx="19">
                  <c:v>5.8885976610071555E-2</c:v>
                </c:pt>
                <c:pt idx="20">
                  <c:v>5.9760956175298752E-2</c:v>
                </c:pt>
                <c:pt idx="21">
                  <c:v>6.0047387248570061E-2</c:v>
                </c:pt>
                <c:pt idx="22">
                  <c:v>6.0107144633267939E-2</c:v>
                </c:pt>
                <c:pt idx="23">
                  <c:v>6.0216774722488875E-2</c:v>
                </c:pt>
                <c:pt idx="24">
                  <c:v>6.0368527028367147E-2</c:v>
                </c:pt>
                <c:pt idx="25">
                  <c:v>6.0491186923274043E-2</c:v>
                </c:pt>
                <c:pt idx="26">
                  <c:v>6.061766589915818E-2</c:v>
                </c:pt>
                <c:pt idx="27">
                  <c:v>6.5407355073810791E-2</c:v>
                </c:pt>
                <c:pt idx="28">
                  <c:v>6.5464089529394087E-2</c:v>
                </c:pt>
                <c:pt idx="29">
                  <c:v>6.619625552733055E-2</c:v>
                </c:pt>
                <c:pt idx="30">
                  <c:v>6.733308581302655E-2</c:v>
                </c:pt>
                <c:pt idx="31">
                  <c:v>6.7892736845741375E-2</c:v>
                </c:pt>
                <c:pt idx="32">
                  <c:v>6.8002288222391627E-2</c:v>
                </c:pt>
                <c:pt idx="33">
                  <c:v>6.845489190992371E-2</c:v>
                </c:pt>
                <c:pt idx="34">
                  <c:v>6.9220186526807836E-2</c:v>
                </c:pt>
                <c:pt idx="35">
                  <c:v>6.9267137116801436E-2</c:v>
                </c:pt>
                <c:pt idx="36">
                  <c:v>8.172970172452132E-2</c:v>
                </c:pt>
                <c:pt idx="37">
                  <c:v>8.1767763651679815E-2</c:v>
                </c:pt>
                <c:pt idx="38">
                  <c:v>8.3755238257769982E-2</c:v>
                </c:pt>
                <c:pt idx="39">
                  <c:v>8.6054720509007865E-2</c:v>
                </c:pt>
                <c:pt idx="40">
                  <c:v>8.6984457116534131E-2</c:v>
                </c:pt>
                <c:pt idx="41">
                  <c:v>8.7310610707196368E-2</c:v>
                </c:pt>
                <c:pt idx="42">
                  <c:v>8.8135938390884405E-2</c:v>
                </c:pt>
                <c:pt idx="43">
                  <c:v>8.9898957647724487E-2</c:v>
                </c:pt>
                <c:pt idx="44">
                  <c:v>9.0093854305559162E-2</c:v>
                </c:pt>
                <c:pt idx="45">
                  <c:v>0.1077792344479942</c:v>
                </c:pt>
                <c:pt idx="46">
                  <c:v>0.108040811927264</c:v>
                </c:pt>
                <c:pt idx="47">
                  <c:v>0.11098013119117756</c:v>
                </c:pt>
                <c:pt idx="48">
                  <c:v>0.11432476710428308</c:v>
                </c:pt>
                <c:pt idx="49">
                  <c:v>0.11542076948991831</c:v>
                </c:pt>
                <c:pt idx="50">
                  <c:v>0.11573104788326738</c:v>
                </c:pt>
                <c:pt idx="51">
                  <c:v>0.11679814600792504</c:v>
                </c:pt>
                <c:pt idx="52">
                  <c:v>0.11986140778865817</c:v>
                </c:pt>
                <c:pt idx="53">
                  <c:v>0.12001418745382431</c:v>
                </c:pt>
                <c:pt idx="54">
                  <c:v>0.13856187475819404</c:v>
                </c:pt>
                <c:pt idx="55">
                  <c:v>0.13897933024287568</c:v>
                </c:pt>
                <c:pt idx="56">
                  <c:v>0.14314535315277599</c:v>
                </c:pt>
                <c:pt idx="57">
                  <c:v>0.14698751471448546</c:v>
                </c:pt>
                <c:pt idx="58">
                  <c:v>0.14781645260408816</c:v>
                </c:pt>
                <c:pt idx="59">
                  <c:v>0.14787959884221458</c:v>
                </c:pt>
                <c:pt idx="60">
                  <c:v>0.14974413503710959</c:v>
                </c:pt>
                <c:pt idx="61">
                  <c:v>0.15306849744617246</c:v>
                </c:pt>
                <c:pt idx="62">
                  <c:v>0.15321775219083822</c:v>
                </c:pt>
                <c:pt idx="63">
                  <c:v>0.16898938624827053</c:v>
                </c:pt>
                <c:pt idx="64">
                  <c:v>0.16964974189323456</c:v>
                </c:pt>
                <c:pt idx="65">
                  <c:v>0.17408252519490475</c:v>
                </c:pt>
                <c:pt idx="66">
                  <c:v>0.17798045667344731</c:v>
                </c:pt>
                <c:pt idx="67">
                  <c:v>0.1782566044076237</c:v>
                </c:pt>
                <c:pt idx="68">
                  <c:v>0.17865730828763304</c:v>
                </c:pt>
                <c:pt idx="69">
                  <c:v>0.18034654066853761</c:v>
                </c:pt>
                <c:pt idx="70">
                  <c:v>0.18354010231463214</c:v>
                </c:pt>
                <c:pt idx="71">
                  <c:v>0.18391377075213455</c:v>
                </c:pt>
                <c:pt idx="72">
                  <c:v>0.19505189028910408</c:v>
                </c:pt>
                <c:pt idx="73">
                  <c:v>0.19560386911412664</c:v>
                </c:pt>
                <c:pt idx="74">
                  <c:v>0.19863362711608623</c:v>
                </c:pt>
                <c:pt idx="75">
                  <c:v>0.19977097361685381</c:v>
                </c:pt>
                <c:pt idx="76">
                  <c:v>0.19979063745176617</c:v>
                </c:pt>
                <c:pt idx="77">
                  <c:v>0.19993556719796857</c:v>
                </c:pt>
                <c:pt idx="78">
                  <c:v>0.20038079526251629</c:v>
                </c:pt>
                <c:pt idx="79">
                  <c:v>0.2012651823067646</c:v>
                </c:pt>
                <c:pt idx="80">
                  <c:v>0.20146752559564085</c:v>
                </c:pt>
                <c:pt idx="81">
                  <c:v>0.20378773673354722</c:v>
                </c:pt>
                <c:pt idx="82">
                  <c:v>0.20398388106804077</c:v>
                </c:pt>
                <c:pt idx="83">
                  <c:v>0.20505660377358659</c:v>
                </c:pt>
                <c:pt idx="84">
                  <c:v>0.20668900051261652</c:v>
                </c:pt>
                <c:pt idx="85">
                  <c:v>0.20681126568031871</c:v>
                </c:pt>
                <c:pt idx="86">
                  <c:v>0.20691613157415389</c:v>
                </c:pt>
                <c:pt idx="87">
                  <c:v>0.20766790560530346</c:v>
                </c:pt>
                <c:pt idx="88">
                  <c:v>0.20893084208757529</c:v>
                </c:pt>
                <c:pt idx="89">
                  <c:v>0.20943839928375141</c:v>
                </c:pt>
                <c:pt idx="90">
                  <c:v>0.21166080383204999</c:v>
                </c:pt>
                <c:pt idx="91">
                  <c:v>0.21220282980982041</c:v>
                </c:pt>
                <c:pt idx="92">
                  <c:v>0.21509383734859533</c:v>
                </c:pt>
                <c:pt idx="93">
                  <c:v>0.21792776408106462</c:v>
                </c:pt>
                <c:pt idx="94">
                  <c:v>0.21801226027247189</c:v>
                </c:pt>
                <c:pt idx="95">
                  <c:v>0.21825677997721193</c:v>
                </c:pt>
                <c:pt idx="96">
                  <c:v>0.21935947887735985</c:v>
                </c:pt>
                <c:pt idx="97">
                  <c:v>0.22140178486687034</c:v>
                </c:pt>
                <c:pt idx="98">
                  <c:v>0.22218821310644543</c:v>
                </c:pt>
                <c:pt idx="99">
                  <c:v>0.22483662585442765</c:v>
                </c:pt>
                <c:pt idx="100">
                  <c:v>0.2253840000567493</c:v>
                </c:pt>
                <c:pt idx="101">
                  <c:v>0.22777946883798705</c:v>
                </c:pt>
                <c:pt idx="102">
                  <c:v>0.231237496576016</c:v>
                </c:pt>
                <c:pt idx="103">
                  <c:v>0.2312707618360843</c:v>
                </c:pt>
                <c:pt idx="104">
                  <c:v>0.23162654418790751</c:v>
                </c:pt>
                <c:pt idx="105">
                  <c:v>0.23311048664876388</c:v>
                </c:pt>
                <c:pt idx="106">
                  <c:v>0.23529949669215888</c:v>
                </c:pt>
                <c:pt idx="107">
                  <c:v>0.23616205449033423</c:v>
                </c:pt>
                <c:pt idx="108">
                  <c:v>0.23832845455227769</c:v>
                </c:pt>
                <c:pt idx="109">
                  <c:v>0.23869412212383523</c:v>
                </c:pt>
                <c:pt idx="110">
                  <c:v>0.24007182685946482</c:v>
                </c:pt>
                <c:pt idx="111">
                  <c:v>0.24025906044832723</c:v>
                </c:pt>
                <c:pt idx="112">
                  <c:v>0.24026067996038591</c:v>
                </c:pt>
                <c:pt idx="113">
                  <c:v>0.24027949714814589</c:v>
                </c:pt>
                <c:pt idx="114">
                  <c:v>0.24036143674648436</c:v>
                </c:pt>
                <c:pt idx="115">
                  <c:v>0.24048475102200406</c:v>
                </c:pt>
                <c:pt idx="116">
                  <c:v>0.24052971176161009</c:v>
                </c:pt>
                <c:pt idx="117">
                  <c:v>0.24058857973971115</c:v>
                </c:pt>
                <c:pt idx="118">
                  <c:v>0.24116124807741102</c:v>
                </c:pt>
                <c:pt idx="119">
                  <c:v>0.24345349592874577</c:v>
                </c:pt>
                <c:pt idx="120">
                  <c:v>0.25116659756709758</c:v>
                </c:pt>
                <c:pt idx="121">
                  <c:v>0.25121752326593061</c:v>
                </c:pt>
                <c:pt idx="122">
                  <c:v>0.25187146635189173</c:v>
                </c:pt>
                <c:pt idx="123">
                  <c:v>0.2552254233582758</c:v>
                </c:pt>
                <c:pt idx="124">
                  <c:v>0.26005717751306712</c:v>
                </c:pt>
                <c:pt idx="125">
                  <c:v>0.26229172102732434</c:v>
                </c:pt>
                <c:pt idx="126">
                  <c:v>0.26245930566416042</c:v>
                </c:pt>
                <c:pt idx="127">
                  <c:v>0.26367571448999705</c:v>
                </c:pt>
                <c:pt idx="128">
                  <c:v>0.26728837059125432</c:v>
                </c:pt>
                <c:pt idx="129">
                  <c:v>0.27505126005049974</c:v>
                </c:pt>
                <c:pt idx="130">
                  <c:v>0.2753812390989463</c:v>
                </c:pt>
                <c:pt idx="131">
                  <c:v>0.27542138360885104</c:v>
                </c:pt>
                <c:pt idx="132">
                  <c:v>0.27886013585837155</c:v>
                </c:pt>
                <c:pt idx="133">
                  <c:v>0.28386011250956855</c:v>
                </c:pt>
                <c:pt idx="134">
                  <c:v>0.28430699590004593</c:v>
                </c:pt>
                <c:pt idx="135">
                  <c:v>0.28613630814952984</c:v>
                </c:pt>
                <c:pt idx="136">
                  <c:v>0.28655222411093284</c:v>
                </c:pt>
                <c:pt idx="137">
                  <c:v>0.292166320324867</c:v>
                </c:pt>
                <c:pt idx="138">
                  <c:v>0.29512283128357453</c:v>
                </c:pt>
                <c:pt idx="139">
                  <c:v>0.29526272448168811</c:v>
                </c:pt>
                <c:pt idx="140">
                  <c:v>0.29527049632602598</c:v>
                </c:pt>
                <c:pt idx="141">
                  <c:v>0.29674934314136436</c:v>
                </c:pt>
                <c:pt idx="142">
                  <c:v>0.29843921242583704</c:v>
                </c:pt>
                <c:pt idx="143">
                  <c:v>0.29875913277619048</c:v>
                </c:pt>
                <c:pt idx="144">
                  <c:v>0.29895574823218851</c:v>
                </c:pt>
                <c:pt idx="145">
                  <c:v>0.29910063419425015</c:v>
                </c:pt>
                <c:pt idx="146">
                  <c:v>0.30015203344736108</c:v>
                </c:pt>
                <c:pt idx="147">
                  <c:v>0.30495959962208019</c:v>
                </c:pt>
                <c:pt idx="148">
                  <c:v>0.30511390439465202</c:v>
                </c:pt>
                <c:pt idx="149">
                  <c:v>0.30515954748704388</c:v>
                </c:pt>
                <c:pt idx="150">
                  <c:v>0.30779854810167251</c:v>
                </c:pt>
                <c:pt idx="151">
                  <c:v>0.30970233185874108</c:v>
                </c:pt>
                <c:pt idx="152">
                  <c:v>0.31113142018014628</c:v>
                </c:pt>
                <c:pt idx="153">
                  <c:v>0.31185070426894157</c:v>
                </c:pt>
                <c:pt idx="154">
                  <c:v>0.31225211692970234</c:v>
                </c:pt>
                <c:pt idx="155">
                  <c:v>0.31459690011044117</c:v>
                </c:pt>
                <c:pt idx="156">
                  <c:v>0.32786241745152012</c:v>
                </c:pt>
                <c:pt idx="157">
                  <c:v>0.32847059658833899</c:v>
                </c:pt>
                <c:pt idx="158">
                  <c:v>0.3284775313561461</c:v>
                </c:pt>
                <c:pt idx="159">
                  <c:v>0.33665292912571232</c:v>
                </c:pt>
                <c:pt idx="160">
                  <c:v>0.33955929031429477</c:v>
                </c:pt>
                <c:pt idx="161">
                  <c:v>0.34396311438976568</c:v>
                </c:pt>
                <c:pt idx="162">
                  <c:v>0.34788096733761975</c:v>
                </c:pt>
                <c:pt idx="163">
                  <c:v>0.3493859350677333</c:v>
                </c:pt>
                <c:pt idx="164">
                  <c:v>0.35383527072499632</c:v>
                </c:pt>
                <c:pt idx="165">
                  <c:v>0.37402582177594468</c:v>
                </c:pt>
                <c:pt idx="166">
                  <c:v>0.37426838925616224</c:v>
                </c:pt>
                <c:pt idx="167">
                  <c:v>0.37484821064528617</c:v>
                </c:pt>
                <c:pt idx="168">
                  <c:v>0.38869477097451721</c:v>
                </c:pt>
                <c:pt idx="169">
                  <c:v>0.38979164409779088</c:v>
                </c:pt>
                <c:pt idx="170">
                  <c:v>0.39654287010443667</c:v>
                </c:pt>
                <c:pt idx="171">
                  <c:v>0.40664552465569415</c:v>
                </c:pt>
                <c:pt idx="172">
                  <c:v>0.40868669297071136</c:v>
                </c:pt>
                <c:pt idx="173">
                  <c:v>0.41299690094502495</c:v>
                </c:pt>
                <c:pt idx="174">
                  <c:v>0.41742495456431428</c:v>
                </c:pt>
                <c:pt idx="175">
                  <c:v>0.41751864162059604</c:v>
                </c:pt>
                <c:pt idx="176">
                  <c:v>0.41798682162392709</c:v>
                </c:pt>
                <c:pt idx="177">
                  <c:v>0.42083010890696926</c:v>
                </c:pt>
                <c:pt idx="178">
                  <c:v>0.42162285025678159</c:v>
                </c:pt>
                <c:pt idx="179">
                  <c:v>0.42253119972010467</c:v>
                </c:pt>
                <c:pt idx="180">
                  <c:v>0.42547119539149136</c:v>
                </c:pt>
                <c:pt idx="181">
                  <c:v>0.42586017109112007</c:v>
                </c:pt>
                <c:pt idx="182">
                  <c:v>0.42632605453363936</c:v>
                </c:pt>
                <c:pt idx="183">
                  <c:v>0.42916911585653139</c:v>
                </c:pt>
                <c:pt idx="184">
                  <c:v>0.42919929537272594</c:v>
                </c:pt>
                <c:pt idx="185">
                  <c:v>0.4295394185202106</c:v>
                </c:pt>
                <c:pt idx="186">
                  <c:v>0.43085328375763865</c:v>
                </c:pt>
                <c:pt idx="187">
                  <c:v>0.43274870056238157</c:v>
                </c:pt>
                <c:pt idx="188">
                  <c:v>0.43307383445117509</c:v>
                </c:pt>
                <c:pt idx="189">
                  <c:v>0.43745625605721727</c:v>
                </c:pt>
                <c:pt idx="190">
                  <c:v>0.43765295307833796</c:v>
                </c:pt>
                <c:pt idx="191">
                  <c:v>0.43795188038644994</c:v>
                </c:pt>
                <c:pt idx="192">
                  <c:v>0.44419453375283524</c:v>
                </c:pt>
                <c:pt idx="193">
                  <c:v>0.44431147674370308</c:v>
                </c:pt>
                <c:pt idx="194">
                  <c:v>0.44523158156790998</c:v>
                </c:pt>
                <c:pt idx="195">
                  <c:v>0.4472393219054851</c:v>
                </c:pt>
                <c:pt idx="196">
                  <c:v>0.44999548371012565</c:v>
                </c:pt>
                <c:pt idx="197">
                  <c:v>0.45044638413451565</c:v>
                </c:pt>
                <c:pt idx="198">
                  <c:v>0.45502196870423717</c:v>
                </c:pt>
                <c:pt idx="199">
                  <c:v>0.45630403210577697</c:v>
                </c:pt>
                <c:pt idx="200">
                  <c:v>0.45778344120687819</c:v>
                </c:pt>
                <c:pt idx="201">
                  <c:v>0.46483410626972699</c:v>
                </c:pt>
                <c:pt idx="202">
                  <c:v>0.4650150444746366</c:v>
                </c:pt>
                <c:pt idx="203">
                  <c:v>0.46688139699127262</c:v>
                </c:pt>
                <c:pt idx="204">
                  <c:v>0.46791096728066961</c:v>
                </c:pt>
                <c:pt idx="205">
                  <c:v>0.47189867736470248</c:v>
                </c:pt>
                <c:pt idx="206">
                  <c:v>0.47374713370030719</c:v>
                </c:pt>
                <c:pt idx="207">
                  <c:v>0.47860895671754022</c:v>
                </c:pt>
                <c:pt idx="208">
                  <c:v>0.48155423112759621</c:v>
                </c:pt>
                <c:pt idx="209">
                  <c:v>0.4833222944080795</c:v>
                </c:pt>
                <c:pt idx="210">
                  <c:v>0.49101067377483076</c:v>
                </c:pt>
                <c:pt idx="211">
                  <c:v>0.49111794826230692</c:v>
                </c:pt>
                <c:pt idx="212">
                  <c:v>0.49380261868184405</c:v>
                </c:pt>
                <c:pt idx="213">
                  <c:v>0.4938250845430936</c:v>
                </c:pt>
                <c:pt idx="214">
                  <c:v>0.49143139163808058</c:v>
                </c:pt>
                <c:pt idx="215">
                  <c:v>0.48978043094346546</c:v>
                </c:pt>
                <c:pt idx="216">
                  <c:v>0.48760284839316981</c:v>
                </c:pt>
                <c:pt idx="217">
                  <c:v>0.48455170812312076</c:v>
                </c:pt>
                <c:pt idx="218">
                  <c:v>0.48410842081666772</c:v>
                </c:pt>
                <c:pt idx="219">
                  <c:v>0.48105549189575569</c:v>
                </c:pt>
                <c:pt idx="220">
                  <c:v>0.47932288542291701</c:v>
                </c:pt>
                <c:pt idx="221">
                  <c:v>0.47957922042945711</c:v>
                </c:pt>
                <c:pt idx="222">
                  <c:v>0.48228842167070596</c:v>
                </c:pt>
                <c:pt idx="223">
                  <c:v>0.4853935493872541</c:v>
                </c:pt>
                <c:pt idx="224">
                  <c:v>0.48732560798963576</c:v>
                </c:pt>
                <c:pt idx="225">
                  <c:v>0.48788899732127433</c:v>
                </c:pt>
                <c:pt idx="226">
                  <c:v>0.48907519703777069</c:v>
                </c:pt>
                <c:pt idx="227">
                  <c:v>0.48936022372526722</c:v>
                </c:pt>
                <c:pt idx="228">
                  <c:v>0.49036580010010056</c:v>
                </c:pt>
                <c:pt idx="229">
                  <c:v>0.49106011011674155</c:v>
                </c:pt>
                <c:pt idx="230">
                  <c:v>0.49141570893123898</c:v>
                </c:pt>
                <c:pt idx="231">
                  <c:v>0.49248193550484487</c:v>
                </c:pt>
                <c:pt idx="232">
                  <c:v>0.49421234544110604</c:v>
                </c:pt>
                <c:pt idx="233">
                  <c:v>0.49475771093065291</c:v>
                </c:pt>
                <c:pt idx="234">
                  <c:v>0.49564096608442298</c:v>
                </c:pt>
                <c:pt idx="235">
                  <c:v>0.49763756807066528</c:v>
                </c:pt>
                <c:pt idx="236">
                  <c:v>0.49798470390356542</c:v>
                </c:pt>
                <c:pt idx="237">
                  <c:v>0.49911042125640392</c:v>
                </c:pt>
                <c:pt idx="238">
                  <c:v>0.49980183818672685</c:v>
                </c:pt>
                <c:pt idx="239">
                  <c:v>0.49843169451350988</c:v>
                </c:pt>
                <c:pt idx="240">
                  <c:v>0.49698433683230547</c:v>
                </c:pt>
                <c:pt idx="241">
                  <c:v>0.49329804289849477</c:v>
                </c:pt>
                <c:pt idx="242">
                  <c:v>0.49265198303445601</c:v>
                </c:pt>
                <c:pt idx="243">
                  <c:v>0.49142623720362977</c:v>
                </c:pt>
                <c:pt idx="244">
                  <c:v>0.48803948434190758</c:v>
                </c:pt>
                <c:pt idx="245">
                  <c:v>0.48692124265221182</c:v>
                </c:pt>
                <c:pt idx="246">
                  <c:v>0.48636708735660505</c:v>
                </c:pt>
                <c:pt idx="247">
                  <c:v>0.48588071180817494</c:v>
                </c:pt>
                <c:pt idx="248">
                  <c:v>0.48686922249813946</c:v>
                </c:pt>
                <c:pt idx="249">
                  <c:v>0.48749587512583048</c:v>
                </c:pt>
                <c:pt idx="250">
                  <c:v>0.49005394098432831</c:v>
                </c:pt>
                <c:pt idx="251">
                  <c:v>0.49018675592408201</c:v>
                </c:pt>
                <c:pt idx="252">
                  <c:v>0.4901972427555954</c:v>
                </c:pt>
                <c:pt idx="253">
                  <c:v>0.49023748892792796</c:v>
                </c:pt>
                <c:pt idx="254">
                  <c:v>0.490243299756564</c:v>
                </c:pt>
                <c:pt idx="255">
                  <c:v>0.49024425014601292</c:v>
                </c:pt>
                <c:pt idx="256">
                  <c:v>0.49024492279607657</c:v>
                </c:pt>
                <c:pt idx="257">
                  <c:v>0.49239103362318204</c:v>
                </c:pt>
                <c:pt idx="258">
                  <c:v>0.49324895894293874</c:v>
                </c:pt>
                <c:pt idx="259">
                  <c:v>0.49693523515805538</c:v>
                </c:pt>
                <c:pt idx="260">
                  <c:v>0.49728022956026408</c:v>
                </c:pt>
                <c:pt idx="261">
                  <c:v>0.49849741104081957</c:v>
                </c:pt>
                <c:pt idx="262">
                  <c:v>0.50484736951943532</c:v>
                </c:pt>
                <c:pt idx="263">
                  <c:v>0.50488888367979001</c:v>
                </c:pt>
                <c:pt idx="264">
                  <c:v>0.50510008193247913</c:v>
                </c:pt>
                <c:pt idx="265">
                  <c:v>0.50553114401501986</c:v>
                </c:pt>
                <c:pt idx="266">
                  <c:v>0.50740573003268707</c:v>
                </c:pt>
                <c:pt idx="267">
                  <c:v>0.50764494026736529</c:v>
                </c:pt>
                <c:pt idx="268">
                  <c:v>0.51020995110727441</c:v>
                </c:pt>
                <c:pt idx="269">
                  <c:v>0.51066854559379138</c:v>
                </c:pt>
                <c:pt idx="270">
                  <c:v>0.51136618245640264</c:v>
                </c:pt>
                <c:pt idx="271">
                  <c:v>0.51509111617312087</c:v>
                </c:pt>
                <c:pt idx="272">
                  <c:v>0.51534406424946866</c:v>
                </c:pt>
                <c:pt idx="273">
                  <c:v>0.51593685096275266</c:v>
                </c:pt>
                <c:pt idx="274">
                  <c:v>0.51616618263033587</c:v>
                </c:pt>
                <c:pt idx="275">
                  <c:v>0.51725669629831827</c:v>
                </c:pt>
                <c:pt idx="276">
                  <c:v>0.51727912446011359</c:v>
                </c:pt>
                <c:pt idx="277">
                  <c:v>0.51912150140613278</c:v>
                </c:pt>
                <c:pt idx="278">
                  <c:v>0.51951584399672157</c:v>
                </c:pt>
                <c:pt idx="279">
                  <c:v>0.51974951082573995</c:v>
                </c:pt>
                <c:pt idx="280">
                  <c:v>0.52151980659775887</c:v>
                </c:pt>
                <c:pt idx="281">
                  <c:v>0.52166601070656071</c:v>
                </c:pt>
                <c:pt idx="282">
                  <c:v>0.52198982715350439</c:v>
                </c:pt>
                <c:pt idx="283">
                  <c:v>0.52200862413961602</c:v>
                </c:pt>
                <c:pt idx="284">
                  <c:v>0.52231397926091461</c:v>
                </c:pt>
                <c:pt idx="285">
                  <c:v>0.52231441082437868</c:v>
                </c:pt>
                <c:pt idx="286">
                  <c:v>0.52283353371118579</c:v>
                </c:pt>
                <c:pt idx="287">
                  <c:v>0.52550468424686869</c:v>
                </c:pt>
                <c:pt idx="288">
                  <c:v>0.52658340889307453</c:v>
                </c:pt>
                <c:pt idx="289">
                  <c:v>0.53482661110284369</c:v>
                </c:pt>
                <c:pt idx="290">
                  <c:v>0.53620602744135937</c:v>
                </c:pt>
                <c:pt idx="291">
                  <c:v>0.54011304700748752</c:v>
                </c:pt>
                <c:pt idx="292">
                  <c:v>0.54043563104268344</c:v>
                </c:pt>
                <c:pt idx="293">
                  <c:v>0.54146365443099143</c:v>
                </c:pt>
                <c:pt idx="294">
                  <c:v>0.54179116630691482</c:v>
                </c:pt>
                <c:pt idx="295">
                  <c:v>0.54572396227067799</c:v>
                </c:pt>
                <c:pt idx="296">
                  <c:v>0.54770915237730833</c:v>
                </c:pt>
                <c:pt idx="297">
                  <c:v>0.54835898726568644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27-43D6-9656-5E17AC81F88D}"/>
            </c:ext>
          </c:extLst>
        </c:ser>
        <c:ser>
          <c:idx val="3"/>
          <c:order val="3"/>
          <c:tx>
            <c:strRef>
              <c:f>race_data!$P$1</c:f>
              <c:strCache>
                <c:ptCount val="1"/>
                <c:pt idx="0">
                  <c:v>YannickD</c:v>
                </c:pt>
              </c:strCache>
            </c:strRef>
          </c:tx>
          <c:marker>
            <c:symbol val="none"/>
          </c:marker>
          <c:xVal>
            <c:numRef>
              <c:f>intermediate_data!$A$2:$A$299</c:f>
              <c:numCache>
                <c:formatCode>General</c:formatCode>
                <c:ptCount val="298"/>
                <c:pt idx="0">
                  <c:v>53.683999999999997</c:v>
                </c:pt>
                <c:pt idx="1">
                  <c:v>53.756</c:v>
                </c:pt>
                <c:pt idx="2">
                  <c:v>54.529000000000003</c:v>
                </c:pt>
                <c:pt idx="3">
                  <c:v>55.472999999999999</c:v>
                </c:pt>
                <c:pt idx="4">
                  <c:v>55.91</c:v>
                </c:pt>
                <c:pt idx="5">
                  <c:v>56.984000000000002</c:v>
                </c:pt>
                <c:pt idx="6">
                  <c:v>57.091999999999999</c:v>
                </c:pt>
                <c:pt idx="7">
                  <c:v>57.482999999999997</c:v>
                </c:pt>
                <c:pt idx="8">
                  <c:v>58.719000000000001</c:v>
                </c:pt>
                <c:pt idx="9">
                  <c:v>107.248</c:v>
                </c:pt>
                <c:pt idx="10">
                  <c:v>107.48399999999999</c:v>
                </c:pt>
                <c:pt idx="11">
                  <c:v>109.506</c:v>
                </c:pt>
                <c:pt idx="12">
                  <c:v>111.09399999999999</c:v>
                </c:pt>
                <c:pt idx="13">
                  <c:v>111.527</c:v>
                </c:pt>
                <c:pt idx="14">
                  <c:v>112.53</c:v>
                </c:pt>
                <c:pt idx="15">
                  <c:v>113.36199999999999</c:v>
                </c:pt>
                <c:pt idx="16">
                  <c:v>113.758</c:v>
                </c:pt>
                <c:pt idx="17">
                  <c:v>115.387</c:v>
                </c:pt>
                <c:pt idx="18">
                  <c:v>160.595</c:v>
                </c:pt>
                <c:pt idx="19">
                  <c:v>160.697</c:v>
                </c:pt>
                <c:pt idx="20">
                  <c:v>163.79</c:v>
                </c:pt>
                <c:pt idx="21">
                  <c:v>166.34</c:v>
                </c:pt>
                <c:pt idx="22">
                  <c:v>166.87200000000001</c:v>
                </c:pt>
                <c:pt idx="23">
                  <c:v>167.84800000000001</c:v>
                </c:pt>
                <c:pt idx="24">
                  <c:v>169.19900000000001</c:v>
                </c:pt>
                <c:pt idx="25">
                  <c:v>170.291</c:v>
                </c:pt>
                <c:pt idx="26">
                  <c:v>171.417</c:v>
                </c:pt>
                <c:pt idx="27">
                  <c:v>214.05799999999999</c:v>
                </c:pt>
                <c:pt idx="28">
                  <c:v>214.31100000000001</c:v>
                </c:pt>
                <c:pt idx="29">
                  <c:v>217.57599999999999</c:v>
                </c:pt>
                <c:pt idx="30">
                  <c:v>221.208</c:v>
                </c:pt>
                <c:pt idx="31">
                  <c:v>222.99600000000001</c:v>
                </c:pt>
                <c:pt idx="32">
                  <c:v>223.346</c:v>
                </c:pt>
                <c:pt idx="33">
                  <c:v>224.792</c:v>
                </c:pt>
                <c:pt idx="34">
                  <c:v>227.23699999999999</c:v>
                </c:pt>
                <c:pt idx="35">
                  <c:v>227.387</c:v>
                </c:pt>
                <c:pt idx="36">
                  <c:v>267.20299999999997</c:v>
                </c:pt>
                <c:pt idx="37">
                  <c:v>267.286</c:v>
                </c:pt>
                <c:pt idx="38">
                  <c:v>271.62</c:v>
                </c:pt>
                <c:pt idx="39">
                  <c:v>276.245</c:v>
                </c:pt>
                <c:pt idx="40">
                  <c:v>278.11500000000001</c:v>
                </c:pt>
                <c:pt idx="41">
                  <c:v>278.77100000000002</c:v>
                </c:pt>
                <c:pt idx="42">
                  <c:v>280.43099999999998</c:v>
                </c:pt>
                <c:pt idx="43">
                  <c:v>283.97699999999998</c:v>
                </c:pt>
                <c:pt idx="44">
                  <c:v>284.36900000000003</c:v>
                </c:pt>
                <c:pt idx="45">
                  <c:v>319.94</c:v>
                </c:pt>
                <c:pt idx="46">
                  <c:v>320.41699999999997</c:v>
                </c:pt>
                <c:pt idx="47">
                  <c:v>325.77699999999999</c:v>
                </c:pt>
                <c:pt idx="48">
                  <c:v>331.447</c:v>
                </c:pt>
                <c:pt idx="49">
                  <c:v>333.30500000000001</c:v>
                </c:pt>
                <c:pt idx="50">
                  <c:v>333.83100000000002</c:v>
                </c:pt>
                <c:pt idx="51">
                  <c:v>335.64</c:v>
                </c:pt>
                <c:pt idx="52">
                  <c:v>340.83300000000003</c:v>
                </c:pt>
                <c:pt idx="53">
                  <c:v>341.09199999999998</c:v>
                </c:pt>
                <c:pt idx="54">
                  <c:v>372.53500000000003</c:v>
                </c:pt>
                <c:pt idx="55">
                  <c:v>373.22</c:v>
                </c:pt>
                <c:pt idx="56">
                  <c:v>380.05599999999998</c:v>
                </c:pt>
                <c:pt idx="57">
                  <c:v>386.74900000000002</c:v>
                </c:pt>
                <c:pt idx="58">
                  <c:v>388.19299999999998</c:v>
                </c:pt>
                <c:pt idx="59">
                  <c:v>388.30299999999988</c:v>
                </c:pt>
                <c:pt idx="60">
                  <c:v>391.55099999999999</c:v>
                </c:pt>
                <c:pt idx="61">
                  <c:v>397.34199999999998</c:v>
                </c:pt>
                <c:pt idx="62">
                  <c:v>397.60199999999998</c:v>
                </c:pt>
                <c:pt idx="63">
                  <c:v>425.07600000000002</c:v>
                </c:pt>
                <c:pt idx="64">
                  <c:v>426.26299999999998</c:v>
                </c:pt>
                <c:pt idx="65">
                  <c:v>434.23099999999999</c:v>
                </c:pt>
                <c:pt idx="66">
                  <c:v>442.30500000000001</c:v>
                </c:pt>
                <c:pt idx="67">
                  <c:v>442.87700000000001</c:v>
                </c:pt>
                <c:pt idx="68">
                  <c:v>443.70699999999999</c:v>
                </c:pt>
                <c:pt idx="69">
                  <c:v>447.20600000000002</c:v>
                </c:pt>
                <c:pt idx="70">
                  <c:v>453.82100000000003</c:v>
                </c:pt>
                <c:pt idx="71">
                  <c:v>454.59500000000003</c:v>
                </c:pt>
                <c:pt idx="72">
                  <c:v>477.66599999999988</c:v>
                </c:pt>
                <c:pt idx="73">
                  <c:v>479.28800000000001</c:v>
                </c:pt>
                <c:pt idx="74">
                  <c:v>488.19099999999997</c:v>
                </c:pt>
                <c:pt idx="75">
                  <c:v>497.56099999999998</c:v>
                </c:pt>
                <c:pt idx="76">
                  <c:v>497.72300000000001</c:v>
                </c:pt>
                <c:pt idx="77">
                  <c:v>498.91699999999997</c:v>
                </c:pt>
                <c:pt idx="78">
                  <c:v>502.58499999999998</c:v>
                </c:pt>
                <c:pt idx="79">
                  <c:v>509.87099999999998</c:v>
                </c:pt>
                <c:pt idx="80">
                  <c:v>511.53800000000001</c:v>
                </c:pt>
                <c:pt idx="81">
                  <c:v>530.65299999999991</c:v>
                </c:pt>
                <c:pt idx="82">
                  <c:v>532.33299999999997</c:v>
                </c:pt>
                <c:pt idx="83">
                  <c:v>541.52099999999996</c:v>
                </c:pt>
                <c:pt idx="84">
                  <c:v>551.93500000000006</c:v>
                </c:pt>
                <c:pt idx="85">
                  <c:v>552.71499999999992</c:v>
                </c:pt>
                <c:pt idx="86">
                  <c:v>553.38400000000001</c:v>
                </c:pt>
                <c:pt idx="87">
                  <c:v>558.18000000000006</c:v>
                </c:pt>
                <c:pt idx="88">
                  <c:v>566.23699999999997</c:v>
                </c:pt>
                <c:pt idx="89">
                  <c:v>569.47499999999991</c:v>
                </c:pt>
                <c:pt idx="90">
                  <c:v>583.65299999999991</c:v>
                </c:pt>
                <c:pt idx="91">
                  <c:v>585.43899999999996</c:v>
                </c:pt>
                <c:pt idx="92">
                  <c:v>594.96499999999992</c:v>
                </c:pt>
                <c:pt idx="93">
                  <c:v>606.97200000000009</c:v>
                </c:pt>
                <c:pt idx="94">
                  <c:v>607.32999999999993</c:v>
                </c:pt>
                <c:pt idx="95">
                  <c:v>608.36599999999999</c:v>
                </c:pt>
                <c:pt idx="96">
                  <c:v>613.03800000000001</c:v>
                </c:pt>
                <c:pt idx="97">
                  <c:v>621.69099999999992</c:v>
                </c:pt>
                <c:pt idx="98">
                  <c:v>625.02299999999991</c:v>
                </c:pt>
                <c:pt idx="99">
                  <c:v>636.24399999999991</c:v>
                </c:pt>
                <c:pt idx="100">
                  <c:v>638.471</c:v>
                </c:pt>
                <c:pt idx="101">
                  <c:v>648.21699999999987</c:v>
                </c:pt>
                <c:pt idx="102">
                  <c:v>661.52299999999991</c:v>
                </c:pt>
                <c:pt idx="103">
                  <c:v>661.65100000000007</c:v>
                </c:pt>
                <c:pt idx="104">
                  <c:v>663.02</c:v>
                </c:pt>
                <c:pt idx="105">
                  <c:v>668.73</c:v>
                </c:pt>
                <c:pt idx="106">
                  <c:v>677.15299999999991</c:v>
                </c:pt>
                <c:pt idx="107">
                  <c:v>680.47199999999987</c:v>
                </c:pt>
                <c:pt idx="108">
                  <c:v>688.80799999999988</c:v>
                </c:pt>
                <c:pt idx="109">
                  <c:v>691.47199999999998</c:v>
                </c:pt>
                <c:pt idx="110">
                  <c:v>701.5089999999999</c:v>
                </c:pt>
                <c:pt idx="111">
                  <c:v>716.07599999999991</c:v>
                </c:pt>
                <c:pt idx="112">
                  <c:v>716.20200000000011</c:v>
                </c:pt>
                <c:pt idx="113">
                  <c:v>717.66599999999994</c:v>
                </c:pt>
                <c:pt idx="114">
                  <c:v>724.04100000000005</c:v>
                </c:pt>
                <c:pt idx="115">
                  <c:v>733.63499999999988</c:v>
                </c:pt>
                <c:pt idx="116">
                  <c:v>737.13299999999981</c:v>
                </c:pt>
                <c:pt idx="117">
                  <c:v>741.71299999999985</c:v>
                </c:pt>
                <c:pt idx="118">
                  <c:v>744.25900000000001</c:v>
                </c:pt>
                <c:pt idx="119">
                  <c:v>754.44999999999993</c:v>
                </c:pt>
                <c:pt idx="120">
                  <c:v>770.65599999999995</c:v>
                </c:pt>
                <c:pt idx="121">
                  <c:v>770.76300000000015</c:v>
                </c:pt>
                <c:pt idx="122">
                  <c:v>772.13699999999994</c:v>
                </c:pt>
                <c:pt idx="123">
                  <c:v>779.18400000000008</c:v>
                </c:pt>
                <c:pt idx="124">
                  <c:v>789.3359999999999</c:v>
                </c:pt>
                <c:pt idx="125">
                  <c:v>794.03099999999984</c:v>
                </c:pt>
                <c:pt idx="126">
                  <c:v>794.50299999999982</c:v>
                </c:pt>
                <c:pt idx="127">
                  <c:v>797.92899999999997</c:v>
                </c:pt>
                <c:pt idx="128">
                  <c:v>808.10399999999993</c:v>
                </c:pt>
                <c:pt idx="129">
                  <c:v>825.70099999999991</c:v>
                </c:pt>
                <c:pt idx="130">
                  <c:v>826.44900000000018</c:v>
                </c:pt>
                <c:pt idx="131">
                  <c:v>826.54</c:v>
                </c:pt>
                <c:pt idx="132">
                  <c:v>834.33500000000004</c:v>
                </c:pt>
                <c:pt idx="133">
                  <c:v>845.66899999999987</c:v>
                </c:pt>
                <c:pt idx="134">
                  <c:v>846.68199999999979</c:v>
                </c:pt>
                <c:pt idx="135">
                  <c:v>850.2489999999998</c:v>
                </c:pt>
                <c:pt idx="136">
                  <c:v>851.06</c:v>
                </c:pt>
                <c:pt idx="137">
                  <c:v>862.00699999999995</c:v>
                </c:pt>
                <c:pt idx="138">
                  <c:v>879.50599999999986</c:v>
                </c:pt>
                <c:pt idx="139">
                  <c:v>880.33399999999995</c:v>
                </c:pt>
                <c:pt idx="140">
                  <c:v>880.38000000000022</c:v>
                </c:pt>
                <c:pt idx="141">
                  <c:v>889.13300000000004</c:v>
                </c:pt>
                <c:pt idx="142">
                  <c:v>899.13499999999976</c:v>
                </c:pt>
                <c:pt idx="143">
                  <c:v>902.08499999999981</c:v>
                </c:pt>
                <c:pt idx="144">
                  <c:v>903.89799999999991</c:v>
                </c:pt>
                <c:pt idx="145">
                  <c:v>905.23399999999981</c:v>
                </c:pt>
                <c:pt idx="146">
                  <c:v>914.92899999999997</c:v>
                </c:pt>
                <c:pt idx="147">
                  <c:v>933.46699999999987</c:v>
                </c:pt>
                <c:pt idx="148">
                  <c:v>934.0619999999999</c:v>
                </c:pt>
                <c:pt idx="149">
                  <c:v>934.23800000000017</c:v>
                </c:pt>
                <c:pt idx="150">
                  <c:v>944.41399999999999</c:v>
                </c:pt>
                <c:pt idx="151">
                  <c:v>951.75499999999977</c:v>
                </c:pt>
                <c:pt idx="152">
                  <c:v>956.57899999999995</c:v>
                </c:pt>
                <c:pt idx="153">
                  <c:v>959.00699999999983</c:v>
                </c:pt>
                <c:pt idx="154">
                  <c:v>960.36199999999985</c:v>
                </c:pt>
                <c:pt idx="155">
                  <c:v>968.27699999999993</c:v>
                </c:pt>
                <c:pt idx="156">
                  <c:v>987.40599999999984</c:v>
                </c:pt>
                <c:pt idx="157">
                  <c:v>988.2829999999999</c:v>
                </c:pt>
                <c:pt idx="158">
                  <c:v>988.29300000000012</c:v>
                </c:pt>
                <c:pt idx="159">
                  <c:v>1000.082</c:v>
                </c:pt>
                <c:pt idx="160">
                  <c:v>1004.273</c:v>
                </c:pt>
                <c:pt idx="161">
                  <c:v>1009.982</c:v>
                </c:pt>
                <c:pt idx="162">
                  <c:v>1015.061</c:v>
                </c:pt>
                <c:pt idx="163">
                  <c:v>1017.0119999999999</c:v>
                </c:pt>
                <c:pt idx="164">
                  <c:v>1022.78</c:v>
                </c:pt>
                <c:pt idx="165">
                  <c:v>1041.758</c:v>
                </c:pt>
                <c:pt idx="166">
                  <c:v>1041.9860000000001</c:v>
                </c:pt>
                <c:pt idx="167">
                  <c:v>1042.5309999999999</c:v>
                </c:pt>
                <c:pt idx="168">
                  <c:v>1055.546</c:v>
                </c:pt>
                <c:pt idx="169">
                  <c:v>1056.577</c:v>
                </c:pt>
                <c:pt idx="170">
                  <c:v>1062.8579999999999</c:v>
                </c:pt>
                <c:pt idx="171">
                  <c:v>1072.2570000000001</c:v>
                </c:pt>
                <c:pt idx="172">
                  <c:v>1074.1559999999999</c:v>
                </c:pt>
                <c:pt idx="173">
                  <c:v>1078.1659999999999</c:v>
                </c:pt>
                <c:pt idx="174">
                  <c:v>1095.5119999999999</c:v>
                </c:pt>
                <c:pt idx="175">
                  <c:v>1095.8789999999999</c:v>
                </c:pt>
                <c:pt idx="176">
                  <c:v>1097.713</c:v>
                </c:pt>
                <c:pt idx="177">
                  <c:v>1108.8510000000001</c:v>
                </c:pt>
                <c:pt idx="178">
                  <c:v>1112.067</c:v>
                </c:pt>
                <c:pt idx="179">
                  <c:v>1115.752</c:v>
                </c:pt>
                <c:pt idx="180">
                  <c:v>1127.6790000000001</c:v>
                </c:pt>
                <c:pt idx="181">
                  <c:v>1129.2570000000001</c:v>
                </c:pt>
                <c:pt idx="182">
                  <c:v>1131.1469999999999</c:v>
                </c:pt>
                <c:pt idx="183">
                  <c:v>1149.9880000000001</c:v>
                </c:pt>
                <c:pt idx="184">
                  <c:v>1150.1880000000001</c:v>
                </c:pt>
                <c:pt idx="185">
                  <c:v>1152.442</c:v>
                </c:pt>
                <c:pt idx="186">
                  <c:v>1161.1489999999999</c:v>
                </c:pt>
                <c:pt idx="187">
                  <c:v>1167.48</c:v>
                </c:pt>
                <c:pt idx="188">
                  <c:v>1168.566</c:v>
                </c:pt>
                <c:pt idx="189">
                  <c:v>1183.204</c:v>
                </c:pt>
                <c:pt idx="190">
                  <c:v>1183.8610000000001</c:v>
                </c:pt>
                <c:pt idx="191">
                  <c:v>1184.771</c:v>
                </c:pt>
                <c:pt idx="192">
                  <c:v>1203.7750000000001</c:v>
                </c:pt>
                <c:pt idx="193">
                  <c:v>1204.1310000000001</c:v>
                </c:pt>
                <c:pt idx="194">
                  <c:v>1206.932</c:v>
                </c:pt>
                <c:pt idx="195">
                  <c:v>1213.0440000000001</c:v>
                </c:pt>
                <c:pt idx="196">
                  <c:v>1221.4059999999999</c:v>
                </c:pt>
                <c:pt idx="197">
                  <c:v>1222.7739999999999</c:v>
                </c:pt>
                <c:pt idx="198">
                  <c:v>1236.6559999999999</c:v>
                </c:pt>
                <c:pt idx="199">
                  <c:v>1239.4690000000001</c:v>
                </c:pt>
                <c:pt idx="200">
                  <c:v>1242.714999999999</c:v>
                </c:pt>
                <c:pt idx="201">
                  <c:v>1258.1849999999999</c:v>
                </c:pt>
                <c:pt idx="202">
                  <c:v>1258.5820000000001</c:v>
                </c:pt>
                <c:pt idx="203">
                  <c:v>1262.6769999999999</c:v>
                </c:pt>
                <c:pt idx="204">
                  <c:v>1264.9359999999999</c:v>
                </c:pt>
                <c:pt idx="205">
                  <c:v>1274.2059999999999</c:v>
                </c:pt>
                <c:pt idx="206">
                  <c:v>1278.5029999999999</c:v>
                </c:pt>
                <c:pt idx="207">
                  <c:v>1289.8050000000001</c:v>
                </c:pt>
                <c:pt idx="208">
                  <c:v>1295.049</c:v>
                </c:pt>
                <c:pt idx="209">
                  <c:v>1298.196999999999</c:v>
                </c:pt>
                <c:pt idx="210">
                  <c:v>1311.886</c:v>
                </c:pt>
                <c:pt idx="211">
                  <c:v>1312.077</c:v>
                </c:pt>
                <c:pt idx="212">
                  <c:v>1316.857</c:v>
                </c:pt>
                <c:pt idx="213">
                  <c:v>1316.8969999999999</c:v>
                </c:pt>
                <c:pt idx="214">
                  <c:v>1327.0650000000001</c:v>
                </c:pt>
                <c:pt idx="215">
                  <c:v>1334.078</c:v>
                </c:pt>
                <c:pt idx="216">
                  <c:v>1343.328</c:v>
                </c:pt>
                <c:pt idx="217">
                  <c:v>1353.5630000000001</c:v>
                </c:pt>
                <c:pt idx="218">
                  <c:v>1355.049999999999</c:v>
                </c:pt>
                <c:pt idx="219">
                  <c:v>1365.2909999999999</c:v>
                </c:pt>
                <c:pt idx="220">
                  <c:v>1371.1030000000001</c:v>
                </c:pt>
                <c:pt idx="221">
                  <c:v>1371.922</c:v>
                </c:pt>
                <c:pt idx="222">
                  <c:v>1380.578</c:v>
                </c:pt>
                <c:pt idx="223">
                  <c:v>1390.499</c:v>
                </c:pt>
                <c:pt idx="224">
                  <c:v>1396.672</c:v>
                </c:pt>
                <c:pt idx="225">
                  <c:v>1400.73</c:v>
                </c:pt>
                <c:pt idx="226">
                  <c:v>1409.2739999999999</c:v>
                </c:pt>
                <c:pt idx="227">
                  <c:v>1411.327</c:v>
                </c:pt>
                <c:pt idx="228">
                  <c:v>1418.57</c:v>
                </c:pt>
                <c:pt idx="229">
                  <c:v>1423.5709999999999</c:v>
                </c:pt>
                <c:pt idx="230">
                  <c:v>1426.067</c:v>
                </c:pt>
                <c:pt idx="231">
                  <c:v>1433.5509999999999</c:v>
                </c:pt>
                <c:pt idx="232">
                  <c:v>1445.6969999999999</c:v>
                </c:pt>
                <c:pt idx="233">
                  <c:v>1449.5250000000001</c:v>
                </c:pt>
                <c:pt idx="234">
                  <c:v>1454.1659999999999</c:v>
                </c:pt>
                <c:pt idx="235">
                  <c:v>1464.6569999999999</c:v>
                </c:pt>
                <c:pt idx="236">
                  <c:v>1466.481</c:v>
                </c:pt>
                <c:pt idx="237">
                  <c:v>1472.396</c:v>
                </c:pt>
                <c:pt idx="238">
                  <c:v>1476.029</c:v>
                </c:pt>
                <c:pt idx="239">
                  <c:v>1481.104</c:v>
                </c:pt>
                <c:pt idx="240">
                  <c:v>1486.4649999999999</c:v>
                </c:pt>
                <c:pt idx="241">
                  <c:v>1500.1189999999999</c:v>
                </c:pt>
                <c:pt idx="242">
                  <c:v>1502.5119999999999</c:v>
                </c:pt>
                <c:pt idx="243">
                  <c:v>1507.4490000000001</c:v>
                </c:pt>
                <c:pt idx="244">
                  <c:v>1521.09</c:v>
                </c:pt>
                <c:pt idx="245">
                  <c:v>1525.5940000000001</c:v>
                </c:pt>
                <c:pt idx="246">
                  <c:v>1527.826</c:v>
                </c:pt>
                <c:pt idx="247">
                  <c:v>1529.7850000000001</c:v>
                </c:pt>
                <c:pt idx="248">
                  <c:v>1535.702</c:v>
                </c:pt>
                <c:pt idx="249">
                  <c:v>1539.453</c:v>
                </c:pt>
                <c:pt idx="250">
                  <c:v>1554.7650000000001</c:v>
                </c:pt>
                <c:pt idx="251">
                  <c:v>1555.56</c:v>
                </c:pt>
                <c:pt idx="252">
                  <c:v>1560.393</c:v>
                </c:pt>
                <c:pt idx="253">
                  <c:v>1578.941</c:v>
                </c:pt>
                <c:pt idx="254">
                  <c:v>1581.6189999999999</c:v>
                </c:pt>
                <c:pt idx="255">
                  <c:v>1582.057</c:v>
                </c:pt>
                <c:pt idx="256">
                  <c:v>1582.367</c:v>
                </c:pt>
                <c:pt idx="257">
                  <c:v>1590.6369999999999</c:v>
                </c:pt>
                <c:pt idx="258">
                  <c:v>1593.943</c:v>
                </c:pt>
                <c:pt idx="259">
                  <c:v>1608.1479999999999</c:v>
                </c:pt>
                <c:pt idx="260">
                  <c:v>1609.2860000000001</c:v>
                </c:pt>
                <c:pt idx="261">
                  <c:v>1613.3009999999999</c:v>
                </c:pt>
                <c:pt idx="262">
                  <c:v>1634.2470000000001</c:v>
                </c:pt>
                <c:pt idx="263">
                  <c:v>1634.453</c:v>
                </c:pt>
                <c:pt idx="264">
                  <c:v>1635.501</c:v>
                </c:pt>
                <c:pt idx="265">
                  <c:v>1637.64</c:v>
                </c:pt>
                <c:pt idx="266">
                  <c:v>1646.942</c:v>
                </c:pt>
                <c:pt idx="267">
                  <c:v>1648.1289999999999</c:v>
                </c:pt>
                <c:pt idx="268">
                  <c:v>1660.857</c:v>
                </c:pt>
                <c:pt idx="269">
                  <c:v>1663.2570000000001</c:v>
                </c:pt>
                <c:pt idx="270">
                  <c:v>1666.9079999999999</c:v>
                </c:pt>
                <c:pt idx="271">
                  <c:v>1686.402</c:v>
                </c:pt>
                <c:pt idx="272">
                  <c:v>1688.105</c:v>
                </c:pt>
                <c:pt idx="273">
                  <c:v>1692.096</c:v>
                </c:pt>
                <c:pt idx="274">
                  <c:v>1693.64</c:v>
                </c:pt>
                <c:pt idx="275">
                  <c:v>1700.982</c:v>
                </c:pt>
                <c:pt idx="276">
                  <c:v>1701.133</c:v>
                </c:pt>
                <c:pt idx="277">
                  <c:v>1713.537</c:v>
                </c:pt>
                <c:pt idx="278">
                  <c:v>1717.67</c:v>
                </c:pt>
                <c:pt idx="279">
                  <c:v>1720.1189999999999</c:v>
                </c:pt>
                <c:pt idx="280">
                  <c:v>1738.673</c:v>
                </c:pt>
                <c:pt idx="281">
                  <c:v>1741.722</c:v>
                </c:pt>
                <c:pt idx="282">
                  <c:v>1748.4749999999999</c:v>
                </c:pt>
                <c:pt idx="283">
                  <c:v>1748.867</c:v>
                </c:pt>
                <c:pt idx="284">
                  <c:v>1755.2349999999999</c:v>
                </c:pt>
                <c:pt idx="285">
                  <c:v>1755.2439999999999</c:v>
                </c:pt>
                <c:pt idx="286">
                  <c:v>1766.07</c:v>
                </c:pt>
                <c:pt idx="287">
                  <c:v>1771.6389999999999</c:v>
                </c:pt>
                <c:pt idx="288">
                  <c:v>1773.8879999999999</c:v>
                </c:pt>
                <c:pt idx="289">
                  <c:v>1791.0740000000001</c:v>
                </c:pt>
                <c:pt idx="290">
                  <c:v>1794.713</c:v>
                </c:pt>
                <c:pt idx="291">
                  <c:v>1805.02</c:v>
                </c:pt>
                <c:pt idx="292">
                  <c:v>1805.8710000000001</c:v>
                </c:pt>
                <c:pt idx="293">
                  <c:v>1808.5830000000001</c:v>
                </c:pt>
                <c:pt idx="294">
                  <c:v>1809.4469999999999</c:v>
                </c:pt>
                <c:pt idx="295">
                  <c:v>1819.8219999999999</c:v>
                </c:pt>
                <c:pt idx="296">
                  <c:v>1826.442</c:v>
                </c:pt>
                <c:pt idx="297">
                  <c:v>1828.6089999999999</c:v>
                </c:pt>
              </c:numCache>
            </c:numRef>
          </c:xVal>
          <c:yVal>
            <c:numRef>
              <c:f>intermediate_data!$W$2:$W$299</c:f>
              <c:numCache>
                <c:formatCode>General</c:formatCode>
                <c:ptCount val="298"/>
                <c:pt idx="0">
                  <c:v>5.7910992559314978E-2</c:v>
                </c:pt>
                <c:pt idx="1">
                  <c:v>5.7985769957209832E-2</c:v>
                </c:pt>
                <c:pt idx="2">
                  <c:v>5.8788588409607878E-2</c:v>
                </c:pt>
                <c:pt idx="3">
                  <c:v>5.9769003182005842E-2</c:v>
                </c:pt>
                <c:pt idx="4">
                  <c:v>6.0222860444228199E-2</c:v>
                </c:pt>
                <c:pt idx="5">
                  <c:v>6.1338289962825421E-2</c:v>
                </c:pt>
                <c:pt idx="6">
                  <c:v>6.1401390481542029E-2</c:v>
                </c:pt>
                <c:pt idx="7">
                  <c:v>6.1629837729859194E-2</c:v>
                </c:pt>
                <c:pt idx="8">
                  <c:v>6.2351988110728396E-2</c:v>
                </c:pt>
                <c:pt idx="9">
                  <c:v>9.5092355885212587E-2</c:v>
                </c:pt>
                <c:pt idx="10">
                  <c:v>9.5267491487756928E-2</c:v>
                </c:pt>
                <c:pt idx="11">
                  <c:v>9.6768017709558674E-2</c:v>
                </c:pt>
                <c:pt idx="12">
                  <c:v>9.7946472526680761E-2</c:v>
                </c:pt>
                <c:pt idx="13">
                  <c:v>9.82678018313492E-2</c:v>
                </c:pt>
                <c:pt idx="14">
                  <c:v>9.9012128142163647E-2</c:v>
                </c:pt>
                <c:pt idx="15">
                  <c:v>9.9567819290542037E-2</c:v>
                </c:pt>
                <c:pt idx="16">
                  <c:v>9.9832306904433565E-2</c:v>
                </c:pt>
                <c:pt idx="17">
                  <c:v>0.10092031277066971</c:v>
                </c:pt>
                <c:pt idx="18">
                  <c:v>0.13111464622726787</c:v>
                </c:pt>
                <c:pt idx="19">
                  <c:v>0.13117862328905971</c:v>
                </c:pt>
                <c:pt idx="20">
                  <c:v>0.13311863360398402</c:v>
                </c:pt>
                <c:pt idx="21">
                  <c:v>0.13471806014878052</c:v>
                </c:pt>
                <c:pt idx="22">
                  <c:v>0.13505174443185197</c:v>
                </c:pt>
                <c:pt idx="23">
                  <c:v>0.13566391710154724</c:v>
                </c:pt>
                <c:pt idx="24">
                  <c:v>0.13643601463026256</c:v>
                </c:pt>
                <c:pt idx="25">
                  <c:v>0.13706009346176273</c:v>
                </c:pt>
                <c:pt idx="26">
                  <c:v>0.13770360331915255</c:v>
                </c:pt>
                <c:pt idx="27">
                  <c:v>0.16207296728802545</c:v>
                </c:pt>
                <c:pt idx="28">
                  <c:v>0.16224587298074944</c:v>
                </c:pt>
                <c:pt idx="29">
                  <c:v>0.16447724486511284</c:v>
                </c:pt>
                <c:pt idx="30">
                  <c:v>0.1669594325171837</c:v>
                </c:pt>
                <c:pt idx="31">
                  <c:v>0.16818139053532821</c:v>
                </c:pt>
                <c:pt idx="32">
                  <c:v>0.168417248991517</c:v>
                </c:pt>
                <c:pt idx="33">
                  <c:v>0.16939168135623017</c:v>
                </c:pt>
                <c:pt idx="34">
                  <c:v>0.1710393211430361</c:v>
                </c:pt>
                <c:pt idx="35">
                  <c:v>0.17114040333854597</c:v>
                </c:pt>
                <c:pt idx="36">
                  <c:v>0.19797166131461097</c:v>
                </c:pt>
                <c:pt idx="37">
                  <c:v>0.19803967606348838</c:v>
                </c:pt>
                <c:pt idx="38">
                  <c:v>0.20159119319164009</c:v>
                </c:pt>
                <c:pt idx="39">
                  <c:v>0.20538117166826808</c:v>
                </c:pt>
                <c:pt idx="40">
                  <c:v>0.20691355215503382</c:v>
                </c:pt>
                <c:pt idx="41">
                  <c:v>0.20746642539859561</c:v>
                </c:pt>
                <c:pt idx="42">
                  <c:v>0.2088654643990715</c:v>
                </c:pt>
                <c:pt idx="43">
                  <c:v>0.21185401397478465</c:v>
                </c:pt>
                <c:pt idx="44">
                  <c:v>0.21218438944959672</c:v>
                </c:pt>
                <c:pt idx="45">
                  <c:v>0.2421634354049651</c:v>
                </c:pt>
                <c:pt idx="46">
                  <c:v>0.24258986848550457</c:v>
                </c:pt>
                <c:pt idx="47">
                  <c:v>0.24738165320603578</c:v>
                </c:pt>
                <c:pt idx="48">
                  <c:v>0.25245057472943433</c:v>
                </c:pt>
                <c:pt idx="49">
                  <c:v>0.25411160756725959</c:v>
                </c:pt>
                <c:pt idx="50">
                  <c:v>0.25452940708382066</c:v>
                </c:pt>
                <c:pt idx="51">
                  <c:v>0.25596628793070142</c:v>
                </c:pt>
                <c:pt idx="52">
                  <c:v>0.26009106528716774</c:v>
                </c:pt>
                <c:pt idx="53">
                  <c:v>0.26029678786281352</c:v>
                </c:pt>
                <c:pt idx="54">
                  <c:v>0.28527182626439362</c:v>
                </c:pt>
                <c:pt idx="55">
                  <c:v>0.28582930450458743</c:v>
                </c:pt>
                <c:pt idx="56">
                  <c:v>0.29139269319067207</c:v>
                </c:pt>
                <c:pt idx="57">
                  <c:v>0.29683970320763553</c:v>
                </c:pt>
                <c:pt idx="58">
                  <c:v>0.29801488361470163</c:v>
                </c:pt>
                <c:pt idx="59">
                  <c:v>0.2981270045569735</c:v>
                </c:pt>
                <c:pt idx="60">
                  <c:v>0.30143763019788583</c:v>
                </c:pt>
                <c:pt idx="61">
                  <c:v>0.30734028816787529</c:v>
                </c:pt>
                <c:pt idx="62">
                  <c:v>0.30760530130415553</c:v>
                </c:pt>
                <c:pt idx="63">
                  <c:v>0.33560903555859944</c:v>
                </c:pt>
                <c:pt idx="64">
                  <c:v>0.33679787278374285</c:v>
                </c:pt>
                <c:pt idx="65">
                  <c:v>0.34477820556382088</c:v>
                </c:pt>
                <c:pt idx="66">
                  <c:v>0.35286470240949619</c:v>
                </c:pt>
                <c:pt idx="67">
                  <c:v>0.35343758774461165</c:v>
                </c:pt>
                <c:pt idx="68">
                  <c:v>0.35426887240920379</c:v>
                </c:pt>
                <c:pt idx="69">
                  <c:v>0.35742623395902484</c:v>
                </c:pt>
                <c:pt idx="70">
                  <c:v>0.36339535275069856</c:v>
                </c:pt>
                <c:pt idx="71">
                  <c:v>0.36409378025557437</c:v>
                </c:pt>
                <c:pt idx="72">
                  <c:v>0.3849121535953639</c:v>
                </c:pt>
                <c:pt idx="73">
                  <c:v>0.38614469987165378</c:v>
                </c:pt>
                <c:pt idx="74">
                  <c:v>0.39291002631912875</c:v>
                </c:pt>
                <c:pt idx="75">
                  <c:v>0.40003022274874134</c:v>
                </c:pt>
                <c:pt idx="76">
                  <c:v>0.4001533253977918</c:v>
                </c:pt>
                <c:pt idx="77">
                  <c:v>0.40106063751486332</c:v>
                </c:pt>
                <c:pt idx="78">
                  <c:v>0.40294163517621051</c:v>
                </c:pt>
                <c:pt idx="79">
                  <c:v>0.40667798985466952</c:v>
                </c:pt>
                <c:pt idx="80">
                  <c:v>0.40753284893358632</c:v>
                </c:pt>
                <c:pt idx="81">
                  <c:v>0.41733526722602754</c:v>
                </c:pt>
                <c:pt idx="82">
                  <c:v>0.41818901595600266</c:v>
                </c:pt>
                <c:pt idx="83">
                  <c:v>0.42285820841492949</c:v>
                </c:pt>
                <c:pt idx="84">
                  <c:v>0.4281504341732294</c:v>
                </c:pt>
                <c:pt idx="85">
                  <c:v>0.42854681751214585</c:v>
                </c:pt>
                <c:pt idx="86">
                  <c:v>0.42888679245283257</c:v>
                </c:pt>
                <c:pt idx="87">
                  <c:v>0.4321488109659235</c:v>
                </c:pt>
                <c:pt idx="88">
                  <c:v>0.43762881162480127</c:v>
                </c:pt>
                <c:pt idx="89">
                  <c:v>0.43983115022892783</c:v>
                </c:pt>
                <c:pt idx="90">
                  <c:v>0.44947437343130758</c:v>
                </c:pt>
                <c:pt idx="91">
                  <c:v>0.45095119854267907</c:v>
                </c:pt>
                <c:pt idx="92">
                  <c:v>0.4588281503965046</c:v>
                </c:pt>
                <c:pt idx="93">
                  <c:v>0.46875661574490657</c:v>
                </c:pt>
                <c:pt idx="94">
                  <c:v>0.46905264227899046</c:v>
                </c:pt>
                <c:pt idx="95">
                  <c:v>0.46990930007035558</c:v>
                </c:pt>
                <c:pt idx="96">
                  <c:v>0.47326257128430171</c:v>
                </c:pt>
                <c:pt idx="97">
                  <c:v>0.47947315686099046</c:v>
                </c:pt>
                <c:pt idx="98">
                  <c:v>0.48186465936203327</c:v>
                </c:pt>
                <c:pt idx="99">
                  <c:v>0.48991839572584084</c:v>
                </c:pt>
                <c:pt idx="100">
                  <c:v>0.49153854915393858</c:v>
                </c:pt>
                <c:pt idx="101">
                  <c:v>0.49862881197847386</c:v>
                </c:pt>
                <c:pt idx="102">
                  <c:v>0.50830899227226212</c:v>
                </c:pt>
                <c:pt idx="103">
                  <c:v>0.50840211290037018</c:v>
                </c:pt>
                <c:pt idx="104">
                  <c:v>0.50939806711818036</c:v>
                </c:pt>
                <c:pt idx="105">
                  <c:v>0.51353682526856659</c:v>
                </c:pt>
                <c:pt idx="106">
                  <c:v>0.51964203716010893</c:v>
                </c:pt>
                <c:pt idx="107">
                  <c:v>0.52204773563666507</c:v>
                </c:pt>
                <c:pt idx="108">
                  <c:v>0.52808988764045139</c:v>
                </c:pt>
                <c:pt idx="109">
                  <c:v>0.52969415923948837</c:v>
                </c:pt>
                <c:pt idx="110">
                  <c:v>0.53573848132639945</c:v>
                </c:pt>
                <c:pt idx="111">
                  <c:v>0.54451078777653805</c:v>
                </c:pt>
                <c:pt idx="112">
                  <c:v>0.54458666548730328</c:v>
                </c:pt>
                <c:pt idx="113">
                  <c:v>0.54546829222190851</c:v>
                </c:pt>
                <c:pt idx="114">
                  <c:v>0.5489325474400637</c:v>
                </c:pt>
                <c:pt idx="115">
                  <c:v>0.55414604776366616</c:v>
                </c:pt>
                <c:pt idx="116">
                  <c:v>0.55604690497983889</c:v>
                </c:pt>
                <c:pt idx="117">
                  <c:v>0.55853573461107864</c:v>
                </c:pt>
                <c:pt idx="118">
                  <c:v>0.56045920695945384</c:v>
                </c:pt>
                <c:pt idx="119">
                  <c:v>0.56815838476867953</c:v>
                </c:pt>
                <c:pt idx="120">
                  <c:v>0.58040182266253559</c:v>
                </c:pt>
                <c:pt idx="121">
                  <c:v>0.58048265987434888</c:v>
                </c:pt>
                <c:pt idx="122">
                  <c:v>0.58152070033258241</c:v>
                </c:pt>
                <c:pt idx="123">
                  <c:v>0.58668291842014142</c:v>
                </c:pt>
                <c:pt idx="124">
                  <c:v>0.59411967704436108</c:v>
                </c:pt>
                <c:pt idx="125">
                  <c:v>0.59755895814569193</c:v>
                </c:pt>
                <c:pt idx="126">
                  <c:v>0.59784765804154816</c:v>
                </c:pt>
                <c:pt idx="127">
                  <c:v>0.59994317889577964</c:v>
                </c:pt>
                <c:pt idx="128">
                  <c:v>0.60616674126934278</c:v>
                </c:pt>
                <c:pt idx="129">
                  <c:v>0.61692998717475156</c:v>
                </c:pt>
                <c:pt idx="130">
                  <c:v>0.617387503111404</c:v>
                </c:pt>
                <c:pt idx="131">
                  <c:v>0.61744316347268047</c:v>
                </c:pt>
                <c:pt idx="132">
                  <c:v>0.62058889668158734</c:v>
                </c:pt>
                <c:pt idx="133">
                  <c:v>0.62516282101638154</c:v>
                </c:pt>
                <c:pt idx="134">
                  <c:v>0.62557162508830366</c:v>
                </c:pt>
                <c:pt idx="135">
                  <c:v>0.62726685152407669</c:v>
                </c:pt>
                <c:pt idx="136">
                  <c:v>0.62765228147625152</c:v>
                </c:pt>
                <c:pt idx="137">
                  <c:v>0.63285487295155463</c:v>
                </c:pt>
                <c:pt idx="138">
                  <c:v>0.64117132021804579</c:v>
                </c:pt>
                <c:pt idx="139">
                  <c:v>0.64156482946638249</c:v>
                </c:pt>
                <c:pt idx="140">
                  <c:v>0.64158564066095636</c:v>
                </c:pt>
                <c:pt idx="141">
                  <c:v>0.64554564905475686</c:v>
                </c:pt>
                <c:pt idx="142">
                  <c:v>0.65007072662299237</c:v>
                </c:pt>
                <c:pt idx="143">
                  <c:v>0.6512268661732179</c:v>
                </c:pt>
                <c:pt idx="144">
                  <c:v>0.6519374021069666</c:v>
                </c:pt>
                <c:pt idx="145">
                  <c:v>0.65246099615411879</c:v>
                </c:pt>
                <c:pt idx="146">
                  <c:v>0.6562605802013799</c:v>
                </c:pt>
                <c:pt idx="147">
                  <c:v>0.66352583951733735</c:v>
                </c:pt>
                <c:pt idx="148">
                  <c:v>0.66375902698593947</c:v>
                </c:pt>
                <c:pt idx="149">
                  <c:v>0.66385778802101569</c:v>
                </c:pt>
                <c:pt idx="150">
                  <c:v>0.66956797150359293</c:v>
                </c:pt>
                <c:pt idx="151">
                  <c:v>0.67368731672230453</c:v>
                </c:pt>
                <c:pt idx="152">
                  <c:v>0.67657231956365749</c:v>
                </c:pt>
                <c:pt idx="153">
                  <c:v>0.67802438981630786</c:v>
                </c:pt>
                <c:pt idx="154">
                  <c:v>0.67883475027444362</c:v>
                </c:pt>
                <c:pt idx="155">
                  <c:v>0.6835683318435315</c:v>
                </c:pt>
                <c:pt idx="156">
                  <c:v>0.69500846852516673</c:v>
                </c:pt>
                <c:pt idx="157">
                  <c:v>0.6955329601279594</c:v>
                </c:pt>
                <c:pt idx="158">
                  <c:v>0.69553716169815871</c:v>
                </c:pt>
                <c:pt idx="159">
                  <c:v>0.70049039280765157</c:v>
                </c:pt>
                <c:pt idx="160">
                  <c:v>0.70225127087872252</c:v>
                </c:pt>
                <c:pt idx="161">
                  <c:v>0.70509471243978439</c:v>
                </c:pt>
                <c:pt idx="162">
                  <c:v>0.70762437432253478</c:v>
                </c:pt>
                <c:pt idx="163">
                  <c:v>0.70859609519932931</c:v>
                </c:pt>
                <c:pt idx="164">
                  <c:v>0.71146892247629268</c:v>
                </c:pt>
                <c:pt idx="165">
                  <c:v>0.72092116173812215</c:v>
                </c:pt>
                <c:pt idx="166">
                  <c:v>0.72103472009789016</c:v>
                </c:pt>
                <c:pt idx="167">
                  <c:v>0.72134194268117469</c:v>
                </c:pt>
                <c:pt idx="168">
                  <c:v>0.72867864345447231</c:v>
                </c:pt>
                <c:pt idx="169">
                  <c:v>0.72925982966248171</c:v>
                </c:pt>
                <c:pt idx="170">
                  <c:v>0.73286941695450381</c:v>
                </c:pt>
                <c:pt idx="171">
                  <c:v>0.73827086751296989</c:v>
                </c:pt>
                <c:pt idx="172">
                  <c:v>0.73936219154856175</c:v>
                </c:pt>
                <c:pt idx="173">
                  <c:v>0.74166667252945828</c:v>
                </c:pt>
                <c:pt idx="174">
                  <c:v>0.75163513315155939</c:v>
                </c:pt>
                <c:pt idx="175">
                  <c:v>0.75184604200941507</c:v>
                </c:pt>
                <c:pt idx="176">
                  <c:v>0.75316068008114101</c:v>
                </c:pt>
                <c:pt idx="177">
                  <c:v>0.76114456167486466</c:v>
                </c:pt>
                <c:pt idx="178">
                  <c:v>0.7634216046320681</c:v>
                </c:pt>
                <c:pt idx="179">
                  <c:v>0.76603071635386399</c:v>
                </c:pt>
                <c:pt idx="180">
                  <c:v>0.77447545868923484</c:v>
                </c:pt>
                <c:pt idx="181">
                  <c:v>0.77559273909547599</c:v>
                </c:pt>
                <c:pt idx="182">
                  <c:v>0.77693092665428054</c:v>
                </c:pt>
                <c:pt idx="183">
                  <c:v>0.79027102813334338</c:v>
                </c:pt>
                <c:pt idx="184">
                  <c:v>0.79041263528242567</c:v>
                </c:pt>
                <c:pt idx="185">
                  <c:v>0.79172695080620059</c:v>
                </c:pt>
                <c:pt idx="186">
                  <c:v>0.796804033887625</c:v>
                </c:pt>
                <c:pt idx="187">
                  <c:v>0.80143574702524134</c:v>
                </c:pt>
                <c:pt idx="188">
                  <c:v>0.8022302566552284</c:v>
                </c:pt>
                <c:pt idx="189">
                  <c:v>0.81293931002885955</c:v>
                </c:pt>
                <c:pt idx="190">
                  <c:v>0.81341996640722058</c:v>
                </c:pt>
                <c:pt idx="191">
                  <c:v>0.8140857157288508</c:v>
                </c:pt>
                <c:pt idx="192">
                  <c:v>0.82798890266097303</c:v>
                </c:pt>
                <c:pt idx="193">
                  <c:v>0.82824934964833474</c:v>
                </c:pt>
                <c:pt idx="194">
                  <c:v>0.83078297608514617</c:v>
                </c:pt>
                <c:pt idx="195">
                  <c:v>0.83631154616077197</c:v>
                </c:pt>
                <c:pt idx="196">
                  <c:v>0.84388465467181462</c:v>
                </c:pt>
                <c:pt idx="197">
                  <c:v>0.84512359421296424</c:v>
                </c:pt>
                <c:pt idx="198">
                  <c:v>0.85769593245145614</c:v>
                </c:pt>
                <c:pt idx="199">
                  <c:v>0.86024354716582963</c:v>
                </c:pt>
                <c:pt idx="200">
                  <c:v>0.86318331160338602</c:v>
                </c:pt>
                <c:pt idx="201">
                  <c:v>0.87719383404607854</c:v>
                </c:pt>
                <c:pt idx="202">
                  <c:v>0.87755338009712958</c:v>
                </c:pt>
                <c:pt idx="203">
                  <c:v>0.87991806798661543</c:v>
                </c:pt>
                <c:pt idx="204">
                  <c:v>0.88122254416300905</c:v>
                </c:pt>
                <c:pt idx="205">
                  <c:v>0.88633835410205819</c:v>
                </c:pt>
                <c:pt idx="206">
                  <c:v>0.88870972792170377</c:v>
                </c:pt>
                <c:pt idx="207">
                  <c:v>0.89494693222927069</c:v>
                </c:pt>
                <c:pt idx="208">
                  <c:v>0.89784092438896579</c:v>
                </c:pt>
                <c:pt idx="209">
                  <c:v>0.89957820267247612</c:v>
                </c:pt>
                <c:pt idx="210">
                  <c:v>0.9071327142426675</c:v>
                </c:pt>
                <c:pt idx="211">
                  <c:v>0.90723812089836997</c:v>
                </c:pt>
                <c:pt idx="212">
                  <c:v>0.90940420623180174</c:v>
                </c:pt>
                <c:pt idx="213">
                  <c:v>0.9094223324688997</c:v>
                </c:pt>
                <c:pt idx="214">
                  <c:v>0.90592550710456976</c:v>
                </c:pt>
                <c:pt idx="215">
                  <c:v>0.90351370180558987</c:v>
                </c:pt>
                <c:pt idx="216">
                  <c:v>0.90033258117025738</c:v>
                </c:pt>
                <c:pt idx="217">
                  <c:v>0.896812714175379</c:v>
                </c:pt>
                <c:pt idx="218">
                  <c:v>0.89630132753919156</c:v>
                </c:pt>
                <c:pt idx="219">
                  <c:v>0.89277939711471177</c:v>
                </c:pt>
                <c:pt idx="220">
                  <c:v>0.89091386850353871</c:v>
                </c:pt>
                <c:pt idx="221">
                  <c:v>0.89115147274075568</c:v>
                </c:pt>
                <c:pt idx="222">
                  <c:v>0.8936627087326201</c:v>
                </c:pt>
                <c:pt idx="223">
                  <c:v>0.89654094028013986</c:v>
                </c:pt>
                <c:pt idx="224">
                  <c:v>0.89833182056869987</c:v>
                </c:pt>
                <c:pt idx="225">
                  <c:v>0.89950910749741553</c:v>
                </c:pt>
                <c:pt idx="226">
                  <c:v>0.90198785060213993</c:v>
                </c:pt>
                <c:pt idx="227">
                  <c:v>0.90258345682803309</c:v>
                </c:pt>
                <c:pt idx="228">
                  <c:v>0.90468476023481159</c:v>
                </c:pt>
                <c:pt idx="229">
                  <c:v>0.9070895106454131</c:v>
                </c:pt>
                <c:pt idx="230">
                  <c:v>0.90829879056835594</c:v>
                </c:pt>
                <c:pt idx="231">
                  <c:v>0.91192469238859175</c:v>
                </c:pt>
                <c:pt idx="232">
                  <c:v>0.91780927329566708</c:v>
                </c:pt>
                <c:pt idx="233">
                  <c:v>0.9196638901005656</c:v>
                </c:pt>
                <c:pt idx="234">
                  <c:v>0.92191239495729249</c:v>
                </c:pt>
                <c:pt idx="235">
                  <c:v>0.92699514963340945</c:v>
                </c:pt>
                <c:pt idx="236">
                  <c:v>0.92787885419248539</c:v>
                </c:pt>
                <c:pt idx="237">
                  <c:v>0.93074459567654344</c:v>
                </c:pt>
                <c:pt idx="238">
                  <c:v>0.93445787479704023</c:v>
                </c:pt>
                <c:pt idx="239">
                  <c:v>0.93730902223726886</c:v>
                </c:pt>
                <c:pt idx="240">
                  <c:v>0.94032084517855807</c:v>
                </c:pt>
                <c:pt idx="241">
                  <c:v>0.94799169584828746</c:v>
                </c:pt>
                <c:pt idx="242">
                  <c:v>0.94933608911419398</c:v>
                </c:pt>
                <c:pt idx="243">
                  <c:v>0.95210970781614179</c:v>
                </c:pt>
                <c:pt idx="244">
                  <c:v>0.95977325505400302</c:v>
                </c:pt>
                <c:pt idx="245">
                  <c:v>0.9623036132945515</c:v>
                </c:pt>
                <c:pt idx="246">
                  <c:v>0.96355755636580298</c:v>
                </c:pt>
                <c:pt idx="247">
                  <c:v>0.96358262227427005</c:v>
                </c:pt>
                <c:pt idx="248">
                  <c:v>0.96611590024370386</c:v>
                </c:pt>
                <c:pt idx="249">
                  <c:v>0.96772183664109335</c:v>
                </c:pt>
                <c:pt idx="250">
                  <c:v>0.97427744797588645</c:v>
                </c:pt>
                <c:pt idx="251">
                  <c:v>0.97461781572739881</c:v>
                </c:pt>
                <c:pt idx="252">
                  <c:v>0.97668699477527454</c:v>
                </c:pt>
                <c:pt idx="253">
                  <c:v>0.98462805270616016</c:v>
                </c:pt>
                <c:pt idx="254">
                  <c:v>0.98577459967289016</c:v>
                </c:pt>
                <c:pt idx="255">
                  <c:v>0.98597557218189635</c:v>
                </c:pt>
                <c:pt idx="256">
                  <c:v>0.98611781299877066</c:v>
                </c:pt>
                <c:pt idx="257">
                  <c:v>0.99204059717918369</c:v>
                </c:pt>
                <c:pt idx="258">
                  <c:v>0.99440827849725366</c:v>
                </c:pt>
                <c:pt idx="259">
                  <c:v>1.0045815734528425</c:v>
                </c:pt>
                <c:pt idx="260">
                  <c:v>1.0053965829325691</c:v>
                </c:pt>
                <c:pt idx="261">
                  <c:v>1.0082720337771107</c:v>
                </c:pt>
                <c:pt idx="262">
                  <c:v>1.0232730782079287</c:v>
                </c:pt>
                <c:pt idx="263">
                  <c:v>1.0233996741837217</c:v>
                </c:pt>
                <c:pt idx="264">
                  <c:v>1.0240437158469895</c:v>
                </c:pt>
                <c:pt idx="265">
                  <c:v>1.0243937757811246</c:v>
                </c:pt>
                <c:pt idx="266">
                  <c:v>1.0259161028065371</c:v>
                </c:pt>
                <c:pt idx="267">
                  <c:v>1.0261103623398782</c:v>
                </c:pt>
                <c:pt idx="268">
                  <c:v>1.028193374421086</c:v>
                </c:pt>
                <c:pt idx="269">
                  <c:v>1.0285861485407395</c:v>
                </c:pt>
                <c:pt idx="270">
                  <c:v>1.0291836561702539</c:v>
                </c:pt>
                <c:pt idx="271">
                  <c:v>1.0323739639571095</c:v>
                </c:pt>
                <c:pt idx="272">
                  <c:v>1.0325802069981371</c:v>
                </c:pt>
                <c:pt idx="273">
                  <c:v>1.0344969481559403</c:v>
                </c:pt>
                <c:pt idx="274">
                  <c:v>1.0352384786865514</c:v>
                </c:pt>
                <c:pt idx="275">
                  <c:v>1.0387645908340239</c:v>
                </c:pt>
                <c:pt idx="276">
                  <c:v>1.0388371109830707</c:v>
                </c:pt>
                <c:pt idx="277">
                  <c:v>1.0447943290540742</c:v>
                </c:pt>
                <c:pt idx="278">
                  <c:v>1.0467792679679349</c:v>
                </c:pt>
                <c:pt idx="279">
                  <c:v>1.0479554391269019</c:v>
                </c:pt>
                <c:pt idx="280">
                  <c:v>1.0568662924072534</c:v>
                </c:pt>
                <c:pt idx="281">
                  <c:v>1.0581859124825783</c:v>
                </c:pt>
                <c:pt idx="282">
                  <c:v>1.0596207643628617</c:v>
                </c:pt>
                <c:pt idx="283">
                  <c:v>1.0597040550391625</c:v>
                </c:pt>
                <c:pt idx="284">
                  <c:v>1.0610571035766441</c:v>
                </c:pt>
                <c:pt idx="285">
                  <c:v>1.0610590158625826</c:v>
                </c:pt>
                <c:pt idx="286">
                  <c:v>1.0633592833667862</c:v>
                </c:pt>
                <c:pt idx="287">
                  <c:v>1.0645425634084376</c:v>
                </c:pt>
                <c:pt idx="288">
                  <c:v>1.0650204224161044</c:v>
                </c:pt>
                <c:pt idx="289">
                  <c:v>1.0686720386480673</c:v>
                </c:pt>
                <c:pt idx="290">
                  <c:v>1.06907922285734</c:v>
                </c:pt>
                <c:pt idx="291">
                  <c:v>1.0752189229375162</c:v>
                </c:pt>
                <c:pt idx="292">
                  <c:v>1.0757258487906469</c:v>
                </c:pt>
                <c:pt idx="293">
                  <c:v>1.0773413398760709</c:v>
                </c:pt>
                <c:pt idx="294">
                  <c:v>1.0778560096023995</c:v>
                </c:pt>
                <c:pt idx="295">
                  <c:v>1.0840362160962158</c:v>
                </c:pt>
                <c:pt idx="296">
                  <c:v>1.0879796346011901</c:v>
                </c:pt>
                <c:pt idx="297">
                  <c:v>1.0892704786948855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E27-43D6-9656-5E17AC81F88D}"/>
            </c:ext>
          </c:extLst>
        </c:ser>
        <c:ser>
          <c:idx val="4"/>
          <c:order val="4"/>
          <c:tx>
            <c:strRef>
              <c:f>race_data!$U$1</c:f>
              <c:strCache>
                <c:ptCount val="1"/>
                <c:pt idx="0">
                  <c:v>NielsS</c:v>
                </c:pt>
              </c:strCache>
            </c:strRef>
          </c:tx>
          <c:marker>
            <c:symbol val="none"/>
          </c:marker>
          <c:xVal>
            <c:numRef>
              <c:f>intermediate_data!$A$2:$A$299</c:f>
              <c:numCache>
                <c:formatCode>General</c:formatCode>
                <c:ptCount val="298"/>
                <c:pt idx="0">
                  <c:v>53.683999999999997</c:v>
                </c:pt>
                <c:pt idx="1">
                  <c:v>53.756</c:v>
                </c:pt>
                <c:pt idx="2">
                  <c:v>54.529000000000003</c:v>
                </c:pt>
                <c:pt idx="3">
                  <c:v>55.472999999999999</c:v>
                </c:pt>
                <c:pt idx="4">
                  <c:v>55.91</c:v>
                </c:pt>
                <c:pt idx="5">
                  <c:v>56.984000000000002</c:v>
                </c:pt>
                <c:pt idx="6">
                  <c:v>57.091999999999999</c:v>
                </c:pt>
                <c:pt idx="7">
                  <c:v>57.482999999999997</c:v>
                </c:pt>
                <c:pt idx="8">
                  <c:v>58.719000000000001</c:v>
                </c:pt>
                <c:pt idx="9">
                  <c:v>107.248</c:v>
                </c:pt>
                <c:pt idx="10">
                  <c:v>107.48399999999999</c:v>
                </c:pt>
                <c:pt idx="11">
                  <c:v>109.506</c:v>
                </c:pt>
                <c:pt idx="12">
                  <c:v>111.09399999999999</c:v>
                </c:pt>
                <c:pt idx="13">
                  <c:v>111.527</c:v>
                </c:pt>
                <c:pt idx="14">
                  <c:v>112.53</c:v>
                </c:pt>
                <c:pt idx="15">
                  <c:v>113.36199999999999</c:v>
                </c:pt>
                <c:pt idx="16">
                  <c:v>113.758</c:v>
                </c:pt>
                <c:pt idx="17">
                  <c:v>115.387</c:v>
                </c:pt>
                <c:pt idx="18">
                  <c:v>160.595</c:v>
                </c:pt>
                <c:pt idx="19">
                  <c:v>160.697</c:v>
                </c:pt>
                <c:pt idx="20">
                  <c:v>163.79</c:v>
                </c:pt>
                <c:pt idx="21">
                  <c:v>166.34</c:v>
                </c:pt>
                <c:pt idx="22">
                  <c:v>166.87200000000001</c:v>
                </c:pt>
                <c:pt idx="23">
                  <c:v>167.84800000000001</c:v>
                </c:pt>
                <c:pt idx="24">
                  <c:v>169.19900000000001</c:v>
                </c:pt>
                <c:pt idx="25">
                  <c:v>170.291</c:v>
                </c:pt>
                <c:pt idx="26">
                  <c:v>171.417</c:v>
                </c:pt>
                <c:pt idx="27">
                  <c:v>214.05799999999999</c:v>
                </c:pt>
                <c:pt idx="28">
                  <c:v>214.31100000000001</c:v>
                </c:pt>
                <c:pt idx="29">
                  <c:v>217.57599999999999</c:v>
                </c:pt>
                <c:pt idx="30">
                  <c:v>221.208</c:v>
                </c:pt>
                <c:pt idx="31">
                  <c:v>222.99600000000001</c:v>
                </c:pt>
                <c:pt idx="32">
                  <c:v>223.346</c:v>
                </c:pt>
                <c:pt idx="33">
                  <c:v>224.792</c:v>
                </c:pt>
                <c:pt idx="34">
                  <c:v>227.23699999999999</c:v>
                </c:pt>
                <c:pt idx="35">
                  <c:v>227.387</c:v>
                </c:pt>
                <c:pt idx="36">
                  <c:v>267.20299999999997</c:v>
                </c:pt>
                <c:pt idx="37">
                  <c:v>267.286</c:v>
                </c:pt>
                <c:pt idx="38">
                  <c:v>271.62</c:v>
                </c:pt>
                <c:pt idx="39">
                  <c:v>276.245</c:v>
                </c:pt>
                <c:pt idx="40">
                  <c:v>278.11500000000001</c:v>
                </c:pt>
                <c:pt idx="41">
                  <c:v>278.77100000000002</c:v>
                </c:pt>
                <c:pt idx="42">
                  <c:v>280.43099999999998</c:v>
                </c:pt>
                <c:pt idx="43">
                  <c:v>283.97699999999998</c:v>
                </c:pt>
                <c:pt idx="44">
                  <c:v>284.36900000000003</c:v>
                </c:pt>
                <c:pt idx="45">
                  <c:v>319.94</c:v>
                </c:pt>
                <c:pt idx="46">
                  <c:v>320.41699999999997</c:v>
                </c:pt>
                <c:pt idx="47">
                  <c:v>325.77699999999999</c:v>
                </c:pt>
                <c:pt idx="48">
                  <c:v>331.447</c:v>
                </c:pt>
                <c:pt idx="49">
                  <c:v>333.30500000000001</c:v>
                </c:pt>
                <c:pt idx="50">
                  <c:v>333.83100000000002</c:v>
                </c:pt>
                <c:pt idx="51">
                  <c:v>335.64</c:v>
                </c:pt>
                <c:pt idx="52">
                  <c:v>340.83300000000003</c:v>
                </c:pt>
                <c:pt idx="53">
                  <c:v>341.09199999999998</c:v>
                </c:pt>
                <c:pt idx="54">
                  <c:v>372.53500000000003</c:v>
                </c:pt>
                <c:pt idx="55">
                  <c:v>373.22</c:v>
                </c:pt>
                <c:pt idx="56">
                  <c:v>380.05599999999998</c:v>
                </c:pt>
                <c:pt idx="57">
                  <c:v>386.74900000000002</c:v>
                </c:pt>
                <c:pt idx="58">
                  <c:v>388.19299999999998</c:v>
                </c:pt>
                <c:pt idx="59">
                  <c:v>388.30299999999988</c:v>
                </c:pt>
                <c:pt idx="60">
                  <c:v>391.55099999999999</c:v>
                </c:pt>
                <c:pt idx="61">
                  <c:v>397.34199999999998</c:v>
                </c:pt>
                <c:pt idx="62">
                  <c:v>397.60199999999998</c:v>
                </c:pt>
                <c:pt idx="63">
                  <c:v>425.07600000000002</c:v>
                </c:pt>
                <c:pt idx="64">
                  <c:v>426.26299999999998</c:v>
                </c:pt>
                <c:pt idx="65">
                  <c:v>434.23099999999999</c:v>
                </c:pt>
                <c:pt idx="66">
                  <c:v>442.30500000000001</c:v>
                </c:pt>
                <c:pt idx="67">
                  <c:v>442.87700000000001</c:v>
                </c:pt>
                <c:pt idx="68">
                  <c:v>443.70699999999999</c:v>
                </c:pt>
                <c:pt idx="69">
                  <c:v>447.20600000000002</c:v>
                </c:pt>
                <c:pt idx="70">
                  <c:v>453.82100000000003</c:v>
                </c:pt>
                <c:pt idx="71">
                  <c:v>454.59500000000003</c:v>
                </c:pt>
                <c:pt idx="72">
                  <c:v>477.66599999999988</c:v>
                </c:pt>
                <c:pt idx="73">
                  <c:v>479.28800000000001</c:v>
                </c:pt>
                <c:pt idx="74">
                  <c:v>488.19099999999997</c:v>
                </c:pt>
                <c:pt idx="75">
                  <c:v>497.56099999999998</c:v>
                </c:pt>
                <c:pt idx="76">
                  <c:v>497.72300000000001</c:v>
                </c:pt>
                <c:pt idx="77">
                  <c:v>498.91699999999997</c:v>
                </c:pt>
                <c:pt idx="78">
                  <c:v>502.58499999999998</c:v>
                </c:pt>
                <c:pt idx="79">
                  <c:v>509.87099999999998</c:v>
                </c:pt>
                <c:pt idx="80">
                  <c:v>511.53800000000001</c:v>
                </c:pt>
                <c:pt idx="81">
                  <c:v>530.65299999999991</c:v>
                </c:pt>
                <c:pt idx="82">
                  <c:v>532.33299999999997</c:v>
                </c:pt>
                <c:pt idx="83">
                  <c:v>541.52099999999996</c:v>
                </c:pt>
                <c:pt idx="84">
                  <c:v>551.93500000000006</c:v>
                </c:pt>
                <c:pt idx="85">
                  <c:v>552.71499999999992</c:v>
                </c:pt>
                <c:pt idx="86">
                  <c:v>553.38400000000001</c:v>
                </c:pt>
                <c:pt idx="87">
                  <c:v>558.18000000000006</c:v>
                </c:pt>
                <c:pt idx="88">
                  <c:v>566.23699999999997</c:v>
                </c:pt>
                <c:pt idx="89">
                  <c:v>569.47499999999991</c:v>
                </c:pt>
                <c:pt idx="90">
                  <c:v>583.65299999999991</c:v>
                </c:pt>
                <c:pt idx="91">
                  <c:v>585.43899999999996</c:v>
                </c:pt>
                <c:pt idx="92">
                  <c:v>594.96499999999992</c:v>
                </c:pt>
                <c:pt idx="93">
                  <c:v>606.97200000000009</c:v>
                </c:pt>
                <c:pt idx="94">
                  <c:v>607.32999999999993</c:v>
                </c:pt>
                <c:pt idx="95">
                  <c:v>608.36599999999999</c:v>
                </c:pt>
                <c:pt idx="96">
                  <c:v>613.03800000000001</c:v>
                </c:pt>
                <c:pt idx="97">
                  <c:v>621.69099999999992</c:v>
                </c:pt>
                <c:pt idx="98">
                  <c:v>625.02299999999991</c:v>
                </c:pt>
                <c:pt idx="99">
                  <c:v>636.24399999999991</c:v>
                </c:pt>
                <c:pt idx="100">
                  <c:v>638.471</c:v>
                </c:pt>
                <c:pt idx="101">
                  <c:v>648.21699999999987</c:v>
                </c:pt>
                <c:pt idx="102">
                  <c:v>661.52299999999991</c:v>
                </c:pt>
                <c:pt idx="103">
                  <c:v>661.65100000000007</c:v>
                </c:pt>
                <c:pt idx="104">
                  <c:v>663.02</c:v>
                </c:pt>
                <c:pt idx="105">
                  <c:v>668.73</c:v>
                </c:pt>
                <c:pt idx="106">
                  <c:v>677.15299999999991</c:v>
                </c:pt>
                <c:pt idx="107">
                  <c:v>680.47199999999987</c:v>
                </c:pt>
                <c:pt idx="108">
                  <c:v>688.80799999999988</c:v>
                </c:pt>
                <c:pt idx="109">
                  <c:v>691.47199999999998</c:v>
                </c:pt>
                <c:pt idx="110">
                  <c:v>701.5089999999999</c:v>
                </c:pt>
                <c:pt idx="111">
                  <c:v>716.07599999999991</c:v>
                </c:pt>
                <c:pt idx="112">
                  <c:v>716.20200000000011</c:v>
                </c:pt>
                <c:pt idx="113">
                  <c:v>717.66599999999994</c:v>
                </c:pt>
                <c:pt idx="114">
                  <c:v>724.04100000000005</c:v>
                </c:pt>
                <c:pt idx="115">
                  <c:v>733.63499999999988</c:v>
                </c:pt>
                <c:pt idx="116">
                  <c:v>737.13299999999981</c:v>
                </c:pt>
                <c:pt idx="117">
                  <c:v>741.71299999999985</c:v>
                </c:pt>
                <c:pt idx="118">
                  <c:v>744.25900000000001</c:v>
                </c:pt>
                <c:pt idx="119">
                  <c:v>754.44999999999993</c:v>
                </c:pt>
                <c:pt idx="120">
                  <c:v>770.65599999999995</c:v>
                </c:pt>
                <c:pt idx="121">
                  <c:v>770.76300000000015</c:v>
                </c:pt>
                <c:pt idx="122">
                  <c:v>772.13699999999994</c:v>
                </c:pt>
                <c:pt idx="123">
                  <c:v>779.18400000000008</c:v>
                </c:pt>
                <c:pt idx="124">
                  <c:v>789.3359999999999</c:v>
                </c:pt>
                <c:pt idx="125">
                  <c:v>794.03099999999984</c:v>
                </c:pt>
                <c:pt idx="126">
                  <c:v>794.50299999999982</c:v>
                </c:pt>
                <c:pt idx="127">
                  <c:v>797.92899999999997</c:v>
                </c:pt>
                <c:pt idx="128">
                  <c:v>808.10399999999993</c:v>
                </c:pt>
                <c:pt idx="129">
                  <c:v>825.70099999999991</c:v>
                </c:pt>
                <c:pt idx="130">
                  <c:v>826.44900000000018</c:v>
                </c:pt>
                <c:pt idx="131">
                  <c:v>826.54</c:v>
                </c:pt>
                <c:pt idx="132">
                  <c:v>834.33500000000004</c:v>
                </c:pt>
                <c:pt idx="133">
                  <c:v>845.66899999999987</c:v>
                </c:pt>
                <c:pt idx="134">
                  <c:v>846.68199999999979</c:v>
                </c:pt>
                <c:pt idx="135">
                  <c:v>850.2489999999998</c:v>
                </c:pt>
                <c:pt idx="136">
                  <c:v>851.06</c:v>
                </c:pt>
                <c:pt idx="137">
                  <c:v>862.00699999999995</c:v>
                </c:pt>
                <c:pt idx="138">
                  <c:v>879.50599999999986</c:v>
                </c:pt>
                <c:pt idx="139">
                  <c:v>880.33399999999995</c:v>
                </c:pt>
                <c:pt idx="140">
                  <c:v>880.38000000000022</c:v>
                </c:pt>
                <c:pt idx="141">
                  <c:v>889.13300000000004</c:v>
                </c:pt>
                <c:pt idx="142">
                  <c:v>899.13499999999976</c:v>
                </c:pt>
                <c:pt idx="143">
                  <c:v>902.08499999999981</c:v>
                </c:pt>
                <c:pt idx="144">
                  <c:v>903.89799999999991</c:v>
                </c:pt>
                <c:pt idx="145">
                  <c:v>905.23399999999981</c:v>
                </c:pt>
                <c:pt idx="146">
                  <c:v>914.92899999999997</c:v>
                </c:pt>
                <c:pt idx="147">
                  <c:v>933.46699999999987</c:v>
                </c:pt>
                <c:pt idx="148">
                  <c:v>934.0619999999999</c:v>
                </c:pt>
                <c:pt idx="149">
                  <c:v>934.23800000000017</c:v>
                </c:pt>
                <c:pt idx="150">
                  <c:v>944.41399999999999</c:v>
                </c:pt>
                <c:pt idx="151">
                  <c:v>951.75499999999977</c:v>
                </c:pt>
                <c:pt idx="152">
                  <c:v>956.57899999999995</c:v>
                </c:pt>
                <c:pt idx="153">
                  <c:v>959.00699999999983</c:v>
                </c:pt>
                <c:pt idx="154">
                  <c:v>960.36199999999985</c:v>
                </c:pt>
                <c:pt idx="155">
                  <c:v>968.27699999999993</c:v>
                </c:pt>
                <c:pt idx="156">
                  <c:v>987.40599999999984</c:v>
                </c:pt>
                <c:pt idx="157">
                  <c:v>988.2829999999999</c:v>
                </c:pt>
                <c:pt idx="158">
                  <c:v>988.29300000000012</c:v>
                </c:pt>
                <c:pt idx="159">
                  <c:v>1000.082</c:v>
                </c:pt>
                <c:pt idx="160">
                  <c:v>1004.273</c:v>
                </c:pt>
                <c:pt idx="161">
                  <c:v>1009.982</c:v>
                </c:pt>
                <c:pt idx="162">
                  <c:v>1015.061</c:v>
                </c:pt>
                <c:pt idx="163">
                  <c:v>1017.0119999999999</c:v>
                </c:pt>
                <c:pt idx="164">
                  <c:v>1022.78</c:v>
                </c:pt>
                <c:pt idx="165">
                  <c:v>1041.758</c:v>
                </c:pt>
                <c:pt idx="166">
                  <c:v>1041.9860000000001</c:v>
                </c:pt>
                <c:pt idx="167">
                  <c:v>1042.5309999999999</c:v>
                </c:pt>
                <c:pt idx="168">
                  <c:v>1055.546</c:v>
                </c:pt>
                <c:pt idx="169">
                  <c:v>1056.577</c:v>
                </c:pt>
                <c:pt idx="170">
                  <c:v>1062.8579999999999</c:v>
                </c:pt>
                <c:pt idx="171">
                  <c:v>1072.2570000000001</c:v>
                </c:pt>
                <c:pt idx="172">
                  <c:v>1074.1559999999999</c:v>
                </c:pt>
                <c:pt idx="173">
                  <c:v>1078.1659999999999</c:v>
                </c:pt>
                <c:pt idx="174">
                  <c:v>1095.5119999999999</c:v>
                </c:pt>
                <c:pt idx="175">
                  <c:v>1095.8789999999999</c:v>
                </c:pt>
                <c:pt idx="176">
                  <c:v>1097.713</c:v>
                </c:pt>
                <c:pt idx="177">
                  <c:v>1108.8510000000001</c:v>
                </c:pt>
                <c:pt idx="178">
                  <c:v>1112.067</c:v>
                </c:pt>
                <c:pt idx="179">
                  <c:v>1115.752</c:v>
                </c:pt>
                <c:pt idx="180">
                  <c:v>1127.6790000000001</c:v>
                </c:pt>
                <c:pt idx="181">
                  <c:v>1129.2570000000001</c:v>
                </c:pt>
                <c:pt idx="182">
                  <c:v>1131.1469999999999</c:v>
                </c:pt>
                <c:pt idx="183">
                  <c:v>1149.9880000000001</c:v>
                </c:pt>
                <c:pt idx="184">
                  <c:v>1150.1880000000001</c:v>
                </c:pt>
                <c:pt idx="185">
                  <c:v>1152.442</c:v>
                </c:pt>
                <c:pt idx="186">
                  <c:v>1161.1489999999999</c:v>
                </c:pt>
                <c:pt idx="187">
                  <c:v>1167.48</c:v>
                </c:pt>
                <c:pt idx="188">
                  <c:v>1168.566</c:v>
                </c:pt>
                <c:pt idx="189">
                  <c:v>1183.204</c:v>
                </c:pt>
                <c:pt idx="190">
                  <c:v>1183.8610000000001</c:v>
                </c:pt>
                <c:pt idx="191">
                  <c:v>1184.771</c:v>
                </c:pt>
                <c:pt idx="192">
                  <c:v>1203.7750000000001</c:v>
                </c:pt>
                <c:pt idx="193">
                  <c:v>1204.1310000000001</c:v>
                </c:pt>
                <c:pt idx="194">
                  <c:v>1206.932</c:v>
                </c:pt>
                <c:pt idx="195">
                  <c:v>1213.0440000000001</c:v>
                </c:pt>
                <c:pt idx="196">
                  <c:v>1221.4059999999999</c:v>
                </c:pt>
                <c:pt idx="197">
                  <c:v>1222.7739999999999</c:v>
                </c:pt>
                <c:pt idx="198">
                  <c:v>1236.6559999999999</c:v>
                </c:pt>
                <c:pt idx="199">
                  <c:v>1239.4690000000001</c:v>
                </c:pt>
                <c:pt idx="200">
                  <c:v>1242.714999999999</c:v>
                </c:pt>
                <c:pt idx="201">
                  <c:v>1258.1849999999999</c:v>
                </c:pt>
                <c:pt idx="202">
                  <c:v>1258.5820000000001</c:v>
                </c:pt>
                <c:pt idx="203">
                  <c:v>1262.6769999999999</c:v>
                </c:pt>
                <c:pt idx="204">
                  <c:v>1264.9359999999999</c:v>
                </c:pt>
                <c:pt idx="205">
                  <c:v>1274.2059999999999</c:v>
                </c:pt>
                <c:pt idx="206">
                  <c:v>1278.5029999999999</c:v>
                </c:pt>
                <c:pt idx="207">
                  <c:v>1289.8050000000001</c:v>
                </c:pt>
                <c:pt idx="208">
                  <c:v>1295.049</c:v>
                </c:pt>
                <c:pt idx="209">
                  <c:v>1298.196999999999</c:v>
                </c:pt>
                <c:pt idx="210">
                  <c:v>1311.886</c:v>
                </c:pt>
                <c:pt idx="211">
                  <c:v>1312.077</c:v>
                </c:pt>
                <c:pt idx="212">
                  <c:v>1316.857</c:v>
                </c:pt>
                <c:pt idx="213">
                  <c:v>1316.8969999999999</c:v>
                </c:pt>
                <c:pt idx="214">
                  <c:v>1327.0650000000001</c:v>
                </c:pt>
                <c:pt idx="215">
                  <c:v>1334.078</c:v>
                </c:pt>
                <c:pt idx="216">
                  <c:v>1343.328</c:v>
                </c:pt>
                <c:pt idx="217">
                  <c:v>1353.5630000000001</c:v>
                </c:pt>
                <c:pt idx="218">
                  <c:v>1355.049999999999</c:v>
                </c:pt>
                <c:pt idx="219">
                  <c:v>1365.2909999999999</c:v>
                </c:pt>
                <c:pt idx="220">
                  <c:v>1371.1030000000001</c:v>
                </c:pt>
                <c:pt idx="221">
                  <c:v>1371.922</c:v>
                </c:pt>
                <c:pt idx="222">
                  <c:v>1380.578</c:v>
                </c:pt>
                <c:pt idx="223">
                  <c:v>1390.499</c:v>
                </c:pt>
                <c:pt idx="224">
                  <c:v>1396.672</c:v>
                </c:pt>
                <c:pt idx="225">
                  <c:v>1400.73</c:v>
                </c:pt>
                <c:pt idx="226">
                  <c:v>1409.2739999999999</c:v>
                </c:pt>
                <c:pt idx="227">
                  <c:v>1411.327</c:v>
                </c:pt>
                <c:pt idx="228">
                  <c:v>1418.57</c:v>
                </c:pt>
                <c:pt idx="229">
                  <c:v>1423.5709999999999</c:v>
                </c:pt>
                <c:pt idx="230">
                  <c:v>1426.067</c:v>
                </c:pt>
                <c:pt idx="231">
                  <c:v>1433.5509999999999</c:v>
                </c:pt>
                <c:pt idx="232">
                  <c:v>1445.6969999999999</c:v>
                </c:pt>
                <c:pt idx="233">
                  <c:v>1449.5250000000001</c:v>
                </c:pt>
                <c:pt idx="234">
                  <c:v>1454.1659999999999</c:v>
                </c:pt>
                <c:pt idx="235">
                  <c:v>1464.6569999999999</c:v>
                </c:pt>
                <c:pt idx="236">
                  <c:v>1466.481</c:v>
                </c:pt>
                <c:pt idx="237">
                  <c:v>1472.396</c:v>
                </c:pt>
                <c:pt idx="238">
                  <c:v>1476.029</c:v>
                </c:pt>
                <c:pt idx="239">
                  <c:v>1481.104</c:v>
                </c:pt>
                <c:pt idx="240">
                  <c:v>1486.4649999999999</c:v>
                </c:pt>
                <c:pt idx="241">
                  <c:v>1500.1189999999999</c:v>
                </c:pt>
                <c:pt idx="242">
                  <c:v>1502.5119999999999</c:v>
                </c:pt>
                <c:pt idx="243">
                  <c:v>1507.4490000000001</c:v>
                </c:pt>
                <c:pt idx="244">
                  <c:v>1521.09</c:v>
                </c:pt>
                <c:pt idx="245">
                  <c:v>1525.5940000000001</c:v>
                </c:pt>
                <c:pt idx="246">
                  <c:v>1527.826</c:v>
                </c:pt>
                <c:pt idx="247">
                  <c:v>1529.7850000000001</c:v>
                </c:pt>
                <c:pt idx="248">
                  <c:v>1535.702</c:v>
                </c:pt>
                <c:pt idx="249">
                  <c:v>1539.453</c:v>
                </c:pt>
                <c:pt idx="250">
                  <c:v>1554.7650000000001</c:v>
                </c:pt>
                <c:pt idx="251">
                  <c:v>1555.56</c:v>
                </c:pt>
                <c:pt idx="252">
                  <c:v>1560.393</c:v>
                </c:pt>
                <c:pt idx="253">
                  <c:v>1578.941</c:v>
                </c:pt>
                <c:pt idx="254">
                  <c:v>1581.6189999999999</c:v>
                </c:pt>
                <c:pt idx="255">
                  <c:v>1582.057</c:v>
                </c:pt>
                <c:pt idx="256">
                  <c:v>1582.367</c:v>
                </c:pt>
                <c:pt idx="257">
                  <c:v>1590.6369999999999</c:v>
                </c:pt>
                <c:pt idx="258">
                  <c:v>1593.943</c:v>
                </c:pt>
                <c:pt idx="259">
                  <c:v>1608.1479999999999</c:v>
                </c:pt>
                <c:pt idx="260">
                  <c:v>1609.2860000000001</c:v>
                </c:pt>
                <c:pt idx="261">
                  <c:v>1613.3009999999999</c:v>
                </c:pt>
                <c:pt idx="262">
                  <c:v>1634.2470000000001</c:v>
                </c:pt>
                <c:pt idx="263">
                  <c:v>1634.453</c:v>
                </c:pt>
                <c:pt idx="264">
                  <c:v>1635.501</c:v>
                </c:pt>
                <c:pt idx="265">
                  <c:v>1637.64</c:v>
                </c:pt>
                <c:pt idx="266">
                  <c:v>1646.942</c:v>
                </c:pt>
                <c:pt idx="267">
                  <c:v>1648.1289999999999</c:v>
                </c:pt>
                <c:pt idx="268">
                  <c:v>1660.857</c:v>
                </c:pt>
                <c:pt idx="269">
                  <c:v>1663.2570000000001</c:v>
                </c:pt>
                <c:pt idx="270">
                  <c:v>1666.9079999999999</c:v>
                </c:pt>
                <c:pt idx="271">
                  <c:v>1686.402</c:v>
                </c:pt>
                <c:pt idx="272">
                  <c:v>1688.105</c:v>
                </c:pt>
                <c:pt idx="273">
                  <c:v>1692.096</c:v>
                </c:pt>
                <c:pt idx="274">
                  <c:v>1693.64</c:v>
                </c:pt>
                <c:pt idx="275">
                  <c:v>1700.982</c:v>
                </c:pt>
                <c:pt idx="276">
                  <c:v>1701.133</c:v>
                </c:pt>
                <c:pt idx="277">
                  <c:v>1713.537</c:v>
                </c:pt>
                <c:pt idx="278">
                  <c:v>1717.67</c:v>
                </c:pt>
                <c:pt idx="279">
                  <c:v>1720.1189999999999</c:v>
                </c:pt>
                <c:pt idx="280">
                  <c:v>1738.673</c:v>
                </c:pt>
                <c:pt idx="281">
                  <c:v>1741.722</c:v>
                </c:pt>
                <c:pt idx="282">
                  <c:v>1748.4749999999999</c:v>
                </c:pt>
                <c:pt idx="283">
                  <c:v>1748.867</c:v>
                </c:pt>
                <c:pt idx="284">
                  <c:v>1755.2349999999999</c:v>
                </c:pt>
                <c:pt idx="285">
                  <c:v>1755.2439999999999</c:v>
                </c:pt>
                <c:pt idx="286">
                  <c:v>1766.07</c:v>
                </c:pt>
                <c:pt idx="287">
                  <c:v>1771.6389999999999</c:v>
                </c:pt>
                <c:pt idx="288">
                  <c:v>1773.8879999999999</c:v>
                </c:pt>
                <c:pt idx="289">
                  <c:v>1791.0740000000001</c:v>
                </c:pt>
                <c:pt idx="290">
                  <c:v>1794.713</c:v>
                </c:pt>
                <c:pt idx="291">
                  <c:v>1805.02</c:v>
                </c:pt>
                <c:pt idx="292">
                  <c:v>1805.8710000000001</c:v>
                </c:pt>
                <c:pt idx="293">
                  <c:v>1808.5830000000001</c:v>
                </c:pt>
                <c:pt idx="294">
                  <c:v>1809.4469999999999</c:v>
                </c:pt>
                <c:pt idx="295">
                  <c:v>1819.8219999999999</c:v>
                </c:pt>
                <c:pt idx="296">
                  <c:v>1826.442</c:v>
                </c:pt>
                <c:pt idx="297">
                  <c:v>1828.6089999999999</c:v>
                </c:pt>
              </c:numCache>
            </c:numRef>
          </c:xVal>
          <c:yVal>
            <c:numRef>
              <c:f>intermediate_data!$X$2:$X$299</c:f>
              <c:numCache>
                <c:formatCode>General</c:formatCode>
                <c:ptCount val="298"/>
                <c:pt idx="0">
                  <c:v>3.2249923386151846E-2</c:v>
                </c:pt>
                <c:pt idx="1">
                  <c:v>3.2290284626896204E-2</c:v>
                </c:pt>
                <c:pt idx="2">
                  <c:v>3.2723607392108889E-2</c:v>
                </c:pt>
                <c:pt idx="3">
                  <c:v>3.3252788104089159E-2</c:v>
                </c:pt>
                <c:pt idx="4">
                  <c:v>3.3518719929335861E-2</c:v>
                </c:pt>
                <c:pt idx="5">
                  <c:v>3.4172291509003916E-2</c:v>
                </c:pt>
                <c:pt idx="6">
                  <c:v>3.4238013790758304E-2</c:v>
                </c:pt>
                <c:pt idx="7">
                  <c:v>3.4475952792294651E-2</c:v>
                </c:pt>
                <c:pt idx="8">
                  <c:v>3.5228107794594177E-2</c:v>
                </c:pt>
                <c:pt idx="9">
                  <c:v>6.9146545369555001E-2</c:v>
                </c:pt>
                <c:pt idx="10">
                  <c:v>6.9327410009848212E-2</c:v>
                </c:pt>
                <c:pt idx="11">
                  <c:v>7.0877021461853928E-2</c:v>
                </c:pt>
                <c:pt idx="12">
                  <c:v>7.2094025905861781E-2</c:v>
                </c:pt>
                <c:pt idx="13">
                  <c:v>7.2373024503518124E-2</c:v>
                </c:pt>
                <c:pt idx="14">
                  <c:v>7.3019296081923812E-2</c:v>
                </c:pt>
                <c:pt idx="15">
                  <c:v>7.3555385766105097E-2</c:v>
                </c:pt>
                <c:pt idx="16">
                  <c:v>7.3810543836940745E-2</c:v>
                </c:pt>
                <c:pt idx="17">
                  <c:v>7.486017135560763E-2</c:v>
                </c:pt>
                <c:pt idx="18">
                  <c:v>0.10398942909893938</c:v>
                </c:pt>
                <c:pt idx="19">
                  <c:v>0.10405100309661064</c:v>
                </c:pt>
                <c:pt idx="20">
                  <c:v>0.10591814402600308</c:v>
                </c:pt>
                <c:pt idx="21">
                  <c:v>0.10745749396779081</c:v>
                </c:pt>
                <c:pt idx="22">
                  <c:v>0.10771230340089977</c:v>
                </c:pt>
                <c:pt idx="23">
                  <c:v>0.10817977333833362</c:v>
                </c:pt>
                <c:pt idx="24">
                  <c:v>0.10882685518820301</c:v>
                </c:pt>
                <c:pt idx="25">
                  <c:v>0.10934988507721632</c:v>
                </c:pt>
                <c:pt idx="26">
                  <c:v>0.1098891997796243</c:v>
                </c:pt>
                <c:pt idx="27">
                  <c:v>0.13031275060144365</c:v>
                </c:pt>
                <c:pt idx="28">
                  <c:v>0.13046224477177848</c:v>
                </c:pt>
                <c:pt idx="29">
                  <c:v>0.13239148772095888</c:v>
                </c:pt>
                <c:pt idx="30">
                  <c:v>0.13453758585003328</c:v>
                </c:pt>
                <c:pt idx="31">
                  <c:v>0.13569415467581525</c:v>
                </c:pt>
                <c:pt idx="32">
                  <c:v>0.1359205523766116</c:v>
                </c:pt>
                <c:pt idx="33">
                  <c:v>0.13685589830618738</c:v>
                </c:pt>
                <c:pt idx="34">
                  <c:v>0.13843744795889279</c:v>
                </c:pt>
                <c:pt idx="35">
                  <c:v>0.13853447554494824</c:v>
                </c:pt>
                <c:pt idx="36">
                  <c:v>0.1642894779875359</c:v>
                </c:pt>
                <c:pt idx="37">
                  <c:v>0.16435524918584932</c:v>
                </c:pt>
                <c:pt idx="38">
                  <c:v>0.16778961513150925</c:v>
                </c:pt>
                <c:pt idx="39">
                  <c:v>0.17145457648330442</c:v>
                </c:pt>
                <c:pt idx="40">
                  <c:v>0.17303796793707082</c:v>
                </c:pt>
                <c:pt idx="41">
                  <c:v>0.17359342504598541</c:v>
                </c:pt>
                <c:pt idx="42">
                  <c:v>0.17499900248622779</c:v>
                </c:pt>
                <c:pt idx="43">
                  <c:v>0.17800151911459938</c:v>
                </c:pt>
                <c:pt idx="44">
                  <c:v>0.1783334386065123</c:v>
                </c:pt>
                <c:pt idx="45">
                  <c:v>0.20845259229738033</c:v>
                </c:pt>
                <c:pt idx="46">
                  <c:v>0.20888090419464866</c:v>
                </c:pt>
                <c:pt idx="47">
                  <c:v>0.21369380098575075</c:v>
                </c:pt>
                <c:pt idx="48">
                  <c:v>0.21878505561365191</c:v>
                </c:pt>
                <c:pt idx="49">
                  <c:v>0.22051426931547802</c:v>
                </c:pt>
                <c:pt idx="50">
                  <c:v>0.2210038099006022</c:v>
                </c:pt>
                <c:pt idx="51">
                  <c:v>0.22268742001180009</c:v>
                </c:pt>
                <c:pt idx="52">
                  <c:v>0.22752046993299668</c:v>
                </c:pt>
                <c:pt idx="53">
                  <c:v>0.22776151748346773</c:v>
                </c:pt>
                <c:pt idx="54">
                  <c:v>0.25702506238472456</c:v>
                </c:pt>
                <c:pt idx="55">
                  <c:v>0.25767596768188739</c:v>
                </c:pt>
                <c:pt idx="56">
                  <c:v>0.26417171747956392</c:v>
                </c:pt>
                <c:pt idx="57">
                  <c:v>0.27053158485754114</c:v>
                </c:pt>
                <c:pt idx="58">
                  <c:v>0.27202309154903848</c:v>
                </c:pt>
                <c:pt idx="59">
                  <c:v>0.27213671047983112</c:v>
                </c:pt>
                <c:pt idx="60">
                  <c:v>0.27549156763632965</c:v>
                </c:pt>
                <c:pt idx="61">
                  <c:v>0.28147308789288328</c:v>
                </c:pt>
                <c:pt idx="62">
                  <c:v>0.28174164172930283</c:v>
                </c:pt>
                <c:pt idx="63">
                  <c:v>0.31011951904384905</c:v>
                </c:pt>
                <c:pt idx="64">
                  <c:v>0.31132452092693619</c:v>
                </c:pt>
                <c:pt idx="65">
                  <c:v>0.31941336254820651</c:v>
                </c:pt>
                <c:pt idx="66">
                  <c:v>0.32760981175128379</c:v>
                </c:pt>
                <c:pt idx="67">
                  <c:v>0.32813458726211664</c:v>
                </c:pt>
                <c:pt idx="68">
                  <c:v>0.32889606221664636</c:v>
                </c:pt>
                <c:pt idx="69">
                  <c:v>0.33210618374182488</c:v>
                </c:pt>
                <c:pt idx="70">
                  <c:v>0.33817504738545168</c:v>
                </c:pt>
                <c:pt idx="71">
                  <c:v>0.33888514571654227</c:v>
                </c:pt>
                <c:pt idx="72">
                  <c:v>0.36005139713334344</c:v>
                </c:pt>
                <c:pt idx="73">
                  <c:v>0.3613084008774905</c:v>
                </c:pt>
                <c:pt idx="74">
                  <c:v>0.36820797198361177</c:v>
                </c:pt>
                <c:pt idx="75">
                  <c:v>0.37546945477192573</c:v>
                </c:pt>
                <c:pt idx="76">
                  <c:v>0.37554744332470591</c:v>
                </c:pt>
                <c:pt idx="77">
                  <c:v>0.37612224784333037</c:v>
                </c:pt>
                <c:pt idx="78">
                  <c:v>0.37788806272969033</c:v>
                </c:pt>
                <c:pt idx="79">
                  <c:v>0.38139562196143295</c:v>
                </c:pt>
                <c:pt idx="80">
                  <c:v>0.38219813379773626</c:v>
                </c:pt>
                <c:pt idx="81">
                  <c:v>0.39140030161474471</c:v>
                </c:pt>
                <c:pt idx="82">
                  <c:v>0.39220129487525845</c:v>
                </c:pt>
                <c:pt idx="83">
                  <c:v>0.39658196515954458</c:v>
                </c:pt>
                <c:pt idx="84">
                  <c:v>0.4015471698113231</c:v>
                </c:pt>
                <c:pt idx="85">
                  <c:v>0.40209186684361242</c:v>
                </c:pt>
                <c:pt idx="86">
                  <c:v>0.40255904929822783</c:v>
                </c:pt>
                <c:pt idx="87">
                  <c:v>0.4059082377172718</c:v>
                </c:pt>
                <c:pt idx="88">
                  <c:v>0.41153467872899618</c:v>
                </c:pt>
                <c:pt idx="89">
                  <c:v>0.41379586974251836</c:v>
                </c:pt>
                <c:pt idx="90">
                  <c:v>0.42369678579864711</c:v>
                </c:pt>
                <c:pt idx="91">
                  <c:v>0.42520607243045916</c:v>
                </c:pt>
                <c:pt idx="92">
                  <c:v>0.43325616451032545</c:v>
                </c:pt>
                <c:pt idx="93">
                  <c:v>0.44340286360784553</c:v>
                </c:pt>
                <c:pt idx="94">
                  <c:v>0.44366280864405994</c:v>
                </c:pt>
                <c:pt idx="95">
                  <c:v>0.44441505182148688</c:v>
                </c:pt>
                <c:pt idx="96">
                  <c:v>0.44780740715443734</c:v>
                </c:pt>
                <c:pt idx="97">
                  <c:v>0.45409038033423954</c:v>
                </c:pt>
                <c:pt idx="98">
                  <c:v>0.45650975704001873</c:v>
                </c:pt>
                <c:pt idx="99">
                  <c:v>0.46465736388741874</c:v>
                </c:pt>
                <c:pt idx="100">
                  <c:v>0.46629614752378323</c:v>
                </c:pt>
                <c:pt idx="101">
                  <c:v>0.47346794156060845</c:v>
                </c:pt>
                <c:pt idx="102">
                  <c:v>0.48325943462996968</c:v>
                </c:pt>
                <c:pt idx="103">
                  <c:v>0.48335362605585885</c:v>
                </c:pt>
                <c:pt idx="104">
                  <c:v>0.48430228518934548</c:v>
                </c:pt>
                <c:pt idx="105">
                  <c:v>0.48825907383230316</c:v>
                </c:pt>
                <c:pt idx="106">
                  <c:v>0.49409585679896395</c:v>
                </c:pt>
                <c:pt idx="107">
                  <c:v>0.49639578350754299</c:v>
                </c:pt>
                <c:pt idx="108">
                  <c:v>0.50217227915162255</c:v>
                </c:pt>
                <c:pt idx="109">
                  <c:v>0.50369165289290407</c:v>
                </c:pt>
                <c:pt idx="110">
                  <c:v>0.5094161101906618</c:v>
                </c:pt>
                <c:pt idx="111">
                  <c:v>0.51772418725118641</c:v>
                </c:pt>
                <c:pt idx="112">
                  <c:v>0.51779604952273317</c:v>
                </c:pt>
                <c:pt idx="113">
                  <c:v>0.51863593944245423</c:v>
                </c:pt>
                <c:pt idx="114">
                  <c:v>0.52229324698221724</c:v>
                </c:pt>
                <c:pt idx="115">
                  <c:v>0.52779727969382328</c:v>
                </c:pt>
                <c:pt idx="116">
                  <c:v>0.52980406585446715</c:v>
                </c:pt>
                <c:pt idx="117">
                  <c:v>0.53243159033009491</c:v>
                </c:pt>
                <c:pt idx="118">
                  <c:v>0.5344321624762447</c:v>
                </c:pt>
                <c:pt idx="119">
                  <c:v>0.54243995145558976</c:v>
                </c:pt>
                <c:pt idx="120">
                  <c:v>0.55517415106301549</c:v>
                </c:pt>
                <c:pt idx="121">
                  <c:v>0.55525822852556139</c:v>
                </c:pt>
                <c:pt idx="122">
                  <c:v>0.556846635037898</c:v>
                </c:pt>
                <c:pt idx="123">
                  <c:v>0.56499328765248968</c:v>
                </c:pt>
                <c:pt idx="124">
                  <c:v>0.57672946153404503</c:v>
                </c:pt>
                <c:pt idx="125">
                  <c:v>0.58215709514061587</c:v>
                </c:pt>
                <c:pt idx="126">
                  <c:v>0.5826456890476468</c:v>
                </c:pt>
                <c:pt idx="127">
                  <c:v>0.58619213549995131</c:v>
                </c:pt>
                <c:pt idx="128">
                  <c:v>0.5967248537288512</c:v>
                </c:pt>
                <c:pt idx="129">
                  <c:v>0.61494050411449486</c:v>
                </c:pt>
                <c:pt idx="130">
                  <c:v>0.6157148012383491</c:v>
                </c:pt>
                <c:pt idx="131">
                  <c:v>0.61575582224036829</c:v>
                </c:pt>
                <c:pt idx="132">
                  <c:v>0.61926965422660274</c:v>
                </c:pt>
                <c:pt idx="133">
                  <c:v>0.62437879748920189</c:v>
                </c:pt>
                <c:pt idx="134">
                  <c:v>0.62483543787432794</c:v>
                </c:pt>
                <c:pt idx="135">
                  <c:v>0.62669910668838646</c:v>
                </c:pt>
                <c:pt idx="136">
                  <c:v>0.62712283402457736</c:v>
                </c:pt>
                <c:pt idx="137">
                  <c:v>0.63284236935047744</c:v>
                </c:pt>
                <c:pt idx="138">
                  <c:v>0.64198516177469322</c:v>
                </c:pt>
                <c:pt idx="139">
                  <c:v>0.6424177711882173</c:v>
                </c:pt>
                <c:pt idx="140">
                  <c:v>0.64244180504452331</c:v>
                </c:pt>
                <c:pt idx="141">
                  <c:v>0.6467950459202001</c:v>
                </c:pt>
                <c:pt idx="142">
                  <c:v>0.6517694678599355</c:v>
                </c:pt>
                <c:pt idx="143">
                  <c:v>0.65305813749373698</c:v>
                </c:pt>
                <c:pt idx="144">
                  <c:v>0.65385012327206837</c:v>
                </c:pt>
                <c:pt idx="145">
                  <c:v>0.65443373772317415</c:v>
                </c:pt>
                <c:pt idx="146">
                  <c:v>0.65866887402815166</c:v>
                </c:pt>
                <c:pt idx="147">
                  <c:v>0.6667669613743854</c:v>
                </c:pt>
                <c:pt idx="148">
                  <c:v>0.66702687948696493</c:v>
                </c:pt>
                <c:pt idx="149">
                  <c:v>0.66710376282782846</c:v>
                </c:pt>
                <c:pt idx="150">
                  <c:v>0.67223760229008533</c:v>
                </c:pt>
                <c:pt idx="151">
                  <c:v>0.67594117102951401</c:v>
                </c:pt>
                <c:pt idx="152">
                  <c:v>0.67855295418198835</c:v>
                </c:pt>
                <c:pt idx="153">
                  <c:v>0.67986750838890941</c:v>
                </c:pt>
                <c:pt idx="154">
                  <c:v>0.68060112492531033</c:v>
                </c:pt>
                <c:pt idx="155">
                  <c:v>0.68488642004384559</c:v>
                </c:pt>
                <c:pt idx="156">
                  <c:v>0.69524313644592439</c:v>
                </c:pt>
                <c:pt idx="157">
                  <c:v>0.69571795689052252</c:v>
                </c:pt>
                <c:pt idx="158">
                  <c:v>0.69572337103469906</c:v>
                </c:pt>
                <c:pt idx="159">
                  <c:v>0.70284195429509566</c:v>
                </c:pt>
                <c:pt idx="160">
                  <c:v>0.70537261698440901</c:v>
                </c:pt>
                <c:pt idx="161">
                  <c:v>0.70926466278921296</c:v>
                </c:pt>
                <c:pt idx="162">
                  <c:v>0.71272721326085531</c:v>
                </c:pt>
                <c:pt idx="163">
                  <c:v>0.71405728531641088</c:v>
                </c:pt>
                <c:pt idx="164">
                  <c:v>0.71798955370003625</c:v>
                </c:pt>
                <c:pt idx="165">
                  <c:v>0.73092758930759771</c:v>
                </c:pt>
                <c:pt idx="166">
                  <c:v>0.73108302571388251</c:v>
                </c:pt>
                <c:pt idx="167">
                  <c:v>0.73145457326400276</c:v>
                </c:pt>
                <c:pt idx="168">
                  <c:v>0.74443241943102834</c:v>
                </c:pt>
                <c:pt idx="169">
                  <c:v>0.74546047624226119</c:v>
                </c:pt>
                <c:pt idx="170">
                  <c:v>0.75179246339736849</c:v>
                </c:pt>
                <c:pt idx="171">
                  <c:v>0.76126776148219832</c:v>
                </c:pt>
                <c:pt idx="172">
                  <c:v>0.76318217695864021</c:v>
                </c:pt>
                <c:pt idx="173">
                  <c:v>0.76722472885992943</c:v>
                </c:pt>
                <c:pt idx="174">
                  <c:v>0.78471153815660699</c:v>
                </c:pt>
                <c:pt idx="175">
                  <c:v>0.7850815173455814</c:v>
                </c:pt>
                <c:pt idx="176">
                  <c:v>0.78693040517275037</c:v>
                </c:pt>
                <c:pt idx="177">
                  <c:v>0.79648815070621382</c:v>
                </c:pt>
                <c:pt idx="178">
                  <c:v>0.79921963309870492</c:v>
                </c:pt>
                <c:pt idx="179">
                  <c:v>0.80234945667342927</c:v>
                </c:pt>
                <c:pt idx="180">
                  <c:v>0.81247955322044874</c:v>
                </c:pt>
                <c:pt idx="181">
                  <c:v>0.81381981417049332</c:v>
                </c:pt>
                <c:pt idx="182">
                  <c:v>0.81542506968100525</c:v>
                </c:pt>
                <c:pt idx="183">
                  <c:v>0.83142751363525846</c:v>
                </c:pt>
                <c:pt idx="184">
                  <c:v>0.83159738194325072</c:v>
                </c:pt>
                <c:pt idx="185">
                  <c:v>0.83351179777430318</c:v>
                </c:pt>
                <c:pt idx="186">
                  <c:v>0.84020921269958748</c:v>
                </c:pt>
                <c:pt idx="187">
                  <c:v>0.84601909523004792</c:v>
                </c:pt>
                <c:pt idx="188">
                  <c:v>0.84701570436416063</c:v>
                </c:pt>
                <c:pt idx="189">
                  <c:v>0.86044882085142405</c:v>
                </c:pt>
                <c:pt idx="190">
                  <c:v>0.86105174184692501</c:v>
                </c:pt>
                <c:pt idx="191">
                  <c:v>0.86188683789853116</c:v>
                </c:pt>
                <c:pt idx="192">
                  <c:v>0.87932658005756181</c:v>
                </c:pt>
                <c:pt idx="193">
                  <c:v>0.87965327697445517</c:v>
                </c:pt>
                <c:pt idx="194">
                  <c:v>0.88222372097505541</c:v>
                </c:pt>
                <c:pt idx="195">
                  <c:v>0.89035787963047142</c:v>
                </c:pt>
                <c:pt idx="196">
                  <c:v>0.90149576754338057</c:v>
                </c:pt>
                <c:pt idx="197">
                  <c:v>0.90331789510435101</c:v>
                </c:pt>
                <c:pt idx="198">
                  <c:v>0.92180822756153802</c:v>
                </c:pt>
                <c:pt idx="199">
                  <c:v>0.92555504395702215</c:v>
                </c:pt>
                <c:pt idx="200">
                  <c:v>0.92987860102055819</c:v>
                </c:pt>
                <c:pt idx="201">
                  <c:v>0.95048409324881789</c:v>
                </c:pt>
                <c:pt idx="202">
                  <c:v>0.95101288319158428</c:v>
                </c:pt>
                <c:pt idx="203">
                  <c:v>0.956467278193184</c:v>
                </c:pt>
                <c:pt idx="204">
                  <c:v>0.95830564784053962</c:v>
                </c:pt>
                <c:pt idx="205">
                  <c:v>0.96561233536960245</c:v>
                </c:pt>
                <c:pt idx="206">
                  <c:v>0.9689992648531387</c:v>
                </c:pt>
                <c:pt idx="207">
                  <c:v>0.97790759089989976</c:v>
                </c:pt>
                <c:pt idx="208">
                  <c:v>0.98204095329498386</c:v>
                </c:pt>
                <c:pt idx="209">
                  <c:v>0.9845222318647231</c:v>
                </c:pt>
                <c:pt idx="210">
                  <c:v>0.99531201024501925</c:v>
                </c:pt>
                <c:pt idx="211">
                  <c:v>0.99546255796002114</c:v>
                </c:pt>
                <c:pt idx="212">
                  <c:v>0.99923019187468398</c:v>
                </c:pt>
                <c:pt idx="213">
                  <c:v>0.99927358576228897</c:v>
                </c:pt>
                <c:pt idx="214">
                  <c:v>1.0021997971565426</c:v>
                </c:pt>
                <c:pt idx="215">
                  <c:v>1.0042180426825027</c:v>
                </c:pt>
                <c:pt idx="216">
                  <c:v>1.0068800662266462</c:v>
                </c:pt>
                <c:pt idx="217">
                  <c:v>1.0098255593049501</c:v>
                </c:pt>
                <c:pt idx="218">
                  <c:v>1.0102534975763149</c:v>
                </c:pt>
                <c:pt idx="219">
                  <c:v>1.0132007173725981</c:v>
                </c:pt>
                <c:pt idx="220">
                  <c:v>1.0148733315173075</c:v>
                </c:pt>
                <c:pt idx="221">
                  <c:v>1.0156095143706771</c:v>
                </c:pt>
                <c:pt idx="222">
                  <c:v>1.0207192383700558</c:v>
                </c:pt>
                <c:pt idx="223">
                  <c:v>1.0265757046128812</c:v>
                </c:pt>
                <c:pt idx="224">
                  <c:v>1.0302196886988497</c:v>
                </c:pt>
                <c:pt idx="225">
                  <c:v>1.0326151669785979</c:v>
                </c:pt>
                <c:pt idx="226">
                  <c:v>1.0376587762497032</c:v>
                </c:pt>
                <c:pt idx="227">
                  <c:v>1.0388706828313516</c:v>
                </c:pt>
                <c:pt idx="228">
                  <c:v>1.0431462986963602</c:v>
                </c:pt>
                <c:pt idx="229">
                  <c:v>1.0460984393757613</c:v>
                </c:pt>
                <c:pt idx="230">
                  <c:v>1.0475809218803711</c:v>
                </c:pt>
                <c:pt idx="231">
                  <c:v>1.0542661870661227</c:v>
                </c:pt>
                <c:pt idx="232">
                  <c:v>1.0651158972406449</c:v>
                </c:pt>
                <c:pt idx="233">
                  <c:v>1.0685353514270517</c:v>
                </c:pt>
                <c:pt idx="234">
                  <c:v>1.0726810376546148</c:v>
                </c:pt>
                <c:pt idx="235">
                  <c:v>1.0820523787908662</c:v>
                </c:pt>
                <c:pt idx="236">
                  <c:v>1.0836817111931687</c:v>
                </c:pt>
                <c:pt idx="237">
                  <c:v>1.088965428934177</c:v>
                </c:pt>
                <c:pt idx="238">
                  <c:v>1.0922106946236241</c:v>
                </c:pt>
                <c:pt idx="239">
                  <c:v>1.0944080660763547</c:v>
                </c:pt>
                <c:pt idx="240">
                  <c:v>1.0959460585821219</c:v>
                </c:pt>
                <c:pt idx="241">
                  <c:v>1.0998631915188462</c:v>
                </c:pt>
                <c:pt idx="242">
                  <c:v>1.1005497082258593</c:v>
                </c:pt>
                <c:pt idx="243">
                  <c:v>1.1019660613318081</c:v>
                </c:pt>
                <c:pt idx="244">
                  <c:v>1.1058794647586261</c:v>
                </c:pt>
                <c:pt idx="245">
                  <c:v>1.1071715964963609</c:v>
                </c:pt>
                <c:pt idx="246">
                  <c:v>1.107811924657689</c:v>
                </c:pt>
                <c:pt idx="247">
                  <c:v>1.1083739331111104</c:v>
                </c:pt>
                <c:pt idx="248">
                  <c:v>1.1125290023201906</c:v>
                </c:pt>
                <c:pt idx="249">
                  <c:v>1.1155845056521159</c:v>
                </c:pt>
                <c:pt idx="250">
                  <c:v>1.128057410748994</c:v>
                </c:pt>
                <c:pt idx="251">
                  <c:v>1.1287050047636242</c:v>
                </c:pt>
                <c:pt idx="252">
                  <c:v>1.1326418876223769</c:v>
                </c:pt>
                <c:pt idx="253">
                  <c:v>1.1477507854630851</c:v>
                </c:pt>
                <c:pt idx="254">
                  <c:v>1.1499322405211743</c:v>
                </c:pt>
                <c:pt idx="255">
                  <c:v>1.15028902816697</c:v>
                </c:pt>
                <c:pt idx="256">
                  <c:v>1.1505415491034903</c:v>
                </c:pt>
                <c:pt idx="257">
                  <c:v>1.1594063222821944</c:v>
                </c:pt>
                <c:pt idx="258">
                  <c:v>1.1644143784845191</c:v>
                </c:pt>
                <c:pt idx="259">
                  <c:v>1.1859326598983131</c:v>
                </c:pt>
                <c:pt idx="260">
                  <c:v>1.1876565461530788</c:v>
                </c:pt>
                <c:pt idx="261">
                  <c:v>1.1937386228779232</c:v>
                </c:pt>
                <c:pt idx="262">
                  <c:v>1.2254684308675969</c:v>
                </c:pt>
                <c:pt idx="263">
                  <c:v>1.2257595511102259</c:v>
                </c:pt>
                <c:pt idx="264">
                  <c:v>1.2272405900144783</c:v>
                </c:pt>
                <c:pt idx="265">
                  <c:v>1.2302634356406124</c:v>
                </c:pt>
                <c:pt idx="266">
                  <c:v>1.2434090691208937</c:v>
                </c:pt>
                <c:pt idx="267">
                  <c:v>1.2442641464217061</c:v>
                </c:pt>
                <c:pt idx="268">
                  <c:v>1.2534329955242498</c:v>
                </c:pt>
                <c:pt idx="269">
                  <c:v>1.2551618797044917</c:v>
                </c:pt>
                <c:pt idx="270">
                  <c:v>1.2577919447636816</c:v>
                </c:pt>
                <c:pt idx="271">
                  <c:v>1.2718348065176919</c:v>
                </c:pt>
                <c:pt idx="272">
                  <c:v>1.2729891309892132</c:v>
                </c:pt>
                <c:pt idx="273">
                  <c:v>1.2756943036056896</c:v>
                </c:pt>
                <c:pt idx="274">
                  <c:v>1.2767408549762393</c:v>
                </c:pt>
                <c:pt idx="275">
                  <c:v>1.2817173965322759</c:v>
                </c:pt>
                <c:pt idx="276">
                  <c:v>1.281819747087301</c:v>
                </c:pt>
                <c:pt idx="277">
                  <c:v>1.2898508644611084</c:v>
                </c:pt>
                <c:pt idx="278">
                  <c:v>1.2925268244825503</c:v>
                </c:pt>
                <c:pt idx="279">
                  <c:v>1.2941124586689767</c:v>
                </c:pt>
                <c:pt idx="280">
                  <c:v>1.3061254667110305</c:v>
                </c:pt>
                <c:pt idx="281">
                  <c:v>1.3079548674195607</c:v>
                </c:pt>
                <c:pt idx="282">
                  <c:v>1.312006668988829</c:v>
                </c:pt>
                <c:pt idx="283">
                  <c:v>1.3122418690799229</c:v>
                </c:pt>
                <c:pt idx="284">
                  <c:v>1.3160626705597238</c:v>
                </c:pt>
                <c:pt idx="285">
                  <c:v>1.3160684081027512</c:v>
                </c:pt>
                <c:pt idx="286">
                  <c:v>1.3229700348548548</c:v>
                </c:pt>
                <c:pt idx="287">
                  <c:v>1.3265202989766394</c:v>
                </c:pt>
                <c:pt idx="288">
                  <c:v>1.3279540472276565</c:v>
                </c:pt>
                <c:pt idx="289">
                  <c:v>1.338910204382799</c:v>
                </c:pt>
                <c:pt idx="290">
                  <c:v>1.3408640675411903</c:v>
                </c:pt>
                <c:pt idx="291">
                  <c:v>1.3463981339257742</c:v>
                </c:pt>
                <c:pt idx="292">
                  <c:v>1.3468550554832817</c:v>
                </c:pt>
                <c:pt idx="293">
                  <c:v>1.3483111909286123</c:v>
                </c:pt>
                <c:pt idx="294">
                  <c:v>1.348775092486413</c:v>
                </c:pt>
                <c:pt idx="295">
                  <c:v>1.3565086937383697</c:v>
                </c:pt>
                <c:pt idx="296">
                  <c:v>1.3614432903926286</c:v>
                </c:pt>
                <c:pt idx="297">
                  <c:v>1.3630585881191806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E27-43D6-9656-5E17AC81F88D}"/>
            </c:ext>
          </c:extLst>
        </c:ser>
        <c:ser>
          <c:idx val="5"/>
          <c:order val="5"/>
          <c:tx>
            <c:strRef>
              <c:f>race_data!$Z$1</c:f>
              <c:strCache>
                <c:ptCount val="1"/>
                <c:pt idx="0">
                  <c:v>GökhanB</c:v>
                </c:pt>
              </c:strCache>
            </c:strRef>
          </c:tx>
          <c:marker>
            <c:symbol val="none"/>
          </c:marker>
          <c:xVal>
            <c:numRef>
              <c:f>intermediate_data!$A$2:$A$299</c:f>
              <c:numCache>
                <c:formatCode>General</c:formatCode>
                <c:ptCount val="298"/>
                <c:pt idx="0">
                  <c:v>53.683999999999997</c:v>
                </c:pt>
                <c:pt idx="1">
                  <c:v>53.756</c:v>
                </c:pt>
                <c:pt idx="2">
                  <c:v>54.529000000000003</c:v>
                </c:pt>
                <c:pt idx="3">
                  <c:v>55.472999999999999</c:v>
                </c:pt>
                <c:pt idx="4">
                  <c:v>55.91</c:v>
                </c:pt>
                <c:pt idx="5">
                  <c:v>56.984000000000002</c:v>
                </c:pt>
                <c:pt idx="6">
                  <c:v>57.091999999999999</c:v>
                </c:pt>
                <c:pt idx="7">
                  <c:v>57.482999999999997</c:v>
                </c:pt>
                <c:pt idx="8">
                  <c:v>58.719000000000001</c:v>
                </c:pt>
                <c:pt idx="9">
                  <c:v>107.248</c:v>
                </c:pt>
                <c:pt idx="10">
                  <c:v>107.48399999999999</c:v>
                </c:pt>
                <c:pt idx="11">
                  <c:v>109.506</c:v>
                </c:pt>
                <c:pt idx="12">
                  <c:v>111.09399999999999</c:v>
                </c:pt>
                <c:pt idx="13">
                  <c:v>111.527</c:v>
                </c:pt>
                <c:pt idx="14">
                  <c:v>112.53</c:v>
                </c:pt>
                <c:pt idx="15">
                  <c:v>113.36199999999999</c:v>
                </c:pt>
                <c:pt idx="16">
                  <c:v>113.758</c:v>
                </c:pt>
                <c:pt idx="17">
                  <c:v>115.387</c:v>
                </c:pt>
                <c:pt idx="18">
                  <c:v>160.595</c:v>
                </c:pt>
                <c:pt idx="19">
                  <c:v>160.697</c:v>
                </c:pt>
                <c:pt idx="20">
                  <c:v>163.79</c:v>
                </c:pt>
                <c:pt idx="21">
                  <c:v>166.34</c:v>
                </c:pt>
                <c:pt idx="22">
                  <c:v>166.87200000000001</c:v>
                </c:pt>
                <c:pt idx="23">
                  <c:v>167.84800000000001</c:v>
                </c:pt>
                <c:pt idx="24">
                  <c:v>169.19900000000001</c:v>
                </c:pt>
                <c:pt idx="25">
                  <c:v>170.291</c:v>
                </c:pt>
                <c:pt idx="26">
                  <c:v>171.417</c:v>
                </c:pt>
                <c:pt idx="27">
                  <c:v>214.05799999999999</c:v>
                </c:pt>
                <c:pt idx="28">
                  <c:v>214.31100000000001</c:v>
                </c:pt>
                <c:pt idx="29">
                  <c:v>217.57599999999999</c:v>
                </c:pt>
                <c:pt idx="30">
                  <c:v>221.208</c:v>
                </c:pt>
                <c:pt idx="31">
                  <c:v>222.99600000000001</c:v>
                </c:pt>
                <c:pt idx="32">
                  <c:v>223.346</c:v>
                </c:pt>
                <c:pt idx="33">
                  <c:v>224.792</c:v>
                </c:pt>
                <c:pt idx="34">
                  <c:v>227.23699999999999</c:v>
                </c:pt>
                <c:pt idx="35">
                  <c:v>227.387</c:v>
                </c:pt>
                <c:pt idx="36">
                  <c:v>267.20299999999997</c:v>
                </c:pt>
                <c:pt idx="37">
                  <c:v>267.286</c:v>
                </c:pt>
                <c:pt idx="38">
                  <c:v>271.62</c:v>
                </c:pt>
                <c:pt idx="39">
                  <c:v>276.245</c:v>
                </c:pt>
                <c:pt idx="40">
                  <c:v>278.11500000000001</c:v>
                </c:pt>
                <c:pt idx="41">
                  <c:v>278.77100000000002</c:v>
                </c:pt>
                <c:pt idx="42">
                  <c:v>280.43099999999998</c:v>
                </c:pt>
                <c:pt idx="43">
                  <c:v>283.97699999999998</c:v>
                </c:pt>
                <c:pt idx="44">
                  <c:v>284.36900000000003</c:v>
                </c:pt>
                <c:pt idx="45">
                  <c:v>319.94</c:v>
                </c:pt>
                <c:pt idx="46">
                  <c:v>320.41699999999997</c:v>
                </c:pt>
                <c:pt idx="47">
                  <c:v>325.77699999999999</c:v>
                </c:pt>
                <c:pt idx="48">
                  <c:v>331.447</c:v>
                </c:pt>
                <c:pt idx="49">
                  <c:v>333.30500000000001</c:v>
                </c:pt>
                <c:pt idx="50">
                  <c:v>333.83100000000002</c:v>
                </c:pt>
                <c:pt idx="51">
                  <c:v>335.64</c:v>
                </c:pt>
                <c:pt idx="52">
                  <c:v>340.83300000000003</c:v>
                </c:pt>
                <c:pt idx="53">
                  <c:v>341.09199999999998</c:v>
                </c:pt>
                <c:pt idx="54">
                  <c:v>372.53500000000003</c:v>
                </c:pt>
                <c:pt idx="55">
                  <c:v>373.22</c:v>
                </c:pt>
                <c:pt idx="56">
                  <c:v>380.05599999999998</c:v>
                </c:pt>
                <c:pt idx="57">
                  <c:v>386.74900000000002</c:v>
                </c:pt>
                <c:pt idx="58">
                  <c:v>388.19299999999998</c:v>
                </c:pt>
                <c:pt idx="59">
                  <c:v>388.30299999999988</c:v>
                </c:pt>
                <c:pt idx="60">
                  <c:v>391.55099999999999</c:v>
                </c:pt>
                <c:pt idx="61">
                  <c:v>397.34199999999998</c:v>
                </c:pt>
                <c:pt idx="62">
                  <c:v>397.60199999999998</c:v>
                </c:pt>
                <c:pt idx="63">
                  <c:v>425.07600000000002</c:v>
                </c:pt>
                <c:pt idx="64">
                  <c:v>426.26299999999998</c:v>
                </c:pt>
                <c:pt idx="65">
                  <c:v>434.23099999999999</c:v>
                </c:pt>
                <c:pt idx="66">
                  <c:v>442.30500000000001</c:v>
                </c:pt>
                <c:pt idx="67">
                  <c:v>442.87700000000001</c:v>
                </c:pt>
                <c:pt idx="68">
                  <c:v>443.70699999999999</c:v>
                </c:pt>
                <c:pt idx="69">
                  <c:v>447.20600000000002</c:v>
                </c:pt>
                <c:pt idx="70">
                  <c:v>453.82100000000003</c:v>
                </c:pt>
                <c:pt idx="71">
                  <c:v>454.59500000000003</c:v>
                </c:pt>
                <c:pt idx="72">
                  <c:v>477.66599999999988</c:v>
                </c:pt>
                <c:pt idx="73">
                  <c:v>479.28800000000001</c:v>
                </c:pt>
                <c:pt idx="74">
                  <c:v>488.19099999999997</c:v>
                </c:pt>
                <c:pt idx="75">
                  <c:v>497.56099999999998</c:v>
                </c:pt>
                <c:pt idx="76">
                  <c:v>497.72300000000001</c:v>
                </c:pt>
                <c:pt idx="77">
                  <c:v>498.91699999999997</c:v>
                </c:pt>
                <c:pt idx="78">
                  <c:v>502.58499999999998</c:v>
                </c:pt>
                <c:pt idx="79">
                  <c:v>509.87099999999998</c:v>
                </c:pt>
                <c:pt idx="80">
                  <c:v>511.53800000000001</c:v>
                </c:pt>
                <c:pt idx="81">
                  <c:v>530.65299999999991</c:v>
                </c:pt>
                <c:pt idx="82">
                  <c:v>532.33299999999997</c:v>
                </c:pt>
                <c:pt idx="83">
                  <c:v>541.52099999999996</c:v>
                </c:pt>
                <c:pt idx="84">
                  <c:v>551.93500000000006</c:v>
                </c:pt>
                <c:pt idx="85">
                  <c:v>552.71499999999992</c:v>
                </c:pt>
                <c:pt idx="86">
                  <c:v>553.38400000000001</c:v>
                </c:pt>
                <c:pt idx="87">
                  <c:v>558.18000000000006</c:v>
                </c:pt>
                <c:pt idx="88">
                  <c:v>566.23699999999997</c:v>
                </c:pt>
                <c:pt idx="89">
                  <c:v>569.47499999999991</c:v>
                </c:pt>
                <c:pt idx="90">
                  <c:v>583.65299999999991</c:v>
                </c:pt>
                <c:pt idx="91">
                  <c:v>585.43899999999996</c:v>
                </c:pt>
                <c:pt idx="92">
                  <c:v>594.96499999999992</c:v>
                </c:pt>
                <c:pt idx="93">
                  <c:v>606.97200000000009</c:v>
                </c:pt>
                <c:pt idx="94">
                  <c:v>607.32999999999993</c:v>
                </c:pt>
                <c:pt idx="95">
                  <c:v>608.36599999999999</c:v>
                </c:pt>
                <c:pt idx="96">
                  <c:v>613.03800000000001</c:v>
                </c:pt>
                <c:pt idx="97">
                  <c:v>621.69099999999992</c:v>
                </c:pt>
                <c:pt idx="98">
                  <c:v>625.02299999999991</c:v>
                </c:pt>
                <c:pt idx="99">
                  <c:v>636.24399999999991</c:v>
                </c:pt>
                <c:pt idx="100">
                  <c:v>638.471</c:v>
                </c:pt>
                <c:pt idx="101">
                  <c:v>648.21699999999987</c:v>
                </c:pt>
                <c:pt idx="102">
                  <c:v>661.52299999999991</c:v>
                </c:pt>
                <c:pt idx="103">
                  <c:v>661.65100000000007</c:v>
                </c:pt>
                <c:pt idx="104">
                  <c:v>663.02</c:v>
                </c:pt>
                <c:pt idx="105">
                  <c:v>668.73</c:v>
                </c:pt>
                <c:pt idx="106">
                  <c:v>677.15299999999991</c:v>
                </c:pt>
                <c:pt idx="107">
                  <c:v>680.47199999999987</c:v>
                </c:pt>
                <c:pt idx="108">
                  <c:v>688.80799999999988</c:v>
                </c:pt>
                <c:pt idx="109">
                  <c:v>691.47199999999998</c:v>
                </c:pt>
                <c:pt idx="110">
                  <c:v>701.5089999999999</c:v>
                </c:pt>
                <c:pt idx="111">
                  <c:v>716.07599999999991</c:v>
                </c:pt>
                <c:pt idx="112">
                  <c:v>716.20200000000011</c:v>
                </c:pt>
                <c:pt idx="113">
                  <c:v>717.66599999999994</c:v>
                </c:pt>
                <c:pt idx="114">
                  <c:v>724.04100000000005</c:v>
                </c:pt>
                <c:pt idx="115">
                  <c:v>733.63499999999988</c:v>
                </c:pt>
                <c:pt idx="116">
                  <c:v>737.13299999999981</c:v>
                </c:pt>
                <c:pt idx="117">
                  <c:v>741.71299999999985</c:v>
                </c:pt>
                <c:pt idx="118">
                  <c:v>744.25900000000001</c:v>
                </c:pt>
                <c:pt idx="119">
                  <c:v>754.44999999999993</c:v>
                </c:pt>
                <c:pt idx="120">
                  <c:v>770.65599999999995</c:v>
                </c:pt>
                <c:pt idx="121">
                  <c:v>770.76300000000015</c:v>
                </c:pt>
                <c:pt idx="122">
                  <c:v>772.13699999999994</c:v>
                </c:pt>
                <c:pt idx="123">
                  <c:v>779.18400000000008</c:v>
                </c:pt>
                <c:pt idx="124">
                  <c:v>789.3359999999999</c:v>
                </c:pt>
                <c:pt idx="125">
                  <c:v>794.03099999999984</c:v>
                </c:pt>
                <c:pt idx="126">
                  <c:v>794.50299999999982</c:v>
                </c:pt>
                <c:pt idx="127">
                  <c:v>797.92899999999997</c:v>
                </c:pt>
                <c:pt idx="128">
                  <c:v>808.10399999999993</c:v>
                </c:pt>
                <c:pt idx="129">
                  <c:v>825.70099999999991</c:v>
                </c:pt>
                <c:pt idx="130">
                  <c:v>826.44900000000018</c:v>
                </c:pt>
                <c:pt idx="131">
                  <c:v>826.54</c:v>
                </c:pt>
                <c:pt idx="132">
                  <c:v>834.33500000000004</c:v>
                </c:pt>
                <c:pt idx="133">
                  <c:v>845.66899999999987</c:v>
                </c:pt>
                <c:pt idx="134">
                  <c:v>846.68199999999979</c:v>
                </c:pt>
                <c:pt idx="135">
                  <c:v>850.2489999999998</c:v>
                </c:pt>
                <c:pt idx="136">
                  <c:v>851.06</c:v>
                </c:pt>
                <c:pt idx="137">
                  <c:v>862.00699999999995</c:v>
                </c:pt>
                <c:pt idx="138">
                  <c:v>879.50599999999986</c:v>
                </c:pt>
                <c:pt idx="139">
                  <c:v>880.33399999999995</c:v>
                </c:pt>
                <c:pt idx="140">
                  <c:v>880.38000000000022</c:v>
                </c:pt>
                <c:pt idx="141">
                  <c:v>889.13300000000004</c:v>
                </c:pt>
                <c:pt idx="142">
                  <c:v>899.13499999999976</c:v>
                </c:pt>
                <c:pt idx="143">
                  <c:v>902.08499999999981</c:v>
                </c:pt>
                <c:pt idx="144">
                  <c:v>903.89799999999991</c:v>
                </c:pt>
                <c:pt idx="145">
                  <c:v>905.23399999999981</c:v>
                </c:pt>
                <c:pt idx="146">
                  <c:v>914.92899999999997</c:v>
                </c:pt>
                <c:pt idx="147">
                  <c:v>933.46699999999987</c:v>
                </c:pt>
                <c:pt idx="148">
                  <c:v>934.0619999999999</c:v>
                </c:pt>
                <c:pt idx="149">
                  <c:v>934.23800000000017</c:v>
                </c:pt>
                <c:pt idx="150">
                  <c:v>944.41399999999999</c:v>
                </c:pt>
                <c:pt idx="151">
                  <c:v>951.75499999999977</c:v>
                </c:pt>
                <c:pt idx="152">
                  <c:v>956.57899999999995</c:v>
                </c:pt>
                <c:pt idx="153">
                  <c:v>959.00699999999983</c:v>
                </c:pt>
                <c:pt idx="154">
                  <c:v>960.36199999999985</c:v>
                </c:pt>
                <c:pt idx="155">
                  <c:v>968.27699999999993</c:v>
                </c:pt>
                <c:pt idx="156">
                  <c:v>987.40599999999984</c:v>
                </c:pt>
                <c:pt idx="157">
                  <c:v>988.2829999999999</c:v>
                </c:pt>
                <c:pt idx="158">
                  <c:v>988.29300000000012</c:v>
                </c:pt>
                <c:pt idx="159">
                  <c:v>1000.082</c:v>
                </c:pt>
                <c:pt idx="160">
                  <c:v>1004.273</c:v>
                </c:pt>
                <c:pt idx="161">
                  <c:v>1009.982</c:v>
                </c:pt>
                <c:pt idx="162">
                  <c:v>1015.061</c:v>
                </c:pt>
                <c:pt idx="163">
                  <c:v>1017.0119999999999</c:v>
                </c:pt>
                <c:pt idx="164">
                  <c:v>1022.78</c:v>
                </c:pt>
                <c:pt idx="165">
                  <c:v>1041.758</c:v>
                </c:pt>
                <c:pt idx="166">
                  <c:v>1041.9860000000001</c:v>
                </c:pt>
                <c:pt idx="167">
                  <c:v>1042.5309999999999</c:v>
                </c:pt>
                <c:pt idx="168">
                  <c:v>1055.546</c:v>
                </c:pt>
                <c:pt idx="169">
                  <c:v>1056.577</c:v>
                </c:pt>
                <c:pt idx="170">
                  <c:v>1062.8579999999999</c:v>
                </c:pt>
                <c:pt idx="171">
                  <c:v>1072.2570000000001</c:v>
                </c:pt>
                <c:pt idx="172">
                  <c:v>1074.1559999999999</c:v>
                </c:pt>
                <c:pt idx="173">
                  <c:v>1078.1659999999999</c:v>
                </c:pt>
                <c:pt idx="174">
                  <c:v>1095.5119999999999</c:v>
                </c:pt>
                <c:pt idx="175">
                  <c:v>1095.8789999999999</c:v>
                </c:pt>
                <c:pt idx="176">
                  <c:v>1097.713</c:v>
                </c:pt>
                <c:pt idx="177">
                  <c:v>1108.8510000000001</c:v>
                </c:pt>
                <c:pt idx="178">
                  <c:v>1112.067</c:v>
                </c:pt>
                <c:pt idx="179">
                  <c:v>1115.752</c:v>
                </c:pt>
                <c:pt idx="180">
                  <c:v>1127.6790000000001</c:v>
                </c:pt>
                <c:pt idx="181">
                  <c:v>1129.2570000000001</c:v>
                </c:pt>
                <c:pt idx="182">
                  <c:v>1131.1469999999999</c:v>
                </c:pt>
                <c:pt idx="183">
                  <c:v>1149.9880000000001</c:v>
                </c:pt>
                <c:pt idx="184">
                  <c:v>1150.1880000000001</c:v>
                </c:pt>
                <c:pt idx="185">
                  <c:v>1152.442</c:v>
                </c:pt>
                <c:pt idx="186">
                  <c:v>1161.1489999999999</c:v>
                </c:pt>
                <c:pt idx="187">
                  <c:v>1167.48</c:v>
                </c:pt>
                <c:pt idx="188">
                  <c:v>1168.566</c:v>
                </c:pt>
                <c:pt idx="189">
                  <c:v>1183.204</c:v>
                </c:pt>
                <c:pt idx="190">
                  <c:v>1183.8610000000001</c:v>
                </c:pt>
                <c:pt idx="191">
                  <c:v>1184.771</c:v>
                </c:pt>
                <c:pt idx="192">
                  <c:v>1203.7750000000001</c:v>
                </c:pt>
                <c:pt idx="193">
                  <c:v>1204.1310000000001</c:v>
                </c:pt>
                <c:pt idx="194">
                  <c:v>1206.932</c:v>
                </c:pt>
                <c:pt idx="195">
                  <c:v>1213.0440000000001</c:v>
                </c:pt>
                <c:pt idx="196">
                  <c:v>1221.4059999999999</c:v>
                </c:pt>
                <c:pt idx="197">
                  <c:v>1222.7739999999999</c:v>
                </c:pt>
                <c:pt idx="198">
                  <c:v>1236.6559999999999</c:v>
                </c:pt>
                <c:pt idx="199">
                  <c:v>1239.4690000000001</c:v>
                </c:pt>
                <c:pt idx="200">
                  <c:v>1242.714999999999</c:v>
                </c:pt>
                <c:pt idx="201">
                  <c:v>1258.1849999999999</c:v>
                </c:pt>
                <c:pt idx="202">
                  <c:v>1258.5820000000001</c:v>
                </c:pt>
                <c:pt idx="203">
                  <c:v>1262.6769999999999</c:v>
                </c:pt>
                <c:pt idx="204">
                  <c:v>1264.9359999999999</c:v>
                </c:pt>
                <c:pt idx="205">
                  <c:v>1274.2059999999999</c:v>
                </c:pt>
                <c:pt idx="206">
                  <c:v>1278.5029999999999</c:v>
                </c:pt>
                <c:pt idx="207">
                  <c:v>1289.8050000000001</c:v>
                </c:pt>
                <c:pt idx="208">
                  <c:v>1295.049</c:v>
                </c:pt>
                <c:pt idx="209">
                  <c:v>1298.196999999999</c:v>
                </c:pt>
                <c:pt idx="210">
                  <c:v>1311.886</c:v>
                </c:pt>
                <c:pt idx="211">
                  <c:v>1312.077</c:v>
                </c:pt>
                <c:pt idx="212">
                  <c:v>1316.857</c:v>
                </c:pt>
                <c:pt idx="213">
                  <c:v>1316.8969999999999</c:v>
                </c:pt>
                <c:pt idx="214">
                  <c:v>1327.0650000000001</c:v>
                </c:pt>
                <c:pt idx="215">
                  <c:v>1334.078</c:v>
                </c:pt>
                <c:pt idx="216">
                  <c:v>1343.328</c:v>
                </c:pt>
                <c:pt idx="217">
                  <c:v>1353.5630000000001</c:v>
                </c:pt>
                <c:pt idx="218">
                  <c:v>1355.049999999999</c:v>
                </c:pt>
                <c:pt idx="219">
                  <c:v>1365.2909999999999</c:v>
                </c:pt>
                <c:pt idx="220">
                  <c:v>1371.1030000000001</c:v>
                </c:pt>
                <c:pt idx="221">
                  <c:v>1371.922</c:v>
                </c:pt>
                <c:pt idx="222">
                  <c:v>1380.578</c:v>
                </c:pt>
                <c:pt idx="223">
                  <c:v>1390.499</c:v>
                </c:pt>
                <c:pt idx="224">
                  <c:v>1396.672</c:v>
                </c:pt>
                <c:pt idx="225">
                  <c:v>1400.73</c:v>
                </c:pt>
                <c:pt idx="226">
                  <c:v>1409.2739999999999</c:v>
                </c:pt>
                <c:pt idx="227">
                  <c:v>1411.327</c:v>
                </c:pt>
                <c:pt idx="228">
                  <c:v>1418.57</c:v>
                </c:pt>
                <c:pt idx="229">
                  <c:v>1423.5709999999999</c:v>
                </c:pt>
                <c:pt idx="230">
                  <c:v>1426.067</c:v>
                </c:pt>
                <c:pt idx="231">
                  <c:v>1433.5509999999999</c:v>
                </c:pt>
                <c:pt idx="232">
                  <c:v>1445.6969999999999</c:v>
                </c:pt>
                <c:pt idx="233">
                  <c:v>1449.5250000000001</c:v>
                </c:pt>
                <c:pt idx="234">
                  <c:v>1454.1659999999999</c:v>
                </c:pt>
                <c:pt idx="235">
                  <c:v>1464.6569999999999</c:v>
                </c:pt>
                <c:pt idx="236">
                  <c:v>1466.481</c:v>
                </c:pt>
                <c:pt idx="237">
                  <c:v>1472.396</c:v>
                </c:pt>
                <c:pt idx="238">
                  <c:v>1476.029</c:v>
                </c:pt>
                <c:pt idx="239">
                  <c:v>1481.104</c:v>
                </c:pt>
                <c:pt idx="240">
                  <c:v>1486.4649999999999</c:v>
                </c:pt>
                <c:pt idx="241">
                  <c:v>1500.1189999999999</c:v>
                </c:pt>
                <c:pt idx="242">
                  <c:v>1502.5119999999999</c:v>
                </c:pt>
                <c:pt idx="243">
                  <c:v>1507.4490000000001</c:v>
                </c:pt>
                <c:pt idx="244">
                  <c:v>1521.09</c:v>
                </c:pt>
                <c:pt idx="245">
                  <c:v>1525.5940000000001</c:v>
                </c:pt>
                <c:pt idx="246">
                  <c:v>1527.826</c:v>
                </c:pt>
                <c:pt idx="247">
                  <c:v>1529.7850000000001</c:v>
                </c:pt>
                <c:pt idx="248">
                  <c:v>1535.702</c:v>
                </c:pt>
                <c:pt idx="249">
                  <c:v>1539.453</c:v>
                </c:pt>
                <c:pt idx="250">
                  <c:v>1554.7650000000001</c:v>
                </c:pt>
                <c:pt idx="251">
                  <c:v>1555.56</c:v>
                </c:pt>
                <c:pt idx="252">
                  <c:v>1560.393</c:v>
                </c:pt>
                <c:pt idx="253">
                  <c:v>1578.941</c:v>
                </c:pt>
                <c:pt idx="254">
                  <c:v>1581.6189999999999</c:v>
                </c:pt>
                <c:pt idx="255">
                  <c:v>1582.057</c:v>
                </c:pt>
                <c:pt idx="256">
                  <c:v>1582.367</c:v>
                </c:pt>
                <c:pt idx="257">
                  <c:v>1590.6369999999999</c:v>
                </c:pt>
                <c:pt idx="258">
                  <c:v>1593.943</c:v>
                </c:pt>
                <c:pt idx="259">
                  <c:v>1608.1479999999999</c:v>
                </c:pt>
                <c:pt idx="260">
                  <c:v>1609.2860000000001</c:v>
                </c:pt>
                <c:pt idx="261">
                  <c:v>1613.3009999999999</c:v>
                </c:pt>
                <c:pt idx="262">
                  <c:v>1634.2470000000001</c:v>
                </c:pt>
                <c:pt idx="263">
                  <c:v>1634.453</c:v>
                </c:pt>
                <c:pt idx="264">
                  <c:v>1635.501</c:v>
                </c:pt>
                <c:pt idx="265">
                  <c:v>1637.64</c:v>
                </c:pt>
                <c:pt idx="266">
                  <c:v>1646.942</c:v>
                </c:pt>
                <c:pt idx="267">
                  <c:v>1648.1289999999999</c:v>
                </c:pt>
                <c:pt idx="268">
                  <c:v>1660.857</c:v>
                </c:pt>
                <c:pt idx="269">
                  <c:v>1663.2570000000001</c:v>
                </c:pt>
                <c:pt idx="270">
                  <c:v>1666.9079999999999</c:v>
                </c:pt>
                <c:pt idx="271">
                  <c:v>1686.402</c:v>
                </c:pt>
                <c:pt idx="272">
                  <c:v>1688.105</c:v>
                </c:pt>
                <c:pt idx="273">
                  <c:v>1692.096</c:v>
                </c:pt>
                <c:pt idx="274">
                  <c:v>1693.64</c:v>
                </c:pt>
                <c:pt idx="275">
                  <c:v>1700.982</c:v>
                </c:pt>
                <c:pt idx="276">
                  <c:v>1701.133</c:v>
                </c:pt>
                <c:pt idx="277">
                  <c:v>1713.537</c:v>
                </c:pt>
                <c:pt idx="278">
                  <c:v>1717.67</c:v>
                </c:pt>
                <c:pt idx="279">
                  <c:v>1720.1189999999999</c:v>
                </c:pt>
                <c:pt idx="280">
                  <c:v>1738.673</c:v>
                </c:pt>
                <c:pt idx="281">
                  <c:v>1741.722</c:v>
                </c:pt>
                <c:pt idx="282">
                  <c:v>1748.4749999999999</c:v>
                </c:pt>
                <c:pt idx="283">
                  <c:v>1748.867</c:v>
                </c:pt>
                <c:pt idx="284">
                  <c:v>1755.2349999999999</c:v>
                </c:pt>
                <c:pt idx="285">
                  <c:v>1755.2439999999999</c:v>
                </c:pt>
                <c:pt idx="286">
                  <c:v>1766.07</c:v>
                </c:pt>
                <c:pt idx="287">
                  <c:v>1771.6389999999999</c:v>
                </c:pt>
                <c:pt idx="288">
                  <c:v>1773.8879999999999</c:v>
                </c:pt>
                <c:pt idx="289">
                  <c:v>1791.0740000000001</c:v>
                </c:pt>
                <c:pt idx="290">
                  <c:v>1794.713</c:v>
                </c:pt>
                <c:pt idx="291">
                  <c:v>1805.02</c:v>
                </c:pt>
                <c:pt idx="292">
                  <c:v>1805.8710000000001</c:v>
                </c:pt>
                <c:pt idx="293">
                  <c:v>1808.5830000000001</c:v>
                </c:pt>
                <c:pt idx="294">
                  <c:v>1809.4469999999999</c:v>
                </c:pt>
                <c:pt idx="295">
                  <c:v>1819.8219999999999</c:v>
                </c:pt>
                <c:pt idx="296">
                  <c:v>1826.442</c:v>
                </c:pt>
                <c:pt idx="297">
                  <c:v>1828.6089999999999</c:v>
                </c:pt>
              </c:numCache>
            </c:numRef>
          </c:xVal>
          <c:yVal>
            <c:numRef>
              <c:f>intermediate_data!$Y$2:$Y$299</c:f>
              <c:numCache>
                <c:formatCode>General</c:formatCode>
                <c:ptCount val="298"/>
                <c:pt idx="0">
                  <c:v>6.6089104604839632E-2</c:v>
                </c:pt>
                <c:pt idx="1">
                  <c:v>6.6174850337196833E-2</c:v>
                </c:pt>
                <c:pt idx="2">
                  <c:v>6.7095426047086737E-2</c:v>
                </c:pt>
                <c:pt idx="3">
                  <c:v>6.8219647871324618E-2</c:v>
                </c:pt>
                <c:pt idx="4">
                  <c:v>6.8740076830214547E-2</c:v>
                </c:pt>
                <c:pt idx="5">
                  <c:v>7.0019117337875358E-2</c:v>
                </c:pt>
                <c:pt idx="6">
                  <c:v>7.0147735936410993E-2</c:v>
                </c:pt>
                <c:pt idx="7">
                  <c:v>7.0613382899628263E-2</c:v>
                </c:pt>
                <c:pt idx="8">
                  <c:v>7.1468138704640083E-2</c:v>
                </c:pt>
                <c:pt idx="9">
                  <c:v>0.109414985951789</c:v>
                </c:pt>
                <c:pt idx="10">
                  <c:v>0.1096154410366128</c:v>
                </c:pt>
                <c:pt idx="11">
                  <c:v>0.11133289943286151</c:v>
                </c:pt>
                <c:pt idx="12">
                  <c:v>0.1126817243256617</c:v>
                </c:pt>
                <c:pt idx="13">
                  <c:v>0.11304950844315687</c:v>
                </c:pt>
                <c:pt idx="14">
                  <c:v>0.11390144255365975</c:v>
                </c:pt>
                <c:pt idx="15">
                  <c:v>0.1146081316662606</c:v>
                </c:pt>
                <c:pt idx="16">
                  <c:v>0.11493915793199161</c:v>
                </c:pt>
                <c:pt idx="17">
                  <c:v>0.11630087961602298</c:v>
                </c:pt>
                <c:pt idx="18">
                  <c:v>0.15409137310385557</c:v>
                </c:pt>
                <c:pt idx="19">
                  <c:v>0.15417248890930368</c:v>
                </c:pt>
                <c:pt idx="20">
                  <c:v>0.15663220642155107</c:v>
                </c:pt>
                <c:pt idx="21">
                  <c:v>0.1586601015577398</c:v>
                </c:pt>
                <c:pt idx="22">
                  <c:v>0.15908317615085865</c:v>
                </c:pt>
                <c:pt idx="23">
                  <c:v>0.15985934307357264</c:v>
                </c:pt>
                <c:pt idx="24">
                  <c:v>0.16093372986925569</c:v>
                </c:pt>
                <c:pt idx="25">
                  <c:v>0.16171630997998232</c:v>
                </c:pt>
                <c:pt idx="26">
                  <c:v>0.16252325613811225</c:v>
                </c:pt>
                <c:pt idx="27">
                  <c:v>0.19308186282445661</c:v>
                </c:pt>
                <c:pt idx="28">
                  <c:v>0.19329149088315534</c:v>
                </c:pt>
                <c:pt idx="29">
                  <c:v>0.19599676998058957</c:v>
                </c:pt>
                <c:pt idx="30">
                  <c:v>0.19900613404854806</c:v>
                </c:pt>
                <c:pt idx="31">
                  <c:v>0.20048761613927102</c:v>
                </c:pt>
                <c:pt idx="32">
                  <c:v>0.20077761542996075</c:v>
                </c:pt>
                <c:pt idx="33">
                  <c:v>0.2019757267852107</c:v>
                </c:pt>
                <c:pt idx="34">
                  <c:v>0.20403794009441878</c:v>
                </c:pt>
                <c:pt idx="35">
                  <c:v>0.20416445624835866</c:v>
                </c:pt>
                <c:pt idx="36">
                  <c:v>0.2377469041499678</c:v>
                </c:pt>
                <c:pt idx="37">
                  <c:v>0.23782899235584321</c:v>
                </c:pt>
                <c:pt idx="38">
                  <c:v>0.24211538132288712</c:v>
                </c:pt>
                <c:pt idx="39">
                  <c:v>0.24668957351775944</c:v>
                </c:pt>
                <c:pt idx="40">
                  <c:v>0.24853903068628025</c:v>
                </c:pt>
                <c:pt idx="41">
                  <c:v>0.24918782421705554</c:v>
                </c:pt>
                <c:pt idx="42">
                  <c:v>0.25082958833456726</c:v>
                </c:pt>
                <c:pt idx="43">
                  <c:v>0.25384024960640428</c:v>
                </c:pt>
                <c:pt idx="44">
                  <c:v>0.25417306946499441</c:v>
                </c:pt>
                <c:pt idx="45">
                  <c:v>0.28437392454128929</c:v>
                </c:pt>
                <c:pt idx="46">
                  <c:v>0.28480333203780539</c:v>
                </c:pt>
                <c:pt idx="47">
                  <c:v>0.2896285399651104</c:v>
                </c:pt>
                <c:pt idx="48">
                  <c:v>0.29473281775388305</c:v>
                </c:pt>
                <c:pt idx="49">
                  <c:v>0.29640543647196793</c:v>
                </c:pt>
                <c:pt idx="50">
                  <c:v>0.29687895501110262</c:v>
                </c:pt>
                <c:pt idx="51">
                  <c:v>0.29850746268656803</c:v>
                </c:pt>
                <c:pt idx="52">
                  <c:v>0.30436332861791282</c:v>
                </c:pt>
                <c:pt idx="53">
                  <c:v>0.30465538894454891</c:v>
                </c:pt>
                <c:pt idx="54">
                  <c:v>0.34011196365652641</c:v>
                </c:pt>
                <c:pt idx="55">
                  <c:v>0.34089778691381944</c:v>
                </c:pt>
                <c:pt idx="56">
                  <c:v>0.34873995886542719</c:v>
                </c:pt>
                <c:pt idx="57">
                  <c:v>0.35641808304215683</c:v>
                </c:pt>
                <c:pt idx="58">
                  <c:v>0.35807462141227386</c:v>
                </c:pt>
                <c:pt idx="59">
                  <c:v>0.35820081200833531</c:v>
                </c:pt>
                <c:pt idx="60">
                  <c:v>0.36192687615386188</c:v>
                </c:pt>
                <c:pt idx="61">
                  <c:v>0.3680938151408828</c:v>
                </c:pt>
                <c:pt idx="62">
                  <c:v>0.36837069376920706</c:v>
                </c:pt>
                <c:pt idx="63">
                  <c:v>0.39762824544066344</c:v>
                </c:pt>
                <c:pt idx="64">
                  <c:v>0.39887125320063976</c:v>
                </c:pt>
                <c:pt idx="65">
                  <c:v>0.40721521767536561</c:v>
                </c:pt>
                <c:pt idx="66">
                  <c:v>0.41567018368552233</c:v>
                </c:pt>
                <c:pt idx="67">
                  <c:v>0.41626917310313516</c:v>
                </c:pt>
                <c:pt idx="68">
                  <c:v>0.41713833606925288</c:v>
                </c:pt>
                <c:pt idx="69">
                  <c:v>0.42080243392280003</c:v>
                </c:pt>
                <c:pt idx="70">
                  <c:v>0.42713719271150197</c:v>
                </c:pt>
                <c:pt idx="71">
                  <c:v>0.42787840258337617</c:v>
                </c:pt>
                <c:pt idx="72">
                  <c:v>0.44997201105112161</c:v>
                </c:pt>
                <c:pt idx="73">
                  <c:v>0.45129421236523015</c:v>
                </c:pt>
                <c:pt idx="74">
                  <c:v>0.4585516465819488</c:v>
                </c:pt>
                <c:pt idx="75">
                  <c:v>0.46618976391438061</c:v>
                </c:pt>
                <c:pt idx="76">
                  <c:v>0.46632182101233788</c:v>
                </c:pt>
                <c:pt idx="77">
                  <c:v>0.46729513073431583</c:v>
                </c:pt>
                <c:pt idx="78">
                  <c:v>0.47028516428557943</c:v>
                </c:pt>
                <c:pt idx="79">
                  <c:v>0.47673563915995487</c:v>
                </c:pt>
                <c:pt idx="80">
                  <c:v>0.47821147523126584</c:v>
                </c:pt>
                <c:pt idx="81">
                  <c:v>0.49513445453728089</c:v>
                </c:pt>
                <c:pt idx="82">
                  <c:v>0.49661402291165935</c:v>
                </c:pt>
                <c:pt idx="83">
                  <c:v>0.50470585280677405</c:v>
                </c:pt>
                <c:pt idx="84">
                  <c:v>0.51387741533699938</c:v>
                </c:pt>
                <c:pt idx="85">
                  <c:v>0.51456435779653198</c:v>
                </c:pt>
                <c:pt idx="86">
                  <c:v>0.51515354305990257</c:v>
                </c:pt>
                <c:pt idx="87">
                  <c:v>0.51937735849056921</c:v>
                </c:pt>
                <c:pt idx="88">
                  <c:v>0.52452612542709254</c:v>
                </c:pt>
                <c:pt idx="89">
                  <c:v>0.52659534565055743</c:v>
                </c:pt>
                <c:pt idx="90">
                  <c:v>0.53565569287980175</c:v>
                </c:pt>
                <c:pt idx="91">
                  <c:v>0.53705909321419476</c:v>
                </c:pt>
                <c:pt idx="92">
                  <c:v>0.5445444188499291</c:v>
                </c:pt>
                <c:pt idx="93">
                  <c:v>0.55397926085163718</c:v>
                </c:pt>
                <c:pt idx="94">
                  <c:v>0.55426056954128633</c:v>
                </c:pt>
                <c:pt idx="95">
                  <c:v>0.55507463602864959</c:v>
                </c:pt>
                <c:pt idx="96">
                  <c:v>0.55874579300640903</c:v>
                </c:pt>
                <c:pt idx="97">
                  <c:v>0.56790724323667341</c:v>
                </c:pt>
                <c:pt idx="98">
                  <c:v>0.57143503153752206</c:v>
                </c:pt>
                <c:pt idx="99">
                  <c:v>0.58331537743302597</c:v>
                </c:pt>
                <c:pt idx="100">
                  <c:v>0.58569498718650514</c:v>
                </c:pt>
                <c:pt idx="101">
                  <c:v>0.59610885187325557</c:v>
                </c:pt>
                <c:pt idx="102">
                  <c:v>0.61032667287899223</c:v>
                </c:pt>
                <c:pt idx="103">
                  <c:v>0.61046344434214639</c:v>
                </c:pt>
                <c:pt idx="104">
                  <c:v>0.61192625788166666</c:v>
                </c:pt>
                <c:pt idx="105">
                  <c:v>0.61802754737082566</c:v>
                </c:pt>
                <c:pt idx="106">
                  <c:v>0.62598594333005941</c:v>
                </c:pt>
                <c:pt idx="107">
                  <c:v>0.62912187069426473</c:v>
                </c:pt>
                <c:pt idx="108">
                  <c:v>0.63699806548426352</c:v>
                </c:pt>
                <c:pt idx="109">
                  <c:v>0.63918845632304233</c:v>
                </c:pt>
                <c:pt idx="110">
                  <c:v>0.64744106625126996</c:v>
                </c:pt>
                <c:pt idx="111">
                  <c:v>0.65941832726796079</c:v>
                </c:pt>
                <c:pt idx="112">
                  <c:v>0.6595219268346586</c:v>
                </c:pt>
                <c:pt idx="113">
                  <c:v>0.66072565513344728</c:v>
                </c:pt>
                <c:pt idx="114">
                  <c:v>0.66596729987714198</c:v>
                </c:pt>
                <c:pt idx="115">
                  <c:v>0.67332721299855791</c:v>
                </c:pt>
                <c:pt idx="116">
                  <c:v>0.67601065849560982</c:v>
                </c:pt>
                <c:pt idx="117">
                  <c:v>0.67952414631050573</c:v>
                </c:pt>
                <c:pt idx="118">
                  <c:v>0.6820172212212352</c:v>
                </c:pt>
                <c:pt idx="119">
                  <c:v>0.69199637535134073</c:v>
                </c:pt>
                <c:pt idx="120">
                  <c:v>0.70786549239897667</c:v>
                </c:pt>
                <c:pt idx="121">
                  <c:v>0.70797026813167463</c:v>
                </c:pt>
                <c:pt idx="122">
                  <c:v>0.70931570604500394</c:v>
                </c:pt>
                <c:pt idx="123">
                  <c:v>0.71621621621622111</c:v>
                </c:pt>
                <c:pt idx="124">
                  <c:v>0.72618388638232645</c:v>
                </c:pt>
                <c:pt idx="125">
                  <c:v>0.73079363928125041</c:v>
                </c:pt>
                <c:pt idx="126">
                  <c:v>0.73120000961128362</c:v>
                </c:pt>
                <c:pt idx="127">
                  <c:v>0.73414963832037117</c:v>
                </c:pt>
                <c:pt idx="128">
                  <c:v>0.74290984617646849</c:v>
                </c:pt>
                <c:pt idx="129">
                  <c:v>0.75806005528150244</c:v>
                </c:pt>
                <c:pt idx="130">
                  <c:v>0.75870404894011223</c:v>
                </c:pt>
                <c:pt idx="131">
                  <c:v>0.75878239576221596</c:v>
                </c:pt>
                <c:pt idx="132">
                  <c:v>0.76549353288636901</c:v>
                </c:pt>
                <c:pt idx="133">
                  <c:v>0.77392773337852994</c:v>
                </c:pt>
                <c:pt idx="134">
                  <c:v>0.77468155772108993</c:v>
                </c:pt>
                <c:pt idx="135">
                  <c:v>0.77759167784429195</c:v>
                </c:pt>
                <c:pt idx="136">
                  <c:v>0.77825332836851757</c:v>
                </c:pt>
                <c:pt idx="137">
                  <c:v>0.78718438667765511</c:v>
                </c:pt>
                <c:pt idx="138">
                  <c:v>0.80146086327869348</c:v>
                </c:pt>
                <c:pt idx="139">
                  <c:v>0.80213638317272462</c:v>
                </c:pt>
                <c:pt idx="140">
                  <c:v>0.80217391205572497</c:v>
                </c:pt>
                <c:pt idx="141">
                  <c:v>0.80931500581473514</c:v>
                </c:pt>
                <c:pt idx="142">
                  <c:v>0.81906984316492526</c:v>
                </c:pt>
                <c:pt idx="143">
                  <c:v>0.82176845335669668</c:v>
                </c:pt>
                <c:pt idx="144">
                  <c:v>0.82342695514574515</c:v>
                </c:pt>
                <c:pt idx="145">
                  <c:v>0.8246491053885272</c:v>
                </c:pt>
                <c:pt idx="146">
                  <c:v>0.83351792769674304</c:v>
                </c:pt>
                <c:pt idx="147">
                  <c:v>0.8504761770984679</c:v>
                </c:pt>
                <c:pt idx="148">
                  <c:v>0.85102047305240092</c:v>
                </c:pt>
                <c:pt idx="149">
                  <c:v>0.85118147488079288</c:v>
                </c:pt>
                <c:pt idx="150">
                  <c:v>0.86049030786773528</c:v>
                </c:pt>
                <c:pt idx="151">
                  <c:v>0.86812890709204993</c:v>
                </c:pt>
                <c:pt idx="152">
                  <c:v>0.87332652147447831</c:v>
                </c:pt>
                <c:pt idx="153">
                  <c:v>0.87594256785103397</c:v>
                </c:pt>
                <c:pt idx="154">
                  <c:v>0.87740251136019509</c:v>
                </c:pt>
                <c:pt idx="155">
                  <c:v>0.88593052086203983</c:v>
                </c:pt>
                <c:pt idx="156">
                  <c:v>0.90654104439467176</c:v>
                </c:pt>
                <c:pt idx="157">
                  <c:v>0.90748596724156272</c:v>
                </c:pt>
                <c:pt idx="158">
                  <c:v>0.90749674173240535</c:v>
                </c:pt>
                <c:pt idx="159">
                  <c:v>0.92019878898663876</c:v>
                </c:pt>
                <c:pt idx="160">
                  <c:v>0.92443747295543233</c:v>
                </c:pt>
                <c:pt idx="161">
                  <c:v>0.93065619341654227</c:v>
                </c:pt>
                <c:pt idx="162">
                  <c:v>0.93618866516675681</c:v>
                </c:pt>
                <c:pt idx="163">
                  <c:v>0.93831385760319463</c:v>
                </c:pt>
                <c:pt idx="164">
                  <c:v>0.94459684580072079</c:v>
                </c:pt>
                <c:pt idx="165">
                  <c:v>0.96526927125367834</c:v>
                </c:pt>
                <c:pt idx="166">
                  <c:v>0.96551762792999796</c:v>
                </c:pt>
                <c:pt idx="167">
                  <c:v>0.96611128752910957</c:v>
                </c:pt>
                <c:pt idx="168">
                  <c:v>0.9802883144692629</c:v>
                </c:pt>
                <c:pt idx="169">
                  <c:v>0.98175899223297947</c:v>
                </c:pt>
                <c:pt idx="170">
                  <c:v>0.99078748976884512</c:v>
                </c:pt>
                <c:pt idx="171">
                  <c:v>1.0042978938986877</c:v>
                </c:pt>
                <c:pt idx="172">
                  <c:v>1.0070275733797587</c:v>
                </c:pt>
                <c:pt idx="173">
                  <c:v>1.0127916674919746</c:v>
                </c:pt>
                <c:pt idx="174">
                  <c:v>1.0377253274596612</c:v>
                </c:pt>
                <c:pt idx="175">
                  <c:v>1.0382528642524775</c:v>
                </c:pt>
                <c:pt idx="176">
                  <c:v>1.0408891107865905</c:v>
                </c:pt>
                <c:pt idx="177">
                  <c:v>1.0568992056050028</c:v>
                </c:pt>
                <c:pt idx="178">
                  <c:v>1.061493747370843</c:v>
                </c:pt>
                <c:pt idx="179">
                  <c:v>1.0654546922560328</c:v>
                </c:pt>
                <c:pt idx="180">
                  <c:v>1.0782748251313841</c:v>
                </c:pt>
                <c:pt idx="181">
                  <c:v>1.0799709909465349</c:v>
                </c:pt>
                <c:pt idx="182">
                  <c:v>1.0820025203449113</c:v>
                </c:pt>
                <c:pt idx="183">
                  <c:v>1.1022543962151659</c:v>
                </c:pt>
                <c:pt idx="184">
                  <c:v>1.1024693728710808</c:v>
                </c:pt>
                <c:pt idx="185">
                  <c:v>1.1048921597832155</c:v>
                </c:pt>
                <c:pt idx="186">
                  <c:v>1.1142511684983738</c:v>
                </c:pt>
                <c:pt idx="187">
                  <c:v>1.1219963387609653</c:v>
                </c:pt>
                <c:pt idx="188">
                  <c:v>1.12328274300841</c:v>
                </c:pt>
                <c:pt idx="189">
                  <c:v>1.1406219560600732</c:v>
                </c:pt>
                <c:pt idx="190">
                  <c:v>1.1414001950937482</c:v>
                </c:pt>
                <c:pt idx="191">
                  <c:v>1.142478121304773</c:v>
                </c:pt>
                <c:pt idx="192">
                  <c:v>1.1649890111007686</c:v>
                </c:pt>
                <c:pt idx="193">
                  <c:v>1.1654107053107943</c:v>
                </c:pt>
                <c:pt idx="194">
                  <c:v>1.1687285858790197</c:v>
                </c:pt>
                <c:pt idx="195">
                  <c:v>1.1759684595073665</c:v>
                </c:pt>
                <c:pt idx="196">
                  <c:v>1.1858828507912946</c:v>
                </c:pt>
                <c:pt idx="197">
                  <c:v>1.1875048176983043</c:v>
                </c:pt>
                <c:pt idx="198">
                  <c:v>1.2059236536438576</c:v>
                </c:pt>
                <c:pt idx="199">
                  <c:v>1.2096559822359119</c:v>
                </c:pt>
                <c:pt idx="200">
                  <c:v>1.2139628214146505</c:v>
                </c:pt>
                <c:pt idx="201">
                  <c:v>1.2344886384494949</c:v>
                </c:pt>
                <c:pt idx="202">
                  <c:v>1.2350153837218159</c:v>
                </c:pt>
                <c:pt idx="203">
                  <c:v>1.2404486882310408</c:v>
                </c:pt>
                <c:pt idx="204">
                  <c:v>1.2434459617075575</c:v>
                </c:pt>
                <c:pt idx="205">
                  <c:v>1.2555083103682136</c:v>
                </c:pt>
                <c:pt idx="206">
                  <c:v>1.2610996709070328</c:v>
                </c:pt>
                <c:pt idx="207">
                  <c:v>1.2752441344053551</c:v>
                </c:pt>
                <c:pt idx="208">
                  <c:v>1.281807005276459</c:v>
                </c:pt>
                <c:pt idx="209">
                  <c:v>1.2857467302006036</c:v>
                </c:pt>
                <c:pt idx="210">
                  <c:v>1.3028785264161868</c:v>
                </c:pt>
                <c:pt idx="211">
                  <c:v>1.3031175630936076</c:v>
                </c:pt>
                <c:pt idx="212">
                  <c:v>1.3090997375337032</c:v>
                </c:pt>
                <c:pt idx="213">
                  <c:v>1.309149797570857</c:v>
                </c:pt>
                <c:pt idx="214">
                  <c:v>1.3137705441807022</c:v>
                </c:pt>
                <c:pt idx="215">
                  <c:v>1.3169575323764988</c:v>
                </c:pt>
                <c:pt idx="216">
                  <c:v>1.3236567999360425</c:v>
                </c:pt>
                <c:pt idx="217">
                  <c:v>1.331069448960033</c:v>
                </c:pt>
                <c:pt idx="218">
                  <c:v>1.3321464014855486</c:v>
                </c:pt>
                <c:pt idx="219">
                  <c:v>1.3395633959803916</c:v>
                </c:pt>
                <c:pt idx="220">
                  <c:v>1.3437727087432094</c:v>
                </c:pt>
                <c:pt idx="221">
                  <c:v>1.3448663513639936</c:v>
                </c:pt>
                <c:pt idx="222">
                  <c:v>1.3564250455343263</c:v>
                </c:pt>
                <c:pt idx="223">
                  <c:v>1.3696729435084372</c:v>
                </c:pt>
                <c:pt idx="224">
                  <c:v>1.3754918458968142</c:v>
                </c:pt>
                <c:pt idx="225">
                  <c:v>1.3793170695955084</c:v>
                </c:pt>
                <c:pt idx="226">
                  <c:v>1.3873709659192244</c:v>
                </c:pt>
                <c:pt idx="227">
                  <c:v>1.3893062010728521</c:v>
                </c:pt>
                <c:pt idx="228">
                  <c:v>1.3961337257770516</c:v>
                </c:pt>
                <c:pt idx="229">
                  <c:v>1.4008478568064149</c:v>
                </c:pt>
                <c:pt idx="230">
                  <c:v>1.4032097490117899</c:v>
                </c:pt>
                <c:pt idx="231">
                  <c:v>1.4102916405442478</c:v>
                </c:pt>
                <c:pt idx="232">
                  <c:v>1.4217850470852973</c:v>
                </c:pt>
                <c:pt idx="233">
                  <c:v>1.4244185098722646</c:v>
                </c:pt>
                <c:pt idx="234">
                  <c:v>1.4276112739251197</c:v>
                </c:pt>
                <c:pt idx="235">
                  <c:v>1.4348285304815604</c:v>
                </c:pt>
                <c:pt idx="236">
                  <c:v>1.4360833466057592</c:v>
                </c:pt>
                <c:pt idx="237">
                  <c:v>1.4401525556927233</c:v>
                </c:pt>
                <c:pt idx="238">
                  <c:v>1.4426518687295662</c:v>
                </c:pt>
                <c:pt idx="239">
                  <c:v>1.4438072061300105</c:v>
                </c:pt>
                <c:pt idx="240">
                  <c:v>1.4450276521997161</c:v>
                </c:pt>
                <c:pt idx="241">
                  <c:v>1.4481360220254587</c:v>
                </c:pt>
                <c:pt idx="242">
                  <c:v>1.448861037677073</c:v>
                </c:pt>
                <c:pt idx="243">
                  <c:v>1.4503568179829678</c:v>
                </c:pt>
                <c:pt idx="244">
                  <c:v>1.4544896798733333</c:v>
                </c:pt>
                <c:pt idx="245">
                  <c:v>1.4558542726417691</c:v>
                </c:pt>
                <c:pt idx="246">
                  <c:v>1.4565305095554351</c:v>
                </c:pt>
                <c:pt idx="247">
                  <c:v>1.4571240346960508</c:v>
                </c:pt>
                <c:pt idx="248">
                  <c:v>1.4613742974927604</c:v>
                </c:pt>
                <c:pt idx="249">
                  <c:v>1.464068692583254</c:v>
                </c:pt>
                <c:pt idx="250">
                  <c:v>1.4750675135978177</c:v>
                </c:pt>
                <c:pt idx="251">
                  <c:v>1.4756052185348274</c:v>
                </c:pt>
                <c:pt idx="252">
                  <c:v>1.4788740587367926</c:v>
                </c:pt>
                <c:pt idx="253">
                  <c:v>1.4914191545501652</c:v>
                </c:pt>
                <c:pt idx="254">
                  <c:v>1.4932304423757117</c:v>
                </c:pt>
                <c:pt idx="255">
                  <c:v>1.4935266873598749</c:v>
                </c:pt>
                <c:pt idx="256">
                  <c:v>1.4937363584673875</c:v>
                </c:pt>
                <c:pt idx="257">
                  <c:v>1.5014580087883154</c:v>
                </c:pt>
                <c:pt idx="258">
                  <c:v>1.504544801528457</c:v>
                </c:pt>
                <c:pt idx="259">
                  <c:v>1.517807926414644</c:v>
                </c:pt>
                <c:pt idx="260">
                  <c:v>1.51887047031612</c:v>
                </c:pt>
                <c:pt idx="261">
                  <c:v>1.5218687983825063</c:v>
                </c:pt>
                <c:pt idx="262">
                  <c:v>1.5375108854755375</c:v>
                </c:pt>
                <c:pt idx="263">
                  <c:v>1.5376437859862513</c:v>
                </c:pt>
                <c:pt idx="264">
                  <c:v>1.5383199012058029</c:v>
                </c:pt>
                <c:pt idx="265">
                  <c:v>1.539699873013646</c:v>
                </c:pt>
                <c:pt idx="266">
                  <c:v>1.5457010407352811</c:v>
                </c:pt>
                <c:pt idx="267">
                  <c:v>1.5464668315421584</c:v>
                </c:pt>
                <c:pt idx="268">
                  <c:v>1.5546782766895362</c:v>
                </c:pt>
                <c:pt idx="269">
                  <c:v>1.5562266321541607</c:v>
                </c:pt>
                <c:pt idx="270">
                  <c:v>1.559131572041764</c:v>
                </c:pt>
                <c:pt idx="271">
                  <c:v>1.5746420892066268</c:v>
                </c:pt>
                <c:pt idx="272">
                  <c:v>1.575924628368039</c:v>
                </c:pt>
                <c:pt idx="273">
                  <c:v>1.5789302735783757</c:v>
                </c:pt>
                <c:pt idx="274">
                  <c:v>1.5800930689190871</c:v>
                </c:pt>
                <c:pt idx="275">
                  <c:v>1.5856223716337645</c:v>
                </c:pt>
                <c:pt idx="276">
                  <c:v>1.585736090608151</c:v>
                </c:pt>
                <c:pt idx="277">
                  <c:v>1.5950776148349135</c:v>
                </c:pt>
                <c:pt idx="278">
                  <c:v>1.5981902010675206</c:v>
                </c:pt>
                <c:pt idx="279">
                  <c:v>1.5996642818736042</c:v>
                </c:pt>
                <c:pt idx="280">
                  <c:v>1.610832144379188</c:v>
                </c:pt>
                <c:pt idx="281">
                  <c:v>1.6125226613569446</c:v>
                </c:pt>
                <c:pt idx="282">
                  <c:v>1.6162668598321197</c:v>
                </c:pt>
                <c:pt idx="283">
                  <c:v>1.6164842040942666</c:v>
                </c:pt>
                <c:pt idx="284">
                  <c:v>1.6200149394548298</c:v>
                </c:pt>
                <c:pt idx="285">
                  <c:v>1.6200199295016731</c:v>
                </c:pt>
                <c:pt idx="286">
                  <c:v>1.6260224013944935</c:v>
                </c:pt>
                <c:pt idx="287">
                  <c:v>1.6291101314860441</c:v>
                </c:pt>
                <c:pt idx="288">
                  <c:v>1.6309912603637997</c:v>
                </c:pt>
                <c:pt idx="289">
                  <c:v>1.6453661295914515</c:v>
                </c:pt>
                <c:pt idx="290">
                  <c:v>1.6480438780769617</c:v>
                </c:pt>
                <c:pt idx="291">
                  <c:v>1.6556282566535216</c:v>
                </c:pt>
                <c:pt idx="292">
                  <c:v>1.6562544627434264</c:v>
                </c:pt>
                <c:pt idx="293">
                  <c:v>1.6582500807408707</c:v>
                </c:pt>
                <c:pt idx="294">
                  <c:v>1.6588858528462467</c:v>
                </c:pt>
                <c:pt idx="295">
                  <c:v>1.6665202690422163</c:v>
                </c:pt>
                <c:pt idx="296">
                  <c:v>1.6713915784607494</c:v>
                </c:pt>
                <c:pt idx="297">
                  <c:v>1.6733746173694684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E27-43D6-9656-5E17AC81F88D}"/>
            </c:ext>
          </c:extLst>
        </c:ser>
        <c:ser>
          <c:idx val="6"/>
          <c:order val="6"/>
          <c:tx>
            <c:strRef>
              <c:f>race_data!$AE$1</c:f>
              <c:strCache>
                <c:ptCount val="1"/>
                <c:pt idx="0">
                  <c:v>KyleS</c:v>
                </c:pt>
              </c:strCache>
            </c:strRef>
          </c:tx>
          <c:marker>
            <c:symbol val="none"/>
          </c:marker>
          <c:xVal>
            <c:numRef>
              <c:f>intermediate_data!$A$2:$A$299</c:f>
              <c:numCache>
                <c:formatCode>General</c:formatCode>
                <c:ptCount val="298"/>
                <c:pt idx="0">
                  <c:v>53.683999999999997</c:v>
                </c:pt>
                <c:pt idx="1">
                  <c:v>53.756</c:v>
                </c:pt>
                <c:pt idx="2">
                  <c:v>54.529000000000003</c:v>
                </c:pt>
                <c:pt idx="3">
                  <c:v>55.472999999999999</c:v>
                </c:pt>
                <c:pt idx="4">
                  <c:v>55.91</c:v>
                </c:pt>
                <c:pt idx="5">
                  <c:v>56.984000000000002</c:v>
                </c:pt>
                <c:pt idx="6">
                  <c:v>57.091999999999999</c:v>
                </c:pt>
                <c:pt idx="7">
                  <c:v>57.482999999999997</c:v>
                </c:pt>
                <c:pt idx="8">
                  <c:v>58.719000000000001</c:v>
                </c:pt>
                <c:pt idx="9">
                  <c:v>107.248</c:v>
                </c:pt>
                <c:pt idx="10">
                  <c:v>107.48399999999999</c:v>
                </c:pt>
                <c:pt idx="11">
                  <c:v>109.506</c:v>
                </c:pt>
                <c:pt idx="12">
                  <c:v>111.09399999999999</c:v>
                </c:pt>
                <c:pt idx="13">
                  <c:v>111.527</c:v>
                </c:pt>
                <c:pt idx="14">
                  <c:v>112.53</c:v>
                </c:pt>
                <c:pt idx="15">
                  <c:v>113.36199999999999</c:v>
                </c:pt>
                <c:pt idx="16">
                  <c:v>113.758</c:v>
                </c:pt>
                <c:pt idx="17">
                  <c:v>115.387</c:v>
                </c:pt>
                <c:pt idx="18">
                  <c:v>160.595</c:v>
                </c:pt>
                <c:pt idx="19">
                  <c:v>160.697</c:v>
                </c:pt>
                <c:pt idx="20">
                  <c:v>163.79</c:v>
                </c:pt>
                <c:pt idx="21">
                  <c:v>166.34</c:v>
                </c:pt>
                <c:pt idx="22">
                  <c:v>166.87200000000001</c:v>
                </c:pt>
                <c:pt idx="23">
                  <c:v>167.84800000000001</c:v>
                </c:pt>
                <c:pt idx="24">
                  <c:v>169.19900000000001</c:v>
                </c:pt>
                <c:pt idx="25">
                  <c:v>170.291</c:v>
                </c:pt>
                <c:pt idx="26">
                  <c:v>171.417</c:v>
                </c:pt>
                <c:pt idx="27">
                  <c:v>214.05799999999999</c:v>
                </c:pt>
                <c:pt idx="28">
                  <c:v>214.31100000000001</c:v>
                </c:pt>
                <c:pt idx="29">
                  <c:v>217.57599999999999</c:v>
                </c:pt>
                <c:pt idx="30">
                  <c:v>221.208</c:v>
                </c:pt>
                <c:pt idx="31">
                  <c:v>222.99600000000001</c:v>
                </c:pt>
                <c:pt idx="32">
                  <c:v>223.346</c:v>
                </c:pt>
                <c:pt idx="33">
                  <c:v>224.792</c:v>
                </c:pt>
                <c:pt idx="34">
                  <c:v>227.23699999999999</c:v>
                </c:pt>
                <c:pt idx="35">
                  <c:v>227.387</c:v>
                </c:pt>
                <c:pt idx="36">
                  <c:v>267.20299999999997</c:v>
                </c:pt>
                <c:pt idx="37">
                  <c:v>267.286</c:v>
                </c:pt>
                <c:pt idx="38">
                  <c:v>271.62</c:v>
                </c:pt>
                <c:pt idx="39">
                  <c:v>276.245</c:v>
                </c:pt>
                <c:pt idx="40">
                  <c:v>278.11500000000001</c:v>
                </c:pt>
                <c:pt idx="41">
                  <c:v>278.77100000000002</c:v>
                </c:pt>
                <c:pt idx="42">
                  <c:v>280.43099999999998</c:v>
                </c:pt>
                <c:pt idx="43">
                  <c:v>283.97699999999998</c:v>
                </c:pt>
                <c:pt idx="44">
                  <c:v>284.36900000000003</c:v>
                </c:pt>
                <c:pt idx="45">
                  <c:v>319.94</c:v>
                </c:pt>
                <c:pt idx="46">
                  <c:v>320.41699999999997</c:v>
                </c:pt>
                <c:pt idx="47">
                  <c:v>325.77699999999999</c:v>
                </c:pt>
                <c:pt idx="48">
                  <c:v>331.447</c:v>
                </c:pt>
                <c:pt idx="49">
                  <c:v>333.30500000000001</c:v>
                </c:pt>
                <c:pt idx="50">
                  <c:v>333.83100000000002</c:v>
                </c:pt>
                <c:pt idx="51">
                  <c:v>335.64</c:v>
                </c:pt>
                <c:pt idx="52">
                  <c:v>340.83300000000003</c:v>
                </c:pt>
                <c:pt idx="53">
                  <c:v>341.09199999999998</c:v>
                </c:pt>
                <c:pt idx="54">
                  <c:v>372.53500000000003</c:v>
                </c:pt>
                <c:pt idx="55">
                  <c:v>373.22</c:v>
                </c:pt>
                <c:pt idx="56">
                  <c:v>380.05599999999998</c:v>
                </c:pt>
                <c:pt idx="57">
                  <c:v>386.74900000000002</c:v>
                </c:pt>
                <c:pt idx="58">
                  <c:v>388.19299999999998</c:v>
                </c:pt>
                <c:pt idx="59">
                  <c:v>388.30299999999988</c:v>
                </c:pt>
                <c:pt idx="60">
                  <c:v>391.55099999999999</c:v>
                </c:pt>
                <c:pt idx="61">
                  <c:v>397.34199999999998</c:v>
                </c:pt>
                <c:pt idx="62">
                  <c:v>397.60199999999998</c:v>
                </c:pt>
                <c:pt idx="63">
                  <c:v>425.07600000000002</c:v>
                </c:pt>
                <c:pt idx="64">
                  <c:v>426.26299999999998</c:v>
                </c:pt>
                <c:pt idx="65">
                  <c:v>434.23099999999999</c:v>
                </c:pt>
                <c:pt idx="66">
                  <c:v>442.30500000000001</c:v>
                </c:pt>
                <c:pt idx="67">
                  <c:v>442.87700000000001</c:v>
                </c:pt>
                <c:pt idx="68">
                  <c:v>443.70699999999999</c:v>
                </c:pt>
                <c:pt idx="69">
                  <c:v>447.20600000000002</c:v>
                </c:pt>
                <c:pt idx="70">
                  <c:v>453.82100000000003</c:v>
                </c:pt>
                <c:pt idx="71">
                  <c:v>454.59500000000003</c:v>
                </c:pt>
                <c:pt idx="72">
                  <c:v>477.66599999999988</c:v>
                </c:pt>
                <c:pt idx="73">
                  <c:v>479.28800000000001</c:v>
                </c:pt>
                <c:pt idx="74">
                  <c:v>488.19099999999997</c:v>
                </c:pt>
                <c:pt idx="75">
                  <c:v>497.56099999999998</c:v>
                </c:pt>
                <c:pt idx="76">
                  <c:v>497.72300000000001</c:v>
                </c:pt>
                <c:pt idx="77">
                  <c:v>498.91699999999997</c:v>
                </c:pt>
                <c:pt idx="78">
                  <c:v>502.58499999999998</c:v>
                </c:pt>
                <c:pt idx="79">
                  <c:v>509.87099999999998</c:v>
                </c:pt>
                <c:pt idx="80">
                  <c:v>511.53800000000001</c:v>
                </c:pt>
                <c:pt idx="81">
                  <c:v>530.65299999999991</c:v>
                </c:pt>
                <c:pt idx="82">
                  <c:v>532.33299999999997</c:v>
                </c:pt>
                <c:pt idx="83">
                  <c:v>541.52099999999996</c:v>
                </c:pt>
                <c:pt idx="84">
                  <c:v>551.93500000000006</c:v>
                </c:pt>
                <c:pt idx="85">
                  <c:v>552.71499999999992</c:v>
                </c:pt>
                <c:pt idx="86">
                  <c:v>553.38400000000001</c:v>
                </c:pt>
                <c:pt idx="87">
                  <c:v>558.18000000000006</c:v>
                </c:pt>
                <c:pt idx="88">
                  <c:v>566.23699999999997</c:v>
                </c:pt>
                <c:pt idx="89">
                  <c:v>569.47499999999991</c:v>
                </c:pt>
                <c:pt idx="90">
                  <c:v>583.65299999999991</c:v>
                </c:pt>
                <c:pt idx="91">
                  <c:v>585.43899999999996</c:v>
                </c:pt>
                <c:pt idx="92">
                  <c:v>594.96499999999992</c:v>
                </c:pt>
                <c:pt idx="93">
                  <c:v>606.97200000000009</c:v>
                </c:pt>
                <c:pt idx="94">
                  <c:v>607.32999999999993</c:v>
                </c:pt>
                <c:pt idx="95">
                  <c:v>608.36599999999999</c:v>
                </c:pt>
                <c:pt idx="96">
                  <c:v>613.03800000000001</c:v>
                </c:pt>
                <c:pt idx="97">
                  <c:v>621.69099999999992</c:v>
                </c:pt>
                <c:pt idx="98">
                  <c:v>625.02299999999991</c:v>
                </c:pt>
                <c:pt idx="99">
                  <c:v>636.24399999999991</c:v>
                </c:pt>
                <c:pt idx="100">
                  <c:v>638.471</c:v>
                </c:pt>
                <c:pt idx="101">
                  <c:v>648.21699999999987</c:v>
                </c:pt>
                <c:pt idx="102">
                  <c:v>661.52299999999991</c:v>
                </c:pt>
                <c:pt idx="103">
                  <c:v>661.65100000000007</c:v>
                </c:pt>
                <c:pt idx="104">
                  <c:v>663.02</c:v>
                </c:pt>
                <c:pt idx="105">
                  <c:v>668.73</c:v>
                </c:pt>
                <c:pt idx="106">
                  <c:v>677.15299999999991</c:v>
                </c:pt>
                <c:pt idx="107">
                  <c:v>680.47199999999987</c:v>
                </c:pt>
                <c:pt idx="108">
                  <c:v>688.80799999999988</c:v>
                </c:pt>
                <c:pt idx="109">
                  <c:v>691.47199999999998</c:v>
                </c:pt>
                <c:pt idx="110">
                  <c:v>701.5089999999999</c:v>
                </c:pt>
                <c:pt idx="111">
                  <c:v>716.07599999999991</c:v>
                </c:pt>
                <c:pt idx="112">
                  <c:v>716.20200000000011</c:v>
                </c:pt>
                <c:pt idx="113">
                  <c:v>717.66599999999994</c:v>
                </c:pt>
                <c:pt idx="114">
                  <c:v>724.04100000000005</c:v>
                </c:pt>
                <c:pt idx="115">
                  <c:v>733.63499999999988</c:v>
                </c:pt>
                <c:pt idx="116">
                  <c:v>737.13299999999981</c:v>
                </c:pt>
                <c:pt idx="117">
                  <c:v>741.71299999999985</c:v>
                </c:pt>
                <c:pt idx="118">
                  <c:v>744.25900000000001</c:v>
                </c:pt>
                <c:pt idx="119">
                  <c:v>754.44999999999993</c:v>
                </c:pt>
                <c:pt idx="120">
                  <c:v>770.65599999999995</c:v>
                </c:pt>
                <c:pt idx="121">
                  <c:v>770.76300000000015</c:v>
                </c:pt>
                <c:pt idx="122">
                  <c:v>772.13699999999994</c:v>
                </c:pt>
                <c:pt idx="123">
                  <c:v>779.18400000000008</c:v>
                </c:pt>
                <c:pt idx="124">
                  <c:v>789.3359999999999</c:v>
                </c:pt>
                <c:pt idx="125">
                  <c:v>794.03099999999984</c:v>
                </c:pt>
                <c:pt idx="126">
                  <c:v>794.50299999999982</c:v>
                </c:pt>
                <c:pt idx="127">
                  <c:v>797.92899999999997</c:v>
                </c:pt>
                <c:pt idx="128">
                  <c:v>808.10399999999993</c:v>
                </c:pt>
                <c:pt idx="129">
                  <c:v>825.70099999999991</c:v>
                </c:pt>
                <c:pt idx="130">
                  <c:v>826.44900000000018</c:v>
                </c:pt>
                <c:pt idx="131">
                  <c:v>826.54</c:v>
                </c:pt>
                <c:pt idx="132">
                  <c:v>834.33500000000004</c:v>
                </c:pt>
                <c:pt idx="133">
                  <c:v>845.66899999999987</c:v>
                </c:pt>
                <c:pt idx="134">
                  <c:v>846.68199999999979</c:v>
                </c:pt>
                <c:pt idx="135">
                  <c:v>850.2489999999998</c:v>
                </c:pt>
                <c:pt idx="136">
                  <c:v>851.06</c:v>
                </c:pt>
                <c:pt idx="137">
                  <c:v>862.00699999999995</c:v>
                </c:pt>
                <c:pt idx="138">
                  <c:v>879.50599999999986</c:v>
                </c:pt>
                <c:pt idx="139">
                  <c:v>880.33399999999995</c:v>
                </c:pt>
                <c:pt idx="140">
                  <c:v>880.38000000000022</c:v>
                </c:pt>
                <c:pt idx="141">
                  <c:v>889.13300000000004</c:v>
                </c:pt>
                <c:pt idx="142">
                  <c:v>899.13499999999976</c:v>
                </c:pt>
                <c:pt idx="143">
                  <c:v>902.08499999999981</c:v>
                </c:pt>
                <c:pt idx="144">
                  <c:v>903.89799999999991</c:v>
                </c:pt>
                <c:pt idx="145">
                  <c:v>905.23399999999981</c:v>
                </c:pt>
                <c:pt idx="146">
                  <c:v>914.92899999999997</c:v>
                </c:pt>
                <c:pt idx="147">
                  <c:v>933.46699999999987</c:v>
                </c:pt>
                <c:pt idx="148">
                  <c:v>934.0619999999999</c:v>
                </c:pt>
                <c:pt idx="149">
                  <c:v>934.23800000000017</c:v>
                </c:pt>
                <c:pt idx="150">
                  <c:v>944.41399999999999</c:v>
                </c:pt>
                <c:pt idx="151">
                  <c:v>951.75499999999977</c:v>
                </c:pt>
                <c:pt idx="152">
                  <c:v>956.57899999999995</c:v>
                </c:pt>
                <c:pt idx="153">
                  <c:v>959.00699999999983</c:v>
                </c:pt>
                <c:pt idx="154">
                  <c:v>960.36199999999985</c:v>
                </c:pt>
                <c:pt idx="155">
                  <c:v>968.27699999999993</c:v>
                </c:pt>
                <c:pt idx="156">
                  <c:v>987.40599999999984</c:v>
                </c:pt>
                <c:pt idx="157">
                  <c:v>988.2829999999999</c:v>
                </c:pt>
                <c:pt idx="158">
                  <c:v>988.29300000000012</c:v>
                </c:pt>
                <c:pt idx="159">
                  <c:v>1000.082</c:v>
                </c:pt>
                <c:pt idx="160">
                  <c:v>1004.273</c:v>
                </c:pt>
                <c:pt idx="161">
                  <c:v>1009.982</c:v>
                </c:pt>
                <c:pt idx="162">
                  <c:v>1015.061</c:v>
                </c:pt>
                <c:pt idx="163">
                  <c:v>1017.0119999999999</c:v>
                </c:pt>
                <c:pt idx="164">
                  <c:v>1022.78</c:v>
                </c:pt>
                <c:pt idx="165">
                  <c:v>1041.758</c:v>
                </c:pt>
                <c:pt idx="166">
                  <c:v>1041.9860000000001</c:v>
                </c:pt>
                <c:pt idx="167">
                  <c:v>1042.5309999999999</c:v>
                </c:pt>
                <c:pt idx="168">
                  <c:v>1055.546</c:v>
                </c:pt>
                <c:pt idx="169">
                  <c:v>1056.577</c:v>
                </c:pt>
                <c:pt idx="170">
                  <c:v>1062.8579999999999</c:v>
                </c:pt>
                <c:pt idx="171">
                  <c:v>1072.2570000000001</c:v>
                </c:pt>
                <c:pt idx="172">
                  <c:v>1074.1559999999999</c:v>
                </c:pt>
                <c:pt idx="173">
                  <c:v>1078.1659999999999</c:v>
                </c:pt>
                <c:pt idx="174">
                  <c:v>1095.5119999999999</c:v>
                </c:pt>
                <c:pt idx="175">
                  <c:v>1095.8789999999999</c:v>
                </c:pt>
                <c:pt idx="176">
                  <c:v>1097.713</c:v>
                </c:pt>
                <c:pt idx="177">
                  <c:v>1108.8510000000001</c:v>
                </c:pt>
                <c:pt idx="178">
                  <c:v>1112.067</c:v>
                </c:pt>
                <c:pt idx="179">
                  <c:v>1115.752</c:v>
                </c:pt>
                <c:pt idx="180">
                  <c:v>1127.6790000000001</c:v>
                </c:pt>
                <c:pt idx="181">
                  <c:v>1129.2570000000001</c:v>
                </c:pt>
                <c:pt idx="182">
                  <c:v>1131.1469999999999</c:v>
                </c:pt>
                <c:pt idx="183">
                  <c:v>1149.9880000000001</c:v>
                </c:pt>
                <c:pt idx="184">
                  <c:v>1150.1880000000001</c:v>
                </c:pt>
                <c:pt idx="185">
                  <c:v>1152.442</c:v>
                </c:pt>
                <c:pt idx="186">
                  <c:v>1161.1489999999999</c:v>
                </c:pt>
                <c:pt idx="187">
                  <c:v>1167.48</c:v>
                </c:pt>
                <c:pt idx="188">
                  <c:v>1168.566</c:v>
                </c:pt>
                <c:pt idx="189">
                  <c:v>1183.204</c:v>
                </c:pt>
                <c:pt idx="190">
                  <c:v>1183.8610000000001</c:v>
                </c:pt>
                <c:pt idx="191">
                  <c:v>1184.771</c:v>
                </c:pt>
                <c:pt idx="192">
                  <c:v>1203.7750000000001</c:v>
                </c:pt>
                <c:pt idx="193">
                  <c:v>1204.1310000000001</c:v>
                </c:pt>
                <c:pt idx="194">
                  <c:v>1206.932</c:v>
                </c:pt>
                <c:pt idx="195">
                  <c:v>1213.0440000000001</c:v>
                </c:pt>
                <c:pt idx="196">
                  <c:v>1221.4059999999999</c:v>
                </c:pt>
                <c:pt idx="197">
                  <c:v>1222.7739999999999</c:v>
                </c:pt>
                <c:pt idx="198">
                  <c:v>1236.6559999999999</c:v>
                </c:pt>
                <c:pt idx="199">
                  <c:v>1239.4690000000001</c:v>
                </c:pt>
                <c:pt idx="200">
                  <c:v>1242.714999999999</c:v>
                </c:pt>
                <c:pt idx="201">
                  <c:v>1258.1849999999999</c:v>
                </c:pt>
                <c:pt idx="202">
                  <c:v>1258.5820000000001</c:v>
                </c:pt>
                <c:pt idx="203">
                  <c:v>1262.6769999999999</c:v>
                </c:pt>
                <c:pt idx="204">
                  <c:v>1264.9359999999999</c:v>
                </c:pt>
                <c:pt idx="205">
                  <c:v>1274.2059999999999</c:v>
                </c:pt>
                <c:pt idx="206">
                  <c:v>1278.5029999999999</c:v>
                </c:pt>
                <c:pt idx="207">
                  <c:v>1289.8050000000001</c:v>
                </c:pt>
                <c:pt idx="208">
                  <c:v>1295.049</c:v>
                </c:pt>
                <c:pt idx="209">
                  <c:v>1298.196999999999</c:v>
                </c:pt>
                <c:pt idx="210">
                  <c:v>1311.886</c:v>
                </c:pt>
                <c:pt idx="211">
                  <c:v>1312.077</c:v>
                </c:pt>
                <c:pt idx="212">
                  <c:v>1316.857</c:v>
                </c:pt>
                <c:pt idx="213">
                  <c:v>1316.8969999999999</c:v>
                </c:pt>
                <c:pt idx="214">
                  <c:v>1327.0650000000001</c:v>
                </c:pt>
                <c:pt idx="215">
                  <c:v>1334.078</c:v>
                </c:pt>
                <c:pt idx="216">
                  <c:v>1343.328</c:v>
                </c:pt>
                <c:pt idx="217">
                  <c:v>1353.5630000000001</c:v>
                </c:pt>
                <c:pt idx="218">
                  <c:v>1355.049999999999</c:v>
                </c:pt>
                <c:pt idx="219">
                  <c:v>1365.2909999999999</c:v>
                </c:pt>
                <c:pt idx="220">
                  <c:v>1371.1030000000001</c:v>
                </c:pt>
                <c:pt idx="221">
                  <c:v>1371.922</c:v>
                </c:pt>
                <c:pt idx="222">
                  <c:v>1380.578</c:v>
                </c:pt>
                <c:pt idx="223">
                  <c:v>1390.499</c:v>
                </c:pt>
                <c:pt idx="224">
                  <c:v>1396.672</c:v>
                </c:pt>
                <c:pt idx="225">
                  <c:v>1400.73</c:v>
                </c:pt>
                <c:pt idx="226">
                  <c:v>1409.2739999999999</c:v>
                </c:pt>
                <c:pt idx="227">
                  <c:v>1411.327</c:v>
                </c:pt>
                <c:pt idx="228">
                  <c:v>1418.57</c:v>
                </c:pt>
                <c:pt idx="229">
                  <c:v>1423.5709999999999</c:v>
                </c:pt>
                <c:pt idx="230">
                  <c:v>1426.067</c:v>
                </c:pt>
                <c:pt idx="231">
                  <c:v>1433.5509999999999</c:v>
                </c:pt>
                <c:pt idx="232">
                  <c:v>1445.6969999999999</c:v>
                </c:pt>
                <c:pt idx="233">
                  <c:v>1449.5250000000001</c:v>
                </c:pt>
                <c:pt idx="234">
                  <c:v>1454.1659999999999</c:v>
                </c:pt>
                <c:pt idx="235">
                  <c:v>1464.6569999999999</c:v>
                </c:pt>
                <c:pt idx="236">
                  <c:v>1466.481</c:v>
                </c:pt>
                <c:pt idx="237">
                  <c:v>1472.396</c:v>
                </c:pt>
                <c:pt idx="238">
                  <c:v>1476.029</c:v>
                </c:pt>
                <c:pt idx="239">
                  <c:v>1481.104</c:v>
                </c:pt>
                <c:pt idx="240">
                  <c:v>1486.4649999999999</c:v>
                </c:pt>
                <c:pt idx="241">
                  <c:v>1500.1189999999999</c:v>
                </c:pt>
                <c:pt idx="242">
                  <c:v>1502.5119999999999</c:v>
                </c:pt>
                <c:pt idx="243">
                  <c:v>1507.4490000000001</c:v>
                </c:pt>
                <c:pt idx="244">
                  <c:v>1521.09</c:v>
                </c:pt>
                <c:pt idx="245">
                  <c:v>1525.5940000000001</c:v>
                </c:pt>
                <c:pt idx="246">
                  <c:v>1527.826</c:v>
                </c:pt>
                <c:pt idx="247">
                  <c:v>1529.7850000000001</c:v>
                </c:pt>
                <c:pt idx="248">
                  <c:v>1535.702</c:v>
                </c:pt>
                <c:pt idx="249">
                  <c:v>1539.453</c:v>
                </c:pt>
                <c:pt idx="250">
                  <c:v>1554.7650000000001</c:v>
                </c:pt>
                <c:pt idx="251">
                  <c:v>1555.56</c:v>
                </c:pt>
                <c:pt idx="252">
                  <c:v>1560.393</c:v>
                </c:pt>
                <c:pt idx="253">
                  <c:v>1578.941</c:v>
                </c:pt>
                <c:pt idx="254">
                  <c:v>1581.6189999999999</c:v>
                </c:pt>
                <c:pt idx="255">
                  <c:v>1582.057</c:v>
                </c:pt>
                <c:pt idx="256">
                  <c:v>1582.367</c:v>
                </c:pt>
                <c:pt idx="257">
                  <c:v>1590.6369999999999</c:v>
                </c:pt>
                <c:pt idx="258">
                  <c:v>1593.943</c:v>
                </c:pt>
                <c:pt idx="259">
                  <c:v>1608.1479999999999</c:v>
                </c:pt>
                <c:pt idx="260">
                  <c:v>1609.2860000000001</c:v>
                </c:pt>
                <c:pt idx="261">
                  <c:v>1613.3009999999999</c:v>
                </c:pt>
                <c:pt idx="262">
                  <c:v>1634.2470000000001</c:v>
                </c:pt>
                <c:pt idx="263">
                  <c:v>1634.453</c:v>
                </c:pt>
                <c:pt idx="264">
                  <c:v>1635.501</c:v>
                </c:pt>
                <c:pt idx="265">
                  <c:v>1637.64</c:v>
                </c:pt>
                <c:pt idx="266">
                  <c:v>1646.942</c:v>
                </c:pt>
                <c:pt idx="267">
                  <c:v>1648.1289999999999</c:v>
                </c:pt>
                <c:pt idx="268">
                  <c:v>1660.857</c:v>
                </c:pt>
                <c:pt idx="269">
                  <c:v>1663.2570000000001</c:v>
                </c:pt>
                <c:pt idx="270">
                  <c:v>1666.9079999999999</c:v>
                </c:pt>
                <c:pt idx="271">
                  <c:v>1686.402</c:v>
                </c:pt>
                <c:pt idx="272">
                  <c:v>1688.105</c:v>
                </c:pt>
                <c:pt idx="273">
                  <c:v>1692.096</c:v>
                </c:pt>
                <c:pt idx="274">
                  <c:v>1693.64</c:v>
                </c:pt>
                <c:pt idx="275">
                  <c:v>1700.982</c:v>
                </c:pt>
                <c:pt idx="276">
                  <c:v>1701.133</c:v>
                </c:pt>
                <c:pt idx="277">
                  <c:v>1713.537</c:v>
                </c:pt>
                <c:pt idx="278">
                  <c:v>1717.67</c:v>
                </c:pt>
                <c:pt idx="279">
                  <c:v>1720.1189999999999</c:v>
                </c:pt>
                <c:pt idx="280">
                  <c:v>1738.673</c:v>
                </c:pt>
                <c:pt idx="281">
                  <c:v>1741.722</c:v>
                </c:pt>
                <c:pt idx="282">
                  <c:v>1748.4749999999999</c:v>
                </c:pt>
                <c:pt idx="283">
                  <c:v>1748.867</c:v>
                </c:pt>
                <c:pt idx="284">
                  <c:v>1755.2349999999999</c:v>
                </c:pt>
                <c:pt idx="285">
                  <c:v>1755.2439999999999</c:v>
                </c:pt>
                <c:pt idx="286">
                  <c:v>1766.07</c:v>
                </c:pt>
                <c:pt idx="287">
                  <c:v>1771.6389999999999</c:v>
                </c:pt>
                <c:pt idx="288">
                  <c:v>1773.8879999999999</c:v>
                </c:pt>
                <c:pt idx="289">
                  <c:v>1791.0740000000001</c:v>
                </c:pt>
                <c:pt idx="290">
                  <c:v>1794.713</c:v>
                </c:pt>
                <c:pt idx="291">
                  <c:v>1805.02</c:v>
                </c:pt>
                <c:pt idx="292">
                  <c:v>1805.8710000000001</c:v>
                </c:pt>
                <c:pt idx="293">
                  <c:v>1808.5830000000001</c:v>
                </c:pt>
                <c:pt idx="294">
                  <c:v>1809.4469999999999</c:v>
                </c:pt>
                <c:pt idx="295">
                  <c:v>1819.8219999999999</c:v>
                </c:pt>
                <c:pt idx="296">
                  <c:v>1826.442</c:v>
                </c:pt>
                <c:pt idx="297">
                  <c:v>1828.6089999999999</c:v>
                </c:pt>
              </c:numCache>
            </c:numRef>
          </c:xVal>
          <c:yVal>
            <c:numRef>
              <c:f>intermediate_data!$Z$2:$Z$299</c:f>
              <c:numCache>
                <c:formatCode>General</c:formatCode>
                <c:ptCount val="298"/>
                <c:pt idx="0">
                  <c:v>3.981398676444281E-2</c:v>
                </c:pt>
                <c:pt idx="1">
                  <c:v>3.9864492788795669E-2</c:v>
                </c:pt>
                <c:pt idx="2">
                  <c:v>4.0406731078027058E-2</c:v>
                </c:pt>
                <c:pt idx="3">
                  <c:v>4.1068921175096085E-2</c:v>
                </c:pt>
                <c:pt idx="4">
                  <c:v>4.1375464684014762E-2</c:v>
                </c:pt>
                <c:pt idx="5">
                  <c:v>4.2027647533352308E-2</c:v>
                </c:pt>
                <c:pt idx="6">
                  <c:v>4.2093230166246443E-2</c:v>
                </c:pt>
                <c:pt idx="7">
                  <c:v>4.2330663587187844E-2</c:v>
                </c:pt>
                <c:pt idx="8">
                  <c:v>4.3081220385866592E-2</c:v>
                </c:pt>
                <c:pt idx="9">
                  <c:v>7.6936907779995511E-2</c:v>
                </c:pt>
                <c:pt idx="10">
                  <c:v>7.7117467261668793E-2</c:v>
                </c:pt>
                <c:pt idx="11">
                  <c:v>7.8664464176683158E-2</c:v>
                </c:pt>
                <c:pt idx="12">
                  <c:v>7.9879415265230236E-2</c:v>
                </c:pt>
                <c:pt idx="13">
                  <c:v>8.021069600914732E-2</c:v>
                </c:pt>
                <c:pt idx="14">
                  <c:v>8.0889443166104247E-2</c:v>
                </c:pt>
                <c:pt idx="15">
                  <c:v>8.1452471715045327E-2</c:v>
                </c:pt>
                <c:pt idx="16">
                  <c:v>8.172045164939723E-2</c:v>
                </c:pt>
                <c:pt idx="17">
                  <c:v>8.2822823652071165E-2</c:v>
                </c:pt>
                <c:pt idx="18">
                  <c:v>0.11341584605655397</c:v>
                </c:pt>
                <c:pt idx="19">
                  <c:v>0.11348072265543419</c:v>
                </c:pt>
                <c:pt idx="20">
                  <c:v>0.11544801010971018</c:v>
                </c:pt>
                <c:pt idx="21">
                  <c:v>0.11706992508171199</c:v>
                </c:pt>
                <c:pt idx="22">
                  <c:v>0.11740830106802802</c:v>
                </c:pt>
                <c:pt idx="23">
                  <c:v>0.11838162790651907</c:v>
                </c:pt>
                <c:pt idx="24">
                  <c:v>0.1197289276593887</c:v>
                </c:pt>
                <c:pt idx="25">
                  <c:v>0.1208179367860609</c:v>
                </c:pt>
                <c:pt idx="26">
                  <c:v>0.1219408527903032</c:v>
                </c:pt>
                <c:pt idx="27">
                  <c:v>0.16446506356907609</c:v>
                </c:pt>
                <c:pt idx="28">
                  <c:v>0.1647456866287218</c:v>
                </c:pt>
                <c:pt idx="29">
                  <c:v>0.16836716603482049</c:v>
                </c:pt>
                <c:pt idx="30">
                  <c:v>0.17239571525471487</c:v>
                </c:pt>
                <c:pt idx="31">
                  <c:v>0.17437893276715144</c:v>
                </c:pt>
                <c:pt idx="32">
                  <c:v>0.17476714648602787</c:v>
                </c:pt>
                <c:pt idx="33">
                  <c:v>0.17588641690699625</c:v>
                </c:pt>
                <c:pt idx="34">
                  <c:v>0.17777895921630815</c:v>
                </c:pt>
                <c:pt idx="35">
                  <c:v>0.17789506610645045</c:v>
                </c:pt>
                <c:pt idx="36">
                  <c:v>0.20871447902571028</c:v>
                </c:pt>
                <c:pt idx="37">
                  <c:v>0.20879080743895173</c:v>
                </c:pt>
                <c:pt idx="38">
                  <c:v>0.21277643807734581</c:v>
                </c:pt>
                <c:pt idx="39">
                  <c:v>0.2170296779718015</c:v>
                </c:pt>
                <c:pt idx="40">
                  <c:v>0.21874936631831687</c:v>
                </c:pt>
                <c:pt idx="41">
                  <c:v>0.21935263666875215</c:v>
                </c:pt>
                <c:pt idx="42">
                  <c:v>0.22068065989286634</c:v>
                </c:pt>
                <c:pt idx="43">
                  <c:v>0.22351750950292892</c:v>
                </c:pt>
                <c:pt idx="44">
                  <c:v>0.22383111498717767</c:v>
                </c:pt>
                <c:pt idx="45">
                  <c:v>0.25228841264075452</c:v>
                </c:pt>
                <c:pt idx="46">
                  <c:v>0.25269443938073799</c:v>
                </c:pt>
                <c:pt idx="47">
                  <c:v>0.25725692014867807</c:v>
                </c:pt>
                <c:pt idx="48">
                  <c:v>0.26208327573715273</c:v>
                </c:pt>
                <c:pt idx="49">
                  <c:v>0.26366482224215915</c:v>
                </c:pt>
                <c:pt idx="50">
                  <c:v>0.26411255822796775</c:v>
                </c:pt>
                <c:pt idx="51">
                  <c:v>0.26529774026036623</c:v>
                </c:pt>
                <c:pt idx="52">
                  <c:v>0.26869997922899103</c:v>
                </c:pt>
                <c:pt idx="53">
                  <c:v>0.26886966532428769</c:v>
                </c:pt>
                <c:pt idx="54">
                  <c:v>0.2894698193567331</c:v>
                </c:pt>
                <c:pt idx="55">
                  <c:v>0.28993198875893977</c:v>
                </c:pt>
                <c:pt idx="56">
                  <c:v>0.29454423698300047</c:v>
                </c:pt>
                <c:pt idx="57">
                  <c:v>0.29906000312747683</c:v>
                </c:pt>
                <c:pt idx="58">
                  <c:v>0.30003426972132452</c:v>
                </c:pt>
                <c:pt idx="59">
                  <c:v>0.30010848670562051</c:v>
                </c:pt>
                <c:pt idx="60">
                  <c:v>0.30241135594277058</c:v>
                </c:pt>
                <c:pt idx="61">
                  <c:v>0.3065172413345012</c:v>
                </c:pt>
                <c:pt idx="62">
                  <c:v>0.30670158431530758</c:v>
                </c:pt>
                <c:pt idx="63">
                  <c:v>0.32618096529482976</c:v>
                </c:pt>
                <c:pt idx="64">
                  <c:v>0.32700151223325324</c:v>
                </c:pt>
                <c:pt idx="65">
                  <c:v>0.33250961501789611</c:v>
                </c:pt>
                <c:pt idx="66">
                  <c:v>0.33809099326628989</c:v>
                </c:pt>
                <c:pt idx="67">
                  <c:v>0.33848640425936338</c:v>
                </c:pt>
                <c:pt idx="68">
                  <c:v>0.33913559012790628</c:v>
                </c:pt>
                <c:pt idx="69">
                  <c:v>0.34187233874721557</c:v>
                </c:pt>
                <c:pt idx="70">
                  <c:v>0.34704627190432902</c:v>
                </c:pt>
                <c:pt idx="71">
                  <c:v>0.34765165728053482</c:v>
                </c:pt>
                <c:pt idx="72">
                  <c:v>0.36569667797104621</c:v>
                </c:pt>
                <c:pt idx="73">
                  <c:v>0.36673424448932224</c:v>
                </c:pt>
                <c:pt idx="74">
                  <c:v>0.37242934603815847</c:v>
                </c:pt>
                <c:pt idx="75">
                  <c:v>0.3784231797473101</c:v>
                </c:pt>
                <c:pt idx="76">
                  <c:v>0.37852680846245335</c:v>
                </c:pt>
                <c:pt idx="77">
                  <c:v>0.37934838846045515</c:v>
                </c:pt>
                <c:pt idx="78">
                  <c:v>0.38187230423320706</c:v>
                </c:pt>
                <c:pt idx="79">
                  <c:v>0.38688573125618753</c:v>
                </c:pt>
                <c:pt idx="80">
                  <c:v>0.3880327780373154</c:v>
                </c:pt>
                <c:pt idx="81">
                  <c:v>0.40118562700029159</c:v>
                </c:pt>
                <c:pt idx="82">
                  <c:v>0.402333842040834</c:v>
                </c:pt>
                <c:pt idx="83">
                  <c:v>0.40861348477445958</c:v>
                </c:pt>
                <c:pt idx="84">
                  <c:v>0.41573105110314579</c:v>
                </c:pt>
                <c:pt idx="85">
                  <c:v>0.41626415094339642</c:v>
                </c:pt>
                <c:pt idx="86">
                  <c:v>0.41663741041492841</c:v>
                </c:pt>
                <c:pt idx="87">
                  <c:v>0.41931327353222159</c:v>
                </c:pt>
                <c:pt idx="88">
                  <c:v>0.42380856734707351</c:v>
                </c:pt>
                <c:pt idx="89">
                  <c:v>0.42561516550674661</c:v>
                </c:pt>
                <c:pt idx="90">
                  <c:v>0.43352558820836862</c:v>
                </c:pt>
                <c:pt idx="91">
                  <c:v>0.434784132765758</c:v>
                </c:pt>
                <c:pt idx="92">
                  <c:v>0.44149684018664281</c:v>
                </c:pt>
                <c:pt idx="93">
                  <c:v>0.44995783934710865</c:v>
                </c:pt>
                <c:pt idx="94">
                  <c:v>0.45021011199635019</c:v>
                </c:pt>
                <c:pt idx="95">
                  <c:v>0.45079243995927065</c:v>
                </c:pt>
                <c:pt idx="96">
                  <c:v>0.45341853671869536</c:v>
                </c:pt>
                <c:pt idx="97">
                  <c:v>0.4582823242313907</c:v>
                </c:pt>
                <c:pt idx="98">
                  <c:v>0.46015521686889116</c:v>
                </c:pt>
                <c:pt idx="99">
                  <c:v>0.46646245825106547</c:v>
                </c:pt>
                <c:pt idx="100">
                  <c:v>0.46773598978057151</c:v>
                </c:pt>
                <c:pt idx="101">
                  <c:v>0.47330933431877042</c:v>
                </c:pt>
                <c:pt idx="102">
                  <c:v>0.48091849935316944</c:v>
                </c:pt>
                <c:pt idx="103">
                  <c:v>0.48100728396651249</c:v>
                </c:pt>
                <c:pt idx="104">
                  <c:v>0.48195686315139419</c:v>
                </c:pt>
                <c:pt idx="105">
                  <c:v>0.4859174892621958</c:v>
                </c:pt>
                <c:pt idx="106">
                  <c:v>0.49175993299797049</c:v>
                </c:pt>
                <c:pt idx="107">
                  <c:v>0.49406209027673498</c:v>
                </c:pt>
                <c:pt idx="108">
                  <c:v>0.4998441882206297</c:v>
                </c:pt>
                <c:pt idx="109">
                  <c:v>0.50136535233219703</c:v>
                </c:pt>
                <c:pt idx="110">
                  <c:v>0.50709655510539164</c:v>
                </c:pt>
                <c:pt idx="111">
                  <c:v>0.51541442207730981</c:v>
                </c:pt>
                <c:pt idx="112">
                  <c:v>0.51548751159674921</c:v>
                </c:pt>
                <c:pt idx="113">
                  <c:v>0.5163367422035865</c:v>
                </c:pt>
                <c:pt idx="114">
                  <c:v>0.52003472384196137</c:v>
                </c:pt>
                <c:pt idx="115">
                  <c:v>0.52559996867938352</c:v>
                </c:pt>
                <c:pt idx="116">
                  <c:v>0.5276290729571933</c:v>
                </c:pt>
                <c:pt idx="117">
                  <c:v>0.53028581898131222</c:v>
                </c:pt>
                <c:pt idx="118">
                  <c:v>0.53230263524590349</c:v>
                </c:pt>
                <c:pt idx="119">
                  <c:v>0.54037544536077142</c:v>
                </c:pt>
                <c:pt idx="120">
                  <c:v>0.55321304331205567</c:v>
                </c:pt>
                <c:pt idx="121">
                  <c:v>0.55331436441437631</c:v>
                </c:pt>
                <c:pt idx="122">
                  <c:v>0.55461544099931004</c:v>
                </c:pt>
                <c:pt idx="123">
                  <c:v>0.56128842985960148</c:v>
                </c:pt>
                <c:pt idx="124">
                  <c:v>0.57090162453955884</c:v>
                </c:pt>
                <c:pt idx="125">
                  <c:v>0.57534744300118312</c:v>
                </c:pt>
                <c:pt idx="126">
                  <c:v>0.57573733259545179</c:v>
                </c:pt>
                <c:pt idx="127">
                  <c:v>0.57856733630300994</c:v>
                </c:pt>
                <c:pt idx="128">
                  <c:v>0.58697226558625815</c:v>
                </c:pt>
                <c:pt idx="129">
                  <c:v>0.60150804353193799</c:v>
                </c:pt>
                <c:pt idx="130">
                  <c:v>0.60181274752586411</c:v>
                </c:pt>
                <c:pt idx="131">
                  <c:v>0.601849817129402</c:v>
                </c:pt>
                <c:pt idx="132">
                  <c:v>0.60502517492706964</c:v>
                </c:pt>
                <c:pt idx="133">
                  <c:v>0.60964217367995488</c:v>
                </c:pt>
                <c:pt idx="134">
                  <c:v>0.61005482761825292</c:v>
                </c:pt>
                <c:pt idx="135">
                  <c:v>0.61176361029624715</c:v>
                </c:pt>
                <c:pt idx="136">
                  <c:v>0.61215212242180073</c:v>
                </c:pt>
                <c:pt idx="137">
                  <c:v>0.61739631753702184</c:v>
                </c:pt>
                <c:pt idx="138">
                  <c:v>0.62577926905992243</c:v>
                </c:pt>
                <c:pt idx="139">
                  <c:v>0.62622041405525053</c:v>
                </c:pt>
                <c:pt idx="140">
                  <c:v>0.62624492211054417</c:v>
                </c:pt>
                <c:pt idx="141">
                  <c:v>0.63090837880633543</c:v>
                </c:pt>
                <c:pt idx="142">
                  <c:v>0.6362372824817939</c:v>
                </c:pt>
                <c:pt idx="143">
                  <c:v>0.63763050331738924</c:v>
                </c:pt>
                <c:pt idx="144">
                  <c:v>0.63848674378347425</c:v>
                </c:pt>
                <c:pt idx="145">
                  <c:v>0.63911770752461194</c:v>
                </c:pt>
                <c:pt idx="146">
                  <c:v>0.64369644515210922</c:v>
                </c:pt>
                <c:pt idx="147">
                  <c:v>0.65245153933865652</c:v>
                </c:pt>
                <c:pt idx="148">
                  <c:v>0.6527280475462014</c:v>
                </c:pt>
                <c:pt idx="149">
                  <c:v>0.65280983820927219</c:v>
                </c:pt>
                <c:pt idx="150">
                  <c:v>0.65753882563780763</c:v>
                </c:pt>
                <c:pt idx="151">
                  <c:v>0.66095033278332949</c:v>
                </c:pt>
                <c:pt idx="152">
                  <c:v>0.66337019315566792</c:v>
                </c:pt>
                <c:pt idx="153">
                  <c:v>0.66458814941271882</c:v>
                </c:pt>
                <c:pt idx="154">
                  <c:v>0.66526785729093518</c:v>
                </c:pt>
                <c:pt idx="155">
                  <c:v>0.66923825423268823</c:v>
                </c:pt>
                <c:pt idx="156">
                  <c:v>0.67883392360714367</c:v>
                </c:pt>
                <c:pt idx="157">
                  <c:v>0.67939739933902743</c:v>
                </c:pt>
                <c:pt idx="158">
                  <c:v>0.67940382437587843</c:v>
                </c:pt>
                <c:pt idx="159">
                  <c:v>0.68697830032016682</c:v>
                </c:pt>
                <c:pt idx="160">
                  <c:v>0.68967103326464496</c:v>
                </c:pt>
                <c:pt idx="161">
                  <c:v>0.69378385193672898</c:v>
                </c:pt>
                <c:pt idx="162">
                  <c:v>0.69744281253149154</c:v>
                </c:pt>
                <c:pt idx="163">
                  <c:v>0.69884833175188277</c:v>
                </c:pt>
                <c:pt idx="164">
                  <c:v>0.70300365459311109</c:v>
                </c:pt>
                <c:pt idx="165">
                  <c:v>0.71667558886509752</c:v>
                </c:pt>
                <c:pt idx="166">
                  <c:v>0.71679317528261777</c:v>
                </c:pt>
                <c:pt idx="167">
                  <c:v>0.71707424807889453</c:v>
                </c:pt>
                <c:pt idx="168">
                  <c:v>0.72378647274585006</c:v>
                </c:pt>
                <c:pt idx="169">
                  <c:v>0.72431819027421085</c:v>
                </c:pt>
                <c:pt idx="170">
                  <c:v>0.72762640726858763</c:v>
                </c:pt>
                <c:pt idx="171">
                  <c:v>0.73257688195894133</c:v>
                </c:pt>
                <c:pt idx="172">
                  <c:v>0.73357708958070589</c:v>
                </c:pt>
                <c:pt idx="173">
                  <c:v>0.73568916570671306</c:v>
                </c:pt>
                <c:pt idx="174">
                  <c:v>0.74482534338294215</c:v>
                </c:pt>
                <c:pt idx="175">
                  <c:v>0.74510913034188775</c:v>
                </c:pt>
                <c:pt idx="176">
                  <c:v>0.74652729187514311</c:v>
                </c:pt>
                <c:pt idx="177">
                  <c:v>0.75513987811146066</c:v>
                </c:pt>
                <c:pt idx="178">
                  <c:v>0.75759845403065285</c:v>
                </c:pt>
                <c:pt idx="179">
                  <c:v>0.76041557227138767</c:v>
                </c:pt>
                <c:pt idx="180">
                  <c:v>0.76953355578760352</c:v>
                </c:pt>
                <c:pt idx="181">
                  <c:v>0.77073990927033975</c:v>
                </c:pt>
                <c:pt idx="182">
                  <c:v>0.77218478131240076</c:v>
                </c:pt>
                <c:pt idx="183">
                  <c:v>0.78658839726184837</c:v>
                </c:pt>
                <c:pt idx="184">
                  <c:v>0.78669426467242687</c:v>
                </c:pt>
                <c:pt idx="185">
                  <c:v>0.78788739038961353</c:v>
                </c:pt>
                <c:pt idx="186">
                  <c:v>0.79249632810902426</c:v>
                </c:pt>
                <c:pt idx="187">
                  <c:v>0.7967876452104754</c:v>
                </c:pt>
                <c:pt idx="188">
                  <c:v>0.79752376436577066</c:v>
                </c:pt>
                <c:pt idx="189">
                  <c:v>0.80744578296173586</c:v>
                </c:pt>
                <c:pt idx="190">
                  <c:v>0.80789111471590758</c:v>
                </c:pt>
                <c:pt idx="191">
                  <c:v>0.80850793647586983</c:v>
                </c:pt>
                <c:pt idx="192">
                  <c:v>0.82138934386743045</c:v>
                </c:pt>
                <c:pt idx="193">
                  <c:v>0.82170643474298544</c:v>
                </c:pt>
                <c:pt idx="194">
                  <c:v>0.82420129862621749</c:v>
                </c:pt>
                <c:pt idx="195">
                  <c:v>0.82964528579305608</c:v>
                </c:pt>
                <c:pt idx="196">
                  <c:v>0.83710267403524341</c:v>
                </c:pt>
                <c:pt idx="197">
                  <c:v>0.8383226820614702</c:v>
                </c:pt>
                <c:pt idx="198">
                  <c:v>0.85070290970772788</c:v>
                </c:pt>
                <c:pt idx="199">
                  <c:v>0.85321159580259476</c:v>
                </c:pt>
                <c:pt idx="200">
                  <c:v>0.85610643940868414</c:v>
                </c:pt>
                <c:pt idx="201">
                  <c:v>0.86990287520234943</c:v>
                </c:pt>
                <c:pt idx="202">
                  <c:v>0.87016059411548952</c:v>
                </c:pt>
                <c:pt idx="203">
                  <c:v>0.87281892900042379</c:v>
                </c:pt>
                <c:pt idx="204">
                  <c:v>0.8742853950578251</c:v>
                </c:pt>
                <c:pt idx="205">
                  <c:v>0.88006594434920871</c:v>
                </c:pt>
                <c:pt idx="206">
                  <c:v>0.88274545031523388</c:v>
                </c:pt>
                <c:pt idx="207">
                  <c:v>0.88979310598850603</c:v>
                </c:pt>
                <c:pt idx="208">
                  <c:v>0.89306313840317841</c:v>
                </c:pt>
                <c:pt idx="209">
                  <c:v>0.89502615557354304</c:v>
                </c:pt>
                <c:pt idx="210">
                  <c:v>0.90356228709994468</c:v>
                </c:pt>
                <c:pt idx="211">
                  <c:v>0.90508828523136131</c:v>
                </c:pt>
                <c:pt idx="212">
                  <c:v>0.94327818611176895</c:v>
                </c:pt>
                <c:pt idx="213">
                  <c:v>0.94359776687227281</c:v>
                </c:pt>
                <c:pt idx="214">
                  <c:v>1.0167306813576644</c:v>
                </c:pt>
                <c:pt idx="215">
                  <c:v>1.067171390374785</c:v>
                </c:pt>
                <c:pt idx="216">
                  <c:v>1.1337016282770129</c:v>
                </c:pt>
                <c:pt idx="217">
                  <c:v>1.2073164374585623</c:v>
                </c:pt>
                <c:pt idx="218">
                  <c:v>1.2180116227299713</c:v>
                </c:pt>
                <c:pt idx="219">
                  <c:v>1.2916695866604364</c:v>
                </c:pt>
                <c:pt idx="220">
                  <c:v>1.3334721534374907</c:v>
                </c:pt>
                <c:pt idx="221">
                  <c:v>1.3398632625134859</c:v>
                </c:pt>
                <c:pt idx="222">
                  <c:v>1.4074108084985504</c:v>
                </c:pt>
                <c:pt idx="223">
                  <c:v>1.4848298477450719</c:v>
                </c:pt>
                <c:pt idx="224">
                  <c:v>1.5330011741505487</c:v>
                </c:pt>
                <c:pt idx="225">
                  <c:v>1.5646679881070433</c:v>
                </c:pt>
                <c:pt idx="226">
                  <c:v>1.5676178938945817</c:v>
                </c:pt>
                <c:pt idx="227">
                  <c:v>1.5683267137192338</c:v>
                </c:pt>
                <c:pt idx="228">
                  <c:v>1.5708274355847678</c:v>
                </c:pt>
                <c:pt idx="229">
                  <c:v>1.5725540833894804</c:v>
                </c:pt>
                <c:pt idx="230">
                  <c:v>1.5734249221797896</c:v>
                </c:pt>
                <c:pt idx="231">
                  <c:v>1.576036042975737</c:v>
                </c:pt>
                <c:pt idx="232">
                  <c:v>1.5802737064160794</c:v>
                </c:pt>
                <c:pt idx="233">
                  <c:v>1.5816092716762213</c:v>
                </c:pt>
                <c:pt idx="234">
                  <c:v>1.5832284875519527</c:v>
                </c:pt>
                <c:pt idx="235">
                  <c:v>1.5863249829422195</c:v>
                </c:pt>
                <c:pt idx="236">
                  <c:v>1.5868633498845384</c:v>
                </c:pt>
                <c:pt idx="237">
                  <c:v>1.5886092054019763</c:v>
                </c:pt>
                <c:pt idx="238">
                  <c:v>1.5896815119268837</c:v>
                </c:pt>
                <c:pt idx="239">
                  <c:v>1.5888434394599784</c:v>
                </c:pt>
                <c:pt idx="240">
                  <c:v>1.5879581376875471</c:v>
                </c:pt>
                <c:pt idx="241">
                  <c:v>1.5857033511923539</c:v>
                </c:pt>
                <c:pt idx="242">
                  <c:v>1.5853081773178097</c:v>
                </c:pt>
                <c:pt idx="243">
                  <c:v>1.5844928938165062</c:v>
                </c:pt>
                <c:pt idx="244">
                  <c:v>1.5806010218632025</c:v>
                </c:pt>
                <c:pt idx="245">
                  <c:v>1.5793159994104755</c:v>
                </c:pt>
                <c:pt idx="246">
                  <c:v>1.5786791943228913</c:v>
                </c:pt>
                <c:pt idx="247">
                  <c:v>1.5781202780296155</c:v>
                </c:pt>
                <c:pt idx="248">
                  <c:v>1.5788896853059811</c:v>
                </c:pt>
                <c:pt idx="249">
                  <c:v>1.5793774403665957</c:v>
                </c:pt>
                <c:pt idx="250">
                  <c:v>1.5813685108779545</c:v>
                </c:pt>
                <c:pt idx="251">
                  <c:v>1.581471887383735</c:v>
                </c:pt>
                <c:pt idx="252">
                  <c:v>1.5821003385188845</c:v>
                </c:pt>
                <c:pt idx="253">
                  <c:v>1.5842738214883383</c:v>
                </c:pt>
                <c:pt idx="254">
                  <c:v>1.5845876336186073</c:v>
                </c:pt>
                <c:pt idx="255">
                  <c:v>1.5846389591275916</c:v>
                </c:pt>
                <c:pt idx="256">
                  <c:v>1.5846752854010688</c:v>
                </c:pt>
                <c:pt idx="257">
                  <c:v>1.5877725428915461</c:v>
                </c:pt>
                <c:pt idx="258">
                  <c:v>1.5890106968532791</c:v>
                </c:pt>
                <c:pt idx="259">
                  <c:v>1.5943307141026359</c:v>
                </c:pt>
                <c:pt idx="260">
                  <c:v>1.5947569147101532</c:v>
                </c:pt>
                <c:pt idx="261">
                  <c:v>1.5962606013878151</c:v>
                </c:pt>
                <c:pt idx="262">
                  <c:v>1.6092674464155721</c:v>
                </c:pt>
                <c:pt idx="263">
                  <c:v>1.6093744298124975</c:v>
                </c:pt>
                <c:pt idx="264">
                  <c:v>1.609918694860923</c:v>
                </c:pt>
                <c:pt idx="265">
                  <c:v>1.6110295564435404</c:v>
                </c:pt>
                <c:pt idx="266">
                  <c:v>1.6158604280851989</c:v>
                </c:pt>
                <c:pt idx="267">
                  <c:v>1.6164768809597021</c:v>
                </c:pt>
                <c:pt idx="268">
                  <c:v>1.6230870007463096</c:v>
                </c:pt>
                <c:pt idx="269">
                  <c:v>1.6243334092541559</c:v>
                </c:pt>
                <c:pt idx="270">
                  <c:v>1.6262295081967153</c:v>
                </c:pt>
                <c:pt idx="271">
                  <c:v>1.6336471782150248</c:v>
                </c:pt>
                <c:pt idx="272">
                  <c:v>1.6342227245227079</c:v>
                </c:pt>
                <c:pt idx="273">
                  <c:v>1.6355715238849946</c:v>
                </c:pt>
                <c:pt idx="274">
                  <c:v>1.6360933345127506</c:v>
                </c:pt>
                <c:pt idx="275">
                  <c:v>1.6385746386765945</c:v>
                </c:pt>
                <c:pt idx="276">
                  <c:v>1.6386256706745179</c:v>
                </c:pt>
                <c:pt idx="277">
                  <c:v>1.6428177296296127</c:v>
                </c:pt>
                <c:pt idx="278">
                  <c:v>1.6442145193475639</c:v>
                </c:pt>
                <c:pt idx="279">
                  <c:v>1.6450421840025946</c:v>
                </c:pt>
                <c:pt idx="280">
                  <c:v>1.6549312801056324</c:v>
                </c:pt>
                <c:pt idx="281">
                  <c:v>1.6564116559407047</c:v>
                </c:pt>
                <c:pt idx="282">
                  <c:v>1.659690428657747</c:v>
                </c:pt>
                <c:pt idx="283">
                  <c:v>1.6598807557575697</c:v>
                </c:pt>
                <c:pt idx="284">
                  <c:v>1.662972600073001</c:v>
                </c:pt>
                <c:pt idx="285">
                  <c:v>1.6629769698278487</c:v>
                </c:pt>
                <c:pt idx="286">
                  <c:v>1.6682332993754123</c:v>
                </c:pt>
                <c:pt idx="287">
                  <c:v>1.6709372065664709</c:v>
                </c:pt>
                <c:pt idx="288">
                  <c:v>1.6720291597488526</c:v>
                </c:pt>
                <c:pt idx="289">
                  <c:v>1.6859341020814611</c:v>
                </c:pt>
                <c:pt idx="290">
                  <c:v>1.6885123472520007</c:v>
                </c:pt>
                <c:pt idx="291">
                  <c:v>1.6958148954720329</c:v>
                </c:pt>
                <c:pt idx="292">
                  <c:v>1.6964178321689616</c:v>
                </c:pt>
                <c:pt idx="293">
                  <c:v>1.6983392943570621</c:v>
                </c:pt>
                <c:pt idx="294">
                  <c:v>1.69895144160283</c:v>
                </c:pt>
                <c:pt idx="295">
                  <c:v>1.7063021680783166</c:v>
                </c:pt>
                <c:pt idx="296">
                  <c:v>1.7109924629474946</c:v>
                </c:pt>
                <c:pt idx="297">
                  <c:v>1.7125277905882044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E27-43D6-9656-5E17AC81F88D}"/>
            </c:ext>
          </c:extLst>
        </c:ser>
        <c:ser>
          <c:idx val="7"/>
          <c:order val="7"/>
          <c:tx>
            <c:strRef>
              <c:f>race_data!$AJ$1</c:f>
              <c:strCache>
                <c:ptCount val="1"/>
                <c:pt idx="0">
                  <c:v>HannesD</c:v>
                </c:pt>
              </c:strCache>
            </c:strRef>
          </c:tx>
          <c:marker>
            <c:symbol val="none"/>
          </c:marker>
          <c:xVal>
            <c:numRef>
              <c:f>intermediate_data!$A$2:$A$299</c:f>
              <c:numCache>
                <c:formatCode>General</c:formatCode>
                <c:ptCount val="298"/>
                <c:pt idx="0">
                  <c:v>53.683999999999997</c:v>
                </c:pt>
                <c:pt idx="1">
                  <c:v>53.756</c:v>
                </c:pt>
                <c:pt idx="2">
                  <c:v>54.529000000000003</c:v>
                </c:pt>
                <c:pt idx="3">
                  <c:v>55.472999999999999</c:v>
                </c:pt>
                <c:pt idx="4">
                  <c:v>55.91</c:v>
                </c:pt>
                <c:pt idx="5">
                  <c:v>56.984000000000002</c:v>
                </c:pt>
                <c:pt idx="6">
                  <c:v>57.091999999999999</c:v>
                </c:pt>
                <c:pt idx="7">
                  <c:v>57.482999999999997</c:v>
                </c:pt>
                <c:pt idx="8">
                  <c:v>58.719000000000001</c:v>
                </c:pt>
                <c:pt idx="9">
                  <c:v>107.248</c:v>
                </c:pt>
                <c:pt idx="10">
                  <c:v>107.48399999999999</c:v>
                </c:pt>
                <c:pt idx="11">
                  <c:v>109.506</c:v>
                </c:pt>
                <c:pt idx="12">
                  <c:v>111.09399999999999</c:v>
                </c:pt>
                <c:pt idx="13">
                  <c:v>111.527</c:v>
                </c:pt>
                <c:pt idx="14">
                  <c:v>112.53</c:v>
                </c:pt>
                <c:pt idx="15">
                  <c:v>113.36199999999999</c:v>
                </c:pt>
                <c:pt idx="16">
                  <c:v>113.758</c:v>
                </c:pt>
                <c:pt idx="17">
                  <c:v>115.387</c:v>
                </c:pt>
                <c:pt idx="18">
                  <c:v>160.595</c:v>
                </c:pt>
                <c:pt idx="19">
                  <c:v>160.697</c:v>
                </c:pt>
                <c:pt idx="20">
                  <c:v>163.79</c:v>
                </c:pt>
                <c:pt idx="21">
                  <c:v>166.34</c:v>
                </c:pt>
                <c:pt idx="22">
                  <c:v>166.87200000000001</c:v>
                </c:pt>
                <c:pt idx="23">
                  <c:v>167.84800000000001</c:v>
                </c:pt>
                <c:pt idx="24">
                  <c:v>169.19900000000001</c:v>
                </c:pt>
                <c:pt idx="25">
                  <c:v>170.291</c:v>
                </c:pt>
                <c:pt idx="26">
                  <c:v>171.417</c:v>
                </c:pt>
                <c:pt idx="27">
                  <c:v>214.05799999999999</c:v>
                </c:pt>
                <c:pt idx="28">
                  <c:v>214.31100000000001</c:v>
                </c:pt>
                <c:pt idx="29">
                  <c:v>217.57599999999999</c:v>
                </c:pt>
                <c:pt idx="30">
                  <c:v>221.208</c:v>
                </c:pt>
                <c:pt idx="31">
                  <c:v>222.99600000000001</c:v>
                </c:pt>
                <c:pt idx="32">
                  <c:v>223.346</c:v>
                </c:pt>
                <c:pt idx="33">
                  <c:v>224.792</c:v>
                </c:pt>
                <c:pt idx="34">
                  <c:v>227.23699999999999</c:v>
                </c:pt>
                <c:pt idx="35">
                  <c:v>227.387</c:v>
                </c:pt>
                <c:pt idx="36">
                  <c:v>267.20299999999997</c:v>
                </c:pt>
                <c:pt idx="37">
                  <c:v>267.286</c:v>
                </c:pt>
                <c:pt idx="38">
                  <c:v>271.62</c:v>
                </c:pt>
                <c:pt idx="39">
                  <c:v>276.245</c:v>
                </c:pt>
                <c:pt idx="40">
                  <c:v>278.11500000000001</c:v>
                </c:pt>
                <c:pt idx="41">
                  <c:v>278.77100000000002</c:v>
                </c:pt>
                <c:pt idx="42">
                  <c:v>280.43099999999998</c:v>
                </c:pt>
                <c:pt idx="43">
                  <c:v>283.97699999999998</c:v>
                </c:pt>
                <c:pt idx="44">
                  <c:v>284.36900000000003</c:v>
                </c:pt>
                <c:pt idx="45">
                  <c:v>319.94</c:v>
                </c:pt>
                <c:pt idx="46">
                  <c:v>320.41699999999997</c:v>
                </c:pt>
                <c:pt idx="47">
                  <c:v>325.77699999999999</c:v>
                </c:pt>
                <c:pt idx="48">
                  <c:v>331.447</c:v>
                </c:pt>
                <c:pt idx="49">
                  <c:v>333.30500000000001</c:v>
                </c:pt>
                <c:pt idx="50">
                  <c:v>333.83100000000002</c:v>
                </c:pt>
                <c:pt idx="51">
                  <c:v>335.64</c:v>
                </c:pt>
                <c:pt idx="52">
                  <c:v>340.83300000000003</c:v>
                </c:pt>
                <c:pt idx="53">
                  <c:v>341.09199999999998</c:v>
                </c:pt>
                <c:pt idx="54">
                  <c:v>372.53500000000003</c:v>
                </c:pt>
                <c:pt idx="55">
                  <c:v>373.22</c:v>
                </c:pt>
                <c:pt idx="56">
                  <c:v>380.05599999999998</c:v>
                </c:pt>
                <c:pt idx="57">
                  <c:v>386.74900000000002</c:v>
                </c:pt>
                <c:pt idx="58">
                  <c:v>388.19299999999998</c:v>
                </c:pt>
                <c:pt idx="59">
                  <c:v>388.30299999999988</c:v>
                </c:pt>
                <c:pt idx="60">
                  <c:v>391.55099999999999</c:v>
                </c:pt>
                <c:pt idx="61">
                  <c:v>397.34199999999998</c:v>
                </c:pt>
                <c:pt idx="62">
                  <c:v>397.60199999999998</c:v>
                </c:pt>
                <c:pt idx="63">
                  <c:v>425.07600000000002</c:v>
                </c:pt>
                <c:pt idx="64">
                  <c:v>426.26299999999998</c:v>
                </c:pt>
                <c:pt idx="65">
                  <c:v>434.23099999999999</c:v>
                </c:pt>
                <c:pt idx="66">
                  <c:v>442.30500000000001</c:v>
                </c:pt>
                <c:pt idx="67">
                  <c:v>442.87700000000001</c:v>
                </c:pt>
                <c:pt idx="68">
                  <c:v>443.70699999999999</c:v>
                </c:pt>
                <c:pt idx="69">
                  <c:v>447.20600000000002</c:v>
                </c:pt>
                <c:pt idx="70">
                  <c:v>453.82100000000003</c:v>
                </c:pt>
                <c:pt idx="71">
                  <c:v>454.59500000000003</c:v>
                </c:pt>
                <c:pt idx="72">
                  <c:v>477.66599999999988</c:v>
                </c:pt>
                <c:pt idx="73">
                  <c:v>479.28800000000001</c:v>
                </c:pt>
                <c:pt idx="74">
                  <c:v>488.19099999999997</c:v>
                </c:pt>
                <c:pt idx="75">
                  <c:v>497.56099999999998</c:v>
                </c:pt>
                <c:pt idx="76">
                  <c:v>497.72300000000001</c:v>
                </c:pt>
                <c:pt idx="77">
                  <c:v>498.91699999999997</c:v>
                </c:pt>
                <c:pt idx="78">
                  <c:v>502.58499999999998</c:v>
                </c:pt>
                <c:pt idx="79">
                  <c:v>509.87099999999998</c:v>
                </c:pt>
                <c:pt idx="80">
                  <c:v>511.53800000000001</c:v>
                </c:pt>
                <c:pt idx="81">
                  <c:v>530.65299999999991</c:v>
                </c:pt>
                <c:pt idx="82">
                  <c:v>532.33299999999997</c:v>
                </c:pt>
                <c:pt idx="83">
                  <c:v>541.52099999999996</c:v>
                </c:pt>
                <c:pt idx="84">
                  <c:v>551.93500000000006</c:v>
                </c:pt>
                <c:pt idx="85">
                  <c:v>552.71499999999992</c:v>
                </c:pt>
                <c:pt idx="86">
                  <c:v>553.38400000000001</c:v>
                </c:pt>
                <c:pt idx="87">
                  <c:v>558.18000000000006</c:v>
                </c:pt>
                <c:pt idx="88">
                  <c:v>566.23699999999997</c:v>
                </c:pt>
                <c:pt idx="89">
                  <c:v>569.47499999999991</c:v>
                </c:pt>
                <c:pt idx="90">
                  <c:v>583.65299999999991</c:v>
                </c:pt>
                <c:pt idx="91">
                  <c:v>585.43899999999996</c:v>
                </c:pt>
                <c:pt idx="92">
                  <c:v>594.96499999999992</c:v>
                </c:pt>
                <c:pt idx="93">
                  <c:v>606.97200000000009</c:v>
                </c:pt>
                <c:pt idx="94">
                  <c:v>607.32999999999993</c:v>
                </c:pt>
                <c:pt idx="95">
                  <c:v>608.36599999999999</c:v>
                </c:pt>
                <c:pt idx="96">
                  <c:v>613.03800000000001</c:v>
                </c:pt>
                <c:pt idx="97">
                  <c:v>621.69099999999992</c:v>
                </c:pt>
                <c:pt idx="98">
                  <c:v>625.02299999999991</c:v>
                </c:pt>
                <c:pt idx="99">
                  <c:v>636.24399999999991</c:v>
                </c:pt>
                <c:pt idx="100">
                  <c:v>638.471</c:v>
                </c:pt>
                <c:pt idx="101">
                  <c:v>648.21699999999987</c:v>
                </c:pt>
                <c:pt idx="102">
                  <c:v>661.52299999999991</c:v>
                </c:pt>
                <c:pt idx="103">
                  <c:v>661.65100000000007</c:v>
                </c:pt>
                <c:pt idx="104">
                  <c:v>663.02</c:v>
                </c:pt>
                <c:pt idx="105">
                  <c:v>668.73</c:v>
                </c:pt>
                <c:pt idx="106">
                  <c:v>677.15299999999991</c:v>
                </c:pt>
                <c:pt idx="107">
                  <c:v>680.47199999999987</c:v>
                </c:pt>
                <c:pt idx="108">
                  <c:v>688.80799999999988</c:v>
                </c:pt>
                <c:pt idx="109">
                  <c:v>691.47199999999998</c:v>
                </c:pt>
                <c:pt idx="110">
                  <c:v>701.5089999999999</c:v>
                </c:pt>
                <c:pt idx="111">
                  <c:v>716.07599999999991</c:v>
                </c:pt>
                <c:pt idx="112">
                  <c:v>716.20200000000011</c:v>
                </c:pt>
                <c:pt idx="113">
                  <c:v>717.66599999999994</c:v>
                </c:pt>
                <c:pt idx="114">
                  <c:v>724.04100000000005</c:v>
                </c:pt>
                <c:pt idx="115">
                  <c:v>733.63499999999988</c:v>
                </c:pt>
                <c:pt idx="116">
                  <c:v>737.13299999999981</c:v>
                </c:pt>
                <c:pt idx="117">
                  <c:v>741.71299999999985</c:v>
                </c:pt>
                <c:pt idx="118">
                  <c:v>744.25900000000001</c:v>
                </c:pt>
                <c:pt idx="119">
                  <c:v>754.44999999999993</c:v>
                </c:pt>
                <c:pt idx="120">
                  <c:v>770.65599999999995</c:v>
                </c:pt>
                <c:pt idx="121">
                  <c:v>770.76300000000015</c:v>
                </c:pt>
                <c:pt idx="122">
                  <c:v>772.13699999999994</c:v>
                </c:pt>
                <c:pt idx="123">
                  <c:v>779.18400000000008</c:v>
                </c:pt>
                <c:pt idx="124">
                  <c:v>789.3359999999999</c:v>
                </c:pt>
                <c:pt idx="125">
                  <c:v>794.03099999999984</c:v>
                </c:pt>
                <c:pt idx="126">
                  <c:v>794.50299999999982</c:v>
                </c:pt>
                <c:pt idx="127">
                  <c:v>797.92899999999997</c:v>
                </c:pt>
                <c:pt idx="128">
                  <c:v>808.10399999999993</c:v>
                </c:pt>
                <c:pt idx="129">
                  <c:v>825.70099999999991</c:v>
                </c:pt>
                <c:pt idx="130">
                  <c:v>826.44900000000018</c:v>
                </c:pt>
                <c:pt idx="131">
                  <c:v>826.54</c:v>
                </c:pt>
                <c:pt idx="132">
                  <c:v>834.33500000000004</c:v>
                </c:pt>
                <c:pt idx="133">
                  <c:v>845.66899999999987</c:v>
                </c:pt>
                <c:pt idx="134">
                  <c:v>846.68199999999979</c:v>
                </c:pt>
                <c:pt idx="135">
                  <c:v>850.2489999999998</c:v>
                </c:pt>
                <c:pt idx="136">
                  <c:v>851.06</c:v>
                </c:pt>
                <c:pt idx="137">
                  <c:v>862.00699999999995</c:v>
                </c:pt>
                <c:pt idx="138">
                  <c:v>879.50599999999986</c:v>
                </c:pt>
                <c:pt idx="139">
                  <c:v>880.33399999999995</c:v>
                </c:pt>
                <c:pt idx="140">
                  <c:v>880.38000000000022</c:v>
                </c:pt>
                <c:pt idx="141">
                  <c:v>889.13300000000004</c:v>
                </c:pt>
                <c:pt idx="142">
                  <c:v>899.13499999999976</c:v>
                </c:pt>
                <c:pt idx="143">
                  <c:v>902.08499999999981</c:v>
                </c:pt>
                <c:pt idx="144">
                  <c:v>903.89799999999991</c:v>
                </c:pt>
                <c:pt idx="145">
                  <c:v>905.23399999999981</c:v>
                </c:pt>
                <c:pt idx="146">
                  <c:v>914.92899999999997</c:v>
                </c:pt>
                <c:pt idx="147">
                  <c:v>933.46699999999987</c:v>
                </c:pt>
                <c:pt idx="148">
                  <c:v>934.0619999999999</c:v>
                </c:pt>
                <c:pt idx="149">
                  <c:v>934.23800000000017</c:v>
                </c:pt>
                <c:pt idx="150">
                  <c:v>944.41399999999999</c:v>
                </c:pt>
                <c:pt idx="151">
                  <c:v>951.75499999999977</c:v>
                </c:pt>
                <c:pt idx="152">
                  <c:v>956.57899999999995</c:v>
                </c:pt>
                <c:pt idx="153">
                  <c:v>959.00699999999983</c:v>
                </c:pt>
                <c:pt idx="154">
                  <c:v>960.36199999999985</c:v>
                </c:pt>
                <c:pt idx="155">
                  <c:v>968.27699999999993</c:v>
                </c:pt>
                <c:pt idx="156">
                  <c:v>987.40599999999984</c:v>
                </c:pt>
                <c:pt idx="157">
                  <c:v>988.2829999999999</c:v>
                </c:pt>
                <c:pt idx="158">
                  <c:v>988.29300000000012</c:v>
                </c:pt>
                <c:pt idx="159">
                  <c:v>1000.082</c:v>
                </c:pt>
                <c:pt idx="160">
                  <c:v>1004.273</c:v>
                </c:pt>
                <c:pt idx="161">
                  <c:v>1009.982</c:v>
                </c:pt>
                <c:pt idx="162">
                  <c:v>1015.061</c:v>
                </c:pt>
                <c:pt idx="163">
                  <c:v>1017.0119999999999</c:v>
                </c:pt>
                <c:pt idx="164">
                  <c:v>1022.78</c:v>
                </c:pt>
                <c:pt idx="165">
                  <c:v>1041.758</c:v>
                </c:pt>
                <c:pt idx="166">
                  <c:v>1041.9860000000001</c:v>
                </c:pt>
                <c:pt idx="167">
                  <c:v>1042.5309999999999</c:v>
                </c:pt>
                <c:pt idx="168">
                  <c:v>1055.546</c:v>
                </c:pt>
                <c:pt idx="169">
                  <c:v>1056.577</c:v>
                </c:pt>
                <c:pt idx="170">
                  <c:v>1062.8579999999999</c:v>
                </c:pt>
                <c:pt idx="171">
                  <c:v>1072.2570000000001</c:v>
                </c:pt>
                <c:pt idx="172">
                  <c:v>1074.1559999999999</c:v>
                </c:pt>
                <c:pt idx="173">
                  <c:v>1078.1659999999999</c:v>
                </c:pt>
                <c:pt idx="174">
                  <c:v>1095.5119999999999</c:v>
                </c:pt>
                <c:pt idx="175">
                  <c:v>1095.8789999999999</c:v>
                </c:pt>
                <c:pt idx="176">
                  <c:v>1097.713</c:v>
                </c:pt>
                <c:pt idx="177">
                  <c:v>1108.8510000000001</c:v>
                </c:pt>
                <c:pt idx="178">
                  <c:v>1112.067</c:v>
                </c:pt>
                <c:pt idx="179">
                  <c:v>1115.752</c:v>
                </c:pt>
                <c:pt idx="180">
                  <c:v>1127.6790000000001</c:v>
                </c:pt>
                <c:pt idx="181">
                  <c:v>1129.2570000000001</c:v>
                </c:pt>
                <c:pt idx="182">
                  <c:v>1131.1469999999999</c:v>
                </c:pt>
                <c:pt idx="183">
                  <c:v>1149.9880000000001</c:v>
                </c:pt>
                <c:pt idx="184">
                  <c:v>1150.1880000000001</c:v>
                </c:pt>
                <c:pt idx="185">
                  <c:v>1152.442</c:v>
                </c:pt>
                <c:pt idx="186">
                  <c:v>1161.1489999999999</c:v>
                </c:pt>
                <c:pt idx="187">
                  <c:v>1167.48</c:v>
                </c:pt>
                <c:pt idx="188">
                  <c:v>1168.566</c:v>
                </c:pt>
                <c:pt idx="189">
                  <c:v>1183.204</c:v>
                </c:pt>
                <c:pt idx="190">
                  <c:v>1183.8610000000001</c:v>
                </c:pt>
                <c:pt idx="191">
                  <c:v>1184.771</c:v>
                </c:pt>
                <c:pt idx="192">
                  <c:v>1203.7750000000001</c:v>
                </c:pt>
                <c:pt idx="193">
                  <c:v>1204.1310000000001</c:v>
                </c:pt>
                <c:pt idx="194">
                  <c:v>1206.932</c:v>
                </c:pt>
                <c:pt idx="195">
                  <c:v>1213.0440000000001</c:v>
                </c:pt>
                <c:pt idx="196">
                  <c:v>1221.4059999999999</c:v>
                </c:pt>
                <c:pt idx="197">
                  <c:v>1222.7739999999999</c:v>
                </c:pt>
                <c:pt idx="198">
                  <c:v>1236.6559999999999</c:v>
                </c:pt>
                <c:pt idx="199">
                  <c:v>1239.4690000000001</c:v>
                </c:pt>
                <c:pt idx="200">
                  <c:v>1242.714999999999</c:v>
                </c:pt>
                <c:pt idx="201">
                  <c:v>1258.1849999999999</c:v>
                </c:pt>
                <c:pt idx="202">
                  <c:v>1258.5820000000001</c:v>
                </c:pt>
                <c:pt idx="203">
                  <c:v>1262.6769999999999</c:v>
                </c:pt>
                <c:pt idx="204">
                  <c:v>1264.9359999999999</c:v>
                </c:pt>
                <c:pt idx="205">
                  <c:v>1274.2059999999999</c:v>
                </c:pt>
                <c:pt idx="206">
                  <c:v>1278.5029999999999</c:v>
                </c:pt>
                <c:pt idx="207">
                  <c:v>1289.8050000000001</c:v>
                </c:pt>
                <c:pt idx="208">
                  <c:v>1295.049</c:v>
                </c:pt>
                <c:pt idx="209">
                  <c:v>1298.196999999999</c:v>
                </c:pt>
                <c:pt idx="210">
                  <c:v>1311.886</c:v>
                </c:pt>
                <c:pt idx="211">
                  <c:v>1312.077</c:v>
                </c:pt>
                <c:pt idx="212">
                  <c:v>1316.857</c:v>
                </c:pt>
                <c:pt idx="213">
                  <c:v>1316.8969999999999</c:v>
                </c:pt>
                <c:pt idx="214">
                  <c:v>1327.0650000000001</c:v>
                </c:pt>
                <c:pt idx="215">
                  <c:v>1334.078</c:v>
                </c:pt>
                <c:pt idx="216">
                  <c:v>1343.328</c:v>
                </c:pt>
                <c:pt idx="217">
                  <c:v>1353.5630000000001</c:v>
                </c:pt>
                <c:pt idx="218">
                  <c:v>1355.049999999999</c:v>
                </c:pt>
                <c:pt idx="219">
                  <c:v>1365.2909999999999</c:v>
                </c:pt>
                <c:pt idx="220">
                  <c:v>1371.1030000000001</c:v>
                </c:pt>
                <c:pt idx="221">
                  <c:v>1371.922</c:v>
                </c:pt>
                <c:pt idx="222">
                  <c:v>1380.578</c:v>
                </c:pt>
                <c:pt idx="223">
                  <c:v>1390.499</c:v>
                </c:pt>
                <c:pt idx="224">
                  <c:v>1396.672</c:v>
                </c:pt>
                <c:pt idx="225">
                  <c:v>1400.73</c:v>
                </c:pt>
                <c:pt idx="226">
                  <c:v>1409.2739999999999</c:v>
                </c:pt>
                <c:pt idx="227">
                  <c:v>1411.327</c:v>
                </c:pt>
                <c:pt idx="228">
                  <c:v>1418.57</c:v>
                </c:pt>
                <c:pt idx="229">
                  <c:v>1423.5709999999999</c:v>
                </c:pt>
                <c:pt idx="230">
                  <c:v>1426.067</c:v>
                </c:pt>
                <c:pt idx="231">
                  <c:v>1433.5509999999999</c:v>
                </c:pt>
                <c:pt idx="232">
                  <c:v>1445.6969999999999</c:v>
                </c:pt>
                <c:pt idx="233">
                  <c:v>1449.5250000000001</c:v>
                </c:pt>
                <c:pt idx="234">
                  <c:v>1454.1659999999999</c:v>
                </c:pt>
                <c:pt idx="235">
                  <c:v>1464.6569999999999</c:v>
                </c:pt>
                <c:pt idx="236">
                  <c:v>1466.481</c:v>
                </c:pt>
                <c:pt idx="237">
                  <c:v>1472.396</c:v>
                </c:pt>
                <c:pt idx="238">
                  <c:v>1476.029</c:v>
                </c:pt>
                <c:pt idx="239">
                  <c:v>1481.104</c:v>
                </c:pt>
                <c:pt idx="240">
                  <c:v>1486.4649999999999</c:v>
                </c:pt>
                <c:pt idx="241">
                  <c:v>1500.1189999999999</c:v>
                </c:pt>
                <c:pt idx="242">
                  <c:v>1502.5119999999999</c:v>
                </c:pt>
                <c:pt idx="243">
                  <c:v>1507.4490000000001</c:v>
                </c:pt>
                <c:pt idx="244">
                  <c:v>1521.09</c:v>
                </c:pt>
                <c:pt idx="245">
                  <c:v>1525.5940000000001</c:v>
                </c:pt>
                <c:pt idx="246">
                  <c:v>1527.826</c:v>
                </c:pt>
                <c:pt idx="247">
                  <c:v>1529.7850000000001</c:v>
                </c:pt>
                <c:pt idx="248">
                  <c:v>1535.702</c:v>
                </c:pt>
                <c:pt idx="249">
                  <c:v>1539.453</c:v>
                </c:pt>
                <c:pt idx="250">
                  <c:v>1554.7650000000001</c:v>
                </c:pt>
                <c:pt idx="251">
                  <c:v>1555.56</c:v>
                </c:pt>
                <c:pt idx="252">
                  <c:v>1560.393</c:v>
                </c:pt>
                <c:pt idx="253">
                  <c:v>1578.941</c:v>
                </c:pt>
                <c:pt idx="254">
                  <c:v>1581.6189999999999</c:v>
                </c:pt>
                <c:pt idx="255">
                  <c:v>1582.057</c:v>
                </c:pt>
                <c:pt idx="256">
                  <c:v>1582.367</c:v>
                </c:pt>
                <c:pt idx="257">
                  <c:v>1590.6369999999999</c:v>
                </c:pt>
                <c:pt idx="258">
                  <c:v>1593.943</c:v>
                </c:pt>
                <c:pt idx="259">
                  <c:v>1608.1479999999999</c:v>
                </c:pt>
                <c:pt idx="260">
                  <c:v>1609.2860000000001</c:v>
                </c:pt>
                <c:pt idx="261">
                  <c:v>1613.3009999999999</c:v>
                </c:pt>
                <c:pt idx="262">
                  <c:v>1634.2470000000001</c:v>
                </c:pt>
                <c:pt idx="263">
                  <c:v>1634.453</c:v>
                </c:pt>
                <c:pt idx="264">
                  <c:v>1635.501</c:v>
                </c:pt>
                <c:pt idx="265">
                  <c:v>1637.64</c:v>
                </c:pt>
                <c:pt idx="266">
                  <c:v>1646.942</c:v>
                </c:pt>
                <c:pt idx="267">
                  <c:v>1648.1289999999999</c:v>
                </c:pt>
                <c:pt idx="268">
                  <c:v>1660.857</c:v>
                </c:pt>
                <c:pt idx="269">
                  <c:v>1663.2570000000001</c:v>
                </c:pt>
                <c:pt idx="270">
                  <c:v>1666.9079999999999</c:v>
                </c:pt>
                <c:pt idx="271">
                  <c:v>1686.402</c:v>
                </c:pt>
                <c:pt idx="272">
                  <c:v>1688.105</c:v>
                </c:pt>
                <c:pt idx="273">
                  <c:v>1692.096</c:v>
                </c:pt>
                <c:pt idx="274">
                  <c:v>1693.64</c:v>
                </c:pt>
                <c:pt idx="275">
                  <c:v>1700.982</c:v>
                </c:pt>
                <c:pt idx="276">
                  <c:v>1701.133</c:v>
                </c:pt>
                <c:pt idx="277">
                  <c:v>1713.537</c:v>
                </c:pt>
                <c:pt idx="278">
                  <c:v>1717.67</c:v>
                </c:pt>
                <c:pt idx="279">
                  <c:v>1720.1189999999999</c:v>
                </c:pt>
                <c:pt idx="280">
                  <c:v>1738.673</c:v>
                </c:pt>
                <c:pt idx="281">
                  <c:v>1741.722</c:v>
                </c:pt>
                <c:pt idx="282">
                  <c:v>1748.4749999999999</c:v>
                </c:pt>
                <c:pt idx="283">
                  <c:v>1748.867</c:v>
                </c:pt>
                <c:pt idx="284">
                  <c:v>1755.2349999999999</c:v>
                </c:pt>
                <c:pt idx="285">
                  <c:v>1755.2439999999999</c:v>
                </c:pt>
                <c:pt idx="286">
                  <c:v>1766.07</c:v>
                </c:pt>
                <c:pt idx="287">
                  <c:v>1771.6389999999999</c:v>
                </c:pt>
                <c:pt idx="288">
                  <c:v>1773.8879999999999</c:v>
                </c:pt>
                <c:pt idx="289">
                  <c:v>1791.0740000000001</c:v>
                </c:pt>
                <c:pt idx="290">
                  <c:v>1794.713</c:v>
                </c:pt>
                <c:pt idx="291">
                  <c:v>1805.02</c:v>
                </c:pt>
                <c:pt idx="292">
                  <c:v>1805.8710000000001</c:v>
                </c:pt>
                <c:pt idx="293">
                  <c:v>1808.5830000000001</c:v>
                </c:pt>
                <c:pt idx="294">
                  <c:v>1809.4469999999999</c:v>
                </c:pt>
                <c:pt idx="295">
                  <c:v>1819.8219999999999</c:v>
                </c:pt>
                <c:pt idx="296">
                  <c:v>1826.442</c:v>
                </c:pt>
                <c:pt idx="297">
                  <c:v>1828.6089999999999</c:v>
                </c:pt>
              </c:numCache>
            </c:numRef>
          </c:xVal>
          <c:yVal>
            <c:numRef>
              <c:f>intermediate_data!$AA$2:$AA$299</c:f>
              <c:numCache>
                <c:formatCode>General</c:formatCode>
                <c:ptCount val="298"/>
                <c:pt idx="0">
                  <c:v>8.5747373081966671E-2</c:v>
                </c:pt>
                <c:pt idx="1">
                  <c:v>8.5859484124851337E-2</c:v>
                </c:pt>
                <c:pt idx="2">
                  <c:v>8.7063120738042343E-2</c:v>
                </c:pt>
                <c:pt idx="3">
                  <c:v>8.8533021078084029E-2</c:v>
                </c:pt>
                <c:pt idx="4">
                  <c:v>8.9213472824480444E-2</c:v>
                </c:pt>
                <c:pt idx="5">
                  <c:v>9.088579588084178E-2</c:v>
                </c:pt>
                <c:pt idx="6">
                  <c:v>9.1053962445168501E-2</c:v>
                </c:pt>
                <c:pt idx="7">
                  <c:v>9.1662787691944247E-2</c:v>
                </c:pt>
                <c:pt idx="8">
                  <c:v>9.3587360594795665E-2</c:v>
                </c:pt>
                <c:pt idx="9">
                  <c:v>0.14362603232865156</c:v>
                </c:pt>
                <c:pt idx="10">
                  <c:v>0.1438852908213113</c:v>
                </c:pt>
                <c:pt idx="11">
                  <c:v>0.14610656485588169</c:v>
                </c:pt>
                <c:pt idx="12">
                  <c:v>0.14785106691666172</c:v>
                </c:pt>
                <c:pt idx="13">
                  <c:v>0.14832674033751658</c:v>
                </c:pt>
                <c:pt idx="14">
                  <c:v>0.14942858893132138</c:v>
                </c:pt>
                <c:pt idx="15">
                  <c:v>0.1503425849732416</c:v>
                </c:pt>
                <c:pt idx="16">
                  <c:v>0.15077761193550154</c:v>
                </c:pt>
                <c:pt idx="17">
                  <c:v>0.15256715466661674</c:v>
                </c:pt>
                <c:pt idx="18">
                  <c:v>0.19314652864536885</c:v>
                </c:pt>
                <c:pt idx="19">
                  <c:v>0.19323393682849455</c:v>
                </c:pt>
                <c:pt idx="20">
                  <c:v>0.19588446144033567</c:v>
                </c:pt>
                <c:pt idx="21">
                  <c:v>0.19806966601847797</c:v>
                </c:pt>
                <c:pt idx="22">
                  <c:v>0.19852555967948637</c:v>
                </c:pt>
                <c:pt idx="23">
                  <c:v>0.19936193601998342</c:v>
                </c:pt>
                <c:pt idx="24">
                  <c:v>0.20051966597491333</c:v>
                </c:pt>
                <c:pt idx="25">
                  <c:v>0.20145544770014112</c:v>
                </c:pt>
                <c:pt idx="26">
                  <c:v>0.2024203654864114</c:v>
                </c:pt>
                <c:pt idx="27">
                  <c:v>0.23814543505449359</c:v>
                </c:pt>
                <c:pt idx="28">
                  <c:v>0.23838571706382883</c:v>
                </c:pt>
                <c:pt idx="29">
                  <c:v>0.24148658963488856</c:v>
                </c:pt>
                <c:pt idx="30">
                  <c:v>0.24493601357917383</c:v>
                </c:pt>
                <c:pt idx="31">
                  <c:v>0.24663413307597493</c:v>
                </c:pt>
                <c:pt idx="32">
                  <c:v>0.24696653901774202</c:v>
                </c:pt>
                <c:pt idx="33">
                  <c:v>0.24833985042287399</c:v>
                </c:pt>
                <c:pt idx="34">
                  <c:v>0.25066194335893499</c:v>
                </c:pt>
                <c:pt idx="35">
                  <c:v>0.25080440304826457</c:v>
                </c:pt>
                <c:pt idx="36">
                  <c:v>0.29641279377982066</c:v>
                </c:pt>
                <c:pt idx="37">
                  <c:v>0.2965199511351555</c:v>
                </c:pt>
                <c:pt idx="38">
                  <c:v>0.3021153725571164</c:v>
                </c:pt>
                <c:pt idx="39">
                  <c:v>0.30808649024898749</c:v>
                </c:pt>
                <c:pt idx="40">
                  <c:v>0.31050075837521351</c:v>
                </c:pt>
                <c:pt idx="41">
                  <c:v>0.31134768879810437</c:v>
                </c:pt>
                <c:pt idx="42">
                  <c:v>0.3134908359048092</c:v>
                </c:pt>
                <c:pt idx="43">
                  <c:v>0.31806890797732112</c:v>
                </c:pt>
                <c:pt idx="44">
                  <c:v>0.31863867357391484</c:v>
                </c:pt>
                <c:pt idx="45">
                  <c:v>0.3703405410137437</c:v>
                </c:pt>
                <c:pt idx="46">
                  <c:v>0.37105827278839065</c:v>
                </c:pt>
                <c:pt idx="47">
                  <c:v>0.37912335101083983</c:v>
                </c:pt>
                <c:pt idx="48">
                  <c:v>0.38765487965287093</c:v>
                </c:pt>
                <c:pt idx="49">
                  <c:v>0.39045057281281625</c:v>
                </c:pt>
                <c:pt idx="50">
                  <c:v>0.39124203384733214</c:v>
                </c:pt>
                <c:pt idx="51">
                  <c:v>0.39396399774740942</c:v>
                </c:pt>
                <c:pt idx="52">
                  <c:v>0.40177779461479268</c:v>
                </c:pt>
                <c:pt idx="53">
                  <c:v>0.40216750641695942</c:v>
                </c:pt>
                <c:pt idx="54">
                  <c:v>0.44358520615820218</c:v>
                </c:pt>
                <c:pt idx="55">
                  <c:v>0.44450089522489744</c:v>
                </c:pt>
                <c:pt idx="56">
                  <c:v>0.45363907107880674</c:v>
                </c:pt>
                <c:pt idx="57">
                  <c:v>0.46258608848521732</c:v>
                </c:pt>
                <c:pt idx="58">
                  <c:v>0.46451638777325766</c:v>
                </c:pt>
                <c:pt idx="59">
                  <c:v>0.46466343273287247</c:v>
                </c:pt>
                <c:pt idx="60">
                  <c:v>0.46900526935860309</c:v>
                </c:pt>
                <c:pt idx="61">
                  <c:v>0.47674651809616808</c:v>
                </c:pt>
                <c:pt idx="62">
                  <c:v>0.47709407890980415</c:v>
                </c:pt>
                <c:pt idx="63">
                  <c:v>0.51794079974733798</c:v>
                </c:pt>
                <c:pt idx="64">
                  <c:v>0.51968451158390128</c:v>
                </c:pt>
                <c:pt idx="65">
                  <c:v>0.53138956290128903</c:v>
                </c:pt>
                <c:pt idx="66">
                  <c:v>0.54325032900778858</c:v>
                </c:pt>
                <c:pt idx="67">
                  <c:v>0.5440906012660145</c:v>
                </c:pt>
                <c:pt idx="68">
                  <c:v>0.54530987744490922</c:v>
                </c:pt>
                <c:pt idx="69">
                  <c:v>0.55044993449304513</c:v>
                </c:pt>
                <c:pt idx="70">
                  <c:v>0.56016741873809028</c:v>
                </c:pt>
                <c:pt idx="71">
                  <c:v>0.56130443050009404</c:v>
                </c:pt>
                <c:pt idx="72">
                  <c:v>0.59484045448957623</c:v>
                </c:pt>
                <c:pt idx="73">
                  <c:v>0.59696711152629334</c:v>
                </c:pt>
                <c:pt idx="74">
                  <c:v>0.60864012484188201</c:v>
                </c:pt>
                <c:pt idx="75">
                  <c:v>0.62092543707001369</c:v>
                </c:pt>
                <c:pt idx="76">
                  <c:v>0.62113784054717058</c:v>
                </c:pt>
                <c:pt idx="77">
                  <c:v>0.62270333284176971</c:v>
                </c:pt>
                <c:pt idx="78">
                  <c:v>0.62751256712701675</c:v>
                </c:pt>
                <c:pt idx="79">
                  <c:v>0.63706547906876487</c:v>
                </c:pt>
                <c:pt idx="80">
                  <c:v>0.63925113707135672</c:v>
                </c:pt>
                <c:pt idx="81">
                  <c:v>0.67007266513626895</c:v>
                </c:pt>
                <c:pt idx="82">
                  <c:v>0.67277376434585356</c:v>
                </c:pt>
                <c:pt idx="83">
                  <c:v>0.68754620454684101</c:v>
                </c:pt>
                <c:pt idx="84">
                  <c:v>0.70428980405196207</c:v>
                </c:pt>
                <c:pt idx="85">
                  <c:v>0.70554388582784</c:v>
                </c:pt>
                <c:pt idx="86">
                  <c:v>0.70661950212022973</c:v>
                </c:pt>
                <c:pt idx="87">
                  <c:v>0.71433049724473108</c:v>
                </c:pt>
                <c:pt idx="88">
                  <c:v>0.7272845188706949</c:v>
                </c:pt>
                <c:pt idx="89">
                  <c:v>0.7324905660377361</c:v>
                </c:pt>
                <c:pt idx="90">
                  <c:v>0.74476128753510551</c:v>
                </c:pt>
                <c:pt idx="91">
                  <c:v>0.74656909811374028</c:v>
                </c:pt>
                <c:pt idx="92">
                  <c:v>0.7562114293411053</c:v>
                </c:pt>
                <c:pt idx="93">
                  <c:v>0.76836505846634218</c:v>
                </c:pt>
                <c:pt idx="94">
                  <c:v>0.76872743035164603</c:v>
                </c:pt>
                <c:pt idx="95">
                  <c:v>0.76977608195269021</c:v>
                </c:pt>
                <c:pt idx="96">
                  <c:v>0.77450513627709228</c:v>
                </c:pt>
                <c:pt idx="97">
                  <c:v>0.78326380645454385</c:v>
                </c:pt>
                <c:pt idx="98">
                  <c:v>0.78663649673898561</c:v>
                </c:pt>
                <c:pt idx="99">
                  <c:v>0.79763386174682971</c:v>
                </c:pt>
                <c:pt idx="100">
                  <c:v>0.799838228791387</c:v>
                </c:pt>
                <c:pt idx="101">
                  <c:v>0.80948518039275008</c:v>
                </c:pt>
                <c:pt idx="102">
                  <c:v>0.82265595178693829</c:v>
                </c:pt>
                <c:pt idx="103">
                  <c:v>0.82278265092555536</c:v>
                </c:pt>
                <c:pt idx="104">
                  <c:v>0.8241377378065593</c:v>
                </c:pt>
                <c:pt idx="105">
                  <c:v>0.82978970719336331</c:v>
                </c:pt>
                <c:pt idx="106">
                  <c:v>0.83812710441666383</c:v>
                </c:pt>
                <c:pt idx="107">
                  <c:v>0.84141237348755737</c:v>
                </c:pt>
                <c:pt idx="108">
                  <c:v>0.85287940558761655</c:v>
                </c:pt>
                <c:pt idx="109">
                  <c:v>0.85621734808114525</c:v>
                </c:pt>
                <c:pt idx="110">
                  <c:v>0.86879352255844644</c:v>
                </c:pt>
                <c:pt idx="111">
                  <c:v>0.88704570285244522</c:v>
                </c:pt>
                <c:pt idx="112">
                  <c:v>0.88720357851092224</c:v>
                </c:pt>
                <c:pt idx="113">
                  <c:v>0.8890379433046629</c:v>
                </c:pt>
                <c:pt idx="114">
                  <c:v>0.89702569983478142</c:v>
                </c:pt>
                <c:pt idx="115">
                  <c:v>0.90904680354457668</c:v>
                </c:pt>
                <c:pt idx="116">
                  <c:v>0.91342973253945559</c:v>
                </c:pt>
                <c:pt idx="117">
                  <c:v>0.9201673348439936</c:v>
                </c:pt>
                <c:pt idx="118">
                  <c:v>0.92445267951250365</c:v>
                </c:pt>
                <c:pt idx="119">
                  <c:v>0.94160584035963169</c:v>
                </c:pt>
                <c:pt idx="120">
                  <c:v>0.96888325422368027</c:v>
                </c:pt>
                <c:pt idx="121">
                  <c:v>0.96906335315515335</c:v>
                </c:pt>
                <c:pt idx="122">
                  <c:v>0.97137602541537582</c:v>
                </c:pt>
                <c:pt idx="123">
                  <c:v>0.98323730737884496</c:v>
                </c:pt>
                <c:pt idx="124">
                  <c:v>1.0003248246901997</c:v>
                </c:pt>
                <c:pt idx="125">
                  <c:v>1.0082272964964254</c:v>
                </c:pt>
                <c:pt idx="126">
                  <c:v>1.0089646920286413</c:v>
                </c:pt>
                <c:pt idx="127">
                  <c:v>1.0125773569103096</c:v>
                </c:pt>
                <c:pt idx="128">
                  <c:v>1.023306739622214</c:v>
                </c:pt>
                <c:pt idx="129">
                  <c:v>1.0418625084262789</c:v>
                </c:pt>
                <c:pt idx="130">
                  <c:v>1.0426512630472615</c:v>
                </c:pt>
                <c:pt idx="131">
                  <c:v>1.0427472211629158</c:v>
                </c:pt>
                <c:pt idx="132">
                  <c:v>1.0509669300807829</c:v>
                </c:pt>
                <c:pt idx="133">
                  <c:v>1.0629184606612956</c:v>
                </c:pt>
                <c:pt idx="134">
                  <c:v>1.063986653750943</c:v>
                </c:pt>
                <c:pt idx="135">
                  <c:v>1.068003736678552</c:v>
                </c:pt>
                <c:pt idx="136">
                  <c:v>1.0687157202847022</c:v>
                </c:pt>
                <c:pt idx="137">
                  <c:v>1.07832618210535</c:v>
                </c:pt>
                <c:pt idx="138">
                  <c:v>1.0936886989044243</c:v>
                </c:pt>
                <c:pt idx="139">
                  <c:v>1.0944156069511486</c:v>
                </c:pt>
                <c:pt idx="140">
                  <c:v>1.0944559907315217</c:v>
                </c:pt>
                <c:pt idx="141">
                  <c:v>1.102140321810003</c:v>
                </c:pt>
                <c:pt idx="142">
                  <c:v>1.1109211603164511</c:v>
                </c:pt>
                <c:pt idx="143">
                  <c:v>1.1133324983037589</c:v>
                </c:pt>
                <c:pt idx="144">
                  <c:v>1.114814449412572</c:v>
                </c:pt>
                <c:pt idx="145">
                  <c:v>1.115906499429876</c:v>
                </c:pt>
                <c:pt idx="146">
                  <c:v>1.1242885883740747</c:v>
                </c:pt>
                <c:pt idx="147">
                  <c:v>1.1403161453464925</c:v>
                </c:pt>
                <c:pt idx="148">
                  <c:v>1.140830569577723</c:v>
                </c:pt>
                <c:pt idx="149">
                  <c:v>1.140982735400744</c:v>
                </c:pt>
                <c:pt idx="150">
                  <c:v>1.1497806866226306</c:v>
                </c:pt>
                <c:pt idx="151">
                  <c:v>1.1561275576839378</c:v>
                </c:pt>
                <c:pt idx="152">
                  <c:v>1.1604763372130265</c:v>
                </c:pt>
                <c:pt idx="153">
                  <c:v>1.1626651507902679</c:v>
                </c:pt>
                <c:pt idx="154">
                  <c:v>1.1638866674283115</c:v>
                </c:pt>
                <c:pt idx="155">
                  <c:v>1.1748793361210303</c:v>
                </c:pt>
                <c:pt idx="156">
                  <c:v>1.2014464567051135</c:v>
                </c:pt>
                <c:pt idx="157">
                  <c:v>1.2026644693953905</c:v>
                </c:pt>
                <c:pt idx="158">
                  <c:v>1.2026783577955058</c:v>
                </c:pt>
                <c:pt idx="159">
                  <c:v>1.2190513926936077</c:v>
                </c:pt>
                <c:pt idx="160">
                  <c:v>1.2248720211827013</c:v>
                </c:pt>
                <c:pt idx="161">
                  <c:v>1.233245673943113</c:v>
                </c:pt>
                <c:pt idx="162">
                  <c:v>1.2406952767404746</c:v>
                </c:pt>
                <c:pt idx="163">
                  <c:v>1.2435568981339848</c:v>
                </c:pt>
                <c:pt idx="164">
                  <c:v>1.2528972894846184</c:v>
                </c:pt>
                <c:pt idx="165">
                  <c:v>1.2836292497918791</c:v>
                </c:pt>
                <c:pt idx="166">
                  <c:v>1.2839984608230743</c:v>
                </c:pt>
                <c:pt idx="167">
                  <c:v>1.284881004735368</c:v>
                </c:pt>
                <c:pt idx="168">
                  <c:v>1.3059568010995264</c:v>
                </c:pt>
                <c:pt idx="169">
                  <c:v>1.3076263474730503</c:v>
                </c:pt>
                <c:pt idx="170">
                  <c:v>1.3178663811274447</c:v>
                </c:pt>
                <c:pt idx="171">
                  <c:v>1.3331897494314724</c:v>
                </c:pt>
                <c:pt idx="172">
                  <c:v>1.3362857252171239</c:v>
                </c:pt>
                <c:pt idx="173">
                  <c:v>1.3402214522235809</c:v>
                </c:pt>
                <c:pt idx="174">
                  <c:v>1.3572461705911607</c:v>
                </c:pt>
                <c:pt idx="175">
                  <c:v>1.3576063730378856</c:v>
                </c:pt>
                <c:pt idx="176">
                  <c:v>1.3594064037934572</c:v>
                </c:pt>
                <c:pt idx="177">
                  <c:v>1.3703381063864555</c:v>
                </c:pt>
                <c:pt idx="178">
                  <c:v>1.3734663068525172</c:v>
                </c:pt>
                <c:pt idx="179">
                  <c:v>1.3770507032198793</c:v>
                </c:pt>
                <c:pt idx="180">
                  <c:v>1.3886520859806737</c:v>
                </c:pt>
                <c:pt idx="181">
                  <c:v>1.3901870052392056</c:v>
                </c:pt>
                <c:pt idx="182">
                  <c:v>1.3922805885250575</c:v>
                </c:pt>
                <c:pt idx="183">
                  <c:v>1.4131510661381625</c:v>
                </c:pt>
                <c:pt idx="184">
                  <c:v>1.4133726093430177</c:v>
                </c:pt>
                <c:pt idx="185">
                  <c:v>1.4158694012617019</c:v>
                </c:pt>
                <c:pt idx="186">
                  <c:v>1.4255142846849438</c:v>
                </c:pt>
                <c:pt idx="187">
                  <c:v>1.4334673190542162</c:v>
                </c:pt>
                <c:pt idx="188">
                  <c:v>1.4348315577724335</c:v>
                </c:pt>
                <c:pt idx="189">
                  <c:v>1.4532198877514979</c:v>
                </c:pt>
                <c:pt idx="190">
                  <c:v>1.4540452144898701</c:v>
                </c:pt>
                <c:pt idx="191">
                  <c:v>1.4551883611137875</c:v>
                </c:pt>
                <c:pt idx="192">
                  <c:v>1.4934175089923727</c:v>
                </c:pt>
                <c:pt idx="193">
                  <c:v>1.494133651733101</c:v>
                </c:pt>
                <c:pt idx="194">
                  <c:v>1.4997682467240416</c:v>
                </c:pt>
                <c:pt idx="195">
                  <c:v>1.5120633715311307</c:v>
                </c:pt>
                <c:pt idx="196">
                  <c:v>1.5288939948760252</c:v>
                </c:pt>
                <c:pt idx="197">
                  <c:v>1.5316474381594283</c:v>
                </c:pt>
                <c:pt idx="198">
                  <c:v>1.5595884466829659</c:v>
                </c:pt>
                <c:pt idx="199">
                  <c:v>1.5652503150720136</c:v>
                </c:pt>
                <c:pt idx="200">
                  <c:v>1.5717837046172782</c:v>
                </c:pt>
                <c:pt idx="201">
                  <c:v>1.5910737053814969</c:v>
                </c:pt>
                <c:pt idx="202">
                  <c:v>1.5915687364289042</c:v>
                </c:pt>
                <c:pt idx="203">
                  <c:v>1.5966749131017863</c:v>
                </c:pt>
                <c:pt idx="204">
                  <c:v>1.5994917270466047</c:v>
                </c:pt>
                <c:pt idx="205">
                  <c:v>1.6108135445612568</c:v>
                </c:pt>
                <c:pt idx="206">
                  <c:v>1.616061640554836</c:v>
                </c:pt>
                <c:pt idx="207">
                  <c:v>1.6298652200101316</c:v>
                </c:pt>
                <c:pt idx="208">
                  <c:v>1.6362699245459318</c:v>
                </c:pt>
                <c:pt idx="209">
                  <c:v>1.640114701410667</c:v>
                </c:pt>
                <c:pt idx="210">
                  <c:v>1.6627834363796552</c:v>
                </c:pt>
                <c:pt idx="211">
                  <c:v>1.663099728904978</c:v>
                </c:pt>
                <c:pt idx="212">
                  <c:v>1.6710153219469639</c:v>
                </c:pt>
                <c:pt idx="213">
                  <c:v>1.6710815612192782</c:v>
                </c:pt>
                <c:pt idx="214">
                  <c:v>1.6798150694073719</c:v>
                </c:pt>
                <c:pt idx="215">
                  <c:v>1.68583868200799</c:v>
                </c:pt>
                <c:pt idx="216">
                  <c:v>1.6937837007668293</c:v>
                </c:pt>
                <c:pt idx="217">
                  <c:v>1.7025747566583647</c:v>
                </c:pt>
                <c:pt idx="218">
                  <c:v>1.7038519721064027</c:v>
                </c:pt>
                <c:pt idx="219">
                  <c:v>1.7108045228321416</c:v>
                </c:pt>
                <c:pt idx="220">
                  <c:v>1.7147502532117898</c:v>
                </c:pt>
                <c:pt idx="221">
                  <c:v>1.7158067530294403</c:v>
                </c:pt>
                <c:pt idx="222">
                  <c:v>1.7269728854123123</c:v>
                </c:pt>
                <c:pt idx="223">
                  <c:v>1.7397708520678705</c:v>
                </c:pt>
                <c:pt idx="224">
                  <c:v>1.7477339453210448</c:v>
                </c:pt>
                <c:pt idx="225">
                  <c:v>1.7529687148693007</c:v>
                </c:pt>
                <c:pt idx="226">
                  <c:v>1.763990368644631</c:v>
                </c:pt>
                <c:pt idx="227">
                  <c:v>1.7666387131203791</c:v>
                </c:pt>
                <c:pt idx="228">
                  <c:v>1.7733615561154323</c:v>
                </c:pt>
                <c:pt idx="229">
                  <c:v>1.7780034086376304</c:v>
                </c:pt>
                <c:pt idx="230">
                  <c:v>1.7803292266270674</c:v>
                </c:pt>
                <c:pt idx="231">
                  <c:v>1.7873029533229641</c:v>
                </c:pt>
                <c:pt idx="232">
                  <c:v>1.7986208160231669</c:v>
                </c:pt>
                <c:pt idx="233">
                  <c:v>1.8021878157281215</c:v>
                </c:pt>
                <c:pt idx="234">
                  <c:v>1.806512383552235</c:v>
                </c:pt>
                <c:pt idx="235">
                  <c:v>1.8162880872890881</c:v>
                </c:pt>
                <c:pt idx="236">
                  <c:v>1.8179877235121431</c:v>
                </c:pt>
                <c:pt idx="237">
                  <c:v>1.8306820036916989</c:v>
                </c:pt>
                <c:pt idx="238">
                  <c:v>1.8384788456007932</c:v>
                </c:pt>
                <c:pt idx="239">
                  <c:v>1.8470343919268331</c:v>
                </c:pt>
                <c:pt idx="240">
                  <c:v>1.8560720833266089</c:v>
                </c:pt>
                <c:pt idx="241">
                  <c:v>1.8790902960430031</c:v>
                </c:pt>
                <c:pt idx="242">
                  <c:v>1.8831244679362484</c:v>
                </c:pt>
                <c:pt idx="243">
                  <c:v>1.8914473708350918</c:v>
                </c:pt>
                <c:pt idx="244">
                  <c:v>1.9144436678663155</c:v>
                </c:pt>
                <c:pt idx="245">
                  <c:v>1.9220366098668045</c:v>
                </c:pt>
                <c:pt idx="246">
                  <c:v>1.9240272444801398</c:v>
                </c:pt>
                <c:pt idx="247">
                  <c:v>1.9257744009351221</c:v>
                </c:pt>
                <c:pt idx="248">
                  <c:v>1.9335091131892455</c:v>
                </c:pt>
                <c:pt idx="249">
                  <c:v>1.9384124266361304</c:v>
                </c:pt>
                <c:pt idx="250">
                  <c:v>1.9584282985366137</c:v>
                </c:pt>
                <c:pt idx="251">
                  <c:v>1.9594675238605994</c:v>
                </c:pt>
                <c:pt idx="252">
                  <c:v>1.9657852295094393</c:v>
                </c:pt>
                <c:pt idx="253">
                  <c:v>1.9900312059991307</c:v>
                </c:pt>
                <c:pt idx="254">
                  <c:v>1.9935318920590532</c:v>
                </c:pt>
                <c:pt idx="255">
                  <c:v>1.9941044463884943</c:v>
                </c:pt>
                <c:pt idx="256">
                  <c:v>1.9944227551589435</c:v>
                </c:pt>
                <c:pt idx="257">
                  <c:v>2.0050425779718744</c:v>
                </c:pt>
                <c:pt idx="258">
                  <c:v>2.0092879388206661</c:v>
                </c:pt>
                <c:pt idx="259">
                  <c:v>2.0275291217780591</c:v>
                </c:pt>
                <c:pt idx="260">
                  <c:v>2.0289904710357511</c:v>
                </c:pt>
                <c:pt idx="261">
                  <c:v>2.0341462858596842</c:v>
                </c:pt>
                <c:pt idx="262">
                  <c:v>2.0610438443408867</c:v>
                </c:pt>
                <c:pt idx="263">
                  <c:v>2.0612874403116379</c:v>
                </c:pt>
                <c:pt idx="264">
                  <c:v>2.062526705250221</c:v>
                </c:pt>
                <c:pt idx="265">
                  <c:v>2.0650560828300186</c:v>
                </c:pt>
                <c:pt idx="266">
                  <c:v>2.0773019262637398</c:v>
                </c:pt>
                <c:pt idx="267">
                  <c:v>2.0788645811934146</c:v>
                </c:pt>
                <c:pt idx="268">
                  <c:v>2.0956206653929819</c:v>
                </c:pt>
                <c:pt idx="269">
                  <c:v>2.0987802035827201</c:v>
                </c:pt>
                <c:pt idx="270">
                  <c:v>2.1035866510538561</c:v>
                </c:pt>
                <c:pt idx="271">
                  <c:v>2.1292499999999919</c:v>
                </c:pt>
                <c:pt idx="272">
                  <c:v>2.1314194927124213</c:v>
                </c:pt>
                <c:pt idx="273">
                  <c:v>2.1365037237255216</c:v>
                </c:pt>
                <c:pt idx="274">
                  <c:v>2.1384706625088441</c:v>
                </c:pt>
                <c:pt idx="275">
                  <c:v>2.1459887356886078</c:v>
                </c:pt>
                <c:pt idx="276">
                  <c:v>2.1461433569158146</c:v>
                </c:pt>
                <c:pt idx="277">
                  <c:v>2.1588448251427046</c:v>
                </c:pt>
                <c:pt idx="278">
                  <c:v>2.1630769412489421</c:v>
                </c:pt>
                <c:pt idx="279">
                  <c:v>2.165584672278257</c:v>
                </c:pt>
                <c:pt idx="280">
                  <c:v>2.1845836275734634</c:v>
                </c:pt>
                <c:pt idx="281">
                  <c:v>2.1875610369687912</c:v>
                </c:pt>
                <c:pt idx="282">
                  <c:v>2.1941554763412547</c:v>
                </c:pt>
                <c:pt idx="283">
                  <c:v>2.194538272170373</c:v>
                </c:pt>
                <c:pt idx="284">
                  <c:v>2.2043512117147195</c:v>
                </c:pt>
                <c:pt idx="285">
                  <c:v>2.2043650805049104</c:v>
                </c:pt>
                <c:pt idx="286">
                  <c:v>2.2210476941209762</c:v>
                </c:pt>
                <c:pt idx="287">
                  <c:v>2.2296293932922246</c:v>
                </c:pt>
                <c:pt idx="288">
                  <c:v>2.2330950498618307</c:v>
                </c:pt>
                <c:pt idx="289">
                  <c:v>2.259578275208753</c:v>
                </c:pt>
                <c:pt idx="290">
                  <c:v>2.2648198726363056</c:v>
                </c:pt>
                <c:pt idx="291">
                  <c:v>2.2796660239651843</c:v>
                </c:pt>
                <c:pt idx="292">
                  <c:v>2.2808918001154552</c:v>
                </c:pt>
                <c:pt idx="293">
                  <c:v>2.2843171713418116</c:v>
                </c:pt>
                <c:pt idx="294">
                  <c:v>2.2854084400510928</c:v>
                </c:pt>
                <c:pt idx="295">
                  <c:v>2.2985125058598896</c:v>
                </c:pt>
                <c:pt idx="296">
                  <c:v>2.3068738471277683</c:v>
                </c:pt>
                <c:pt idx="297">
                  <c:v>2.3096108601983829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E27-43D6-9656-5E17AC81F88D}"/>
            </c:ext>
          </c:extLst>
        </c:ser>
        <c:ser>
          <c:idx val="8"/>
          <c:order val="8"/>
          <c:tx>
            <c:strRef>
              <c:f>race_data!$AO$1</c:f>
              <c:strCache>
                <c:ptCount val="1"/>
                <c:pt idx="0">
                  <c:v>DieterV</c:v>
                </c:pt>
              </c:strCache>
            </c:strRef>
          </c:tx>
          <c:marker>
            <c:symbol val="none"/>
          </c:marker>
          <c:xVal>
            <c:numRef>
              <c:f>intermediate_data!$A$2:$A$299</c:f>
              <c:numCache>
                <c:formatCode>General</c:formatCode>
                <c:ptCount val="298"/>
                <c:pt idx="0">
                  <c:v>53.683999999999997</c:v>
                </c:pt>
                <c:pt idx="1">
                  <c:v>53.756</c:v>
                </c:pt>
                <c:pt idx="2">
                  <c:v>54.529000000000003</c:v>
                </c:pt>
                <c:pt idx="3">
                  <c:v>55.472999999999999</c:v>
                </c:pt>
                <c:pt idx="4">
                  <c:v>55.91</c:v>
                </c:pt>
                <c:pt idx="5">
                  <c:v>56.984000000000002</c:v>
                </c:pt>
                <c:pt idx="6">
                  <c:v>57.091999999999999</c:v>
                </c:pt>
                <c:pt idx="7">
                  <c:v>57.482999999999997</c:v>
                </c:pt>
                <c:pt idx="8">
                  <c:v>58.719000000000001</c:v>
                </c:pt>
                <c:pt idx="9">
                  <c:v>107.248</c:v>
                </c:pt>
                <c:pt idx="10">
                  <c:v>107.48399999999999</c:v>
                </c:pt>
                <c:pt idx="11">
                  <c:v>109.506</c:v>
                </c:pt>
                <c:pt idx="12">
                  <c:v>111.09399999999999</c:v>
                </c:pt>
                <c:pt idx="13">
                  <c:v>111.527</c:v>
                </c:pt>
                <c:pt idx="14">
                  <c:v>112.53</c:v>
                </c:pt>
                <c:pt idx="15">
                  <c:v>113.36199999999999</c:v>
                </c:pt>
                <c:pt idx="16">
                  <c:v>113.758</c:v>
                </c:pt>
                <c:pt idx="17">
                  <c:v>115.387</c:v>
                </c:pt>
                <c:pt idx="18">
                  <c:v>160.595</c:v>
                </c:pt>
                <c:pt idx="19">
                  <c:v>160.697</c:v>
                </c:pt>
                <c:pt idx="20">
                  <c:v>163.79</c:v>
                </c:pt>
                <c:pt idx="21">
                  <c:v>166.34</c:v>
                </c:pt>
                <c:pt idx="22">
                  <c:v>166.87200000000001</c:v>
                </c:pt>
                <c:pt idx="23">
                  <c:v>167.84800000000001</c:v>
                </c:pt>
                <c:pt idx="24">
                  <c:v>169.19900000000001</c:v>
                </c:pt>
                <c:pt idx="25">
                  <c:v>170.291</c:v>
                </c:pt>
                <c:pt idx="26">
                  <c:v>171.417</c:v>
                </c:pt>
                <c:pt idx="27">
                  <c:v>214.05799999999999</c:v>
                </c:pt>
                <c:pt idx="28">
                  <c:v>214.31100000000001</c:v>
                </c:pt>
                <c:pt idx="29">
                  <c:v>217.57599999999999</c:v>
                </c:pt>
                <c:pt idx="30">
                  <c:v>221.208</c:v>
                </c:pt>
                <c:pt idx="31">
                  <c:v>222.99600000000001</c:v>
                </c:pt>
                <c:pt idx="32">
                  <c:v>223.346</c:v>
                </c:pt>
                <c:pt idx="33">
                  <c:v>224.792</c:v>
                </c:pt>
                <c:pt idx="34">
                  <c:v>227.23699999999999</c:v>
                </c:pt>
                <c:pt idx="35">
                  <c:v>227.387</c:v>
                </c:pt>
                <c:pt idx="36">
                  <c:v>267.20299999999997</c:v>
                </c:pt>
                <c:pt idx="37">
                  <c:v>267.286</c:v>
                </c:pt>
                <c:pt idx="38">
                  <c:v>271.62</c:v>
                </c:pt>
                <c:pt idx="39">
                  <c:v>276.245</c:v>
                </c:pt>
                <c:pt idx="40">
                  <c:v>278.11500000000001</c:v>
                </c:pt>
                <c:pt idx="41">
                  <c:v>278.77100000000002</c:v>
                </c:pt>
                <c:pt idx="42">
                  <c:v>280.43099999999998</c:v>
                </c:pt>
                <c:pt idx="43">
                  <c:v>283.97699999999998</c:v>
                </c:pt>
                <c:pt idx="44">
                  <c:v>284.36900000000003</c:v>
                </c:pt>
                <c:pt idx="45">
                  <c:v>319.94</c:v>
                </c:pt>
                <c:pt idx="46">
                  <c:v>320.41699999999997</c:v>
                </c:pt>
                <c:pt idx="47">
                  <c:v>325.77699999999999</c:v>
                </c:pt>
                <c:pt idx="48">
                  <c:v>331.447</c:v>
                </c:pt>
                <c:pt idx="49">
                  <c:v>333.30500000000001</c:v>
                </c:pt>
                <c:pt idx="50">
                  <c:v>333.83100000000002</c:v>
                </c:pt>
                <c:pt idx="51">
                  <c:v>335.64</c:v>
                </c:pt>
                <c:pt idx="52">
                  <c:v>340.83300000000003</c:v>
                </c:pt>
                <c:pt idx="53">
                  <c:v>341.09199999999998</c:v>
                </c:pt>
                <c:pt idx="54">
                  <c:v>372.53500000000003</c:v>
                </c:pt>
                <c:pt idx="55">
                  <c:v>373.22</c:v>
                </c:pt>
                <c:pt idx="56">
                  <c:v>380.05599999999998</c:v>
                </c:pt>
                <c:pt idx="57">
                  <c:v>386.74900000000002</c:v>
                </c:pt>
                <c:pt idx="58">
                  <c:v>388.19299999999998</c:v>
                </c:pt>
                <c:pt idx="59">
                  <c:v>388.30299999999988</c:v>
                </c:pt>
                <c:pt idx="60">
                  <c:v>391.55099999999999</c:v>
                </c:pt>
                <c:pt idx="61">
                  <c:v>397.34199999999998</c:v>
                </c:pt>
                <c:pt idx="62">
                  <c:v>397.60199999999998</c:v>
                </c:pt>
                <c:pt idx="63">
                  <c:v>425.07600000000002</c:v>
                </c:pt>
                <c:pt idx="64">
                  <c:v>426.26299999999998</c:v>
                </c:pt>
                <c:pt idx="65">
                  <c:v>434.23099999999999</c:v>
                </c:pt>
                <c:pt idx="66">
                  <c:v>442.30500000000001</c:v>
                </c:pt>
                <c:pt idx="67">
                  <c:v>442.87700000000001</c:v>
                </c:pt>
                <c:pt idx="68">
                  <c:v>443.70699999999999</c:v>
                </c:pt>
                <c:pt idx="69">
                  <c:v>447.20600000000002</c:v>
                </c:pt>
                <c:pt idx="70">
                  <c:v>453.82100000000003</c:v>
                </c:pt>
                <c:pt idx="71">
                  <c:v>454.59500000000003</c:v>
                </c:pt>
                <c:pt idx="72">
                  <c:v>477.66599999999988</c:v>
                </c:pt>
                <c:pt idx="73">
                  <c:v>479.28800000000001</c:v>
                </c:pt>
                <c:pt idx="74">
                  <c:v>488.19099999999997</c:v>
                </c:pt>
                <c:pt idx="75">
                  <c:v>497.56099999999998</c:v>
                </c:pt>
                <c:pt idx="76">
                  <c:v>497.72300000000001</c:v>
                </c:pt>
                <c:pt idx="77">
                  <c:v>498.91699999999997</c:v>
                </c:pt>
                <c:pt idx="78">
                  <c:v>502.58499999999998</c:v>
                </c:pt>
                <c:pt idx="79">
                  <c:v>509.87099999999998</c:v>
                </c:pt>
                <c:pt idx="80">
                  <c:v>511.53800000000001</c:v>
                </c:pt>
                <c:pt idx="81">
                  <c:v>530.65299999999991</c:v>
                </c:pt>
                <c:pt idx="82">
                  <c:v>532.33299999999997</c:v>
                </c:pt>
                <c:pt idx="83">
                  <c:v>541.52099999999996</c:v>
                </c:pt>
                <c:pt idx="84">
                  <c:v>551.93500000000006</c:v>
                </c:pt>
                <c:pt idx="85">
                  <c:v>552.71499999999992</c:v>
                </c:pt>
                <c:pt idx="86">
                  <c:v>553.38400000000001</c:v>
                </c:pt>
                <c:pt idx="87">
                  <c:v>558.18000000000006</c:v>
                </c:pt>
                <c:pt idx="88">
                  <c:v>566.23699999999997</c:v>
                </c:pt>
                <c:pt idx="89">
                  <c:v>569.47499999999991</c:v>
                </c:pt>
                <c:pt idx="90">
                  <c:v>583.65299999999991</c:v>
                </c:pt>
                <c:pt idx="91">
                  <c:v>585.43899999999996</c:v>
                </c:pt>
                <c:pt idx="92">
                  <c:v>594.96499999999992</c:v>
                </c:pt>
                <c:pt idx="93">
                  <c:v>606.97200000000009</c:v>
                </c:pt>
                <c:pt idx="94">
                  <c:v>607.32999999999993</c:v>
                </c:pt>
                <c:pt idx="95">
                  <c:v>608.36599999999999</c:v>
                </c:pt>
                <c:pt idx="96">
                  <c:v>613.03800000000001</c:v>
                </c:pt>
                <c:pt idx="97">
                  <c:v>621.69099999999992</c:v>
                </c:pt>
                <c:pt idx="98">
                  <c:v>625.02299999999991</c:v>
                </c:pt>
                <c:pt idx="99">
                  <c:v>636.24399999999991</c:v>
                </c:pt>
                <c:pt idx="100">
                  <c:v>638.471</c:v>
                </c:pt>
                <c:pt idx="101">
                  <c:v>648.21699999999987</c:v>
                </c:pt>
                <c:pt idx="102">
                  <c:v>661.52299999999991</c:v>
                </c:pt>
                <c:pt idx="103">
                  <c:v>661.65100000000007</c:v>
                </c:pt>
                <c:pt idx="104">
                  <c:v>663.02</c:v>
                </c:pt>
                <c:pt idx="105">
                  <c:v>668.73</c:v>
                </c:pt>
                <c:pt idx="106">
                  <c:v>677.15299999999991</c:v>
                </c:pt>
                <c:pt idx="107">
                  <c:v>680.47199999999987</c:v>
                </c:pt>
                <c:pt idx="108">
                  <c:v>688.80799999999988</c:v>
                </c:pt>
                <c:pt idx="109">
                  <c:v>691.47199999999998</c:v>
                </c:pt>
                <c:pt idx="110">
                  <c:v>701.5089999999999</c:v>
                </c:pt>
                <c:pt idx="111">
                  <c:v>716.07599999999991</c:v>
                </c:pt>
                <c:pt idx="112">
                  <c:v>716.20200000000011</c:v>
                </c:pt>
                <c:pt idx="113">
                  <c:v>717.66599999999994</c:v>
                </c:pt>
                <c:pt idx="114">
                  <c:v>724.04100000000005</c:v>
                </c:pt>
                <c:pt idx="115">
                  <c:v>733.63499999999988</c:v>
                </c:pt>
                <c:pt idx="116">
                  <c:v>737.13299999999981</c:v>
                </c:pt>
                <c:pt idx="117">
                  <c:v>741.71299999999985</c:v>
                </c:pt>
                <c:pt idx="118">
                  <c:v>744.25900000000001</c:v>
                </c:pt>
                <c:pt idx="119">
                  <c:v>754.44999999999993</c:v>
                </c:pt>
                <c:pt idx="120">
                  <c:v>770.65599999999995</c:v>
                </c:pt>
                <c:pt idx="121">
                  <c:v>770.76300000000015</c:v>
                </c:pt>
                <c:pt idx="122">
                  <c:v>772.13699999999994</c:v>
                </c:pt>
                <c:pt idx="123">
                  <c:v>779.18400000000008</c:v>
                </c:pt>
                <c:pt idx="124">
                  <c:v>789.3359999999999</c:v>
                </c:pt>
                <c:pt idx="125">
                  <c:v>794.03099999999984</c:v>
                </c:pt>
                <c:pt idx="126">
                  <c:v>794.50299999999982</c:v>
                </c:pt>
                <c:pt idx="127">
                  <c:v>797.92899999999997</c:v>
                </c:pt>
                <c:pt idx="128">
                  <c:v>808.10399999999993</c:v>
                </c:pt>
                <c:pt idx="129">
                  <c:v>825.70099999999991</c:v>
                </c:pt>
                <c:pt idx="130">
                  <c:v>826.44900000000018</c:v>
                </c:pt>
                <c:pt idx="131">
                  <c:v>826.54</c:v>
                </c:pt>
                <c:pt idx="132">
                  <c:v>834.33500000000004</c:v>
                </c:pt>
                <c:pt idx="133">
                  <c:v>845.66899999999987</c:v>
                </c:pt>
                <c:pt idx="134">
                  <c:v>846.68199999999979</c:v>
                </c:pt>
                <c:pt idx="135">
                  <c:v>850.2489999999998</c:v>
                </c:pt>
                <c:pt idx="136">
                  <c:v>851.06</c:v>
                </c:pt>
                <c:pt idx="137">
                  <c:v>862.00699999999995</c:v>
                </c:pt>
                <c:pt idx="138">
                  <c:v>879.50599999999986</c:v>
                </c:pt>
                <c:pt idx="139">
                  <c:v>880.33399999999995</c:v>
                </c:pt>
                <c:pt idx="140">
                  <c:v>880.38000000000022</c:v>
                </c:pt>
                <c:pt idx="141">
                  <c:v>889.13300000000004</c:v>
                </c:pt>
                <c:pt idx="142">
                  <c:v>899.13499999999976</c:v>
                </c:pt>
                <c:pt idx="143">
                  <c:v>902.08499999999981</c:v>
                </c:pt>
                <c:pt idx="144">
                  <c:v>903.89799999999991</c:v>
                </c:pt>
                <c:pt idx="145">
                  <c:v>905.23399999999981</c:v>
                </c:pt>
                <c:pt idx="146">
                  <c:v>914.92899999999997</c:v>
                </c:pt>
                <c:pt idx="147">
                  <c:v>933.46699999999987</c:v>
                </c:pt>
                <c:pt idx="148">
                  <c:v>934.0619999999999</c:v>
                </c:pt>
                <c:pt idx="149">
                  <c:v>934.23800000000017</c:v>
                </c:pt>
                <c:pt idx="150">
                  <c:v>944.41399999999999</c:v>
                </c:pt>
                <c:pt idx="151">
                  <c:v>951.75499999999977</c:v>
                </c:pt>
                <c:pt idx="152">
                  <c:v>956.57899999999995</c:v>
                </c:pt>
                <c:pt idx="153">
                  <c:v>959.00699999999983</c:v>
                </c:pt>
                <c:pt idx="154">
                  <c:v>960.36199999999985</c:v>
                </c:pt>
                <c:pt idx="155">
                  <c:v>968.27699999999993</c:v>
                </c:pt>
                <c:pt idx="156">
                  <c:v>987.40599999999984</c:v>
                </c:pt>
                <c:pt idx="157">
                  <c:v>988.2829999999999</c:v>
                </c:pt>
                <c:pt idx="158">
                  <c:v>988.29300000000012</c:v>
                </c:pt>
                <c:pt idx="159">
                  <c:v>1000.082</c:v>
                </c:pt>
                <c:pt idx="160">
                  <c:v>1004.273</c:v>
                </c:pt>
                <c:pt idx="161">
                  <c:v>1009.982</c:v>
                </c:pt>
                <c:pt idx="162">
                  <c:v>1015.061</c:v>
                </c:pt>
                <c:pt idx="163">
                  <c:v>1017.0119999999999</c:v>
                </c:pt>
                <c:pt idx="164">
                  <c:v>1022.78</c:v>
                </c:pt>
                <c:pt idx="165">
                  <c:v>1041.758</c:v>
                </c:pt>
                <c:pt idx="166">
                  <c:v>1041.9860000000001</c:v>
                </c:pt>
                <c:pt idx="167">
                  <c:v>1042.5309999999999</c:v>
                </c:pt>
                <c:pt idx="168">
                  <c:v>1055.546</c:v>
                </c:pt>
                <c:pt idx="169">
                  <c:v>1056.577</c:v>
                </c:pt>
                <c:pt idx="170">
                  <c:v>1062.8579999999999</c:v>
                </c:pt>
                <c:pt idx="171">
                  <c:v>1072.2570000000001</c:v>
                </c:pt>
                <c:pt idx="172">
                  <c:v>1074.1559999999999</c:v>
                </c:pt>
                <c:pt idx="173">
                  <c:v>1078.1659999999999</c:v>
                </c:pt>
                <c:pt idx="174">
                  <c:v>1095.5119999999999</c:v>
                </c:pt>
                <c:pt idx="175">
                  <c:v>1095.8789999999999</c:v>
                </c:pt>
                <c:pt idx="176">
                  <c:v>1097.713</c:v>
                </c:pt>
                <c:pt idx="177">
                  <c:v>1108.8510000000001</c:v>
                </c:pt>
                <c:pt idx="178">
                  <c:v>1112.067</c:v>
                </c:pt>
                <c:pt idx="179">
                  <c:v>1115.752</c:v>
                </c:pt>
                <c:pt idx="180">
                  <c:v>1127.6790000000001</c:v>
                </c:pt>
                <c:pt idx="181">
                  <c:v>1129.2570000000001</c:v>
                </c:pt>
                <c:pt idx="182">
                  <c:v>1131.1469999999999</c:v>
                </c:pt>
                <c:pt idx="183">
                  <c:v>1149.9880000000001</c:v>
                </c:pt>
                <c:pt idx="184">
                  <c:v>1150.1880000000001</c:v>
                </c:pt>
                <c:pt idx="185">
                  <c:v>1152.442</c:v>
                </c:pt>
                <c:pt idx="186">
                  <c:v>1161.1489999999999</c:v>
                </c:pt>
                <c:pt idx="187">
                  <c:v>1167.48</c:v>
                </c:pt>
                <c:pt idx="188">
                  <c:v>1168.566</c:v>
                </c:pt>
                <c:pt idx="189">
                  <c:v>1183.204</c:v>
                </c:pt>
                <c:pt idx="190">
                  <c:v>1183.8610000000001</c:v>
                </c:pt>
                <c:pt idx="191">
                  <c:v>1184.771</c:v>
                </c:pt>
                <c:pt idx="192">
                  <c:v>1203.7750000000001</c:v>
                </c:pt>
                <c:pt idx="193">
                  <c:v>1204.1310000000001</c:v>
                </c:pt>
                <c:pt idx="194">
                  <c:v>1206.932</c:v>
                </c:pt>
                <c:pt idx="195">
                  <c:v>1213.0440000000001</c:v>
                </c:pt>
                <c:pt idx="196">
                  <c:v>1221.4059999999999</c:v>
                </c:pt>
                <c:pt idx="197">
                  <c:v>1222.7739999999999</c:v>
                </c:pt>
                <c:pt idx="198">
                  <c:v>1236.6559999999999</c:v>
                </c:pt>
                <c:pt idx="199">
                  <c:v>1239.4690000000001</c:v>
                </c:pt>
                <c:pt idx="200">
                  <c:v>1242.714999999999</c:v>
                </c:pt>
                <c:pt idx="201">
                  <c:v>1258.1849999999999</c:v>
                </c:pt>
                <c:pt idx="202">
                  <c:v>1258.5820000000001</c:v>
                </c:pt>
                <c:pt idx="203">
                  <c:v>1262.6769999999999</c:v>
                </c:pt>
                <c:pt idx="204">
                  <c:v>1264.9359999999999</c:v>
                </c:pt>
                <c:pt idx="205">
                  <c:v>1274.2059999999999</c:v>
                </c:pt>
                <c:pt idx="206">
                  <c:v>1278.5029999999999</c:v>
                </c:pt>
                <c:pt idx="207">
                  <c:v>1289.8050000000001</c:v>
                </c:pt>
                <c:pt idx="208">
                  <c:v>1295.049</c:v>
                </c:pt>
                <c:pt idx="209">
                  <c:v>1298.196999999999</c:v>
                </c:pt>
                <c:pt idx="210">
                  <c:v>1311.886</c:v>
                </c:pt>
                <c:pt idx="211">
                  <c:v>1312.077</c:v>
                </c:pt>
                <c:pt idx="212">
                  <c:v>1316.857</c:v>
                </c:pt>
                <c:pt idx="213">
                  <c:v>1316.8969999999999</c:v>
                </c:pt>
                <c:pt idx="214">
                  <c:v>1327.0650000000001</c:v>
                </c:pt>
                <c:pt idx="215">
                  <c:v>1334.078</c:v>
                </c:pt>
                <c:pt idx="216">
                  <c:v>1343.328</c:v>
                </c:pt>
                <c:pt idx="217">
                  <c:v>1353.5630000000001</c:v>
                </c:pt>
                <c:pt idx="218">
                  <c:v>1355.049999999999</c:v>
                </c:pt>
                <c:pt idx="219">
                  <c:v>1365.2909999999999</c:v>
                </c:pt>
                <c:pt idx="220">
                  <c:v>1371.1030000000001</c:v>
                </c:pt>
                <c:pt idx="221">
                  <c:v>1371.922</c:v>
                </c:pt>
                <c:pt idx="222">
                  <c:v>1380.578</c:v>
                </c:pt>
                <c:pt idx="223">
                  <c:v>1390.499</c:v>
                </c:pt>
                <c:pt idx="224">
                  <c:v>1396.672</c:v>
                </c:pt>
                <c:pt idx="225">
                  <c:v>1400.73</c:v>
                </c:pt>
                <c:pt idx="226">
                  <c:v>1409.2739999999999</c:v>
                </c:pt>
                <c:pt idx="227">
                  <c:v>1411.327</c:v>
                </c:pt>
                <c:pt idx="228">
                  <c:v>1418.57</c:v>
                </c:pt>
                <c:pt idx="229">
                  <c:v>1423.5709999999999</c:v>
                </c:pt>
                <c:pt idx="230">
                  <c:v>1426.067</c:v>
                </c:pt>
                <c:pt idx="231">
                  <c:v>1433.5509999999999</c:v>
                </c:pt>
                <c:pt idx="232">
                  <c:v>1445.6969999999999</c:v>
                </c:pt>
                <c:pt idx="233">
                  <c:v>1449.5250000000001</c:v>
                </c:pt>
                <c:pt idx="234">
                  <c:v>1454.1659999999999</c:v>
                </c:pt>
                <c:pt idx="235">
                  <c:v>1464.6569999999999</c:v>
                </c:pt>
                <c:pt idx="236">
                  <c:v>1466.481</c:v>
                </c:pt>
                <c:pt idx="237">
                  <c:v>1472.396</c:v>
                </c:pt>
                <c:pt idx="238">
                  <c:v>1476.029</c:v>
                </c:pt>
                <c:pt idx="239">
                  <c:v>1481.104</c:v>
                </c:pt>
                <c:pt idx="240">
                  <c:v>1486.4649999999999</c:v>
                </c:pt>
                <c:pt idx="241">
                  <c:v>1500.1189999999999</c:v>
                </c:pt>
                <c:pt idx="242">
                  <c:v>1502.5119999999999</c:v>
                </c:pt>
                <c:pt idx="243">
                  <c:v>1507.4490000000001</c:v>
                </c:pt>
                <c:pt idx="244">
                  <c:v>1521.09</c:v>
                </c:pt>
                <c:pt idx="245">
                  <c:v>1525.5940000000001</c:v>
                </c:pt>
                <c:pt idx="246">
                  <c:v>1527.826</c:v>
                </c:pt>
                <c:pt idx="247">
                  <c:v>1529.7850000000001</c:v>
                </c:pt>
                <c:pt idx="248">
                  <c:v>1535.702</c:v>
                </c:pt>
                <c:pt idx="249">
                  <c:v>1539.453</c:v>
                </c:pt>
                <c:pt idx="250">
                  <c:v>1554.7650000000001</c:v>
                </c:pt>
                <c:pt idx="251">
                  <c:v>1555.56</c:v>
                </c:pt>
                <c:pt idx="252">
                  <c:v>1560.393</c:v>
                </c:pt>
                <c:pt idx="253">
                  <c:v>1578.941</c:v>
                </c:pt>
                <c:pt idx="254">
                  <c:v>1581.6189999999999</c:v>
                </c:pt>
                <c:pt idx="255">
                  <c:v>1582.057</c:v>
                </c:pt>
                <c:pt idx="256">
                  <c:v>1582.367</c:v>
                </c:pt>
                <c:pt idx="257">
                  <c:v>1590.6369999999999</c:v>
                </c:pt>
                <c:pt idx="258">
                  <c:v>1593.943</c:v>
                </c:pt>
                <c:pt idx="259">
                  <c:v>1608.1479999999999</c:v>
                </c:pt>
                <c:pt idx="260">
                  <c:v>1609.2860000000001</c:v>
                </c:pt>
                <c:pt idx="261">
                  <c:v>1613.3009999999999</c:v>
                </c:pt>
                <c:pt idx="262">
                  <c:v>1634.2470000000001</c:v>
                </c:pt>
                <c:pt idx="263">
                  <c:v>1634.453</c:v>
                </c:pt>
                <c:pt idx="264">
                  <c:v>1635.501</c:v>
                </c:pt>
                <c:pt idx="265">
                  <c:v>1637.64</c:v>
                </c:pt>
                <c:pt idx="266">
                  <c:v>1646.942</c:v>
                </c:pt>
                <c:pt idx="267">
                  <c:v>1648.1289999999999</c:v>
                </c:pt>
                <c:pt idx="268">
                  <c:v>1660.857</c:v>
                </c:pt>
                <c:pt idx="269">
                  <c:v>1663.2570000000001</c:v>
                </c:pt>
                <c:pt idx="270">
                  <c:v>1666.9079999999999</c:v>
                </c:pt>
                <c:pt idx="271">
                  <c:v>1686.402</c:v>
                </c:pt>
                <c:pt idx="272">
                  <c:v>1688.105</c:v>
                </c:pt>
                <c:pt idx="273">
                  <c:v>1692.096</c:v>
                </c:pt>
                <c:pt idx="274">
                  <c:v>1693.64</c:v>
                </c:pt>
                <c:pt idx="275">
                  <c:v>1700.982</c:v>
                </c:pt>
                <c:pt idx="276">
                  <c:v>1701.133</c:v>
                </c:pt>
                <c:pt idx="277">
                  <c:v>1713.537</c:v>
                </c:pt>
                <c:pt idx="278">
                  <c:v>1717.67</c:v>
                </c:pt>
                <c:pt idx="279">
                  <c:v>1720.1189999999999</c:v>
                </c:pt>
                <c:pt idx="280">
                  <c:v>1738.673</c:v>
                </c:pt>
                <c:pt idx="281">
                  <c:v>1741.722</c:v>
                </c:pt>
                <c:pt idx="282">
                  <c:v>1748.4749999999999</c:v>
                </c:pt>
                <c:pt idx="283">
                  <c:v>1748.867</c:v>
                </c:pt>
                <c:pt idx="284">
                  <c:v>1755.2349999999999</c:v>
                </c:pt>
                <c:pt idx="285">
                  <c:v>1755.2439999999999</c:v>
                </c:pt>
                <c:pt idx="286">
                  <c:v>1766.07</c:v>
                </c:pt>
                <c:pt idx="287">
                  <c:v>1771.6389999999999</c:v>
                </c:pt>
                <c:pt idx="288">
                  <c:v>1773.8879999999999</c:v>
                </c:pt>
                <c:pt idx="289">
                  <c:v>1791.0740000000001</c:v>
                </c:pt>
                <c:pt idx="290">
                  <c:v>1794.713</c:v>
                </c:pt>
                <c:pt idx="291">
                  <c:v>1805.02</c:v>
                </c:pt>
                <c:pt idx="292">
                  <c:v>1805.8710000000001</c:v>
                </c:pt>
                <c:pt idx="293">
                  <c:v>1808.5830000000001</c:v>
                </c:pt>
                <c:pt idx="294">
                  <c:v>1809.4469999999999</c:v>
                </c:pt>
                <c:pt idx="295">
                  <c:v>1819.8219999999999</c:v>
                </c:pt>
                <c:pt idx="296">
                  <c:v>1826.442</c:v>
                </c:pt>
                <c:pt idx="297">
                  <c:v>1828.6089999999999</c:v>
                </c:pt>
              </c:numCache>
            </c:numRef>
          </c:xVal>
          <c:yVal>
            <c:numRef>
              <c:f>intermediate_data!$AB$2:$AB$299</c:f>
              <c:numCache>
                <c:formatCode>General</c:formatCode>
                <c:ptCount val="298"/>
                <c:pt idx="0">
                  <c:v>5.9693126882925829E-2</c:v>
                </c:pt>
                <c:pt idx="1">
                  <c:v>5.9770294446816141E-2</c:v>
                </c:pt>
                <c:pt idx="2">
                  <c:v>6.0598773986915377E-2</c:v>
                </c:pt>
                <c:pt idx="3">
                  <c:v>6.1610526491253759E-2</c:v>
                </c:pt>
                <c:pt idx="4">
                  <c:v>6.2078890733198611E-2</c:v>
                </c:pt>
                <c:pt idx="5">
                  <c:v>6.3229973561227948E-2</c:v>
                </c:pt>
                <c:pt idx="6">
                  <c:v>6.334572490706325E-2</c:v>
                </c:pt>
                <c:pt idx="7">
                  <c:v>6.3713301722202687E-2</c:v>
                </c:pt>
                <c:pt idx="8">
                  <c:v>6.4875258099472255E-2</c:v>
                </c:pt>
                <c:pt idx="9">
                  <c:v>0.11488370451417107</c:v>
                </c:pt>
                <c:pt idx="10">
                  <c:v>0.11514281601894072</c:v>
                </c:pt>
                <c:pt idx="11">
                  <c:v>0.11736283069116404</c:v>
                </c:pt>
                <c:pt idx="12">
                  <c:v>0.1191063436978359</c:v>
                </c:pt>
                <c:pt idx="13">
                  <c:v>0.11958174743328209</c:v>
                </c:pt>
                <c:pt idx="14">
                  <c:v>0.12068297132855399</c:v>
                </c:pt>
                <c:pt idx="15">
                  <c:v>0.12159644917587853</c:v>
                </c:pt>
                <c:pt idx="16">
                  <c:v>0.12203122949744127</c:v>
                </c:pt>
                <c:pt idx="17">
                  <c:v>0.12375212627611898</c:v>
                </c:pt>
                <c:pt idx="18">
                  <c:v>0.1715104452266818</c:v>
                </c:pt>
                <c:pt idx="19">
                  <c:v>0.17161405081706116</c:v>
                </c:pt>
                <c:pt idx="20">
                  <c:v>0.174755737984154</c:v>
                </c:pt>
                <c:pt idx="21">
                  <c:v>0.17734587774363852</c:v>
                </c:pt>
                <c:pt idx="22">
                  <c:v>0.17788625199934271</c:v>
                </c:pt>
                <c:pt idx="23">
                  <c:v>0.17887761529552204</c:v>
                </c:pt>
                <c:pt idx="24">
                  <c:v>0.18024988149750776</c:v>
                </c:pt>
                <c:pt idx="25">
                  <c:v>0.18135907075921676</c:v>
                </c:pt>
                <c:pt idx="26">
                  <c:v>0.18264724709354807</c:v>
                </c:pt>
                <c:pt idx="27">
                  <c:v>0.23142977557686217</c:v>
                </c:pt>
                <c:pt idx="28">
                  <c:v>0.23174753084211419</c:v>
                </c:pt>
                <c:pt idx="29">
                  <c:v>0.23584820649842619</c:v>
                </c:pt>
                <c:pt idx="30">
                  <c:v>0.24040981568180353</c:v>
                </c:pt>
                <c:pt idx="31">
                  <c:v>0.24265545368287134</c:v>
                </c:pt>
                <c:pt idx="32">
                  <c:v>0.24309503606563032</c:v>
                </c:pt>
                <c:pt idx="33">
                  <c:v>0.24491113928125952</c:v>
                </c:pt>
                <c:pt idx="34">
                  <c:v>0.24798193621224929</c:v>
                </c:pt>
                <c:pt idx="35">
                  <c:v>0.24817890420348387</c:v>
                </c:pt>
                <c:pt idx="36">
                  <c:v>0.30046208779668149</c:v>
                </c:pt>
                <c:pt idx="37">
                  <c:v>0.30058315935252722</c:v>
                </c:pt>
                <c:pt idx="38">
                  <c:v>0.30690513673848141</c:v>
                </c:pt>
                <c:pt idx="39">
                  <c:v>0.31365159391661646</c:v>
                </c:pt>
                <c:pt idx="40">
                  <c:v>0.31637935065674849</c:v>
                </c:pt>
                <c:pt idx="41">
                  <c:v>0.31733625355596118</c:v>
                </c:pt>
                <c:pt idx="42">
                  <c:v>0.31975768467287047</c:v>
                </c:pt>
                <c:pt idx="43">
                  <c:v>0.32493021162501456</c:v>
                </c:pt>
                <c:pt idx="44">
                  <c:v>0.32550201945503154</c:v>
                </c:pt>
                <c:pt idx="45">
                  <c:v>0.37002337772740113</c:v>
                </c:pt>
                <c:pt idx="46">
                  <c:v>0.37064482030936663</c:v>
                </c:pt>
                <c:pt idx="47">
                  <c:v>0.37762790676499414</c:v>
                </c:pt>
                <c:pt idx="48">
                  <c:v>0.38501486575816823</c:v>
                </c:pt>
                <c:pt idx="49">
                  <c:v>0.38743549535416744</c:v>
                </c:pt>
                <c:pt idx="50">
                  <c:v>0.38812077585335736</c:v>
                </c:pt>
                <c:pt idx="51">
                  <c:v>0.39047756753213214</c:v>
                </c:pt>
                <c:pt idx="52">
                  <c:v>0.39724308394333985</c:v>
                </c:pt>
                <c:pt idx="53">
                  <c:v>0.3975841657101693</c:v>
                </c:pt>
                <c:pt idx="54">
                  <c:v>0.4389920189704295</c:v>
                </c:pt>
                <c:pt idx="55">
                  <c:v>0.43990749352707503</c:v>
                </c:pt>
                <c:pt idx="56">
                  <c:v>0.44904352866464148</c:v>
                </c:pt>
                <c:pt idx="57">
                  <c:v>0.45798845013563749</c:v>
                </c:pt>
                <c:pt idx="58">
                  <c:v>0.45991829723023159</c:v>
                </c:pt>
                <c:pt idx="59">
                  <c:v>0.46006530774297705</c:v>
                </c:pt>
                <c:pt idx="60">
                  <c:v>0.46440612724660735</c:v>
                </c:pt>
                <c:pt idx="61">
                  <c:v>0.47214556251308526</c:v>
                </c:pt>
                <c:pt idx="62">
                  <c:v>0.47249059796998605</c:v>
                </c:pt>
                <c:pt idx="63">
                  <c:v>0.50895022928876354</c:v>
                </c:pt>
                <c:pt idx="64">
                  <c:v>0.51050439918535506</c:v>
                </c:pt>
                <c:pt idx="65">
                  <c:v>0.52093710831429441</c:v>
                </c:pt>
                <c:pt idx="66">
                  <c:v>0.53150860599339111</c:v>
                </c:pt>
                <c:pt idx="67">
                  <c:v>0.5322575404338723</c:v>
                </c:pt>
                <c:pt idx="68">
                  <c:v>0.53334428096813724</c:v>
                </c:pt>
                <c:pt idx="69">
                  <c:v>0.53792561244933168</c:v>
                </c:pt>
                <c:pt idx="70">
                  <c:v>0.54658680357482403</c:v>
                </c:pt>
                <c:pt idx="71">
                  <c:v>0.54749533148136109</c:v>
                </c:pt>
                <c:pt idx="72">
                  <c:v>0.57457627118644083</c:v>
                </c:pt>
                <c:pt idx="73">
                  <c:v>0.57624910538455865</c:v>
                </c:pt>
                <c:pt idx="74">
                  <c:v>0.58543112934623842</c:v>
                </c:pt>
                <c:pt idx="75">
                  <c:v>0.59509478929467363</c:v>
                </c:pt>
                <c:pt idx="76">
                  <c:v>0.595261866446398</c:v>
                </c:pt>
                <c:pt idx="77">
                  <c:v>0.5964932869350239</c:v>
                </c:pt>
                <c:pt idx="78">
                  <c:v>0.60027624367897836</c:v>
                </c:pt>
                <c:pt idx="79">
                  <c:v>0.60779059014475401</c:v>
                </c:pt>
                <c:pt idx="80">
                  <c:v>0.60967657084349014</c:v>
                </c:pt>
                <c:pt idx="81">
                  <c:v>0.63130255827981507</c:v>
                </c:pt>
                <c:pt idx="82">
                  <c:v>0.63319546977001551</c:v>
                </c:pt>
                <c:pt idx="83">
                  <c:v>0.64354789284856118</c:v>
                </c:pt>
                <c:pt idx="84">
                  <c:v>0.6552816906217398</c:v>
                </c:pt>
                <c:pt idx="85">
                  <c:v>0.65616054238504695</c:v>
                </c:pt>
                <c:pt idx="86">
                  <c:v>0.65691432678203832</c:v>
                </c:pt>
                <c:pt idx="87">
                  <c:v>0.66231813839334563</c:v>
                </c:pt>
                <c:pt idx="88">
                  <c:v>0.67139622641509611</c:v>
                </c:pt>
                <c:pt idx="89">
                  <c:v>0.67409982776818111</c:v>
                </c:pt>
                <c:pt idx="90">
                  <c:v>0.68593789447109366</c:v>
                </c:pt>
                <c:pt idx="91">
                  <c:v>0.68769120360644465</c:v>
                </c:pt>
                <c:pt idx="92">
                  <c:v>0.69704284012567364</c:v>
                </c:pt>
                <c:pt idx="93">
                  <c:v>0.7088300645311314</c:v>
                </c:pt>
                <c:pt idx="94">
                  <c:v>0.70918151171503574</c:v>
                </c:pt>
                <c:pt idx="95">
                  <c:v>0.71019854881706479</c:v>
                </c:pt>
                <c:pt idx="96">
                  <c:v>0.71478503273663563</c:v>
                </c:pt>
                <c:pt idx="97">
                  <c:v>0.72327964860907734</c:v>
                </c:pt>
                <c:pt idx="98">
                  <c:v>0.7265593267847823</c:v>
                </c:pt>
                <c:pt idx="99">
                  <c:v>0.73760412534708486</c:v>
                </c:pt>
                <c:pt idx="100">
                  <c:v>0.73981790639447276</c:v>
                </c:pt>
                <c:pt idx="101">
                  <c:v>0.7495060564114624</c:v>
                </c:pt>
                <c:pt idx="102">
                  <c:v>0.76273307509872446</c:v>
                </c:pt>
                <c:pt idx="103">
                  <c:v>0.76286031532057841</c:v>
                </c:pt>
                <c:pt idx="104">
                  <c:v>0.76422118925585991</c:v>
                </c:pt>
                <c:pt idx="105">
                  <c:v>0.76989729602756185</c:v>
                </c:pt>
                <c:pt idx="106">
                  <c:v>0.77827029906399758</c:v>
                </c:pt>
                <c:pt idx="107">
                  <c:v>0.7826502899919312</c:v>
                </c:pt>
                <c:pt idx="108">
                  <c:v>0.79365107467865847</c:v>
                </c:pt>
                <c:pt idx="109">
                  <c:v>0.7968400148798267</c:v>
                </c:pt>
                <c:pt idx="110">
                  <c:v>0.80885480196657866</c:v>
                </c:pt>
                <c:pt idx="111">
                  <c:v>0.82629222385486756</c:v>
                </c:pt>
                <c:pt idx="112">
                  <c:v>0.82644305210762425</c:v>
                </c:pt>
                <c:pt idx="113">
                  <c:v>0.82819553275871627</c:v>
                </c:pt>
                <c:pt idx="114">
                  <c:v>0.83582672411849046</c:v>
                </c:pt>
                <c:pt idx="115">
                  <c:v>0.84731121822133915</c:v>
                </c:pt>
                <c:pt idx="116">
                  <c:v>0.85063014186783548</c:v>
                </c:pt>
                <c:pt idx="117">
                  <c:v>0.85497567368629035</c:v>
                </c:pt>
                <c:pt idx="118">
                  <c:v>0.85793127786187995</c:v>
                </c:pt>
                <c:pt idx="119">
                  <c:v>0.86976182073440356</c:v>
                </c:pt>
                <c:pt idx="120">
                  <c:v>0.88857506553786791</c:v>
                </c:pt>
                <c:pt idx="121">
                  <c:v>0.88869927985318142</c:v>
                </c:pt>
                <c:pt idx="122">
                  <c:v>0.89029433096757948</c:v>
                </c:pt>
                <c:pt idx="123">
                  <c:v>0.89847506255649812</c:v>
                </c:pt>
                <c:pt idx="124">
                  <c:v>0.91026033105241133</c:v>
                </c:pt>
                <c:pt idx="125">
                  <c:v>0.9166563115758084</c:v>
                </c:pt>
                <c:pt idx="126">
                  <c:v>0.91724225580120944</c:v>
                </c:pt>
                <c:pt idx="127">
                  <c:v>0.92149531706438736</c:v>
                </c:pt>
                <c:pt idx="128">
                  <c:v>0.93412663590643241</c:v>
                </c:pt>
                <c:pt idx="129">
                  <c:v>0.95597167941144079</c:v>
                </c:pt>
                <c:pt idx="130">
                  <c:v>0.9569002520398282</c:v>
                </c:pt>
                <c:pt idx="131">
                  <c:v>0.95701322010023304</c:v>
                </c:pt>
                <c:pt idx="132">
                  <c:v>0.96668998967013486</c:v>
                </c:pt>
                <c:pt idx="133">
                  <c:v>0.98076009952327681</c:v>
                </c:pt>
                <c:pt idx="134">
                  <c:v>0.98204410096426642</c:v>
                </c:pt>
                <c:pt idx="135">
                  <c:v>0.98682109345677205</c:v>
                </c:pt>
                <c:pt idx="136">
                  <c:v>0.9879071996836899</c:v>
                </c:pt>
                <c:pt idx="137">
                  <c:v>1.0025676249193065</c:v>
                </c:pt>
                <c:pt idx="138">
                  <c:v>1.026002609956123</c:v>
                </c:pt>
                <c:pt idx="139">
                  <c:v>1.0271114828980323</c:v>
                </c:pt>
                <c:pt idx="140">
                  <c:v>1.0271730869503592</c:v>
                </c:pt>
                <c:pt idx="141">
                  <c:v>1.0388952667336202</c:v>
                </c:pt>
                <c:pt idx="142">
                  <c:v>1.0522901304594452</c:v>
                </c:pt>
                <c:pt idx="143">
                  <c:v>1.0560623337134167</c:v>
                </c:pt>
                <c:pt idx="144">
                  <c:v>1.0586663111420513</c:v>
                </c:pt>
                <c:pt idx="145">
                  <c:v>1.0605851825400983</c:v>
                </c:pt>
                <c:pt idx="146">
                  <c:v>1.0745099267047991</c:v>
                </c:pt>
                <c:pt idx="147">
                  <c:v>1.1011357036336555</c:v>
                </c:pt>
                <c:pt idx="148">
                  <c:v>1.1019902908206589</c:v>
                </c:pt>
                <c:pt idx="149">
                  <c:v>1.1022430762742914</c:v>
                </c:pt>
                <c:pt idx="150">
                  <c:v>1.1168586715935334</c:v>
                </c:pt>
                <c:pt idx="151">
                  <c:v>1.1274024103158702</c:v>
                </c:pt>
                <c:pt idx="152">
                  <c:v>1.1345090824477175</c:v>
                </c:pt>
                <c:pt idx="153">
                  <c:v>1.1380859895654822</c:v>
                </c:pt>
                <c:pt idx="154">
                  <c:v>1.1397135486499899</c:v>
                </c:pt>
                <c:pt idx="155">
                  <c:v>1.1492206557746201</c:v>
                </c:pt>
                <c:pt idx="156">
                  <c:v>1.17219746590564</c:v>
                </c:pt>
                <c:pt idx="157">
                  <c:v>1.173250874995766</c:v>
                </c:pt>
                <c:pt idx="158">
                  <c:v>1.1732628865019237</c:v>
                </c:pt>
                <c:pt idx="159">
                  <c:v>1.1874232511124418</c:v>
                </c:pt>
                <c:pt idx="160">
                  <c:v>1.1924572733435603</c:v>
                </c:pt>
                <c:pt idx="161">
                  <c:v>1.1997594073431124</c:v>
                </c:pt>
                <c:pt idx="162">
                  <c:v>1.206255735698992</c:v>
                </c:pt>
                <c:pt idx="163">
                  <c:v>1.2094461211565743</c:v>
                </c:pt>
                <c:pt idx="164">
                  <c:v>1.2188782807256935</c:v>
                </c:pt>
                <c:pt idx="165">
                  <c:v>1.2499121788364249</c:v>
                </c:pt>
                <c:pt idx="166">
                  <c:v>1.2502850173214703</c:v>
                </c:pt>
                <c:pt idx="167">
                  <c:v>1.2511762321212601</c:v>
                </c:pt>
                <c:pt idx="168">
                  <c:v>1.2724590956427662</c:v>
                </c:pt>
                <c:pt idx="169">
                  <c:v>1.2741450451080496</c:v>
                </c:pt>
                <c:pt idx="170">
                  <c:v>1.2844850087520925</c:v>
                </c:pt>
                <c:pt idx="171">
                  <c:v>1.2999579140681803</c:v>
                </c:pt>
                <c:pt idx="172">
                  <c:v>1.3020213536679215</c:v>
                </c:pt>
                <c:pt idx="173">
                  <c:v>1.3063785905267764</c:v>
                </c:pt>
                <c:pt idx="174">
                  <c:v>1.3252266280713343</c:v>
                </c:pt>
                <c:pt idx="175">
                  <c:v>1.3256254076043028</c:v>
                </c:pt>
                <c:pt idx="176">
                  <c:v>1.3276182186764061</c:v>
                </c:pt>
                <c:pt idx="177">
                  <c:v>1.3397206885352411</c:v>
                </c:pt>
                <c:pt idx="178">
                  <c:v>1.3431869378006347</c:v>
                </c:pt>
                <c:pt idx="179">
                  <c:v>1.3471586817505603</c:v>
                </c:pt>
                <c:pt idx="180">
                  <c:v>1.3600137672568771</c:v>
                </c:pt>
                <c:pt idx="181">
                  <c:v>1.3617673744422696</c:v>
                </c:pt>
                <c:pt idx="182">
                  <c:v>1.3638677024399861</c:v>
                </c:pt>
                <c:pt idx="183">
                  <c:v>1.3848054166224983</c:v>
                </c:pt>
                <c:pt idx="184">
                  <c:v>1.3850276735534734</c:v>
                </c:pt>
                <c:pt idx="185">
                  <c:v>1.3875325091655633</c:v>
                </c:pt>
                <c:pt idx="186">
                  <c:v>1.3972084646555629</c:v>
                </c:pt>
                <c:pt idx="187">
                  <c:v>1.4051840920252587</c:v>
                </c:pt>
                <c:pt idx="188">
                  <c:v>1.4065522062763236</c:v>
                </c:pt>
                <c:pt idx="189">
                  <c:v>1.4249927738703221</c:v>
                </c:pt>
                <c:pt idx="190">
                  <c:v>1.4259760669146502</c:v>
                </c:pt>
                <c:pt idx="191">
                  <c:v>1.4273380100962889</c:v>
                </c:pt>
                <c:pt idx="192">
                  <c:v>1.4557801729796687</c:v>
                </c:pt>
                <c:pt idx="193">
                  <c:v>1.456312977125453</c:v>
                </c:pt>
                <c:pt idx="194">
                  <c:v>1.4605050681713543</c:v>
                </c:pt>
                <c:pt idx="195">
                  <c:v>1.4696525371012221</c:v>
                </c:pt>
                <c:pt idx="196">
                  <c:v>1.4821767634491749</c:v>
                </c:pt>
                <c:pt idx="197">
                  <c:v>1.4842256921317869</c:v>
                </c:pt>
                <c:pt idx="198">
                  <c:v>1.5050175254446607</c:v>
                </c:pt>
                <c:pt idx="199">
                  <c:v>1.5092307099360305</c:v>
                </c:pt>
                <c:pt idx="200">
                  <c:v>1.5133814016306033</c:v>
                </c:pt>
                <c:pt idx="201">
                  <c:v>1.5331630407295194</c:v>
                </c:pt>
                <c:pt idx="202">
                  <c:v>1.5336706884814433</c:v>
                </c:pt>
                <c:pt idx="203">
                  <c:v>1.5389070047135114</c:v>
                </c:pt>
                <c:pt idx="204">
                  <c:v>1.5417956099316363</c:v>
                </c:pt>
                <c:pt idx="205">
                  <c:v>1.5534120290857594</c:v>
                </c:pt>
                <c:pt idx="206">
                  <c:v>1.5587966842211749</c:v>
                </c:pt>
                <c:pt idx="207">
                  <c:v>1.572959442503798</c:v>
                </c:pt>
                <c:pt idx="208">
                  <c:v>1.5795308019476195</c:v>
                </c:pt>
                <c:pt idx="209">
                  <c:v>1.5863156105948022</c:v>
                </c:pt>
                <c:pt idx="210">
                  <c:v>1.6158191828855699</c:v>
                </c:pt>
                <c:pt idx="211">
                  <c:v>1.6162308405893882</c:v>
                </c:pt>
                <c:pt idx="212">
                  <c:v>1.6265330595644656</c:v>
                </c:pt>
                <c:pt idx="213">
                  <c:v>1.6266192706019105</c:v>
                </c:pt>
                <c:pt idx="214">
                  <c:v>1.6404296014861686</c:v>
                </c:pt>
                <c:pt idx="215">
                  <c:v>1.6499547638082888</c:v>
                </c:pt>
                <c:pt idx="216">
                  <c:v>1.6625182532535483</c:v>
                </c:pt>
                <c:pt idx="217">
                  <c:v>1.6764195845478405</c:v>
                </c:pt>
                <c:pt idx="218">
                  <c:v>1.6771606544133171</c:v>
                </c:pt>
                <c:pt idx="219">
                  <c:v>1.6822644180262039</c:v>
                </c:pt>
                <c:pt idx="220">
                  <c:v>1.6851609197465542</c:v>
                </c:pt>
                <c:pt idx="221">
                  <c:v>1.686069567143015</c:v>
                </c:pt>
                <c:pt idx="222">
                  <c:v>1.6956730492721199</c:v>
                </c:pt>
                <c:pt idx="223">
                  <c:v>1.7066799977706069</c:v>
                </c:pt>
                <c:pt idx="224">
                  <c:v>1.713528691761244</c:v>
                </c:pt>
                <c:pt idx="225">
                  <c:v>1.7180308787390537</c:v>
                </c:pt>
                <c:pt idx="226">
                  <c:v>1.7275101013951399</c:v>
                </c:pt>
                <c:pt idx="227">
                  <c:v>1.7295695763816745</c:v>
                </c:pt>
                <c:pt idx="228">
                  <c:v>1.7368354201846188</c:v>
                </c:pt>
                <c:pt idx="229">
                  <c:v>1.7418521929111854</c:v>
                </c:pt>
                <c:pt idx="230">
                  <c:v>1.7443651336420984</c:v>
                </c:pt>
                <c:pt idx="231">
                  <c:v>1.7518999286862247</c:v>
                </c:pt>
                <c:pt idx="232">
                  <c:v>1.7641283654320752</c:v>
                </c:pt>
                <c:pt idx="233">
                  <c:v>1.7679823466491946</c:v>
                </c:pt>
                <c:pt idx="234">
                  <c:v>1.7726548458207354</c:v>
                </c:pt>
                <c:pt idx="235">
                  <c:v>1.7832170498303448</c:v>
                </c:pt>
                <c:pt idx="236">
                  <c:v>1.785666209504388</c:v>
                </c:pt>
                <c:pt idx="237">
                  <c:v>1.7936085228113789</c:v>
                </c:pt>
                <c:pt idx="238">
                  <c:v>1.7984867010437178</c:v>
                </c:pt>
                <c:pt idx="239">
                  <c:v>1.8029651160293909</c:v>
                </c:pt>
                <c:pt idx="240">
                  <c:v>1.8076959106576034</c:v>
                </c:pt>
                <c:pt idx="241">
                  <c:v>1.8197448324732406</c:v>
                </c:pt>
                <c:pt idx="242">
                  <c:v>1.8218565264753508</c:v>
                </c:pt>
                <c:pt idx="243">
                  <c:v>1.8262131638712624</c:v>
                </c:pt>
                <c:pt idx="244">
                  <c:v>1.8382506138849628</c:v>
                </c:pt>
                <c:pt idx="245">
                  <c:v>1.8441814301810666</c:v>
                </c:pt>
                <c:pt idx="246">
                  <c:v>1.8471205025551534</c:v>
                </c:pt>
                <c:pt idx="247">
                  <c:v>1.8497000916146646</c:v>
                </c:pt>
                <c:pt idx="248">
                  <c:v>1.8599490987748695</c:v>
                </c:pt>
                <c:pt idx="249">
                  <c:v>1.8664463145696892</c:v>
                </c:pt>
                <c:pt idx="250">
                  <c:v>1.8929686734740443</c:v>
                </c:pt>
                <c:pt idx="251">
                  <c:v>1.8943457160112018</c:v>
                </c:pt>
                <c:pt idx="252">
                  <c:v>1.902717095359737</c:v>
                </c:pt>
                <c:pt idx="253">
                  <c:v>1.9348446236354633</c:v>
                </c:pt>
                <c:pt idx="254">
                  <c:v>1.9375327780847655</c:v>
                </c:pt>
                <c:pt idx="255">
                  <c:v>1.9379724388946222</c:v>
                </c:pt>
                <c:pt idx="256">
                  <c:v>1.9382836143536508</c:v>
                </c:pt>
                <c:pt idx="257">
                  <c:v>1.9487131388263599</c:v>
                </c:pt>
                <c:pt idx="258">
                  <c:v>1.9528824263604285</c:v>
                </c:pt>
                <c:pt idx="259">
                  <c:v>1.9707967425798714</c:v>
                </c:pt>
                <c:pt idx="260">
                  <c:v>1.9722319056814399</c:v>
                </c:pt>
                <c:pt idx="261">
                  <c:v>1.9772953326170999</c:v>
                </c:pt>
                <c:pt idx="262">
                  <c:v>2.0037109093529288</c:v>
                </c:pt>
                <c:pt idx="263">
                  <c:v>2.0039497651231848</c:v>
                </c:pt>
                <c:pt idx="264">
                  <c:v>2.0058628439284547</c:v>
                </c:pt>
                <c:pt idx="265">
                  <c:v>2.009767496184633</c:v>
                </c:pt>
                <c:pt idx="266">
                  <c:v>2.026747896038291</c:v>
                </c:pt>
                <c:pt idx="267">
                  <c:v>2.0289147133492236</c:v>
                </c:pt>
                <c:pt idx="268">
                  <c:v>2.0521491284575113</c:v>
                </c:pt>
                <c:pt idx="269">
                  <c:v>2.0565302249581343</c:v>
                </c:pt>
                <c:pt idx="270">
                  <c:v>2.0631949680097037</c:v>
                </c:pt>
                <c:pt idx="271">
                  <c:v>2.0987804243359953</c:v>
                </c:pt>
                <c:pt idx="272">
                  <c:v>2.1018167144665192</c:v>
                </c:pt>
                <c:pt idx="273">
                  <c:v>2.1089322951540943</c:v>
                </c:pt>
                <c:pt idx="274">
                  <c:v>2.1110845790380495</c:v>
                </c:pt>
                <c:pt idx="275">
                  <c:v>2.1213190792167858</c:v>
                </c:pt>
                <c:pt idx="276">
                  <c:v>2.1215295681199464</c:v>
                </c:pt>
                <c:pt idx="277">
                  <c:v>2.1388203254363525</c:v>
                </c:pt>
                <c:pt idx="278">
                  <c:v>2.1445815879314161</c:v>
                </c:pt>
                <c:pt idx="279">
                  <c:v>2.1479954112680666</c:v>
                </c:pt>
                <c:pt idx="280">
                  <c:v>2.1738590609978843</c:v>
                </c:pt>
                <c:pt idx="281">
                  <c:v>2.1779645534659267</c:v>
                </c:pt>
                <c:pt idx="282">
                  <c:v>2.1870574989026856</c:v>
                </c:pt>
                <c:pt idx="283">
                  <c:v>2.1876057405583822</c:v>
                </c:pt>
                <c:pt idx="284">
                  <c:v>2.196511870312122</c:v>
                </c:pt>
                <c:pt idx="285">
                  <c:v>2.1965244574929983</c:v>
                </c:pt>
                <c:pt idx="286">
                  <c:v>2.211665437504621</c:v>
                </c:pt>
                <c:pt idx="287">
                  <c:v>2.2194541053121881</c:v>
                </c:pt>
                <c:pt idx="288">
                  <c:v>2.2225995019541784</c:v>
                </c:pt>
                <c:pt idx="289">
                  <c:v>2.2466354231143271</c:v>
                </c:pt>
                <c:pt idx="290">
                  <c:v>2.2513588231756714</c:v>
                </c:pt>
                <c:pt idx="291">
                  <c:v>2.264737247037246</c:v>
                </c:pt>
                <c:pt idx="292">
                  <c:v>2.2658049866729471</c:v>
                </c:pt>
                <c:pt idx="293">
                  <c:v>2.2692077009996368</c:v>
                </c:pt>
                <c:pt idx="294">
                  <c:v>2.2702917515815955</c:v>
                </c:pt>
                <c:pt idx="295">
                  <c:v>2.2833091413822615</c:v>
                </c:pt>
                <c:pt idx="296">
                  <c:v>2.2916151770912236</c:v>
                </c:pt>
                <c:pt idx="297">
                  <c:v>2.294334086363321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E27-43D6-9656-5E17AC81F8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30001"/>
        <c:axId val="50030002"/>
      </c:scatterChart>
      <c:valAx>
        <c:axId val="50030001"/>
        <c:scaling>
          <c:orientation val="minMax"/>
          <c:max val="1800"/>
          <c:min val="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[sec]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crossAx val="50030002"/>
        <c:crosses val="autoZero"/>
        <c:crossBetween val="midCat"/>
        <c:majorUnit val="250"/>
        <c:minorUnit val="50"/>
      </c:valAx>
      <c:valAx>
        <c:axId val="50030002"/>
        <c:scaling>
          <c:orientation val="minMax"/>
          <c:max val="2.5"/>
          <c:min val="-0.25"/>
        </c:scaling>
        <c:delete val="0"/>
        <c:axPos val="l"/>
        <c:majorGridlines/>
        <c:min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Distance to leader [laps]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crossAx val="50030001"/>
        <c:crosses val="autoZero"/>
        <c:crossBetween val="midCat"/>
        <c:majorUnit val="0.25"/>
        <c:minorUnit val="0.05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Diff to total running average lap time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race_data!$A$1</c:f>
              <c:strCache>
                <c:ptCount val="1"/>
                <c:pt idx="0">
                  <c:v>SanderV</c:v>
                </c:pt>
              </c:strCache>
            </c:strRef>
          </c:tx>
          <c:marker>
            <c:symbol val="none"/>
          </c:marker>
          <c:xVal>
            <c:numRef>
              <c:f>intermediate_data!$A$2:$A$299</c:f>
              <c:numCache>
                <c:formatCode>General</c:formatCode>
                <c:ptCount val="298"/>
                <c:pt idx="0">
                  <c:v>53.683999999999997</c:v>
                </c:pt>
                <c:pt idx="1">
                  <c:v>53.756</c:v>
                </c:pt>
                <c:pt idx="2">
                  <c:v>54.529000000000003</c:v>
                </c:pt>
                <c:pt idx="3">
                  <c:v>55.472999999999999</c:v>
                </c:pt>
                <c:pt idx="4">
                  <c:v>55.91</c:v>
                </c:pt>
                <c:pt idx="5">
                  <c:v>56.984000000000002</c:v>
                </c:pt>
                <c:pt idx="6">
                  <c:v>57.091999999999999</c:v>
                </c:pt>
                <c:pt idx="7">
                  <c:v>57.482999999999997</c:v>
                </c:pt>
                <c:pt idx="8">
                  <c:v>58.719000000000001</c:v>
                </c:pt>
                <c:pt idx="9">
                  <c:v>107.248</c:v>
                </c:pt>
                <c:pt idx="10">
                  <c:v>107.48399999999999</c:v>
                </c:pt>
                <c:pt idx="11">
                  <c:v>109.506</c:v>
                </c:pt>
                <c:pt idx="12">
                  <c:v>111.09399999999999</c:v>
                </c:pt>
                <c:pt idx="13">
                  <c:v>111.527</c:v>
                </c:pt>
                <c:pt idx="14">
                  <c:v>112.53</c:v>
                </c:pt>
                <c:pt idx="15">
                  <c:v>113.36199999999999</c:v>
                </c:pt>
                <c:pt idx="16">
                  <c:v>113.758</c:v>
                </c:pt>
                <c:pt idx="17">
                  <c:v>115.387</c:v>
                </c:pt>
                <c:pt idx="18">
                  <c:v>160.595</c:v>
                </c:pt>
                <c:pt idx="19">
                  <c:v>160.697</c:v>
                </c:pt>
                <c:pt idx="20">
                  <c:v>163.79</c:v>
                </c:pt>
                <c:pt idx="21">
                  <c:v>166.34</c:v>
                </c:pt>
                <c:pt idx="22">
                  <c:v>166.87200000000001</c:v>
                </c:pt>
                <c:pt idx="23">
                  <c:v>167.84800000000001</c:v>
                </c:pt>
                <c:pt idx="24">
                  <c:v>169.19900000000001</c:v>
                </c:pt>
                <c:pt idx="25">
                  <c:v>170.291</c:v>
                </c:pt>
                <c:pt idx="26">
                  <c:v>171.417</c:v>
                </c:pt>
                <c:pt idx="27">
                  <c:v>214.05799999999999</c:v>
                </c:pt>
                <c:pt idx="28">
                  <c:v>214.31100000000001</c:v>
                </c:pt>
                <c:pt idx="29">
                  <c:v>217.57599999999999</c:v>
                </c:pt>
                <c:pt idx="30">
                  <c:v>221.208</c:v>
                </c:pt>
                <c:pt idx="31">
                  <c:v>222.99600000000001</c:v>
                </c:pt>
                <c:pt idx="32">
                  <c:v>223.346</c:v>
                </c:pt>
                <c:pt idx="33">
                  <c:v>224.792</c:v>
                </c:pt>
                <c:pt idx="34">
                  <c:v>227.23699999999999</c:v>
                </c:pt>
                <c:pt idx="35">
                  <c:v>227.387</c:v>
                </c:pt>
                <c:pt idx="36">
                  <c:v>267.20299999999997</c:v>
                </c:pt>
                <c:pt idx="37">
                  <c:v>267.286</c:v>
                </c:pt>
                <c:pt idx="38">
                  <c:v>271.62</c:v>
                </c:pt>
                <c:pt idx="39">
                  <c:v>276.245</c:v>
                </c:pt>
                <c:pt idx="40">
                  <c:v>278.11500000000001</c:v>
                </c:pt>
                <c:pt idx="41">
                  <c:v>278.77100000000002</c:v>
                </c:pt>
                <c:pt idx="42">
                  <c:v>280.43099999999998</c:v>
                </c:pt>
                <c:pt idx="43">
                  <c:v>283.97699999999998</c:v>
                </c:pt>
                <c:pt idx="44">
                  <c:v>284.36900000000003</c:v>
                </c:pt>
                <c:pt idx="45">
                  <c:v>319.94</c:v>
                </c:pt>
                <c:pt idx="46">
                  <c:v>320.41699999999997</c:v>
                </c:pt>
                <c:pt idx="47">
                  <c:v>325.77699999999999</c:v>
                </c:pt>
                <c:pt idx="48">
                  <c:v>331.447</c:v>
                </c:pt>
                <c:pt idx="49">
                  <c:v>333.30500000000001</c:v>
                </c:pt>
                <c:pt idx="50">
                  <c:v>333.83100000000002</c:v>
                </c:pt>
                <c:pt idx="51">
                  <c:v>335.64</c:v>
                </c:pt>
                <c:pt idx="52">
                  <c:v>340.83300000000003</c:v>
                </c:pt>
                <c:pt idx="53">
                  <c:v>341.09199999999998</c:v>
                </c:pt>
                <c:pt idx="54">
                  <c:v>372.53500000000003</c:v>
                </c:pt>
                <c:pt idx="55">
                  <c:v>373.22</c:v>
                </c:pt>
                <c:pt idx="56">
                  <c:v>380.05599999999998</c:v>
                </c:pt>
                <c:pt idx="57">
                  <c:v>386.74900000000002</c:v>
                </c:pt>
                <c:pt idx="58">
                  <c:v>388.19299999999998</c:v>
                </c:pt>
                <c:pt idx="59">
                  <c:v>388.30299999999988</c:v>
                </c:pt>
                <c:pt idx="60">
                  <c:v>391.55099999999999</c:v>
                </c:pt>
                <c:pt idx="61">
                  <c:v>397.34199999999998</c:v>
                </c:pt>
                <c:pt idx="62">
                  <c:v>397.60199999999998</c:v>
                </c:pt>
                <c:pt idx="63">
                  <c:v>425.07600000000002</c:v>
                </c:pt>
                <c:pt idx="64">
                  <c:v>426.26299999999998</c:v>
                </c:pt>
                <c:pt idx="65">
                  <c:v>434.23099999999999</c:v>
                </c:pt>
                <c:pt idx="66">
                  <c:v>442.30500000000001</c:v>
                </c:pt>
                <c:pt idx="67">
                  <c:v>442.87700000000001</c:v>
                </c:pt>
                <c:pt idx="68">
                  <c:v>443.70699999999999</c:v>
                </c:pt>
                <c:pt idx="69">
                  <c:v>447.20600000000002</c:v>
                </c:pt>
                <c:pt idx="70">
                  <c:v>453.82100000000003</c:v>
                </c:pt>
                <c:pt idx="71">
                  <c:v>454.59500000000003</c:v>
                </c:pt>
                <c:pt idx="72">
                  <c:v>477.66599999999988</c:v>
                </c:pt>
                <c:pt idx="73">
                  <c:v>479.28800000000001</c:v>
                </c:pt>
                <c:pt idx="74">
                  <c:v>488.19099999999997</c:v>
                </c:pt>
                <c:pt idx="75">
                  <c:v>497.56099999999998</c:v>
                </c:pt>
                <c:pt idx="76">
                  <c:v>497.72300000000001</c:v>
                </c:pt>
                <c:pt idx="77">
                  <c:v>498.91699999999997</c:v>
                </c:pt>
                <c:pt idx="78">
                  <c:v>502.58499999999998</c:v>
                </c:pt>
                <c:pt idx="79">
                  <c:v>509.87099999999998</c:v>
                </c:pt>
                <c:pt idx="80">
                  <c:v>511.53800000000001</c:v>
                </c:pt>
                <c:pt idx="81">
                  <c:v>530.65299999999991</c:v>
                </c:pt>
                <c:pt idx="82">
                  <c:v>532.33299999999997</c:v>
                </c:pt>
                <c:pt idx="83">
                  <c:v>541.52099999999996</c:v>
                </c:pt>
                <c:pt idx="84">
                  <c:v>551.93500000000006</c:v>
                </c:pt>
                <c:pt idx="85">
                  <c:v>552.71499999999992</c:v>
                </c:pt>
                <c:pt idx="86">
                  <c:v>553.38400000000001</c:v>
                </c:pt>
                <c:pt idx="87">
                  <c:v>558.18000000000006</c:v>
                </c:pt>
                <c:pt idx="88">
                  <c:v>566.23699999999997</c:v>
                </c:pt>
                <c:pt idx="89">
                  <c:v>569.47499999999991</c:v>
                </c:pt>
                <c:pt idx="90">
                  <c:v>583.65299999999991</c:v>
                </c:pt>
                <c:pt idx="91">
                  <c:v>585.43899999999996</c:v>
                </c:pt>
                <c:pt idx="92">
                  <c:v>594.96499999999992</c:v>
                </c:pt>
                <c:pt idx="93">
                  <c:v>606.97200000000009</c:v>
                </c:pt>
                <c:pt idx="94">
                  <c:v>607.32999999999993</c:v>
                </c:pt>
                <c:pt idx="95">
                  <c:v>608.36599999999999</c:v>
                </c:pt>
                <c:pt idx="96">
                  <c:v>613.03800000000001</c:v>
                </c:pt>
                <c:pt idx="97">
                  <c:v>621.69099999999992</c:v>
                </c:pt>
                <c:pt idx="98">
                  <c:v>625.02299999999991</c:v>
                </c:pt>
                <c:pt idx="99">
                  <c:v>636.24399999999991</c:v>
                </c:pt>
                <c:pt idx="100">
                  <c:v>638.471</c:v>
                </c:pt>
                <c:pt idx="101">
                  <c:v>648.21699999999987</c:v>
                </c:pt>
                <c:pt idx="102">
                  <c:v>661.52299999999991</c:v>
                </c:pt>
                <c:pt idx="103">
                  <c:v>661.65100000000007</c:v>
                </c:pt>
                <c:pt idx="104">
                  <c:v>663.02</c:v>
                </c:pt>
                <c:pt idx="105">
                  <c:v>668.73</c:v>
                </c:pt>
                <c:pt idx="106">
                  <c:v>677.15299999999991</c:v>
                </c:pt>
                <c:pt idx="107">
                  <c:v>680.47199999999987</c:v>
                </c:pt>
                <c:pt idx="108">
                  <c:v>688.80799999999988</c:v>
                </c:pt>
                <c:pt idx="109">
                  <c:v>691.47199999999998</c:v>
                </c:pt>
                <c:pt idx="110">
                  <c:v>701.5089999999999</c:v>
                </c:pt>
                <c:pt idx="111">
                  <c:v>716.07599999999991</c:v>
                </c:pt>
                <c:pt idx="112">
                  <c:v>716.20200000000011</c:v>
                </c:pt>
                <c:pt idx="113">
                  <c:v>717.66599999999994</c:v>
                </c:pt>
                <c:pt idx="114">
                  <c:v>724.04100000000005</c:v>
                </c:pt>
                <c:pt idx="115">
                  <c:v>733.63499999999988</c:v>
                </c:pt>
                <c:pt idx="116">
                  <c:v>737.13299999999981</c:v>
                </c:pt>
                <c:pt idx="117">
                  <c:v>741.71299999999985</c:v>
                </c:pt>
                <c:pt idx="118">
                  <c:v>744.25900000000001</c:v>
                </c:pt>
                <c:pt idx="119">
                  <c:v>754.44999999999993</c:v>
                </c:pt>
                <c:pt idx="120">
                  <c:v>770.65599999999995</c:v>
                </c:pt>
                <c:pt idx="121">
                  <c:v>770.76300000000015</c:v>
                </c:pt>
                <c:pt idx="122">
                  <c:v>772.13699999999994</c:v>
                </c:pt>
                <c:pt idx="123">
                  <c:v>779.18400000000008</c:v>
                </c:pt>
                <c:pt idx="124">
                  <c:v>789.3359999999999</c:v>
                </c:pt>
                <c:pt idx="125">
                  <c:v>794.03099999999984</c:v>
                </c:pt>
                <c:pt idx="126">
                  <c:v>794.50299999999982</c:v>
                </c:pt>
                <c:pt idx="127">
                  <c:v>797.92899999999997</c:v>
                </c:pt>
                <c:pt idx="128">
                  <c:v>808.10399999999993</c:v>
                </c:pt>
                <c:pt idx="129">
                  <c:v>825.70099999999991</c:v>
                </c:pt>
                <c:pt idx="130">
                  <c:v>826.44900000000018</c:v>
                </c:pt>
                <c:pt idx="131">
                  <c:v>826.54</c:v>
                </c:pt>
                <c:pt idx="132">
                  <c:v>834.33500000000004</c:v>
                </c:pt>
                <c:pt idx="133">
                  <c:v>845.66899999999987</c:v>
                </c:pt>
                <c:pt idx="134">
                  <c:v>846.68199999999979</c:v>
                </c:pt>
                <c:pt idx="135">
                  <c:v>850.2489999999998</c:v>
                </c:pt>
                <c:pt idx="136">
                  <c:v>851.06</c:v>
                </c:pt>
                <c:pt idx="137">
                  <c:v>862.00699999999995</c:v>
                </c:pt>
                <c:pt idx="138">
                  <c:v>879.50599999999986</c:v>
                </c:pt>
                <c:pt idx="139">
                  <c:v>880.33399999999995</c:v>
                </c:pt>
                <c:pt idx="140">
                  <c:v>880.38000000000022</c:v>
                </c:pt>
                <c:pt idx="141">
                  <c:v>889.13300000000004</c:v>
                </c:pt>
                <c:pt idx="142">
                  <c:v>899.13499999999976</c:v>
                </c:pt>
                <c:pt idx="143">
                  <c:v>902.08499999999981</c:v>
                </c:pt>
                <c:pt idx="144">
                  <c:v>903.89799999999991</c:v>
                </c:pt>
                <c:pt idx="145">
                  <c:v>905.23399999999981</c:v>
                </c:pt>
                <c:pt idx="146">
                  <c:v>914.92899999999997</c:v>
                </c:pt>
                <c:pt idx="147">
                  <c:v>933.46699999999987</c:v>
                </c:pt>
                <c:pt idx="148">
                  <c:v>934.0619999999999</c:v>
                </c:pt>
                <c:pt idx="149">
                  <c:v>934.23800000000017</c:v>
                </c:pt>
                <c:pt idx="150">
                  <c:v>944.41399999999999</c:v>
                </c:pt>
                <c:pt idx="151">
                  <c:v>951.75499999999977</c:v>
                </c:pt>
                <c:pt idx="152">
                  <c:v>956.57899999999995</c:v>
                </c:pt>
                <c:pt idx="153">
                  <c:v>959.00699999999983</c:v>
                </c:pt>
                <c:pt idx="154">
                  <c:v>960.36199999999985</c:v>
                </c:pt>
                <c:pt idx="155">
                  <c:v>968.27699999999993</c:v>
                </c:pt>
                <c:pt idx="156">
                  <c:v>987.40599999999984</c:v>
                </c:pt>
                <c:pt idx="157">
                  <c:v>988.2829999999999</c:v>
                </c:pt>
                <c:pt idx="158">
                  <c:v>988.29300000000012</c:v>
                </c:pt>
                <c:pt idx="159">
                  <c:v>1000.082</c:v>
                </c:pt>
                <c:pt idx="160">
                  <c:v>1004.273</c:v>
                </c:pt>
                <c:pt idx="161">
                  <c:v>1009.982</c:v>
                </c:pt>
                <c:pt idx="162">
                  <c:v>1015.061</c:v>
                </c:pt>
                <c:pt idx="163">
                  <c:v>1017.0119999999999</c:v>
                </c:pt>
                <c:pt idx="164">
                  <c:v>1022.78</c:v>
                </c:pt>
                <c:pt idx="165">
                  <c:v>1041.758</c:v>
                </c:pt>
                <c:pt idx="166">
                  <c:v>1041.9860000000001</c:v>
                </c:pt>
                <c:pt idx="167">
                  <c:v>1042.5309999999999</c:v>
                </c:pt>
                <c:pt idx="168">
                  <c:v>1055.546</c:v>
                </c:pt>
                <c:pt idx="169">
                  <c:v>1056.577</c:v>
                </c:pt>
                <c:pt idx="170">
                  <c:v>1062.8579999999999</c:v>
                </c:pt>
                <c:pt idx="171">
                  <c:v>1072.2570000000001</c:v>
                </c:pt>
                <c:pt idx="172">
                  <c:v>1074.1559999999999</c:v>
                </c:pt>
                <c:pt idx="173">
                  <c:v>1078.1659999999999</c:v>
                </c:pt>
                <c:pt idx="174">
                  <c:v>1095.5119999999999</c:v>
                </c:pt>
                <c:pt idx="175">
                  <c:v>1095.8789999999999</c:v>
                </c:pt>
                <c:pt idx="176">
                  <c:v>1097.713</c:v>
                </c:pt>
                <c:pt idx="177">
                  <c:v>1108.8510000000001</c:v>
                </c:pt>
                <c:pt idx="178">
                  <c:v>1112.067</c:v>
                </c:pt>
                <c:pt idx="179">
                  <c:v>1115.752</c:v>
                </c:pt>
                <c:pt idx="180">
                  <c:v>1127.6790000000001</c:v>
                </c:pt>
                <c:pt idx="181">
                  <c:v>1129.2570000000001</c:v>
                </c:pt>
                <c:pt idx="182">
                  <c:v>1131.1469999999999</c:v>
                </c:pt>
                <c:pt idx="183">
                  <c:v>1149.9880000000001</c:v>
                </c:pt>
                <c:pt idx="184">
                  <c:v>1150.1880000000001</c:v>
                </c:pt>
                <c:pt idx="185">
                  <c:v>1152.442</c:v>
                </c:pt>
                <c:pt idx="186">
                  <c:v>1161.1489999999999</c:v>
                </c:pt>
                <c:pt idx="187">
                  <c:v>1167.48</c:v>
                </c:pt>
                <c:pt idx="188">
                  <c:v>1168.566</c:v>
                </c:pt>
                <c:pt idx="189">
                  <c:v>1183.204</c:v>
                </c:pt>
                <c:pt idx="190">
                  <c:v>1183.8610000000001</c:v>
                </c:pt>
                <c:pt idx="191">
                  <c:v>1184.771</c:v>
                </c:pt>
                <c:pt idx="192">
                  <c:v>1203.7750000000001</c:v>
                </c:pt>
                <c:pt idx="193">
                  <c:v>1204.1310000000001</c:v>
                </c:pt>
                <c:pt idx="194">
                  <c:v>1206.932</c:v>
                </c:pt>
                <c:pt idx="195">
                  <c:v>1213.0440000000001</c:v>
                </c:pt>
                <c:pt idx="196">
                  <c:v>1221.4059999999999</c:v>
                </c:pt>
                <c:pt idx="197">
                  <c:v>1222.7739999999999</c:v>
                </c:pt>
                <c:pt idx="198">
                  <c:v>1236.6559999999999</c:v>
                </c:pt>
                <c:pt idx="199">
                  <c:v>1239.4690000000001</c:v>
                </c:pt>
                <c:pt idx="200">
                  <c:v>1242.714999999999</c:v>
                </c:pt>
                <c:pt idx="201">
                  <c:v>1258.1849999999999</c:v>
                </c:pt>
                <c:pt idx="202">
                  <c:v>1258.5820000000001</c:v>
                </c:pt>
                <c:pt idx="203">
                  <c:v>1262.6769999999999</c:v>
                </c:pt>
                <c:pt idx="204">
                  <c:v>1264.9359999999999</c:v>
                </c:pt>
                <c:pt idx="205">
                  <c:v>1274.2059999999999</c:v>
                </c:pt>
                <c:pt idx="206">
                  <c:v>1278.5029999999999</c:v>
                </c:pt>
                <c:pt idx="207">
                  <c:v>1289.8050000000001</c:v>
                </c:pt>
                <c:pt idx="208">
                  <c:v>1295.049</c:v>
                </c:pt>
                <c:pt idx="209">
                  <c:v>1298.196999999999</c:v>
                </c:pt>
                <c:pt idx="210">
                  <c:v>1311.886</c:v>
                </c:pt>
                <c:pt idx="211">
                  <c:v>1312.077</c:v>
                </c:pt>
                <c:pt idx="212">
                  <c:v>1316.857</c:v>
                </c:pt>
                <c:pt idx="213">
                  <c:v>1316.8969999999999</c:v>
                </c:pt>
                <c:pt idx="214">
                  <c:v>1327.0650000000001</c:v>
                </c:pt>
                <c:pt idx="215">
                  <c:v>1334.078</c:v>
                </c:pt>
                <c:pt idx="216">
                  <c:v>1343.328</c:v>
                </c:pt>
                <c:pt idx="217">
                  <c:v>1353.5630000000001</c:v>
                </c:pt>
                <c:pt idx="218">
                  <c:v>1355.049999999999</c:v>
                </c:pt>
                <c:pt idx="219">
                  <c:v>1365.2909999999999</c:v>
                </c:pt>
                <c:pt idx="220">
                  <c:v>1371.1030000000001</c:v>
                </c:pt>
                <c:pt idx="221">
                  <c:v>1371.922</c:v>
                </c:pt>
                <c:pt idx="222">
                  <c:v>1380.578</c:v>
                </c:pt>
                <c:pt idx="223">
                  <c:v>1390.499</c:v>
                </c:pt>
                <c:pt idx="224">
                  <c:v>1396.672</c:v>
                </c:pt>
                <c:pt idx="225">
                  <c:v>1400.73</c:v>
                </c:pt>
                <c:pt idx="226">
                  <c:v>1409.2739999999999</c:v>
                </c:pt>
                <c:pt idx="227">
                  <c:v>1411.327</c:v>
                </c:pt>
                <c:pt idx="228">
                  <c:v>1418.57</c:v>
                </c:pt>
                <c:pt idx="229">
                  <c:v>1423.5709999999999</c:v>
                </c:pt>
                <c:pt idx="230">
                  <c:v>1426.067</c:v>
                </c:pt>
                <c:pt idx="231">
                  <c:v>1433.5509999999999</c:v>
                </c:pt>
                <c:pt idx="232">
                  <c:v>1445.6969999999999</c:v>
                </c:pt>
                <c:pt idx="233">
                  <c:v>1449.5250000000001</c:v>
                </c:pt>
                <c:pt idx="234">
                  <c:v>1454.1659999999999</c:v>
                </c:pt>
                <c:pt idx="235">
                  <c:v>1464.6569999999999</c:v>
                </c:pt>
                <c:pt idx="236">
                  <c:v>1466.481</c:v>
                </c:pt>
                <c:pt idx="237">
                  <c:v>1472.396</c:v>
                </c:pt>
                <c:pt idx="238">
                  <c:v>1476.029</c:v>
                </c:pt>
                <c:pt idx="239">
                  <c:v>1481.104</c:v>
                </c:pt>
                <c:pt idx="240">
                  <c:v>1486.4649999999999</c:v>
                </c:pt>
                <c:pt idx="241">
                  <c:v>1500.1189999999999</c:v>
                </c:pt>
                <c:pt idx="242">
                  <c:v>1502.5119999999999</c:v>
                </c:pt>
                <c:pt idx="243">
                  <c:v>1507.4490000000001</c:v>
                </c:pt>
                <c:pt idx="244">
                  <c:v>1521.09</c:v>
                </c:pt>
                <c:pt idx="245">
                  <c:v>1525.5940000000001</c:v>
                </c:pt>
                <c:pt idx="246">
                  <c:v>1527.826</c:v>
                </c:pt>
                <c:pt idx="247">
                  <c:v>1529.7850000000001</c:v>
                </c:pt>
                <c:pt idx="248">
                  <c:v>1535.702</c:v>
                </c:pt>
                <c:pt idx="249">
                  <c:v>1539.453</c:v>
                </c:pt>
                <c:pt idx="250">
                  <c:v>1554.7650000000001</c:v>
                </c:pt>
                <c:pt idx="251">
                  <c:v>1555.56</c:v>
                </c:pt>
                <c:pt idx="252">
                  <c:v>1560.393</c:v>
                </c:pt>
                <c:pt idx="253">
                  <c:v>1578.941</c:v>
                </c:pt>
                <c:pt idx="254">
                  <c:v>1581.6189999999999</c:v>
                </c:pt>
                <c:pt idx="255">
                  <c:v>1582.057</c:v>
                </c:pt>
                <c:pt idx="256">
                  <c:v>1582.367</c:v>
                </c:pt>
                <c:pt idx="257">
                  <c:v>1590.6369999999999</c:v>
                </c:pt>
                <c:pt idx="258">
                  <c:v>1593.943</c:v>
                </c:pt>
                <c:pt idx="259">
                  <c:v>1608.1479999999999</c:v>
                </c:pt>
                <c:pt idx="260">
                  <c:v>1609.2860000000001</c:v>
                </c:pt>
                <c:pt idx="261">
                  <c:v>1613.3009999999999</c:v>
                </c:pt>
                <c:pt idx="262">
                  <c:v>1634.2470000000001</c:v>
                </c:pt>
                <c:pt idx="263">
                  <c:v>1634.453</c:v>
                </c:pt>
                <c:pt idx="264">
                  <c:v>1635.501</c:v>
                </c:pt>
                <c:pt idx="265">
                  <c:v>1637.64</c:v>
                </c:pt>
                <c:pt idx="266">
                  <c:v>1646.942</c:v>
                </c:pt>
                <c:pt idx="267">
                  <c:v>1648.1289999999999</c:v>
                </c:pt>
                <c:pt idx="268">
                  <c:v>1660.857</c:v>
                </c:pt>
                <c:pt idx="269">
                  <c:v>1663.2570000000001</c:v>
                </c:pt>
                <c:pt idx="270">
                  <c:v>1666.9079999999999</c:v>
                </c:pt>
                <c:pt idx="271">
                  <c:v>1686.402</c:v>
                </c:pt>
                <c:pt idx="272">
                  <c:v>1688.105</c:v>
                </c:pt>
                <c:pt idx="273">
                  <c:v>1692.096</c:v>
                </c:pt>
                <c:pt idx="274">
                  <c:v>1693.64</c:v>
                </c:pt>
                <c:pt idx="275">
                  <c:v>1700.982</c:v>
                </c:pt>
                <c:pt idx="276">
                  <c:v>1701.133</c:v>
                </c:pt>
                <c:pt idx="277">
                  <c:v>1713.537</c:v>
                </c:pt>
                <c:pt idx="278">
                  <c:v>1717.67</c:v>
                </c:pt>
                <c:pt idx="279">
                  <c:v>1720.1189999999999</c:v>
                </c:pt>
                <c:pt idx="280">
                  <c:v>1738.673</c:v>
                </c:pt>
                <c:pt idx="281">
                  <c:v>1741.722</c:v>
                </c:pt>
                <c:pt idx="282">
                  <c:v>1748.4749999999999</c:v>
                </c:pt>
                <c:pt idx="283">
                  <c:v>1748.867</c:v>
                </c:pt>
                <c:pt idx="284">
                  <c:v>1755.2349999999999</c:v>
                </c:pt>
                <c:pt idx="285">
                  <c:v>1755.2439999999999</c:v>
                </c:pt>
                <c:pt idx="286">
                  <c:v>1766.07</c:v>
                </c:pt>
                <c:pt idx="287">
                  <c:v>1771.6389999999999</c:v>
                </c:pt>
                <c:pt idx="288">
                  <c:v>1773.8879999999999</c:v>
                </c:pt>
                <c:pt idx="289">
                  <c:v>1791.0740000000001</c:v>
                </c:pt>
                <c:pt idx="290">
                  <c:v>1794.713</c:v>
                </c:pt>
                <c:pt idx="291">
                  <c:v>1805.02</c:v>
                </c:pt>
                <c:pt idx="292">
                  <c:v>1805.8710000000001</c:v>
                </c:pt>
                <c:pt idx="293">
                  <c:v>1808.5830000000001</c:v>
                </c:pt>
                <c:pt idx="294">
                  <c:v>1809.4469999999999</c:v>
                </c:pt>
                <c:pt idx="295">
                  <c:v>1819.8219999999999</c:v>
                </c:pt>
                <c:pt idx="296">
                  <c:v>1826.442</c:v>
                </c:pt>
                <c:pt idx="297">
                  <c:v>1828.6089999999999</c:v>
                </c:pt>
              </c:numCache>
            </c:numRef>
          </c:xVal>
          <c:yVal>
            <c:numRef>
              <c:f>intermediate_data!$AD$2:$AD$299</c:f>
              <c:numCache>
                <c:formatCode>General</c:formatCode>
                <c:ptCount val="298"/>
                <c:pt idx="0">
                  <c:v>-2.1540928624342826</c:v>
                </c:pt>
                <c:pt idx="1">
                  <c:v>-2.1541115466322367</c:v>
                </c:pt>
                <c:pt idx="2">
                  <c:v>-2.1576176495167516</c:v>
                </c:pt>
                <c:pt idx="3">
                  <c:v>-2.1626494299963781</c:v>
                </c:pt>
                <c:pt idx="4">
                  <c:v>-2.1650512089092615</c:v>
                </c:pt>
                <c:pt idx="5">
                  <c:v>-2.1701800208245388</c:v>
                </c:pt>
                <c:pt idx="6">
                  <c:v>-2.1703865364568671</c:v>
                </c:pt>
                <c:pt idx="7">
                  <c:v>-2.1708165743510008</c:v>
                </c:pt>
                <c:pt idx="8">
                  <c:v>-2.1684879580680843</c:v>
                </c:pt>
                <c:pt idx="9">
                  <c:v>-2.0235902086560387</c:v>
                </c:pt>
                <c:pt idx="10">
                  <c:v>-2.023490170818242</c:v>
                </c:pt>
                <c:pt idx="11">
                  <c:v>-2.0213485895797447</c:v>
                </c:pt>
                <c:pt idx="12">
                  <c:v>-2.0185804568299943</c:v>
                </c:pt>
                <c:pt idx="13">
                  <c:v>-2.0176765958931213</c:v>
                </c:pt>
                <c:pt idx="14">
                  <c:v>-2.015339180786107</c:v>
                </c:pt>
                <c:pt idx="15">
                  <c:v>-2.0132448812023824</c:v>
                </c:pt>
                <c:pt idx="16">
                  <c:v>-2.0122428827846051</c:v>
                </c:pt>
                <c:pt idx="17">
                  <c:v>-2.0079929760174977</c:v>
                </c:pt>
                <c:pt idx="18">
                  <c:v>-1.9054820092749907</c:v>
                </c:pt>
                <c:pt idx="19">
                  <c:v>-1.9052515066072147</c:v>
                </c:pt>
                <c:pt idx="20">
                  <c:v>-1.8993055015099287</c:v>
                </c:pt>
                <c:pt idx="21">
                  <c:v>-1.8936785416777369</c:v>
                </c:pt>
                <c:pt idx="22">
                  <c:v>-1.892390798029048</c:v>
                </c:pt>
                <c:pt idx="23">
                  <c:v>-1.8907665153055859</c:v>
                </c:pt>
                <c:pt idx="24">
                  <c:v>-1.8883974699123556</c:v>
                </c:pt>
                <c:pt idx="25">
                  <c:v>-1.8863382937303683</c:v>
                </c:pt>
                <c:pt idx="26">
                  <c:v>-1.884530193209919</c:v>
                </c:pt>
                <c:pt idx="27">
                  <c:v>-1.8288424690620673</c:v>
                </c:pt>
                <c:pt idx="28">
                  <c:v>-1.8289119935616398</c:v>
                </c:pt>
                <c:pt idx="29">
                  <c:v>-1.8286457671241649</c:v>
                </c:pt>
                <c:pt idx="30">
                  <c:v>-1.8288546577523093</c:v>
                </c:pt>
                <c:pt idx="31">
                  <c:v>-1.8291075758937154</c:v>
                </c:pt>
                <c:pt idx="32">
                  <c:v>-1.8291515183353937</c:v>
                </c:pt>
                <c:pt idx="33">
                  <c:v>-1.8285983950713742</c:v>
                </c:pt>
                <c:pt idx="34">
                  <c:v>-1.8277337735888608</c:v>
                </c:pt>
                <c:pt idx="35">
                  <c:v>-1.8276941666421322</c:v>
                </c:pt>
                <c:pt idx="36">
                  <c:v>-1.828668345171387</c:v>
                </c:pt>
                <c:pt idx="37">
                  <c:v>-1.8287838231064839</c:v>
                </c:pt>
                <c:pt idx="38">
                  <c:v>-1.8350138467431663</c:v>
                </c:pt>
                <c:pt idx="39">
                  <c:v>-1.8416617968554405</c:v>
                </c:pt>
                <c:pt idx="40">
                  <c:v>-1.8444096765278388</c:v>
                </c:pt>
                <c:pt idx="41">
                  <c:v>-1.8453833785385854</c:v>
                </c:pt>
                <c:pt idx="42">
                  <c:v>-1.8475864320631317</c:v>
                </c:pt>
                <c:pt idx="43">
                  <c:v>-1.8516117359333322</c:v>
                </c:pt>
                <c:pt idx="44">
                  <c:v>-1.8521263835859898</c:v>
                </c:pt>
                <c:pt idx="45">
                  <c:v>-1.8856943238996209</c:v>
                </c:pt>
                <c:pt idx="46">
                  <c:v>-1.8862838229173065</c:v>
                </c:pt>
                <c:pt idx="47">
                  <c:v>-1.892135583082613</c:v>
                </c:pt>
                <c:pt idx="48">
                  <c:v>-1.8983558898841721</c:v>
                </c:pt>
                <c:pt idx="49">
                  <c:v>-1.9004090643783371</c:v>
                </c:pt>
                <c:pt idx="50">
                  <c:v>-1.9009329153374708</c:v>
                </c:pt>
                <c:pt idx="51">
                  <c:v>-1.9023641057998546</c:v>
                </c:pt>
                <c:pt idx="52">
                  <c:v>-1.9075588109286983</c:v>
                </c:pt>
                <c:pt idx="53">
                  <c:v>-1.907817296079763</c:v>
                </c:pt>
                <c:pt idx="54">
                  <c:v>-1.9311317140127215</c:v>
                </c:pt>
                <c:pt idx="55">
                  <c:v>-1.931684517591016</c:v>
                </c:pt>
                <c:pt idx="56">
                  <c:v>-1.9376106284347898</c:v>
                </c:pt>
                <c:pt idx="57">
                  <c:v>-1.9429991760106802</c:v>
                </c:pt>
                <c:pt idx="58">
                  <c:v>-1.9442407777235715</c:v>
                </c:pt>
                <c:pt idx="59">
                  <c:v>-1.9443546320123062</c:v>
                </c:pt>
                <c:pt idx="60">
                  <c:v>-1.9477832425957189</c:v>
                </c:pt>
                <c:pt idx="61">
                  <c:v>-1.9533499650640351</c:v>
                </c:pt>
                <c:pt idx="62">
                  <c:v>-1.9535939507537208</c:v>
                </c:pt>
                <c:pt idx="63">
                  <c:v>-1.9809378248447089</c:v>
                </c:pt>
                <c:pt idx="64">
                  <c:v>-1.9819158208539207</c:v>
                </c:pt>
                <c:pt idx="65">
                  <c:v>-1.9883008730080292</c:v>
                </c:pt>
                <c:pt idx="66">
                  <c:v>-1.9940799872036052</c:v>
                </c:pt>
                <c:pt idx="67">
                  <c:v>-1.9944387124748957</c:v>
                </c:pt>
                <c:pt idx="68">
                  <c:v>-1.9950149277235312</c:v>
                </c:pt>
                <c:pt idx="69">
                  <c:v>-1.9971583807128397</c:v>
                </c:pt>
                <c:pt idx="70">
                  <c:v>-2.0006787185759265</c:v>
                </c:pt>
                <c:pt idx="71">
                  <c:v>-2.0010059919186958</c:v>
                </c:pt>
                <c:pt idx="72">
                  <c:v>-2.0100158755570376</c:v>
                </c:pt>
                <c:pt idx="73">
                  <c:v>-2.009420654766771</c:v>
                </c:pt>
                <c:pt idx="74">
                  <c:v>-2.0062681270773766</c:v>
                </c:pt>
                <c:pt idx="75">
                  <c:v>-2.0016834328019684</c:v>
                </c:pt>
                <c:pt idx="76">
                  <c:v>-2.0015734969691152</c:v>
                </c:pt>
                <c:pt idx="77">
                  <c:v>-2.0008044896176855</c:v>
                </c:pt>
                <c:pt idx="78">
                  <c:v>-1.997857542251424</c:v>
                </c:pt>
                <c:pt idx="79">
                  <c:v>-1.9924685628760344</c:v>
                </c:pt>
                <c:pt idx="80">
                  <c:v>-1.9913671729138471</c:v>
                </c:pt>
                <c:pt idx="81">
                  <c:v>-1.9828907779119902</c:v>
                </c:pt>
                <c:pt idx="82">
                  <c:v>-1.9821388796626707</c:v>
                </c:pt>
                <c:pt idx="83">
                  <c:v>-1.9782334611147121</c:v>
                </c:pt>
                <c:pt idx="84">
                  <c:v>-1.9742191203235464</c:v>
                </c:pt>
                <c:pt idx="85">
                  <c:v>-1.9740298016824056</c:v>
                </c:pt>
                <c:pt idx="86">
                  <c:v>-1.9738167791227283</c:v>
                </c:pt>
                <c:pt idx="87">
                  <c:v>-1.9728019374031476</c:v>
                </c:pt>
                <c:pt idx="88">
                  <c:v>-1.9699788808751819</c:v>
                </c:pt>
                <c:pt idx="89">
                  <c:v>-1.968308758185465</c:v>
                </c:pt>
                <c:pt idx="90">
                  <c:v>-1.9551509868522174</c:v>
                </c:pt>
                <c:pt idx="91">
                  <c:v>-1.9546489239536555</c:v>
                </c:pt>
                <c:pt idx="92">
                  <c:v>-1.9518815303953119</c:v>
                </c:pt>
                <c:pt idx="93">
                  <c:v>-1.9480710608551277</c:v>
                </c:pt>
                <c:pt idx="94">
                  <c:v>-1.9479362457510021</c:v>
                </c:pt>
                <c:pt idx="95">
                  <c:v>-1.9474654503973738</c:v>
                </c:pt>
                <c:pt idx="96">
                  <c:v>-1.9450830956247458</c:v>
                </c:pt>
                <c:pt idx="97">
                  <c:v>-1.9420430691752202</c:v>
                </c:pt>
                <c:pt idx="98">
                  <c:v>-1.9408999861854781</c:v>
                </c:pt>
                <c:pt idx="99">
                  <c:v>-1.9369499715905079</c:v>
                </c:pt>
                <c:pt idx="100">
                  <c:v>-1.9362671834678764</c:v>
                </c:pt>
                <c:pt idx="101">
                  <c:v>-1.9332797330123555</c:v>
                </c:pt>
                <c:pt idx="102">
                  <c:v>-1.9294409055810533</c:v>
                </c:pt>
                <c:pt idx="103">
                  <c:v>-1.9294126392798319</c:v>
                </c:pt>
                <c:pt idx="104">
                  <c:v>-1.9290813104739968</c:v>
                </c:pt>
                <c:pt idx="105">
                  <c:v>-1.9277065879633355</c:v>
                </c:pt>
                <c:pt idx="106">
                  <c:v>-1.9252062004142516</c:v>
                </c:pt>
                <c:pt idx="107">
                  <c:v>-1.9247704104222336</c:v>
                </c:pt>
                <c:pt idx="108">
                  <c:v>-1.9252587027261896</c:v>
                </c:pt>
                <c:pt idx="109">
                  <c:v>-1.9242442437094809</c:v>
                </c:pt>
                <c:pt idx="110">
                  <c:v>-1.9201252927487644</c:v>
                </c:pt>
                <c:pt idx="111">
                  <c:v>-1.9135069186023941</c:v>
                </c:pt>
                <c:pt idx="112">
                  <c:v>-1.9134513904396044</c:v>
                </c:pt>
                <c:pt idx="113">
                  <c:v>-1.9128099425330802</c:v>
                </c:pt>
                <c:pt idx="114">
                  <c:v>-1.909873949852674</c:v>
                </c:pt>
                <c:pt idx="115">
                  <c:v>-1.9053113617625996</c:v>
                </c:pt>
                <c:pt idx="116">
                  <c:v>-1.9032833709303105</c:v>
                </c:pt>
                <c:pt idx="117">
                  <c:v>-1.9011080139349801</c:v>
                </c:pt>
                <c:pt idx="118">
                  <c:v>-1.9017038517294083</c:v>
                </c:pt>
                <c:pt idx="119">
                  <c:v>-1.9054561877298539</c:v>
                </c:pt>
                <c:pt idx="120">
                  <c:v>-1.9129804144510416</c:v>
                </c:pt>
                <c:pt idx="121">
                  <c:v>-1.9130362099008025</c:v>
                </c:pt>
                <c:pt idx="122">
                  <c:v>-1.9139716808912155</c:v>
                </c:pt>
                <c:pt idx="123">
                  <c:v>-1.9186475379441816</c:v>
                </c:pt>
                <c:pt idx="124">
                  <c:v>-1.9252460935064661</c:v>
                </c:pt>
                <c:pt idx="125">
                  <c:v>-1.9286381730278421</c:v>
                </c:pt>
                <c:pt idx="126">
                  <c:v>-1.9287997175338845</c:v>
                </c:pt>
                <c:pt idx="127">
                  <c:v>-1.9292373404049314</c:v>
                </c:pt>
                <c:pt idx="128">
                  <c:v>-1.9297190899266994</c:v>
                </c:pt>
                <c:pt idx="129">
                  <c:v>-1.931137393004505</c:v>
                </c:pt>
                <c:pt idx="130">
                  <c:v>-1.9310696344322196</c:v>
                </c:pt>
                <c:pt idx="131">
                  <c:v>-1.931039888397784</c:v>
                </c:pt>
                <c:pt idx="132">
                  <c:v>-1.9278664025445593</c:v>
                </c:pt>
                <c:pt idx="133">
                  <c:v>-1.922835009524988</c:v>
                </c:pt>
                <c:pt idx="134">
                  <c:v>-1.9224024247617564</c:v>
                </c:pt>
                <c:pt idx="135">
                  <c:v>-1.9216292472896086</c:v>
                </c:pt>
                <c:pt idx="136">
                  <c:v>-1.921375330980581</c:v>
                </c:pt>
                <c:pt idx="137">
                  <c:v>-1.917552969433828</c:v>
                </c:pt>
                <c:pt idx="138">
                  <c:v>-1.9093607535334911</c:v>
                </c:pt>
                <c:pt idx="139">
                  <c:v>-1.9089982495435578</c:v>
                </c:pt>
                <c:pt idx="140">
                  <c:v>-1.9089777326408282</c:v>
                </c:pt>
                <c:pt idx="141">
                  <c:v>-1.9050306913850932</c:v>
                </c:pt>
                <c:pt idx="142">
                  <c:v>-1.9012082940156319</c:v>
                </c:pt>
                <c:pt idx="143">
                  <c:v>-1.8996099671271338</c:v>
                </c:pt>
                <c:pt idx="144">
                  <c:v>-1.8987383524909376</c:v>
                </c:pt>
                <c:pt idx="145">
                  <c:v>-1.898070571292827</c:v>
                </c:pt>
                <c:pt idx="146">
                  <c:v>-1.8934507974939692</c:v>
                </c:pt>
                <c:pt idx="147">
                  <c:v>-1.8858876002633025</c:v>
                </c:pt>
                <c:pt idx="148">
                  <c:v>-1.885648298684437</c:v>
                </c:pt>
                <c:pt idx="149">
                  <c:v>-1.8855881975395121</c:v>
                </c:pt>
                <c:pt idx="150">
                  <c:v>-1.8823948470872978</c:v>
                </c:pt>
                <c:pt idx="151">
                  <c:v>-1.8804572963579957</c:v>
                </c:pt>
                <c:pt idx="152">
                  <c:v>-1.8796588472284697</c:v>
                </c:pt>
                <c:pt idx="153">
                  <c:v>-1.8794764817724712</c:v>
                </c:pt>
                <c:pt idx="154">
                  <c:v>-1.879247269533721</c:v>
                </c:pt>
                <c:pt idx="155">
                  <c:v>-1.8792481133329275</c:v>
                </c:pt>
                <c:pt idx="156">
                  <c:v>-1.881812481649149</c:v>
                </c:pt>
                <c:pt idx="157">
                  <c:v>-1.8819692708397397</c:v>
                </c:pt>
                <c:pt idx="158">
                  <c:v>-1.8819704576218186</c:v>
                </c:pt>
                <c:pt idx="159">
                  <c:v>-1.8835978525210493</c:v>
                </c:pt>
                <c:pt idx="160">
                  <c:v>-1.8840752875058442</c:v>
                </c:pt>
                <c:pt idx="161">
                  <c:v>-1.8858027828577519</c:v>
                </c:pt>
                <c:pt idx="162">
                  <c:v>-1.8870121743024839</c:v>
                </c:pt>
                <c:pt idx="163">
                  <c:v>-1.8877009554679347</c:v>
                </c:pt>
                <c:pt idx="164">
                  <c:v>-1.8900081942741167</c:v>
                </c:pt>
                <c:pt idx="165">
                  <c:v>-1.8991906916430779</c:v>
                </c:pt>
                <c:pt idx="166">
                  <c:v>-1.8992840447424797</c:v>
                </c:pt>
                <c:pt idx="167">
                  <c:v>-1.8995184481211425</c:v>
                </c:pt>
                <c:pt idx="168">
                  <c:v>-1.9063379920104424</c:v>
                </c:pt>
                <c:pt idx="169">
                  <c:v>-1.9069804839731219</c:v>
                </c:pt>
                <c:pt idx="170">
                  <c:v>-1.9110268631937899</c:v>
                </c:pt>
                <c:pt idx="171">
                  <c:v>-1.9170114500483777</c:v>
                </c:pt>
                <c:pt idx="172">
                  <c:v>-1.9178783939625959</c:v>
                </c:pt>
                <c:pt idx="173">
                  <c:v>-1.9188955468648956</c:v>
                </c:pt>
                <c:pt idx="174">
                  <c:v>-1.9188893038082853</c:v>
                </c:pt>
                <c:pt idx="175">
                  <c:v>-1.9189166515039204</c:v>
                </c:pt>
                <c:pt idx="176">
                  <c:v>-1.9191320598857899</c:v>
                </c:pt>
                <c:pt idx="177">
                  <c:v>-1.9199233470479129</c:v>
                </c:pt>
                <c:pt idx="178">
                  <c:v>-1.9200864820363179</c:v>
                </c:pt>
                <c:pt idx="179">
                  <c:v>-1.9198835160567924</c:v>
                </c:pt>
                <c:pt idx="180">
                  <c:v>-1.9191350911705314</c:v>
                </c:pt>
                <c:pt idx="181">
                  <c:v>-1.9190528318150299</c:v>
                </c:pt>
                <c:pt idx="182">
                  <c:v>-1.9190296468119499</c:v>
                </c:pt>
                <c:pt idx="183">
                  <c:v>-1.9182819370165518</c:v>
                </c:pt>
                <c:pt idx="184">
                  <c:v>-1.9182605387067753</c:v>
                </c:pt>
                <c:pt idx="185">
                  <c:v>-1.9179386649178127</c:v>
                </c:pt>
                <c:pt idx="186">
                  <c:v>-1.9165075019264748</c:v>
                </c:pt>
                <c:pt idx="187">
                  <c:v>-1.917455708456103</c:v>
                </c:pt>
                <c:pt idx="188">
                  <c:v>-1.9176052990594528</c:v>
                </c:pt>
                <c:pt idx="189">
                  <c:v>-1.9196322290287426</c:v>
                </c:pt>
                <c:pt idx="190">
                  <c:v>-1.9197656638062099</c:v>
                </c:pt>
                <c:pt idx="191">
                  <c:v>-1.9199576573443835</c:v>
                </c:pt>
                <c:pt idx="192">
                  <c:v>-1.9278599077977248</c:v>
                </c:pt>
                <c:pt idx="193">
                  <c:v>-1.9280264083691918</c:v>
                </c:pt>
                <c:pt idx="194">
                  <c:v>-1.929466245090488</c:v>
                </c:pt>
                <c:pt idx="195">
                  <c:v>-1.9332759384924429</c:v>
                </c:pt>
                <c:pt idx="196">
                  <c:v>-1.9384438737240473</c:v>
                </c:pt>
                <c:pt idx="197">
                  <c:v>-1.9392771556993793</c:v>
                </c:pt>
                <c:pt idx="198">
                  <c:v>-1.9481531443613207</c:v>
                </c:pt>
                <c:pt idx="199">
                  <c:v>-1.9500221927974692</c:v>
                </c:pt>
                <c:pt idx="200">
                  <c:v>-1.9519782295961932</c:v>
                </c:pt>
                <c:pt idx="201">
                  <c:v>-1.9580323603063405</c:v>
                </c:pt>
                <c:pt idx="202">
                  <c:v>-1.9581603055440979</c:v>
                </c:pt>
                <c:pt idx="203">
                  <c:v>-1.9591218081228448</c:v>
                </c:pt>
                <c:pt idx="204">
                  <c:v>-1.9593422318874758</c:v>
                </c:pt>
                <c:pt idx="205">
                  <c:v>-1.959783071958455</c:v>
                </c:pt>
                <c:pt idx="206">
                  <c:v>-1.9600087633862344</c:v>
                </c:pt>
                <c:pt idx="207">
                  <c:v>-1.9604503776268274</c:v>
                </c:pt>
                <c:pt idx="208">
                  <c:v>-1.9608292334833521</c:v>
                </c:pt>
                <c:pt idx="209">
                  <c:v>-1.9617810511825198</c:v>
                </c:pt>
                <c:pt idx="210">
                  <c:v>-1.9673705693712762</c:v>
                </c:pt>
                <c:pt idx="211">
                  <c:v>-1.9678034974858534</c:v>
                </c:pt>
                <c:pt idx="212">
                  <c:v>-1.9784793392911837</c:v>
                </c:pt>
                <c:pt idx="213">
                  <c:v>-1.9785713492248291</c:v>
                </c:pt>
                <c:pt idx="214">
                  <c:v>-1.986866303988279</c:v>
                </c:pt>
                <c:pt idx="215">
                  <c:v>-1.9929229460736195</c:v>
                </c:pt>
                <c:pt idx="216">
                  <c:v>-2.0014396588836831</c:v>
                </c:pt>
                <c:pt idx="217">
                  <c:v>-2.0105799215217459</c:v>
                </c:pt>
                <c:pt idx="218">
                  <c:v>-2.0115831940960902</c:v>
                </c:pt>
                <c:pt idx="219">
                  <c:v>-2.0179876971656938</c:v>
                </c:pt>
                <c:pt idx="220">
                  <c:v>-2.0216150275916576</c:v>
                </c:pt>
                <c:pt idx="221">
                  <c:v>-2.0230168519074923</c:v>
                </c:pt>
                <c:pt idx="222">
                  <c:v>-2.0370895237236724</c:v>
                </c:pt>
                <c:pt idx="223">
                  <c:v>-2.0525567027658198</c:v>
                </c:pt>
                <c:pt idx="224">
                  <c:v>-2.0614940334760234</c:v>
                </c:pt>
                <c:pt idx="225">
                  <c:v>-2.0671591705753869</c:v>
                </c:pt>
                <c:pt idx="226">
                  <c:v>-2.0638959208135574</c:v>
                </c:pt>
                <c:pt idx="227">
                  <c:v>-2.0630662293709179</c:v>
                </c:pt>
                <c:pt idx="228">
                  <c:v>-2.0595425614998888</c:v>
                </c:pt>
                <c:pt idx="229">
                  <c:v>-2.0573544284388134</c:v>
                </c:pt>
                <c:pt idx="230">
                  <c:v>-2.056283747775538</c:v>
                </c:pt>
                <c:pt idx="231">
                  <c:v>-2.05361720812882</c:v>
                </c:pt>
                <c:pt idx="232">
                  <c:v>-2.0492905238252135</c:v>
                </c:pt>
                <c:pt idx="233">
                  <c:v>-2.0477148495489672</c:v>
                </c:pt>
                <c:pt idx="234">
                  <c:v>-2.0458667710206626</c:v>
                </c:pt>
                <c:pt idx="235">
                  <c:v>-2.0416049624439125</c:v>
                </c:pt>
                <c:pt idx="236">
                  <c:v>-2.0410095514153141</c:v>
                </c:pt>
                <c:pt idx="237">
                  <c:v>-2.0407141195401053</c:v>
                </c:pt>
                <c:pt idx="238">
                  <c:v>-2.0409746692994304</c:v>
                </c:pt>
                <c:pt idx="239">
                  <c:v>-2.0374787968833346</c:v>
                </c:pt>
                <c:pt idx="240">
                  <c:v>-2.0336358147963338</c:v>
                </c:pt>
                <c:pt idx="241">
                  <c:v>-2.0240499149629514</c:v>
                </c:pt>
                <c:pt idx="242">
                  <c:v>-2.0224274677653682</c:v>
                </c:pt>
                <c:pt idx="243">
                  <c:v>-2.0191198446780305</c:v>
                </c:pt>
                <c:pt idx="244">
                  <c:v>-2.0097313688024698</c:v>
                </c:pt>
                <c:pt idx="245">
                  <c:v>-2.0070948542129017</c:v>
                </c:pt>
                <c:pt idx="246">
                  <c:v>-2.0054075499754092</c:v>
                </c:pt>
                <c:pt idx="247">
                  <c:v>-2.003696416704102</c:v>
                </c:pt>
                <c:pt idx="248">
                  <c:v>-2.002474578839248</c:v>
                </c:pt>
                <c:pt idx="249">
                  <c:v>-2.0017961223206626</c:v>
                </c:pt>
                <c:pt idx="250">
                  <c:v>-2.0007671712243322</c:v>
                </c:pt>
                <c:pt idx="251">
                  <c:v>-2.000707164161966</c:v>
                </c:pt>
                <c:pt idx="252">
                  <c:v>-2.0001736019313654</c:v>
                </c:pt>
                <c:pt idx="253">
                  <c:v>-1.9981062294655914</c:v>
                </c:pt>
                <c:pt idx="254">
                  <c:v>-1.9974011413206938</c:v>
                </c:pt>
                <c:pt idx="255">
                  <c:v>-1.9972888815604009</c:v>
                </c:pt>
                <c:pt idx="256">
                  <c:v>-1.9971911751652556</c:v>
                </c:pt>
                <c:pt idx="257">
                  <c:v>-1.9978753278021202</c:v>
                </c:pt>
                <c:pt idx="258">
                  <c:v>-1.9984526015130299</c:v>
                </c:pt>
                <c:pt idx="259">
                  <c:v>-2.0006025034456556</c:v>
                </c:pt>
                <c:pt idx="260">
                  <c:v>-2.0007833218946942</c:v>
                </c:pt>
                <c:pt idx="261">
                  <c:v>-2.0012643578508857</c:v>
                </c:pt>
                <c:pt idx="262">
                  <c:v>-2.0047853893698218</c:v>
                </c:pt>
                <c:pt idx="263">
                  <c:v>-2.0047882200652793</c:v>
                </c:pt>
                <c:pt idx="264">
                  <c:v>-2.0049445947465827</c:v>
                </c:pt>
                <c:pt idx="265">
                  <c:v>-2.0050671824777808</c:v>
                </c:pt>
                <c:pt idx="266">
                  <c:v>-2.0058482365251891</c:v>
                </c:pt>
                <c:pt idx="267">
                  <c:v>-2.0057812532130868</c:v>
                </c:pt>
                <c:pt idx="268">
                  <c:v>-2.0038827147695883</c:v>
                </c:pt>
                <c:pt idx="269">
                  <c:v>-2.0035230471733314</c:v>
                </c:pt>
                <c:pt idx="270">
                  <c:v>-2.0030875701774704</c:v>
                </c:pt>
                <c:pt idx="271">
                  <c:v>-2.0002615128275281</c:v>
                </c:pt>
                <c:pt idx="272">
                  <c:v>-1.9999128569206448</c:v>
                </c:pt>
                <c:pt idx="273">
                  <c:v>-1.9993801935568811</c:v>
                </c:pt>
                <c:pt idx="274">
                  <c:v>-1.9990569394392921</c:v>
                </c:pt>
                <c:pt idx="275">
                  <c:v>-1.9971694316765323</c:v>
                </c:pt>
                <c:pt idx="276">
                  <c:v>-1.9971452818415401</c:v>
                </c:pt>
                <c:pt idx="277">
                  <c:v>-1.9951032794373731</c:v>
                </c:pt>
                <c:pt idx="278">
                  <c:v>-1.9943870989160928</c:v>
                </c:pt>
                <c:pt idx="279">
                  <c:v>-1.9938928581642728</c:v>
                </c:pt>
                <c:pt idx="280">
                  <c:v>-1.9908859563877925</c:v>
                </c:pt>
                <c:pt idx="281">
                  <c:v>-1.990195046493632</c:v>
                </c:pt>
                <c:pt idx="282">
                  <c:v>-1.9883908960010004</c:v>
                </c:pt>
                <c:pt idx="283">
                  <c:v>-1.9882904806066577</c:v>
                </c:pt>
                <c:pt idx="284">
                  <c:v>-1.9873457455276267</c:v>
                </c:pt>
                <c:pt idx="285">
                  <c:v>-1.9873444791076196</c:v>
                </c:pt>
                <c:pt idx="286">
                  <c:v>-1.9851814467536286</c:v>
                </c:pt>
                <c:pt idx="287">
                  <c:v>-1.9845298085105014</c:v>
                </c:pt>
                <c:pt idx="288">
                  <c:v>-1.984386529616188</c:v>
                </c:pt>
                <c:pt idx="289">
                  <c:v>-1.98433440521314</c:v>
                </c:pt>
                <c:pt idx="290">
                  <c:v>-1.9838252644792576</c:v>
                </c:pt>
                <c:pt idx="291">
                  <c:v>-1.9833115008966757</c:v>
                </c:pt>
                <c:pt idx="292">
                  <c:v>-1.9832625692993631</c:v>
                </c:pt>
                <c:pt idx="293">
                  <c:v>-1.9830186497592663</c:v>
                </c:pt>
                <c:pt idx="294">
                  <c:v>-1.9829329722731188</c:v>
                </c:pt>
                <c:pt idx="295">
                  <c:v>-1.9823051084727297</c:v>
                </c:pt>
                <c:pt idx="296">
                  <c:v>-1.9818129392027899</c:v>
                </c:pt>
                <c:pt idx="297">
                  <c:v>-1.9817231299677616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BE-4EDE-9B06-59BDE07897AD}"/>
            </c:ext>
          </c:extLst>
        </c:ser>
        <c:ser>
          <c:idx val="1"/>
          <c:order val="1"/>
          <c:tx>
            <c:strRef>
              <c:f>race_data!$F$1</c:f>
              <c:strCache>
                <c:ptCount val="1"/>
                <c:pt idx="0">
                  <c:v>InigoM</c:v>
                </c:pt>
              </c:strCache>
            </c:strRef>
          </c:tx>
          <c:marker>
            <c:symbol val="none"/>
          </c:marker>
          <c:xVal>
            <c:numRef>
              <c:f>intermediate_data!$A$2:$A$299</c:f>
              <c:numCache>
                <c:formatCode>General</c:formatCode>
                <c:ptCount val="298"/>
                <c:pt idx="0">
                  <c:v>53.683999999999997</c:v>
                </c:pt>
                <c:pt idx="1">
                  <c:v>53.756</c:v>
                </c:pt>
                <c:pt idx="2">
                  <c:v>54.529000000000003</c:v>
                </c:pt>
                <c:pt idx="3">
                  <c:v>55.472999999999999</c:v>
                </c:pt>
                <c:pt idx="4">
                  <c:v>55.91</c:v>
                </c:pt>
                <c:pt idx="5">
                  <c:v>56.984000000000002</c:v>
                </c:pt>
                <c:pt idx="6">
                  <c:v>57.091999999999999</c:v>
                </c:pt>
                <c:pt idx="7">
                  <c:v>57.482999999999997</c:v>
                </c:pt>
                <c:pt idx="8">
                  <c:v>58.719000000000001</c:v>
                </c:pt>
                <c:pt idx="9">
                  <c:v>107.248</c:v>
                </c:pt>
                <c:pt idx="10">
                  <c:v>107.48399999999999</c:v>
                </c:pt>
                <c:pt idx="11">
                  <c:v>109.506</c:v>
                </c:pt>
                <c:pt idx="12">
                  <c:v>111.09399999999999</c:v>
                </c:pt>
                <c:pt idx="13">
                  <c:v>111.527</c:v>
                </c:pt>
                <c:pt idx="14">
                  <c:v>112.53</c:v>
                </c:pt>
                <c:pt idx="15">
                  <c:v>113.36199999999999</c:v>
                </c:pt>
                <c:pt idx="16">
                  <c:v>113.758</c:v>
                </c:pt>
                <c:pt idx="17">
                  <c:v>115.387</c:v>
                </c:pt>
                <c:pt idx="18">
                  <c:v>160.595</c:v>
                </c:pt>
                <c:pt idx="19">
                  <c:v>160.697</c:v>
                </c:pt>
                <c:pt idx="20">
                  <c:v>163.79</c:v>
                </c:pt>
                <c:pt idx="21">
                  <c:v>166.34</c:v>
                </c:pt>
                <c:pt idx="22">
                  <c:v>166.87200000000001</c:v>
                </c:pt>
                <c:pt idx="23">
                  <c:v>167.84800000000001</c:v>
                </c:pt>
                <c:pt idx="24">
                  <c:v>169.19900000000001</c:v>
                </c:pt>
                <c:pt idx="25">
                  <c:v>170.291</c:v>
                </c:pt>
                <c:pt idx="26">
                  <c:v>171.417</c:v>
                </c:pt>
                <c:pt idx="27">
                  <c:v>214.05799999999999</c:v>
                </c:pt>
                <c:pt idx="28">
                  <c:v>214.31100000000001</c:v>
                </c:pt>
                <c:pt idx="29">
                  <c:v>217.57599999999999</c:v>
                </c:pt>
                <c:pt idx="30">
                  <c:v>221.208</c:v>
                </c:pt>
                <c:pt idx="31">
                  <c:v>222.99600000000001</c:v>
                </c:pt>
                <c:pt idx="32">
                  <c:v>223.346</c:v>
                </c:pt>
                <c:pt idx="33">
                  <c:v>224.792</c:v>
                </c:pt>
                <c:pt idx="34">
                  <c:v>227.23699999999999</c:v>
                </c:pt>
                <c:pt idx="35">
                  <c:v>227.387</c:v>
                </c:pt>
                <c:pt idx="36">
                  <c:v>267.20299999999997</c:v>
                </c:pt>
                <c:pt idx="37">
                  <c:v>267.286</c:v>
                </c:pt>
                <c:pt idx="38">
                  <c:v>271.62</c:v>
                </c:pt>
                <c:pt idx="39">
                  <c:v>276.245</c:v>
                </c:pt>
                <c:pt idx="40">
                  <c:v>278.11500000000001</c:v>
                </c:pt>
                <c:pt idx="41">
                  <c:v>278.77100000000002</c:v>
                </c:pt>
                <c:pt idx="42">
                  <c:v>280.43099999999998</c:v>
                </c:pt>
                <c:pt idx="43">
                  <c:v>283.97699999999998</c:v>
                </c:pt>
                <c:pt idx="44">
                  <c:v>284.36900000000003</c:v>
                </c:pt>
                <c:pt idx="45">
                  <c:v>319.94</c:v>
                </c:pt>
                <c:pt idx="46">
                  <c:v>320.41699999999997</c:v>
                </c:pt>
                <c:pt idx="47">
                  <c:v>325.77699999999999</c:v>
                </c:pt>
                <c:pt idx="48">
                  <c:v>331.447</c:v>
                </c:pt>
                <c:pt idx="49">
                  <c:v>333.30500000000001</c:v>
                </c:pt>
                <c:pt idx="50">
                  <c:v>333.83100000000002</c:v>
                </c:pt>
                <c:pt idx="51">
                  <c:v>335.64</c:v>
                </c:pt>
                <c:pt idx="52">
                  <c:v>340.83300000000003</c:v>
                </c:pt>
                <c:pt idx="53">
                  <c:v>341.09199999999998</c:v>
                </c:pt>
                <c:pt idx="54">
                  <c:v>372.53500000000003</c:v>
                </c:pt>
                <c:pt idx="55">
                  <c:v>373.22</c:v>
                </c:pt>
                <c:pt idx="56">
                  <c:v>380.05599999999998</c:v>
                </c:pt>
                <c:pt idx="57">
                  <c:v>386.74900000000002</c:v>
                </c:pt>
                <c:pt idx="58">
                  <c:v>388.19299999999998</c:v>
                </c:pt>
                <c:pt idx="59">
                  <c:v>388.30299999999988</c:v>
                </c:pt>
                <c:pt idx="60">
                  <c:v>391.55099999999999</c:v>
                </c:pt>
                <c:pt idx="61">
                  <c:v>397.34199999999998</c:v>
                </c:pt>
                <c:pt idx="62">
                  <c:v>397.60199999999998</c:v>
                </c:pt>
                <c:pt idx="63">
                  <c:v>425.07600000000002</c:v>
                </c:pt>
                <c:pt idx="64">
                  <c:v>426.26299999999998</c:v>
                </c:pt>
                <c:pt idx="65">
                  <c:v>434.23099999999999</c:v>
                </c:pt>
                <c:pt idx="66">
                  <c:v>442.30500000000001</c:v>
                </c:pt>
                <c:pt idx="67">
                  <c:v>442.87700000000001</c:v>
                </c:pt>
                <c:pt idx="68">
                  <c:v>443.70699999999999</c:v>
                </c:pt>
                <c:pt idx="69">
                  <c:v>447.20600000000002</c:v>
                </c:pt>
                <c:pt idx="70">
                  <c:v>453.82100000000003</c:v>
                </c:pt>
                <c:pt idx="71">
                  <c:v>454.59500000000003</c:v>
                </c:pt>
                <c:pt idx="72">
                  <c:v>477.66599999999988</c:v>
                </c:pt>
                <c:pt idx="73">
                  <c:v>479.28800000000001</c:v>
                </c:pt>
                <c:pt idx="74">
                  <c:v>488.19099999999997</c:v>
                </c:pt>
                <c:pt idx="75">
                  <c:v>497.56099999999998</c:v>
                </c:pt>
                <c:pt idx="76">
                  <c:v>497.72300000000001</c:v>
                </c:pt>
                <c:pt idx="77">
                  <c:v>498.91699999999997</c:v>
                </c:pt>
                <c:pt idx="78">
                  <c:v>502.58499999999998</c:v>
                </c:pt>
                <c:pt idx="79">
                  <c:v>509.87099999999998</c:v>
                </c:pt>
                <c:pt idx="80">
                  <c:v>511.53800000000001</c:v>
                </c:pt>
                <c:pt idx="81">
                  <c:v>530.65299999999991</c:v>
                </c:pt>
                <c:pt idx="82">
                  <c:v>532.33299999999997</c:v>
                </c:pt>
                <c:pt idx="83">
                  <c:v>541.52099999999996</c:v>
                </c:pt>
                <c:pt idx="84">
                  <c:v>551.93500000000006</c:v>
                </c:pt>
                <c:pt idx="85">
                  <c:v>552.71499999999992</c:v>
                </c:pt>
                <c:pt idx="86">
                  <c:v>553.38400000000001</c:v>
                </c:pt>
                <c:pt idx="87">
                  <c:v>558.18000000000006</c:v>
                </c:pt>
                <c:pt idx="88">
                  <c:v>566.23699999999997</c:v>
                </c:pt>
                <c:pt idx="89">
                  <c:v>569.47499999999991</c:v>
                </c:pt>
                <c:pt idx="90">
                  <c:v>583.65299999999991</c:v>
                </c:pt>
                <c:pt idx="91">
                  <c:v>585.43899999999996</c:v>
                </c:pt>
                <c:pt idx="92">
                  <c:v>594.96499999999992</c:v>
                </c:pt>
                <c:pt idx="93">
                  <c:v>606.97200000000009</c:v>
                </c:pt>
                <c:pt idx="94">
                  <c:v>607.32999999999993</c:v>
                </c:pt>
                <c:pt idx="95">
                  <c:v>608.36599999999999</c:v>
                </c:pt>
                <c:pt idx="96">
                  <c:v>613.03800000000001</c:v>
                </c:pt>
                <c:pt idx="97">
                  <c:v>621.69099999999992</c:v>
                </c:pt>
                <c:pt idx="98">
                  <c:v>625.02299999999991</c:v>
                </c:pt>
                <c:pt idx="99">
                  <c:v>636.24399999999991</c:v>
                </c:pt>
                <c:pt idx="100">
                  <c:v>638.471</c:v>
                </c:pt>
                <c:pt idx="101">
                  <c:v>648.21699999999987</c:v>
                </c:pt>
                <c:pt idx="102">
                  <c:v>661.52299999999991</c:v>
                </c:pt>
                <c:pt idx="103">
                  <c:v>661.65100000000007</c:v>
                </c:pt>
                <c:pt idx="104">
                  <c:v>663.02</c:v>
                </c:pt>
                <c:pt idx="105">
                  <c:v>668.73</c:v>
                </c:pt>
                <c:pt idx="106">
                  <c:v>677.15299999999991</c:v>
                </c:pt>
                <c:pt idx="107">
                  <c:v>680.47199999999987</c:v>
                </c:pt>
                <c:pt idx="108">
                  <c:v>688.80799999999988</c:v>
                </c:pt>
                <c:pt idx="109">
                  <c:v>691.47199999999998</c:v>
                </c:pt>
                <c:pt idx="110">
                  <c:v>701.5089999999999</c:v>
                </c:pt>
                <c:pt idx="111">
                  <c:v>716.07599999999991</c:v>
                </c:pt>
                <c:pt idx="112">
                  <c:v>716.20200000000011</c:v>
                </c:pt>
                <c:pt idx="113">
                  <c:v>717.66599999999994</c:v>
                </c:pt>
                <c:pt idx="114">
                  <c:v>724.04100000000005</c:v>
                </c:pt>
                <c:pt idx="115">
                  <c:v>733.63499999999988</c:v>
                </c:pt>
                <c:pt idx="116">
                  <c:v>737.13299999999981</c:v>
                </c:pt>
                <c:pt idx="117">
                  <c:v>741.71299999999985</c:v>
                </c:pt>
                <c:pt idx="118">
                  <c:v>744.25900000000001</c:v>
                </c:pt>
                <c:pt idx="119">
                  <c:v>754.44999999999993</c:v>
                </c:pt>
                <c:pt idx="120">
                  <c:v>770.65599999999995</c:v>
                </c:pt>
                <c:pt idx="121">
                  <c:v>770.76300000000015</c:v>
                </c:pt>
                <c:pt idx="122">
                  <c:v>772.13699999999994</c:v>
                </c:pt>
                <c:pt idx="123">
                  <c:v>779.18400000000008</c:v>
                </c:pt>
                <c:pt idx="124">
                  <c:v>789.3359999999999</c:v>
                </c:pt>
                <c:pt idx="125">
                  <c:v>794.03099999999984</c:v>
                </c:pt>
                <c:pt idx="126">
                  <c:v>794.50299999999982</c:v>
                </c:pt>
                <c:pt idx="127">
                  <c:v>797.92899999999997</c:v>
                </c:pt>
                <c:pt idx="128">
                  <c:v>808.10399999999993</c:v>
                </c:pt>
                <c:pt idx="129">
                  <c:v>825.70099999999991</c:v>
                </c:pt>
                <c:pt idx="130">
                  <c:v>826.44900000000018</c:v>
                </c:pt>
                <c:pt idx="131">
                  <c:v>826.54</c:v>
                </c:pt>
                <c:pt idx="132">
                  <c:v>834.33500000000004</c:v>
                </c:pt>
                <c:pt idx="133">
                  <c:v>845.66899999999987</c:v>
                </c:pt>
                <c:pt idx="134">
                  <c:v>846.68199999999979</c:v>
                </c:pt>
                <c:pt idx="135">
                  <c:v>850.2489999999998</c:v>
                </c:pt>
                <c:pt idx="136">
                  <c:v>851.06</c:v>
                </c:pt>
                <c:pt idx="137">
                  <c:v>862.00699999999995</c:v>
                </c:pt>
                <c:pt idx="138">
                  <c:v>879.50599999999986</c:v>
                </c:pt>
                <c:pt idx="139">
                  <c:v>880.33399999999995</c:v>
                </c:pt>
                <c:pt idx="140">
                  <c:v>880.38000000000022</c:v>
                </c:pt>
                <c:pt idx="141">
                  <c:v>889.13300000000004</c:v>
                </c:pt>
                <c:pt idx="142">
                  <c:v>899.13499999999976</c:v>
                </c:pt>
                <c:pt idx="143">
                  <c:v>902.08499999999981</c:v>
                </c:pt>
                <c:pt idx="144">
                  <c:v>903.89799999999991</c:v>
                </c:pt>
                <c:pt idx="145">
                  <c:v>905.23399999999981</c:v>
                </c:pt>
                <c:pt idx="146">
                  <c:v>914.92899999999997</c:v>
                </c:pt>
                <c:pt idx="147">
                  <c:v>933.46699999999987</c:v>
                </c:pt>
                <c:pt idx="148">
                  <c:v>934.0619999999999</c:v>
                </c:pt>
                <c:pt idx="149">
                  <c:v>934.23800000000017</c:v>
                </c:pt>
                <c:pt idx="150">
                  <c:v>944.41399999999999</c:v>
                </c:pt>
                <c:pt idx="151">
                  <c:v>951.75499999999977</c:v>
                </c:pt>
                <c:pt idx="152">
                  <c:v>956.57899999999995</c:v>
                </c:pt>
                <c:pt idx="153">
                  <c:v>959.00699999999983</c:v>
                </c:pt>
                <c:pt idx="154">
                  <c:v>960.36199999999985</c:v>
                </c:pt>
                <c:pt idx="155">
                  <c:v>968.27699999999993</c:v>
                </c:pt>
                <c:pt idx="156">
                  <c:v>987.40599999999984</c:v>
                </c:pt>
                <c:pt idx="157">
                  <c:v>988.2829999999999</c:v>
                </c:pt>
                <c:pt idx="158">
                  <c:v>988.29300000000012</c:v>
                </c:pt>
                <c:pt idx="159">
                  <c:v>1000.082</c:v>
                </c:pt>
                <c:pt idx="160">
                  <c:v>1004.273</c:v>
                </c:pt>
                <c:pt idx="161">
                  <c:v>1009.982</c:v>
                </c:pt>
                <c:pt idx="162">
                  <c:v>1015.061</c:v>
                </c:pt>
                <c:pt idx="163">
                  <c:v>1017.0119999999999</c:v>
                </c:pt>
                <c:pt idx="164">
                  <c:v>1022.78</c:v>
                </c:pt>
                <c:pt idx="165">
                  <c:v>1041.758</c:v>
                </c:pt>
                <c:pt idx="166">
                  <c:v>1041.9860000000001</c:v>
                </c:pt>
                <c:pt idx="167">
                  <c:v>1042.5309999999999</c:v>
                </c:pt>
                <c:pt idx="168">
                  <c:v>1055.546</c:v>
                </c:pt>
                <c:pt idx="169">
                  <c:v>1056.577</c:v>
                </c:pt>
                <c:pt idx="170">
                  <c:v>1062.8579999999999</c:v>
                </c:pt>
                <c:pt idx="171">
                  <c:v>1072.2570000000001</c:v>
                </c:pt>
                <c:pt idx="172">
                  <c:v>1074.1559999999999</c:v>
                </c:pt>
                <c:pt idx="173">
                  <c:v>1078.1659999999999</c:v>
                </c:pt>
                <c:pt idx="174">
                  <c:v>1095.5119999999999</c:v>
                </c:pt>
                <c:pt idx="175">
                  <c:v>1095.8789999999999</c:v>
                </c:pt>
                <c:pt idx="176">
                  <c:v>1097.713</c:v>
                </c:pt>
                <c:pt idx="177">
                  <c:v>1108.8510000000001</c:v>
                </c:pt>
                <c:pt idx="178">
                  <c:v>1112.067</c:v>
                </c:pt>
                <c:pt idx="179">
                  <c:v>1115.752</c:v>
                </c:pt>
                <c:pt idx="180">
                  <c:v>1127.6790000000001</c:v>
                </c:pt>
                <c:pt idx="181">
                  <c:v>1129.2570000000001</c:v>
                </c:pt>
                <c:pt idx="182">
                  <c:v>1131.1469999999999</c:v>
                </c:pt>
                <c:pt idx="183">
                  <c:v>1149.9880000000001</c:v>
                </c:pt>
                <c:pt idx="184">
                  <c:v>1150.1880000000001</c:v>
                </c:pt>
                <c:pt idx="185">
                  <c:v>1152.442</c:v>
                </c:pt>
                <c:pt idx="186">
                  <c:v>1161.1489999999999</c:v>
                </c:pt>
                <c:pt idx="187">
                  <c:v>1167.48</c:v>
                </c:pt>
                <c:pt idx="188">
                  <c:v>1168.566</c:v>
                </c:pt>
                <c:pt idx="189">
                  <c:v>1183.204</c:v>
                </c:pt>
                <c:pt idx="190">
                  <c:v>1183.8610000000001</c:v>
                </c:pt>
                <c:pt idx="191">
                  <c:v>1184.771</c:v>
                </c:pt>
                <c:pt idx="192">
                  <c:v>1203.7750000000001</c:v>
                </c:pt>
                <c:pt idx="193">
                  <c:v>1204.1310000000001</c:v>
                </c:pt>
                <c:pt idx="194">
                  <c:v>1206.932</c:v>
                </c:pt>
                <c:pt idx="195">
                  <c:v>1213.0440000000001</c:v>
                </c:pt>
                <c:pt idx="196">
                  <c:v>1221.4059999999999</c:v>
                </c:pt>
                <c:pt idx="197">
                  <c:v>1222.7739999999999</c:v>
                </c:pt>
                <c:pt idx="198">
                  <c:v>1236.6559999999999</c:v>
                </c:pt>
                <c:pt idx="199">
                  <c:v>1239.4690000000001</c:v>
                </c:pt>
                <c:pt idx="200">
                  <c:v>1242.714999999999</c:v>
                </c:pt>
                <c:pt idx="201">
                  <c:v>1258.1849999999999</c:v>
                </c:pt>
                <c:pt idx="202">
                  <c:v>1258.5820000000001</c:v>
                </c:pt>
                <c:pt idx="203">
                  <c:v>1262.6769999999999</c:v>
                </c:pt>
                <c:pt idx="204">
                  <c:v>1264.9359999999999</c:v>
                </c:pt>
                <c:pt idx="205">
                  <c:v>1274.2059999999999</c:v>
                </c:pt>
                <c:pt idx="206">
                  <c:v>1278.5029999999999</c:v>
                </c:pt>
                <c:pt idx="207">
                  <c:v>1289.8050000000001</c:v>
                </c:pt>
                <c:pt idx="208">
                  <c:v>1295.049</c:v>
                </c:pt>
                <c:pt idx="209">
                  <c:v>1298.196999999999</c:v>
                </c:pt>
                <c:pt idx="210">
                  <c:v>1311.886</c:v>
                </c:pt>
                <c:pt idx="211">
                  <c:v>1312.077</c:v>
                </c:pt>
                <c:pt idx="212">
                  <c:v>1316.857</c:v>
                </c:pt>
                <c:pt idx="213">
                  <c:v>1316.8969999999999</c:v>
                </c:pt>
                <c:pt idx="214">
                  <c:v>1327.0650000000001</c:v>
                </c:pt>
                <c:pt idx="215">
                  <c:v>1334.078</c:v>
                </c:pt>
                <c:pt idx="216">
                  <c:v>1343.328</c:v>
                </c:pt>
                <c:pt idx="217">
                  <c:v>1353.5630000000001</c:v>
                </c:pt>
                <c:pt idx="218">
                  <c:v>1355.049999999999</c:v>
                </c:pt>
                <c:pt idx="219">
                  <c:v>1365.2909999999999</c:v>
                </c:pt>
                <c:pt idx="220">
                  <c:v>1371.1030000000001</c:v>
                </c:pt>
                <c:pt idx="221">
                  <c:v>1371.922</c:v>
                </c:pt>
                <c:pt idx="222">
                  <c:v>1380.578</c:v>
                </c:pt>
                <c:pt idx="223">
                  <c:v>1390.499</c:v>
                </c:pt>
                <c:pt idx="224">
                  <c:v>1396.672</c:v>
                </c:pt>
                <c:pt idx="225">
                  <c:v>1400.73</c:v>
                </c:pt>
                <c:pt idx="226">
                  <c:v>1409.2739999999999</c:v>
                </c:pt>
                <c:pt idx="227">
                  <c:v>1411.327</c:v>
                </c:pt>
                <c:pt idx="228">
                  <c:v>1418.57</c:v>
                </c:pt>
                <c:pt idx="229">
                  <c:v>1423.5709999999999</c:v>
                </c:pt>
                <c:pt idx="230">
                  <c:v>1426.067</c:v>
                </c:pt>
                <c:pt idx="231">
                  <c:v>1433.5509999999999</c:v>
                </c:pt>
                <c:pt idx="232">
                  <c:v>1445.6969999999999</c:v>
                </c:pt>
                <c:pt idx="233">
                  <c:v>1449.5250000000001</c:v>
                </c:pt>
                <c:pt idx="234">
                  <c:v>1454.1659999999999</c:v>
                </c:pt>
                <c:pt idx="235">
                  <c:v>1464.6569999999999</c:v>
                </c:pt>
                <c:pt idx="236">
                  <c:v>1466.481</c:v>
                </c:pt>
                <c:pt idx="237">
                  <c:v>1472.396</c:v>
                </c:pt>
                <c:pt idx="238">
                  <c:v>1476.029</c:v>
                </c:pt>
                <c:pt idx="239">
                  <c:v>1481.104</c:v>
                </c:pt>
                <c:pt idx="240">
                  <c:v>1486.4649999999999</c:v>
                </c:pt>
                <c:pt idx="241">
                  <c:v>1500.1189999999999</c:v>
                </c:pt>
                <c:pt idx="242">
                  <c:v>1502.5119999999999</c:v>
                </c:pt>
                <c:pt idx="243">
                  <c:v>1507.4490000000001</c:v>
                </c:pt>
                <c:pt idx="244">
                  <c:v>1521.09</c:v>
                </c:pt>
                <c:pt idx="245">
                  <c:v>1525.5940000000001</c:v>
                </c:pt>
                <c:pt idx="246">
                  <c:v>1527.826</c:v>
                </c:pt>
                <c:pt idx="247">
                  <c:v>1529.7850000000001</c:v>
                </c:pt>
                <c:pt idx="248">
                  <c:v>1535.702</c:v>
                </c:pt>
                <c:pt idx="249">
                  <c:v>1539.453</c:v>
                </c:pt>
                <c:pt idx="250">
                  <c:v>1554.7650000000001</c:v>
                </c:pt>
                <c:pt idx="251">
                  <c:v>1555.56</c:v>
                </c:pt>
                <c:pt idx="252">
                  <c:v>1560.393</c:v>
                </c:pt>
                <c:pt idx="253">
                  <c:v>1578.941</c:v>
                </c:pt>
                <c:pt idx="254">
                  <c:v>1581.6189999999999</c:v>
                </c:pt>
                <c:pt idx="255">
                  <c:v>1582.057</c:v>
                </c:pt>
                <c:pt idx="256">
                  <c:v>1582.367</c:v>
                </c:pt>
                <c:pt idx="257">
                  <c:v>1590.6369999999999</c:v>
                </c:pt>
                <c:pt idx="258">
                  <c:v>1593.943</c:v>
                </c:pt>
                <c:pt idx="259">
                  <c:v>1608.1479999999999</c:v>
                </c:pt>
                <c:pt idx="260">
                  <c:v>1609.2860000000001</c:v>
                </c:pt>
                <c:pt idx="261">
                  <c:v>1613.3009999999999</c:v>
                </c:pt>
                <c:pt idx="262">
                  <c:v>1634.2470000000001</c:v>
                </c:pt>
                <c:pt idx="263">
                  <c:v>1634.453</c:v>
                </c:pt>
                <c:pt idx="264">
                  <c:v>1635.501</c:v>
                </c:pt>
                <c:pt idx="265">
                  <c:v>1637.64</c:v>
                </c:pt>
                <c:pt idx="266">
                  <c:v>1646.942</c:v>
                </c:pt>
                <c:pt idx="267">
                  <c:v>1648.1289999999999</c:v>
                </c:pt>
                <c:pt idx="268">
                  <c:v>1660.857</c:v>
                </c:pt>
                <c:pt idx="269">
                  <c:v>1663.2570000000001</c:v>
                </c:pt>
                <c:pt idx="270">
                  <c:v>1666.9079999999999</c:v>
                </c:pt>
                <c:pt idx="271">
                  <c:v>1686.402</c:v>
                </c:pt>
                <c:pt idx="272">
                  <c:v>1688.105</c:v>
                </c:pt>
                <c:pt idx="273">
                  <c:v>1692.096</c:v>
                </c:pt>
                <c:pt idx="274">
                  <c:v>1693.64</c:v>
                </c:pt>
                <c:pt idx="275">
                  <c:v>1700.982</c:v>
                </c:pt>
                <c:pt idx="276">
                  <c:v>1701.133</c:v>
                </c:pt>
                <c:pt idx="277">
                  <c:v>1713.537</c:v>
                </c:pt>
                <c:pt idx="278">
                  <c:v>1717.67</c:v>
                </c:pt>
                <c:pt idx="279">
                  <c:v>1720.1189999999999</c:v>
                </c:pt>
                <c:pt idx="280">
                  <c:v>1738.673</c:v>
                </c:pt>
                <c:pt idx="281">
                  <c:v>1741.722</c:v>
                </c:pt>
                <c:pt idx="282">
                  <c:v>1748.4749999999999</c:v>
                </c:pt>
                <c:pt idx="283">
                  <c:v>1748.867</c:v>
                </c:pt>
                <c:pt idx="284">
                  <c:v>1755.2349999999999</c:v>
                </c:pt>
                <c:pt idx="285">
                  <c:v>1755.2439999999999</c:v>
                </c:pt>
                <c:pt idx="286">
                  <c:v>1766.07</c:v>
                </c:pt>
                <c:pt idx="287">
                  <c:v>1771.6389999999999</c:v>
                </c:pt>
                <c:pt idx="288">
                  <c:v>1773.8879999999999</c:v>
                </c:pt>
                <c:pt idx="289">
                  <c:v>1791.0740000000001</c:v>
                </c:pt>
                <c:pt idx="290">
                  <c:v>1794.713</c:v>
                </c:pt>
                <c:pt idx="291">
                  <c:v>1805.02</c:v>
                </c:pt>
                <c:pt idx="292">
                  <c:v>1805.8710000000001</c:v>
                </c:pt>
                <c:pt idx="293">
                  <c:v>1808.5830000000001</c:v>
                </c:pt>
                <c:pt idx="294">
                  <c:v>1809.4469999999999</c:v>
                </c:pt>
                <c:pt idx="295">
                  <c:v>1819.8219999999999</c:v>
                </c:pt>
                <c:pt idx="296">
                  <c:v>1826.442</c:v>
                </c:pt>
                <c:pt idx="297">
                  <c:v>1828.6089999999999</c:v>
                </c:pt>
              </c:numCache>
            </c:numRef>
          </c:xVal>
          <c:yVal>
            <c:numRef>
              <c:f>intermediate_data!$AE$2:$AE$299</c:f>
              <c:numCache>
                <c:formatCode>General</c:formatCode>
                <c:ptCount val="298"/>
                <c:pt idx="0">
                  <c:v>-2.2260928624342853</c:v>
                </c:pt>
                <c:pt idx="1">
                  <c:v>-2.2259565124772038</c:v>
                </c:pt>
                <c:pt idx="2">
                  <c:v>-2.2240632337551034</c:v>
                </c:pt>
                <c:pt idx="3">
                  <c:v>-2.2227058448953372</c:v>
                </c:pt>
                <c:pt idx="4">
                  <c:v>-2.2222231775478889</c:v>
                </c:pt>
                <c:pt idx="5">
                  <c:v>-2.220451451195629</c:v>
                </c:pt>
                <c:pt idx="6">
                  <c:v>-2.2199784618744687</c:v>
                </c:pt>
                <c:pt idx="7">
                  <c:v>-2.2179698510729366</c:v>
                </c:pt>
                <c:pt idx="8">
                  <c:v>-2.2081465038212826</c:v>
                </c:pt>
                <c:pt idx="9">
                  <c:v>-1.9057177001801904</c:v>
                </c:pt>
                <c:pt idx="10">
                  <c:v>-1.9048788175965043</c:v>
                </c:pt>
                <c:pt idx="11">
                  <c:v>-1.9074709831425807</c:v>
                </c:pt>
                <c:pt idx="12">
                  <c:v>-1.9082979798054964</c:v>
                </c:pt>
                <c:pt idx="13">
                  <c:v>-1.9083563805831645</c:v>
                </c:pt>
                <c:pt idx="14">
                  <c:v>-1.9082190916530664</c:v>
                </c:pt>
                <c:pt idx="15">
                  <c:v>-1.9079198572852007</c:v>
                </c:pt>
                <c:pt idx="16">
                  <c:v>-1.9077628864190075</c:v>
                </c:pt>
                <c:pt idx="17">
                  <c:v>-1.9069272531796742</c:v>
                </c:pt>
                <c:pt idx="18">
                  <c:v>-1.8712565317995455</c:v>
                </c:pt>
                <c:pt idx="19">
                  <c:v>-1.8712078655307707</c:v>
                </c:pt>
                <c:pt idx="20">
                  <c:v>-1.8630524393682961</c:v>
                </c:pt>
                <c:pt idx="21">
                  <c:v>-1.855665756984358</c:v>
                </c:pt>
                <c:pt idx="22">
                  <c:v>-1.8540176699453568</c:v>
                </c:pt>
                <c:pt idx="23">
                  <c:v>-1.8517382476482709</c:v>
                </c:pt>
                <c:pt idx="24">
                  <c:v>-1.8484748206682298</c:v>
                </c:pt>
                <c:pt idx="25">
                  <c:v>-1.8457030994188983</c:v>
                </c:pt>
                <c:pt idx="26">
                  <c:v>-1.8431697785924257</c:v>
                </c:pt>
                <c:pt idx="27">
                  <c:v>-1.7656352847555894</c:v>
                </c:pt>
                <c:pt idx="28">
                  <c:v>-1.7652227595142804</c:v>
                </c:pt>
                <c:pt idx="29">
                  <c:v>-1.7685268063444326</c:v>
                </c:pt>
                <c:pt idx="30">
                  <c:v>-1.7725812601792512</c:v>
                </c:pt>
                <c:pt idx="31">
                  <c:v>-1.7746804911378717</c:v>
                </c:pt>
                <c:pt idx="32">
                  <c:v>-1.7750823278666203</c:v>
                </c:pt>
                <c:pt idx="33">
                  <c:v>-1.7759957996754849</c:v>
                </c:pt>
                <c:pt idx="34">
                  <c:v>-1.7775678069657133</c:v>
                </c:pt>
                <c:pt idx="35">
                  <c:v>-1.7776759510529274</c:v>
                </c:pt>
                <c:pt idx="36">
                  <c:v>-1.8119171978557489</c:v>
                </c:pt>
                <c:pt idx="37">
                  <c:v>-1.8119624209652017</c:v>
                </c:pt>
                <c:pt idx="38">
                  <c:v>-1.8120583128425736</c:v>
                </c:pt>
                <c:pt idx="39">
                  <c:v>-1.8123765594517707</c:v>
                </c:pt>
                <c:pt idx="40">
                  <c:v>-1.812626072471808</c:v>
                </c:pt>
                <c:pt idx="41">
                  <c:v>-1.8127314319297696</c:v>
                </c:pt>
                <c:pt idx="42">
                  <c:v>-1.8127556391591142</c:v>
                </c:pt>
                <c:pt idx="43">
                  <c:v>-1.812213501378622</c:v>
                </c:pt>
                <c:pt idx="44">
                  <c:v>-1.8122303517921807</c:v>
                </c:pt>
                <c:pt idx="45">
                  <c:v>-1.805786969724906</c:v>
                </c:pt>
                <c:pt idx="46">
                  <c:v>-1.8056845718565455</c:v>
                </c:pt>
                <c:pt idx="47">
                  <c:v>-1.8093877725802514</c:v>
                </c:pt>
                <c:pt idx="48">
                  <c:v>-1.81341273972523</c:v>
                </c:pt>
                <c:pt idx="49">
                  <c:v>-1.8147631671043243</c:v>
                </c:pt>
                <c:pt idx="50">
                  <c:v>-1.8150895255009019</c:v>
                </c:pt>
                <c:pt idx="51">
                  <c:v>-1.8158463459234824</c:v>
                </c:pt>
                <c:pt idx="52">
                  <c:v>-1.8191458878914091</c:v>
                </c:pt>
                <c:pt idx="53">
                  <c:v>-1.8193113987842793</c:v>
                </c:pt>
                <c:pt idx="54">
                  <c:v>-1.8323199669501236</c:v>
                </c:pt>
                <c:pt idx="55">
                  <c:v>-1.8325664221668205</c:v>
                </c:pt>
                <c:pt idx="56">
                  <c:v>-1.8311169343668254</c:v>
                </c:pt>
                <c:pt idx="57">
                  <c:v>-1.8295411852469599</c:v>
                </c:pt>
                <c:pt idx="58">
                  <c:v>-1.8293122971640869</c:v>
                </c:pt>
                <c:pt idx="59">
                  <c:v>-1.8293145896150023</c:v>
                </c:pt>
                <c:pt idx="60">
                  <c:v>-1.8294778206329383</c:v>
                </c:pt>
                <c:pt idx="61">
                  <c:v>-1.8293572454515186</c:v>
                </c:pt>
                <c:pt idx="62">
                  <c:v>-1.8293498389883069</c:v>
                </c:pt>
                <c:pt idx="63">
                  <c:v>-1.8318899501787911</c:v>
                </c:pt>
                <c:pt idx="64">
                  <c:v>-1.8320089157184185</c:v>
                </c:pt>
                <c:pt idx="65">
                  <c:v>-1.8330842292829246</c:v>
                </c:pt>
                <c:pt idx="66">
                  <c:v>-1.8336809697297269</c:v>
                </c:pt>
                <c:pt idx="67">
                  <c:v>-1.8336798237903622</c:v>
                </c:pt>
                <c:pt idx="68">
                  <c:v>-1.8337355223951093</c:v>
                </c:pt>
                <c:pt idx="69">
                  <c:v>-1.8337062020119888</c:v>
                </c:pt>
                <c:pt idx="70">
                  <c:v>-1.8332116780449326</c:v>
                </c:pt>
                <c:pt idx="71">
                  <c:v>-1.8330769297187928</c:v>
                </c:pt>
                <c:pt idx="72">
                  <c:v>-1.8290119121674024</c:v>
                </c:pt>
                <c:pt idx="73">
                  <c:v>-1.8289035265351998</c:v>
                </c:pt>
                <c:pt idx="74">
                  <c:v>-1.8279975424446846</c:v>
                </c:pt>
                <c:pt idx="75">
                  <c:v>-1.8256899342006108</c:v>
                </c:pt>
                <c:pt idx="76">
                  <c:v>-1.8256186094017366</c:v>
                </c:pt>
                <c:pt idx="77">
                  <c:v>-1.8251334020823293</c:v>
                </c:pt>
                <c:pt idx="78">
                  <c:v>-1.823049817035745</c:v>
                </c:pt>
                <c:pt idx="79">
                  <c:v>-1.8193387566591568</c:v>
                </c:pt>
                <c:pt idx="80">
                  <c:v>-1.8186145119681782</c:v>
                </c:pt>
                <c:pt idx="81">
                  <c:v>-1.8142925140165289</c:v>
                </c:pt>
                <c:pt idx="82">
                  <c:v>-1.8139325450252812</c:v>
                </c:pt>
                <c:pt idx="83">
                  <c:v>-1.8110863388867529</c:v>
                </c:pt>
                <c:pt idx="84">
                  <c:v>-1.8082297601430497</c:v>
                </c:pt>
                <c:pt idx="85">
                  <c:v>-1.8081253945789797</c:v>
                </c:pt>
                <c:pt idx="86">
                  <c:v>-1.8079850441675731</c:v>
                </c:pt>
                <c:pt idx="87">
                  <c:v>-1.8074860640727834</c:v>
                </c:pt>
                <c:pt idx="88">
                  <c:v>-1.8055098867391237</c:v>
                </c:pt>
                <c:pt idx="89">
                  <c:v>-1.804173340081114</c:v>
                </c:pt>
                <c:pt idx="90">
                  <c:v>-1.7924324466301087</c:v>
                </c:pt>
                <c:pt idx="91">
                  <c:v>-1.7908437639051016</c:v>
                </c:pt>
                <c:pt idx="92">
                  <c:v>-1.7835835879613953</c:v>
                </c:pt>
                <c:pt idx="93">
                  <c:v>-1.7743135271411674</c:v>
                </c:pt>
                <c:pt idx="94">
                  <c:v>-1.7740192832257762</c:v>
                </c:pt>
                <c:pt idx="95">
                  <c:v>-1.7730881938993619</c:v>
                </c:pt>
                <c:pt idx="96">
                  <c:v>-1.7686496309109643</c:v>
                </c:pt>
                <c:pt idx="97">
                  <c:v>-1.7618838897367155</c:v>
                </c:pt>
                <c:pt idx="98">
                  <c:v>-1.7593339816700109</c:v>
                </c:pt>
                <c:pt idx="99">
                  <c:v>-1.7507558866346784</c:v>
                </c:pt>
                <c:pt idx="100">
                  <c:v>-1.7490783803704204</c:v>
                </c:pt>
                <c:pt idx="101">
                  <c:v>-1.7422884799122969</c:v>
                </c:pt>
                <c:pt idx="102">
                  <c:v>-1.7334413441224399</c:v>
                </c:pt>
                <c:pt idx="103">
                  <c:v>-1.7333658893363122</c:v>
                </c:pt>
                <c:pt idx="104">
                  <c:v>-1.7325310182254796</c:v>
                </c:pt>
                <c:pt idx="105">
                  <c:v>-1.729078555903854</c:v>
                </c:pt>
                <c:pt idx="106">
                  <c:v>-1.7235779544106862</c:v>
                </c:pt>
                <c:pt idx="107">
                  <c:v>-1.7219805994458639</c:v>
                </c:pt>
                <c:pt idx="108">
                  <c:v>-1.71960144268904</c:v>
                </c:pt>
                <c:pt idx="109">
                  <c:v>-1.7190115987218562</c:v>
                </c:pt>
                <c:pt idx="110">
                  <c:v>-1.7195590888154086</c:v>
                </c:pt>
                <c:pt idx="111">
                  <c:v>-1.7194785062917717</c:v>
                </c:pt>
                <c:pt idx="112">
                  <c:v>-1.7194783576188613</c:v>
                </c:pt>
                <c:pt idx="113">
                  <c:v>-1.7194789285007914</c:v>
                </c:pt>
                <c:pt idx="114">
                  <c:v>-1.7193080796957005</c:v>
                </c:pt>
                <c:pt idx="115">
                  <c:v>-1.7188155098189668</c:v>
                </c:pt>
                <c:pt idx="116">
                  <c:v>-1.7182448776046257</c:v>
                </c:pt>
                <c:pt idx="117">
                  <c:v>-1.7179567101515261</c:v>
                </c:pt>
                <c:pt idx="118">
                  <c:v>-1.7175553026371375</c:v>
                </c:pt>
                <c:pt idx="119">
                  <c:v>-1.7054860534996479</c:v>
                </c:pt>
                <c:pt idx="120">
                  <c:v>-1.6887147450901452</c:v>
                </c:pt>
                <c:pt idx="121">
                  <c:v>-1.6886135346438564</c:v>
                </c:pt>
                <c:pt idx="122">
                  <c:v>-1.6875367524181044</c:v>
                </c:pt>
                <c:pt idx="123">
                  <c:v>-1.682003990430033</c:v>
                </c:pt>
                <c:pt idx="124">
                  <c:v>-1.674217255706381</c:v>
                </c:pt>
                <c:pt idx="125">
                  <c:v>-1.6710813183984925</c:v>
                </c:pt>
                <c:pt idx="126">
                  <c:v>-1.6707921086065554</c:v>
                </c:pt>
                <c:pt idx="127">
                  <c:v>-1.6679738703090976</c:v>
                </c:pt>
                <c:pt idx="128">
                  <c:v>-1.6656835198015827</c:v>
                </c:pt>
                <c:pt idx="129">
                  <c:v>-1.6624699326126589</c:v>
                </c:pt>
                <c:pt idx="130">
                  <c:v>-1.6622096833736038</c:v>
                </c:pt>
                <c:pt idx="131">
                  <c:v>-1.6621565432792451</c:v>
                </c:pt>
                <c:pt idx="132">
                  <c:v>-1.656998197799787</c:v>
                </c:pt>
                <c:pt idx="133">
                  <c:v>-1.6491464883193387</c:v>
                </c:pt>
                <c:pt idx="134">
                  <c:v>-1.6484655306079006</c:v>
                </c:pt>
                <c:pt idx="135">
                  <c:v>-1.6459803062347689</c:v>
                </c:pt>
                <c:pt idx="136">
                  <c:v>-1.6453391579607768</c:v>
                </c:pt>
                <c:pt idx="137">
                  <c:v>-1.6401115636707218</c:v>
                </c:pt>
                <c:pt idx="138">
                  <c:v>-1.6297468066039613</c:v>
                </c:pt>
                <c:pt idx="139">
                  <c:v>-1.629283676941526</c:v>
                </c:pt>
                <c:pt idx="140">
                  <c:v>-1.6292575753573786</c:v>
                </c:pt>
                <c:pt idx="141">
                  <c:v>-1.6242585401192571</c:v>
                </c:pt>
                <c:pt idx="142">
                  <c:v>-1.6192594814670258</c:v>
                </c:pt>
                <c:pt idx="143">
                  <c:v>-1.6178726462126249</c:v>
                </c:pt>
                <c:pt idx="144">
                  <c:v>-1.6171303166990256</c:v>
                </c:pt>
                <c:pt idx="145">
                  <c:v>-1.6167927998300797</c:v>
                </c:pt>
                <c:pt idx="146">
                  <c:v>-1.6145403623907626</c:v>
                </c:pt>
                <c:pt idx="147">
                  <c:v>-1.6113649855479792</c:v>
                </c:pt>
                <c:pt idx="148">
                  <c:v>-1.6112635916925839</c:v>
                </c:pt>
                <c:pt idx="149">
                  <c:v>-1.611244249288255</c:v>
                </c:pt>
                <c:pt idx="150">
                  <c:v>-1.610381309303655</c:v>
                </c:pt>
                <c:pt idx="151">
                  <c:v>-1.6100935613219391</c:v>
                </c:pt>
                <c:pt idx="152">
                  <c:v>-1.609844910873278</c:v>
                </c:pt>
                <c:pt idx="153">
                  <c:v>-1.6081021404541289</c:v>
                </c:pt>
                <c:pt idx="154">
                  <c:v>-1.6070055458726387</c:v>
                </c:pt>
                <c:pt idx="155">
                  <c:v>-1.6019883218800643</c:v>
                </c:pt>
                <c:pt idx="156">
                  <c:v>-1.5927577784066926</c:v>
                </c:pt>
                <c:pt idx="157">
                  <c:v>-1.5923847774019819</c:v>
                </c:pt>
                <c:pt idx="158">
                  <c:v>-1.5923799286785112</c:v>
                </c:pt>
                <c:pt idx="159">
                  <c:v>-1.5869761636362298</c:v>
                </c:pt>
                <c:pt idx="160">
                  <c:v>-1.5849938598572848</c:v>
                </c:pt>
                <c:pt idx="161">
                  <c:v>-1.5821734011998743</c:v>
                </c:pt>
                <c:pt idx="162">
                  <c:v>-1.5820186734604604</c:v>
                </c:pt>
                <c:pt idx="163">
                  <c:v>-1.5821871337333633</c:v>
                </c:pt>
                <c:pt idx="164">
                  <c:v>-1.5829678705218058</c:v>
                </c:pt>
                <c:pt idx="165">
                  <c:v>-1.5872489790520277</c:v>
                </c:pt>
                <c:pt idx="166">
                  <c:v>-1.5872845493752337</c:v>
                </c:pt>
                <c:pt idx="167">
                  <c:v>-1.5873809356311028</c:v>
                </c:pt>
                <c:pt idx="168">
                  <c:v>-1.5909475136008808</c:v>
                </c:pt>
                <c:pt idx="169">
                  <c:v>-1.5913357953247669</c:v>
                </c:pt>
                <c:pt idx="170">
                  <c:v>-1.5936633605539186</c:v>
                </c:pt>
                <c:pt idx="171">
                  <c:v>-1.5969547692665955</c:v>
                </c:pt>
                <c:pt idx="172">
                  <c:v>-1.5972833859364783</c:v>
                </c:pt>
                <c:pt idx="173">
                  <c:v>-1.5971701108244289</c:v>
                </c:pt>
                <c:pt idx="174">
                  <c:v>-1.5923707303312895</c:v>
                </c:pt>
                <c:pt idx="175">
                  <c:v>-1.592298330138135</c:v>
                </c:pt>
                <c:pt idx="176">
                  <c:v>-1.5920162851462081</c:v>
                </c:pt>
                <c:pt idx="177">
                  <c:v>-1.5898223666167937</c:v>
                </c:pt>
                <c:pt idx="178">
                  <c:v>-1.5892056176256943</c:v>
                </c:pt>
                <c:pt idx="179">
                  <c:v>-1.5881146397059211</c:v>
                </c:pt>
                <c:pt idx="180">
                  <c:v>-1.5853873178055053</c:v>
                </c:pt>
                <c:pt idx="181">
                  <c:v>-1.5850464204314036</c:v>
                </c:pt>
                <c:pt idx="182">
                  <c:v>-1.5847144242978572</c:v>
                </c:pt>
                <c:pt idx="183">
                  <c:v>-1.5809445839792886</c:v>
                </c:pt>
                <c:pt idx="184">
                  <c:v>-1.5808916444692684</c:v>
                </c:pt>
                <c:pt idx="185">
                  <c:v>-1.5802150697834421</c:v>
                </c:pt>
                <c:pt idx="186">
                  <c:v>-1.5774268581622408</c:v>
                </c:pt>
                <c:pt idx="187">
                  <c:v>-1.5751584564312324</c:v>
                </c:pt>
                <c:pt idx="188">
                  <c:v>-1.5747598617684844</c:v>
                </c:pt>
                <c:pt idx="189">
                  <c:v>-1.5691731453289037</c:v>
                </c:pt>
                <c:pt idx="190">
                  <c:v>-1.5689693671906042</c:v>
                </c:pt>
                <c:pt idx="191">
                  <c:v>-1.5686949238999333</c:v>
                </c:pt>
                <c:pt idx="192">
                  <c:v>-1.5670209496685814</c:v>
                </c:pt>
                <c:pt idx="193">
                  <c:v>-1.5670110062021863</c:v>
                </c:pt>
                <c:pt idx="194">
                  <c:v>-1.5670662945881162</c:v>
                </c:pt>
                <c:pt idx="195">
                  <c:v>-1.5678774693118811</c:v>
                </c:pt>
                <c:pt idx="196">
                  <c:v>-1.568971483087843</c:v>
                </c:pt>
                <c:pt idx="197">
                  <c:v>-1.5691889328166369</c:v>
                </c:pt>
                <c:pt idx="198">
                  <c:v>-1.5718944085367497</c:v>
                </c:pt>
                <c:pt idx="199">
                  <c:v>-1.5725302940002095</c:v>
                </c:pt>
                <c:pt idx="200">
                  <c:v>-1.5730704377247449</c:v>
                </c:pt>
                <c:pt idx="201">
                  <c:v>-1.5724791414840453</c:v>
                </c:pt>
                <c:pt idx="202">
                  <c:v>-1.5724387440135743</c:v>
                </c:pt>
                <c:pt idx="203">
                  <c:v>-1.5716701241663316</c:v>
                </c:pt>
                <c:pt idx="204">
                  <c:v>-1.5709410251430569</c:v>
                </c:pt>
                <c:pt idx="205">
                  <c:v>-1.5680384662246212</c:v>
                </c:pt>
                <c:pt idx="206">
                  <c:v>-1.5665308698805873</c:v>
                </c:pt>
                <c:pt idx="207">
                  <c:v>-1.5624697313119</c:v>
                </c:pt>
                <c:pt idx="208">
                  <c:v>-1.5607865440348618</c:v>
                </c:pt>
                <c:pt idx="209">
                  <c:v>-1.5605086553135052</c:v>
                </c:pt>
                <c:pt idx="210">
                  <c:v>-1.5608206992385334</c:v>
                </c:pt>
                <c:pt idx="211">
                  <c:v>-1.5611807848553099</c:v>
                </c:pt>
                <c:pt idx="212">
                  <c:v>-1.5700406632089923</c:v>
                </c:pt>
                <c:pt idx="213">
                  <c:v>-1.5701175334212039</c:v>
                </c:pt>
                <c:pt idx="214">
                  <c:v>-1.5915416420413919</c:v>
                </c:pt>
                <c:pt idx="215">
                  <c:v>-1.6031149668593159</c:v>
                </c:pt>
                <c:pt idx="216">
                  <c:v>-1.6188231235527581</c:v>
                </c:pt>
                <c:pt idx="217">
                  <c:v>-1.6358101357836432</c:v>
                </c:pt>
                <c:pt idx="218">
                  <c:v>-1.6379439168994381</c:v>
                </c:pt>
                <c:pt idx="219">
                  <c:v>-1.6520697258070172</c:v>
                </c:pt>
                <c:pt idx="220">
                  <c:v>-1.660029563592353</c:v>
                </c:pt>
                <c:pt idx="221">
                  <c:v>-1.6610245348410757</c:v>
                </c:pt>
                <c:pt idx="222">
                  <c:v>-1.670826613569929</c:v>
                </c:pt>
                <c:pt idx="223">
                  <c:v>-1.6852965794214896</c:v>
                </c:pt>
                <c:pt idx="224">
                  <c:v>-1.6936206312314539</c:v>
                </c:pt>
                <c:pt idx="225">
                  <c:v>-1.6988855780472321</c:v>
                </c:pt>
                <c:pt idx="226">
                  <c:v>-1.6947873290425122</c:v>
                </c:pt>
                <c:pt idx="227">
                  <c:v>-1.6937585168170699</c:v>
                </c:pt>
                <c:pt idx="228">
                  <c:v>-1.6895369862345788</c:v>
                </c:pt>
                <c:pt idx="229">
                  <c:v>-1.6868711813567145</c:v>
                </c:pt>
                <c:pt idx="230">
                  <c:v>-1.6855456794558421</c:v>
                </c:pt>
                <c:pt idx="231">
                  <c:v>-1.6821204428382188</c:v>
                </c:pt>
                <c:pt idx="232">
                  <c:v>-1.6770777835495778</c:v>
                </c:pt>
                <c:pt idx="233">
                  <c:v>-1.6752789663696888</c:v>
                </c:pt>
                <c:pt idx="234">
                  <c:v>-1.6731619421435937</c:v>
                </c:pt>
                <c:pt idx="235">
                  <c:v>-1.6682985141888906</c:v>
                </c:pt>
                <c:pt idx="236">
                  <c:v>-1.667599389343934</c:v>
                </c:pt>
                <c:pt idx="237">
                  <c:v>-1.6669694092207266</c:v>
                </c:pt>
                <c:pt idx="238">
                  <c:v>-1.6670258192600258</c:v>
                </c:pt>
                <c:pt idx="239">
                  <c:v>-1.6676295746513858</c:v>
                </c:pt>
                <c:pt idx="240">
                  <c:v>-1.6680873333234203</c:v>
                </c:pt>
                <c:pt idx="241">
                  <c:v>-1.6686413885288687</c:v>
                </c:pt>
                <c:pt idx="242">
                  <c:v>-1.6687774152978037</c:v>
                </c:pt>
                <c:pt idx="243">
                  <c:v>-1.6690803618096339</c:v>
                </c:pt>
                <c:pt idx="244">
                  <c:v>-1.6695481606133669</c:v>
                </c:pt>
                <c:pt idx="245">
                  <c:v>-1.6701279487545335</c:v>
                </c:pt>
                <c:pt idx="246">
                  <c:v>-1.6700276052539849</c:v>
                </c:pt>
                <c:pt idx="247">
                  <c:v>-1.6697055770647538</c:v>
                </c:pt>
                <c:pt idx="248">
                  <c:v>-1.6682048851808489</c:v>
                </c:pt>
                <c:pt idx="249">
                  <c:v>-1.6673507688100671</c:v>
                </c:pt>
                <c:pt idx="250">
                  <c:v>-1.6511730925501027</c:v>
                </c:pt>
                <c:pt idx="251">
                  <c:v>-1.6503345244490149</c:v>
                </c:pt>
                <c:pt idx="252">
                  <c:v>-1.6450845888314447</c:v>
                </c:pt>
                <c:pt idx="253">
                  <c:v>-1.625178921613454</c:v>
                </c:pt>
                <c:pt idx="254">
                  <c:v>-1.6219321055661666</c:v>
                </c:pt>
                <c:pt idx="255">
                  <c:v>-1.6214049345232127</c:v>
                </c:pt>
                <c:pt idx="256">
                  <c:v>-1.6210137052163702</c:v>
                </c:pt>
                <c:pt idx="257">
                  <c:v>-1.6101868622715401</c:v>
                </c:pt>
                <c:pt idx="258">
                  <c:v>-1.606195658634654</c:v>
                </c:pt>
                <c:pt idx="259">
                  <c:v>-1.5914963609024824</c:v>
                </c:pt>
                <c:pt idx="260">
                  <c:v>-1.5903401770159533</c:v>
                </c:pt>
                <c:pt idx="261">
                  <c:v>-1.5861191314010483</c:v>
                </c:pt>
                <c:pt idx="262">
                  <c:v>-1.5654832830232763</c:v>
                </c:pt>
                <c:pt idx="263">
                  <c:v>-1.565287200289923</c:v>
                </c:pt>
                <c:pt idx="264">
                  <c:v>-1.5644323965362759</c:v>
                </c:pt>
                <c:pt idx="265">
                  <c:v>-1.5624951215319385</c:v>
                </c:pt>
                <c:pt idx="266">
                  <c:v>-1.5543800429389094</c:v>
                </c:pt>
                <c:pt idx="267">
                  <c:v>-1.5531850166021925</c:v>
                </c:pt>
                <c:pt idx="268">
                  <c:v>-1.5493744963351475</c:v>
                </c:pt>
                <c:pt idx="269">
                  <c:v>-1.5486576376456114</c:v>
                </c:pt>
                <c:pt idx="270">
                  <c:v>-1.5476807888087905</c:v>
                </c:pt>
                <c:pt idx="271">
                  <c:v>-1.5420044727265321</c:v>
                </c:pt>
                <c:pt idx="272">
                  <c:v>-1.5415292101421159</c:v>
                </c:pt>
                <c:pt idx="273">
                  <c:v>-1.5407008550945207</c:v>
                </c:pt>
                <c:pt idx="274">
                  <c:v>-1.5402635857232667</c:v>
                </c:pt>
                <c:pt idx="275">
                  <c:v>-1.5378367867900735</c:v>
                </c:pt>
                <c:pt idx="276">
                  <c:v>-1.5376783742365134</c:v>
                </c:pt>
                <c:pt idx="277">
                  <c:v>-1.5246870901885998</c:v>
                </c:pt>
                <c:pt idx="278">
                  <c:v>-1.5203573164858</c:v>
                </c:pt>
                <c:pt idx="279">
                  <c:v>-1.5177299427355635</c:v>
                </c:pt>
                <c:pt idx="280">
                  <c:v>-1.4987549690828459</c:v>
                </c:pt>
                <c:pt idx="281">
                  <c:v>-1.4957027949031811</c:v>
                </c:pt>
                <c:pt idx="282">
                  <c:v>-1.488697752834689</c:v>
                </c:pt>
                <c:pt idx="283">
                  <c:v>-1.4882966502535879</c:v>
                </c:pt>
                <c:pt idx="284">
                  <c:v>-1.482485823917095</c:v>
                </c:pt>
                <c:pt idx="285">
                  <c:v>-1.4824777047958477</c:v>
                </c:pt>
                <c:pt idx="286">
                  <c:v>-1.4776527967445574</c:v>
                </c:pt>
                <c:pt idx="287">
                  <c:v>-1.4756445677314431</c:v>
                </c:pt>
                <c:pt idx="288">
                  <c:v>-1.4749558602416926</c:v>
                </c:pt>
                <c:pt idx="289">
                  <c:v>-1.4707811196078637</c:v>
                </c:pt>
                <c:pt idx="290">
                  <c:v>-1.4699751421748459</c:v>
                </c:pt>
                <c:pt idx="291">
                  <c:v>-1.4686271048783226</c:v>
                </c:pt>
                <c:pt idx="292">
                  <c:v>-1.4685097157078175</c:v>
                </c:pt>
                <c:pt idx="293">
                  <c:v>-1.4680480615239802</c:v>
                </c:pt>
                <c:pt idx="294">
                  <c:v>-1.4679623840378326</c:v>
                </c:pt>
                <c:pt idx="295">
                  <c:v>-1.4673345202374506</c:v>
                </c:pt>
                <c:pt idx="296">
                  <c:v>-1.4668423509675108</c:v>
                </c:pt>
                <c:pt idx="297">
                  <c:v>-1.4667525417324825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3BE-4EDE-9B06-59BDE07897AD}"/>
            </c:ext>
          </c:extLst>
        </c:ser>
        <c:ser>
          <c:idx val="2"/>
          <c:order val="2"/>
          <c:tx>
            <c:strRef>
              <c:f>race_data!$K$1</c:f>
              <c:strCache>
                <c:ptCount val="1"/>
                <c:pt idx="0">
                  <c:v>LodeH</c:v>
                </c:pt>
              </c:strCache>
            </c:strRef>
          </c:tx>
          <c:marker>
            <c:symbol val="none"/>
          </c:marker>
          <c:xVal>
            <c:numRef>
              <c:f>intermediate_data!$A$2:$A$299</c:f>
              <c:numCache>
                <c:formatCode>General</c:formatCode>
                <c:ptCount val="298"/>
                <c:pt idx="0">
                  <c:v>53.683999999999997</c:v>
                </c:pt>
                <c:pt idx="1">
                  <c:v>53.756</c:v>
                </c:pt>
                <c:pt idx="2">
                  <c:v>54.529000000000003</c:v>
                </c:pt>
                <c:pt idx="3">
                  <c:v>55.472999999999999</c:v>
                </c:pt>
                <c:pt idx="4">
                  <c:v>55.91</c:v>
                </c:pt>
                <c:pt idx="5">
                  <c:v>56.984000000000002</c:v>
                </c:pt>
                <c:pt idx="6">
                  <c:v>57.091999999999999</c:v>
                </c:pt>
                <c:pt idx="7">
                  <c:v>57.482999999999997</c:v>
                </c:pt>
                <c:pt idx="8">
                  <c:v>58.719000000000001</c:v>
                </c:pt>
                <c:pt idx="9">
                  <c:v>107.248</c:v>
                </c:pt>
                <c:pt idx="10">
                  <c:v>107.48399999999999</c:v>
                </c:pt>
                <c:pt idx="11">
                  <c:v>109.506</c:v>
                </c:pt>
                <c:pt idx="12">
                  <c:v>111.09399999999999</c:v>
                </c:pt>
                <c:pt idx="13">
                  <c:v>111.527</c:v>
                </c:pt>
                <c:pt idx="14">
                  <c:v>112.53</c:v>
                </c:pt>
                <c:pt idx="15">
                  <c:v>113.36199999999999</c:v>
                </c:pt>
                <c:pt idx="16">
                  <c:v>113.758</c:v>
                </c:pt>
                <c:pt idx="17">
                  <c:v>115.387</c:v>
                </c:pt>
                <c:pt idx="18">
                  <c:v>160.595</c:v>
                </c:pt>
                <c:pt idx="19">
                  <c:v>160.697</c:v>
                </c:pt>
                <c:pt idx="20">
                  <c:v>163.79</c:v>
                </c:pt>
                <c:pt idx="21">
                  <c:v>166.34</c:v>
                </c:pt>
                <c:pt idx="22">
                  <c:v>166.87200000000001</c:v>
                </c:pt>
                <c:pt idx="23">
                  <c:v>167.84800000000001</c:v>
                </c:pt>
                <c:pt idx="24">
                  <c:v>169.19900000000001</c:v>
                </c:pt>
                <c:pt idx="25">
                  <c:v>170.291</c:v>
                </c:pt>
                <c:pt idx="26">
                  <c:v>171.417</c:v>
                </c:pt>
                <c:pt idx="27">
                  <c:v>214.05799999999999</c:v>
                </c:pt>
                <c:pt idx="28">
                  <c:v>214.31100000000001</c:v>
                </c:pt>
                <c:pt idx="29">
                  <c:v>217.57599999999999</c:v>
                </c:pt>
                <c:pt idx="30">
                  <c:v>221.208</c:v>
                </c:pt>
                <c:pt idx="31">
                  <c:v>222.99600000000001</c:v>
                </c:pt>
                <c:pt idx="32">
                  <c:v>223.346</c:v>
                </c:pt>
                <c:pt idx="33">
                  <c:v>224.792</c:v>
                </c:pt>
                <c:pt idx="34">
                  <c:v>227.23699999999999</c:v>
                </c:pt>
                <c:pt idx="35">
                  <c:v>227.387</c:v>
                </c:pt>
                <c:pt idx="36">
                  <c:v>267.20299999999997</c:v>
                </c:pt>
                <c:pt idx="37">
                  <c:v>267.286</c:v>
                </c:pt>
                <c:pt idx="38">
                  <c:v>271.62</c:v>
                </c:pt>
                <c:pt idx="39">
                  <c:v>276.245</c:v>
                </c:pt>
                <c:pt idx="40">
                  <c:v>278.11500000000001</c:v>
                </c:pt>
                <c:pt idx="41">
                  <c:v>278.77100000000002</c:v>
                </c:pt>
                <c:pt idx="42">
                  <c:v>280.43099999999998</c:v>
                </c:pt>
                <c:pt idx="43">
                  <c:v>283.97699999999998</c:v>
                </c:pt>
                <c:pt idx="44">
                  <c:v>284.36900000000003</c:v>
                </c:pt>
                <c:pt idx="45">
                  <c:v>319.94</c:v>
                </c:pt>
                <c:pt idx="46">
                  <c:v>320.41699999999997</c:v>
                </c:pt>
                <c:pt idx="47">
                  <c:v>325.77699999999999</c:v>
                </c:pt>
                <c:pt idx="48">
                  <c:v>331.447</c:v>
                </c:pt>
                <c:pt idx="49">
                  <c:v>333.30500000000001</c:v>
                </c:pt>
                <c:pt idx="50">
                  <c:v>333.83100000000002</c:v>
                </c:pt>
                <c:pt idx="51">
                  <c:v>335.64</c:v>
                </c:pt>
                <c:pt idx="52">
                  <c:v>340.83300000000003</c:v>
                </c:pt>
                <c:pt idx="53">
                  <c:v>341.09199999999998</c:v>
                </c:pt>
                <c:pt idx="54">
                  <c:v>372.53500000000003</c:v>
                </c:pt>
                <c:pt idx="55">
                  <c:v>373.22</c:v>
                </c:pt>
                <c:pt idx="56">
                  <c:v>380.05599999999998</c:v>
                </c:pt>
                <c:pt idx="57">
                  <c:v>386.74900000000002</c:v>
                </c:pt>
                <c:pt idx="58">
                  <c:v>388.19299999999998</c:v>
                </c:pt>
                <c:pt idx="59">
                  <c:v>388.30299999999988</c:v>
                </c:pt>
                <c:pt idx="60">
                  <c:v>391.55099999999999</c:v>
                </c:pt>
                <c:pt idx="61">
                  <c:v>397.34199999999998</c:v>
                </c:pt>
                <c:pt idx="62">
                  <c:v>397.60199999999998</c:v>
                </c:pt>
                <c:pt idx="63">
                  <c:v>425.07600000000002</c:v>
                </c:pt>
                <c:pt idx="64">
                  <c:v>426.26299999999998</c:v>
                </c:pt>
                <c:pt idx="65">
                  <c:v>434.23099999999999</c:v>
                </c:pt>
                <c:pt idx="66">
                  <c:v>442.30500000000001</c:v>
                </c:pt>
                <c:pt idx="67">
                  <c:v>442.87700000000001</c:v>
                </c:pt>
                <c:pt idx="68">
                  <c:v>443.70699999999999</c:v>
                </c:pt>
                <c:pt idx="69">
                  <c:v>447.20600000000002</c:v>
                </c:pt>
                <c:pt idx="70">
                  <c:v>453.82100000000003</c:v>
                </c:pt>
                <c:pt idx="71">
                  <c:v>454.59500000000003</c:v>
                </c:pt>
                <c:pt idx="72">
                  <c:v>477.66599999999988</c:v>
                </c:pt>
                <c:pt idx="73">
                  <c:v>479.28800000000001</c:v>
                </c:pt>
                <c:pt idx="74">
                  <c:v>488.19099999999997</c:v>
                </c:pt>
                <c:pt idx="75">
                  <c:v>497.56099999999998</c:v>
                </c:pt>
                <c:pt idx="76">
                  <c:v>497.72300000000001</c:v>
                </c:pt>
                <c:pt idx="77">
                  <c:v>498.91699999999997</c:v>
                </c:pt>
                <c:pt idx="78">
                  <c:v>502.58499999999998</c:v>
                </c:pt>
                <c:pt idx="79">
                  <c:v>509.87099999999998</c:v>
                </c:pt>
                <c:pt idx="80">
                  <c:v>511.53800000000001</c:v>
                </c:pt>
                <c:pt idx="81">
                  <c:v>530.65299999999991</c:v>
                </c:pt>
                <c:pt idx="82">
                  <c:v>532.33299999999997</c:v>
                </c:pt>
                <c:pt idx="83">
                  <c:v>541.52099999999996</c:v>
                </c:pt>
                <c:pt idx="84">
                  <c:v>551.93500000000006</c:v>
                </c:pt>
                <c:pt idx="85">
                  <c:v>552.71499999999992</c:v>
                </c:pt>
                <c:pt idx="86">
                  <c:v>553.38400000000001</c:v>
                </c:pt>
                <c:pt idx="87">
                  <c:v>558.18000000000006</c:v>
                </c:pt>
                <c:pt idx="88">
                  <c:v>566.23699999999997</c:v>
                </c:pt>
                <c:pt idx="89">
                  <c:v>569.47499999999991</c:v>
                </c:pt>
                <c:pt idx="90">
                  <c:v>583.65299999999991</c:v>
                </c:pt>
                <c:pt idx="91">
                  <c:v>585.43899999999996</c:v>
                </c:pt>
                <c:pt idx="92">
                  <c:v>594.96499999999992</c:v>
                </c:pt>
                <c:pt idx="93">
                  <c:v>606.97200000000009</c:v>
                </c:pt>
                <c:pt idx="94">
                  <c:v>607.32999999999993</c:v>
                </c:pt>
                <c:pt idx="95">
                  <c:v>608.36599999999999</c:v>
                </c:pt>
                <c:pt idx="96">
                  <c:v>613.03800000000001</c:v>
                </c:pt>
                <c:pt idx="97">
                  <c:v>621.69099999999992</c:v>
                </c:pt>
                <c:pt idx="98">
                  <c:v>625.02299999999991</c:v>
                </c:pt>
                <c:pt idx="99">
                  <c:v>636.24399999999991</c:v>
                </c:pt>
                <c:pt idx="100">
                  <c:v>638.471</c:v>
                </c:pt>
                <c:pt idx="101">
                  <c:v>648.21699999999987</c:v>
                </c:pt>
                <c:pt idx="102">
                  <c:v>661.52299999999991</c:v>
                </c:pt>
                <c:pt idx="103">
                  <c:v>661.65100000000007</c:v>
                </c:pt>
                <c:pt idx="104">
                  <c:v>663.02</c:v>
                </c:pt>
                <c:pt idx="105">
                  <c:v>668.73</c:v>
                </c:pt>
                <c:pt idx="106">
                  <c:v>677.15299999999991</c:v>
                </c:pt>
                <c:pt idx="107">
                  <c:v>680.47199999999987</c:v>
                </c:pt>
                <c:pt idx="108">
                  <c:v>688.80799999999988</c:v>
                </c:pt>
                <c:pt idx="109">
                  <c:v>691.47199999999998</c:v>
                </c:pt>
                <c:pt idx="110">
                  <c:v>701.5089999999999</c:v>
                </c:pt>
                <c:pt idx="111">
                  <c:v>716.07599999999991</c:v>
                </c:pt>
                <c:pt idx="112">
                  <c:v>716.20200000000011</c:v>
                </c:pt>
                <c:pt idx="113">
                  <c:v>717.66599999999994</c:v>
                </c:pt>
                <c:pt idx="114">
                  <c:v>724.04100000000005</c:v>
                </c:pt>
                <c:pt idx="115">
                  <c:v>733.63499999999988</c:v>
                </c:pt>
                <c:pt idx="116">
                  <c:v>737.13299999999981</c:v>
                </c:pt>
                <c:pt idx="117">
                  <c:v>741.71299999999985</c:v>
                </c:pt>
                <c:pt idx="118">
                  <c:v>744.25900000000001</c:v>
                </c:pt>
                <c:pt idx="119">
                  <c:v>754.44999999999993</c:v>
                </c:pt>
                <c:pt idx="120">
                  <c:v>770.65599999999995</c:v>
                </c:pt>
                <c:pt idx="121">
                  <c:v>770.76300000000015</c:v>
                </c:pt>
                <c:pt idx="122">
                  <c:v>772.13699999999994</c:v>
                </c:pt>
                <c:pt idx="123">
                  <c:v>779.18400000000008</c:v>
                </c:pt>
                <c:pt idx="124">
                  <c:v>789.3359999999999</c:v>
                </c:pt>
                <c:pt idx="125">
                  <c:v>794.03099999999984</c:v>
                </c:pt>
                <c:pt idx="126">
                  <c:v>794.50299999999982</c:v>
                </c:pt>
                <c:pt idx="127">
                  <c:v>797.92899999999997</c:v>
                </c:pt>
                <c:pt idx="128">
                  <c:v>808.10399999999993</c:v>
                </c:pt>
                <c:pt idx="129">
                  <c:v>825.70099999999991</c:v>
                </c:pt>
                <c:pt idx="130">
                  <c:v>826.44900000000018</c:v>
                </c:pt>
                <c:pt idx="131">
                  <c:v>826.54</c:v>
                </c:pt>
                <c:pt idx="132">
                  <c:v>834.33500000000004</c:v>
                </c:pt>
                <c:pt idx="133">
                  <c:v>845.66899999999987</c:v>
                </c:pt>
                <c:pt idx="134">
                  <c:v>846.68199999999979</c:v>
                </c:pt>
                <c:pt idx="135">
                  <c:v>850.2489999999998</c:v>
                </c:pt>
                <c:pt idx="136">
                  <c:v>851.06</c:v>
                </c:pt>
                <c:pt idx="137">
                  <c:v>862.00699999999995</c:v>
                </c:pt>
                <c:pt idx="138">
                  <c:v>879.50599999999986</c:v>
                </c:pt>
                <c:pt idx="139">
                  <c:v>880.33399999999995</c:v>
                </c:pt>
                <c:pt idx="140">
                  <c:v>880.38000000000022</c:v>
                </c:pt>
                <c:pt idx="141">
                  <c:v>889.13300000000004</c:v>
                </c:pt>
                <c:pt idx="142">
                  <c:v>899.13499999999976</c:v>
                </c:pt>
                <c:pt idx="143">
                  <c:v>902.08499999999981</c:v>
                </c:pt>
                <c:pt idx="144">
                  <c:v>903.89799999999991</c:v>
                </c:pt>
                <c:pt idx="145">
                  <c:v>905.23399999999981</c:v>
                </c:pt>
                <c:pt idx="146">
                  <c:v>914.92899999999997</c:v>
                </c:pt>
                <c:pt idx="147">
                  <c:v>933.46699999999987</c:v>
                </c:pt>
                <c:pt idx="148">
                  <c:v>934.0619999999999</c:v>
                </c:pt>
                <c:pt idx="149">
                  <c:v>934.23800000000017</c:v>
                </c:pt>
                <c:pt idx="150">
                  <c:v>944.41399999999999</c:v>
                </c:pt>
                <c:pt idx="151">
                  <c:v>951.75499999999977</c:v>
                </c:pt>
                <c:pt idx="152">
                  <c:v>956.57899999999995</c:v>
                </c:pt>
                <c:pt idx="153">
                  <c:v>959.00699999999983</c:v>
                </c:pt>
                <c:pt idx="154">
                  <c:v>960.36199999999985</c:v>
                </c:pt>
                <c:pt idx="155">
                  <c:v>968.27699999999993</c:v>
                </c:pt>
                <c:pt idx="156">
                  <c:v>987.40599999999984</c:v>
                </c:pt>
                <c:pt idx="157">
                  <c:v>988.2829999999999</c:v>
                </c:pt>
                <c:pt idx="158">
                  <c:v>988.29300000000012</c:v>
                </c:pt>
                <c:pt idx="159">
                  <c:v>1000.082</c:v>
                </c:pt>
                <c:pt idx="160">
                  <c:v>1004.273</c:v>
                </c:pt>
                <c:pt idx="161">
                  <c:v>1009.982</c:v>
                </c:pt>
                <c:pt idx="162">
                  <c:v>1015.061</c:v>
                </c:pt>
                <c:pt idx="163">
                  <c:v>1017.0119999999999</c:v>
                </c:pt>
                <c:pt idx="164">
                  <c:v>1022.78</c:v>
                </c:pt>
                <c:pt idx="165">
                  <c:v>1041.758</c:v>
                </c:pt>
                <c:pt idx="166">
                  <c:v>1041.9860000000001</c:v>
                </c:pt>
                <c:pt idx="167">
                  <c:v>1042.5309999999999</c:v>
                </c:pt>
                <c:pt idx="168">
                  <c:v>1055.546</c:v>
                </c:pt>
                <c:pt idx="169">
                  <c:v>1056.577</c:v>
                </c:pt>
                <c:pt idx="170">
                  <c:v>1062.8579999999999</c:v>
                </c:pt>
                <c:pt idx="171">
                  <c:v>1072.2570000000001</c:v>
                </c:pt>
                <c:pt idx="172">
                  <c:v>1074.1559999999999</c:v>
                </c:pt>
                <c:pt idx="173">
                  <c:v>1078.1659999999999</c:v>
                </c:pt>
                <c:pt idx="174">
                  <c:v>1095.5119999999999</c:v>
                </c:pt>
                <c:pt idx="175">
                  <c:v>1095.8789999999999</c:v>
                </c:pt>
                <c:pt idx="176">
                  <c:v>1097.713</c:v>
                </c:pt>
                <c:pt idx="177">
                  <c:v>1108.8510000000001</c:v>
                </c:pt>
                <c:pt idx="178">
                  <c:v>1112.067</c:v>
                </c:pt>
                <c:pt idx="179">
                  <c:v>1115.752</c:v>
                </c:pt>
                <c:pt idx="180">
                  <c:v>1127.6790000000001</c:v>
                </c:pt>
                <c:pt idx="181">
                  <c:v>1129.2570000000001</c:v>
                </c:pt>
                <c:pt idx="182">
                  <c:v>1131.1469999999999</c:v>
                </c:pt>
                <c:pt idx="183">
                  <c:v>1149.9880000000001</c:v>
                </c:pt>
                <c:pt idx="184">
                  <c:v>1150.1880000000001</c:v>
                </c:pt>
                <c:pt idx="185">
                  <c:v>1152.442</c:v>
                </c:pt>
                <c:pt idx="186">
                  <c:v>1161.1489999999999</c:v>
                </c:pt>
                <c:pt idx="187">
                  <c:v>1167.48</c:v>
                </c:pt>
                <c:pt idx="188">
                  <c:v>1168.566</c:v>
                </c:pt>
                <c:pt idx="189">
                  <c:v>1183.204</c:v>
                </c:pt>
                <c:pt idx="190">
                  <c:v>1183.8610000000001</c:v>
                </c:pt>
                <c:pt idx="191">
                  <c:v>1184.771</c:v>
                </c:pt>
                <c:pt idx="192">
                  <c:v>1203.7750000000001</c:v>
                </c:pt>
                <c:pt idx="193">
                  <c:v>1204.1310000000001</c:v>
                </c:pt>
                <c:pt idx="194">
                  <c:v>1206.932</c:v>
                </c:pt>
                <c:pt idx="195">
                  <c:v>1213.0440000000001</c:v>
                </c:pt>
                <c:pt idx="196">
                  <c:v>1221.4059999999999</c:v>
                </c:pt>
                <c:pt idx="197">
                  <c:v>1222.7739999999999</c:v>
                </c:pt>
                <c:pt idx="198">
                  <c:v>1236.6559999999999</c:v>
                </c:pt>
                <c:pt idx="199">
                  <c:v>1239.4690000000001</c:v>
                </c:pt>
                <c:pt idx="200">
                  <c:v>1242.714999999999</c:v>
                </c:pt>
                <c:pt idx="201">
                  <c:v>1258.1849999999999</c:v>
                </c:pt>
                <c:pt idx="202">
                  <c:v>1258.5820000000001</c:v>
                </c:pt>
                <c:pt idx="203">
                  <c:v>1262.6769999999999</c:v>
                </c:pt>
                <c:pt idx="204">
                  <c:v>1264.9359999999999</c:v>
                </c:pt>
                <c:pt idx="205">
                  <c:v>1274.2059999999999</c:v>
                </c:pt>
                <c:pt idx="206">
                  <c:v>1278.5029999999999</c:v>
                </c:pt>
                <c:pt idx="207">
                  <c:v>1289.8050000000001</c:v>
                </c:pt>
                <c:pt idx="208">
                  <c:v>1295.049</c:v>
                </c:pt>
                <c:pt idx="209">
                  <c:v>1298.196999999999</c:v>
                </c:pt>
                <c:pt idx="210">
                  <c:v>1311.886</c:v>
                </c:pt>
                <c:pt idx="211">
                  <c:v>1312.077</c:v>
                </c:pt>
                <c:pt idx="212">
                  <c:v>1316.857</c:v>
                </c:pt>
                <c:pt idx="213">
                  <c:v>1316.8969999999999</c:v>
                </c:pt>
                <c:pt idx="214">
                  <c:v>1327.0650000000001</c:v>
                </c:pt>
                <c:pt idx="215">
                  <c:v>1334.078</c:v>
                </c:pt>
                <c:pt idx="216">
                  <c:v>1343.328</c:v>
                </c:pt>
                <c:pt idx="217">
                  <c:v>1353.5630000000001</c:v>
                </c:pt>
                <c:pt idx="218">
                  <c:v>1355.049999999999</c:v>
                </c:pt>
                <c:pt idx="219">
                  <c:v>1365.2909999999999</c:v>
                </c:pt>
                <c:pt idx="220">
                  <c:v>1371.1030000000001</c:v>
                </c:pt>
                <c:pt idx="221">
                  <c:v>1371.922</c:v>
                </c:pt>
                <c:pt idx="222">
                  <c:v>1380.578</c:v>
                </c:pt>
                <c:pt idx="223">
                  <c:v>1390.499</c:v>
                </c:pt>
                <c:pt idx="224">
                  <c:v>1396.672</c:v>
                </c:pt>
                <c:pt idx="225">
                  <c:v>1400.73</c:v>
                </c:pt>
                <c:pt idx="226">
                  <c:v>1409.2739999999999</c:v>
                </c:pt>
                <c:pt idx="227">
                  <c:v>1411.327</c:v>
                </c:pt>
                <c:pt idx="228">
                  <c:v>1418.57</c:v>
                </c:pt>
                <c:pt idx="229">
                  <c:v>1423.5709999999999</c:v>
                </c:pt>
                <c:pt idx="230">
                  <c:v>1426.067</c:v>
                </c:pt>
                <c:pt idx="231">
                  <c:v>1433.5509999999999</c:v>
                </c:pt>
                <c:pt idx="232">
                  <c:v>1445.6969999999999</c:v>
                </c:pt>
                <c:pt idx="233">
                  <c:v>1449.5250000000001</c:v>
                </c:pt>
                <c:pt idx="234">
                  <c:v>1454.1659999999999</c:v>
                </c:pt>
                <c:pt idx="235">
                  <c:v>1464.6569999999999</c:v>
                </c:pt>
                <c:pt idx="236">
                  <c:v>1466.481</c:v>
                </c:pt>
                <c:pt idx="237">
                  <c:v>1472.396</c:v>
                </c:pt>
                <c:pt idx="238">
                  <c:v>1476.029</c:v>
                </c:pt>
                <c:pt idx="239">
                  <c:v>1481.104</c:v>
                </c:pt>
                <c:pt idx="240">
                  <c:v>1486.4649999999999</c:v>
                </c:pt>
                <c:pt idx="241">
                  <c:v>1500.1189999999999</c:v>
                </c:pt>
                <c:pt idx="242">
                  <c:v>1502.5119999999999</c:v>
                </c:pt>
                <c:pt idx="243">
                  <c:v>1507.4490000000001</c:v>
                </c:pt>
                <c:pt idx="244">
                  <c:v>1521.09</c:v>
                </c:pt>
                <c:pt idx="245">
                  <c:v>1525.5940000000001</c:v>
                </c:pt>
                <c:pt idx="246">
                  <c:v>1527.826</c:v>
                </c:pt>
                <c:pt idx="247">
                  <c:v>1529.7850000000001</c:v>
                </c:pt>
                <c:pt idx="248">
                  <c:v>1535.702</c:v>
                </c:pt>
                <c:pt idx="249">
                  <c:v>1539.453</c:v>
                </c:pt>
                <c:pt idx="250">
                  <c:v>1554.7650000000001</c:v>
                </c:pt>
                <c:pt idx="251">
                  <c:v>1555.56</c:v>
                </c:pt>
                <c:pt idx="252">
                  <c:v>1560.393</c:v>
                </c:pt>
                <c:pt idx="253">
                  <c:v>1578.941</c:v>
                </c:pt>
                <c:pt idx="254">
                  <c:v>1581.6189999999999</c:v>
                </c:pt>
                <c:pt idx="255">
                  <c:v>1582.057</c:v>
                </c:pt>
                <c:pt idx="256">
                  <c:v>1582.367</c:v>
                </c:pt>
                <c:pt idx="257">
                  <c:v>1590.6369999999999</c:v>
                </c:pt>
                <c:pt idx="258">
                  <c:v>1593.943</c:v>
                </c:pt>
                <c:pt idx="259">
                  <c:v>1608.1479999999999</c:v>
                </c:pt>
                <c:pt idx="260">
                  <c:v>1609.2860000000001</c:v>
                </c:pt>
                <c:pt idx="261">
                  <c:v>1613.3009999999999</c:v>
                </c:pt>
                <c:pt idx="262">
                  <c:v>1634.2470000000001</c:v>
                </c:pt>
                <c:pt idx="263">
                  <c:v>1634.453</c:v>
                </c:pt>
                <c:pt idx="264">
                  <c:v>1635.501</c:v>
                </c:pt>
                <c:pt idx="265">
                  <c:v>1637.64</c:v>
                </c:pt>
                <c:pt idx="266">
                  <c:v>1646.942</c:v>
                </c:pt>
                <c:pt idx="267">
                  <c:v>1648.1289999999999</c:v>
                </c:pt>
                <c:pt idx="268">
                  <c:v>1660.857</c:v>
                </c:pt>
                <c:pt idx="269">
                  <c:v>1663.2570000000001</c:v>
                </c:pt>
                <c:pt idx="270">
                  <c:v>1666.9079999999999</c:v>
                </c:pt>
                <c:pt idx="271">
                  <c:v>1686.402</c:v>
                </c:pt>
                <c:pt idx="272">
                  <c:v>1688.105</c:v>
                </c:pt>
                <c:pt idx="273">
                  <c:v>1692.096</c:v>
                </c:pt>
                <c:pt idx="274">
                  <c:v>1693.64</c:v>
                </c:pt>
                <c:pt idx="275">
                  <c:v>1700.982</c:v>
                </c:pt>
                <c:pt idx="276">
                  <c:v>1701.133</c:v>
                </c:pt>
                <c:pt idx="277">
                  <c:v>1713.537</c:v>
                </c:pt>
                <c:pt idx="278">
                  <c:v>1717.67</c:v>
                </c:pt>
                <c:pt idx="279">
                  <c:v>1720.1189999999999</c:v>
                </c:pt>
                <c:pt idx="280">
                  <c:v>1738.673</c:v>
                </c:pt>
                <c:pt idx="281">
                  <c:v>1741.722</c:v>
                </c:pt>
                <c:pt idx="282">
                  <c:v>1748.4749999999999</c:v>
                </c:pt>
                <c:pt idx="283">
                  <c:v>1748.867</c:v>
                </c:pt>
                <c:pt idx="284">
                  <c:v>1755.2349999999999</c:v>
                </c:pt>
                <c:pt idx="285">
                  <c:v>1755.2439999999999</c:v>
                </c:pt>
                <c:pt idx="286">
                  <c:v>1766.07</c:v>
                </c:pt>
                <c:pt idx="287">
                  <c:v>1771.6389999999999</c:v>
                </c:pt>
                <c:pt idx="288">
                  <c:v>1773.8879999999999</c:v>
                </c:pt>
                <c:pt idx="289">
                  <c:v>1791.0740000000001</c:v>
                </c:pt>
                <c:pt idx="290">
                  <c:v>1794.713</c:v>
                </c:pt>
                <c:pt idx="291">
                  <c:v>1805.02</c:v>
                </c:pt>
                <c:pt idx="292">
                  <c:v>1805.8710000000001</c:v>
                </c:pt>
                <c:pt idx="293">
                  <c:v>1808.5830000000001</c:v>
                </c:pt>
                <c:pt idx="294">
                  <c:v>1809.4469999999999</c:v>
                </c:pt>
                <c:pt idx="295">
                  <c:v>1819.8219999999999</c:v>
                </c:pt>
                <c:pt idx="296">
                  <c:v>1826.442</c:v>
                </c:pt>
                <c:pt idx="297">
                  <c:v>1828.6089999999999</c:v>
                </c:pt>
              </c:numCache>
            </c:numRef>
          </c:xVal>
          <c:yVal>
            <c:numRef>
              <c:f>intermediate_data!$AF$2:$AF$299</c:f>
              <c:numCache>
                <c:formatCode>General</c:formatCode>
                <c:ptCount val="298"/>
                <c:pt idx="0">
                  <c:v>-1.3810928624342793</c:v>
                </c:pt>
                <c:pt idx="1">
                  <c:v>-1.3811115466322335</c:v>
                </c:pt>
                <c:pt idx="2">
                  <c:v>-1.3808569934769395</c:v>
                </c:pt>
                <c:pt idx="3">
                  <c:v>-1.3738763607533215</c:v>
                </c:pt>
                <c:pt idx="4">
                  <c:v>-1.3708542173572695</c:v>
                </c:pt>
                <c:pt idx="5">
                  <c:v>-1.3630051797320277</c:v>
                </c:pt>
                <c:pt idx="6">
                  <c:v>-1.3619335929180139</c:v>
                </c:pt>
                <c:pt idx="7">
                  <c:v>-1.3577764675254329</c:v>
                </c:pt>
                <c:pt idx="8">
                  <c:v>-1.341347794945726</c:v>
                </c:pt>
                <c:pt idx="9">
                  <c:v>-0.89928668763388941</c:v>
                </c:pt>
                <c:pt idx="10">
                  <c:v>-0.89807523756462615</c:v>
                </c:pt>
                <c:pt idx="11">
                  <c:v>-0.88660784136033755</c:v>
                </c:pt>
                <c:pt idx="12">
                  <c:v>-0.88670390761153328</c:v>
                </c:pt>
                <c:pt idx="13">
                  <c:v>-0.88656668836282648</c:v>
                </c:pt>
                <c:pt idx="14">
                  <c:v>-0.88598216116130146</c:v>
                </c:pt>
                <c:pt idx="15">
                  <c:v>-0.88531805919864581</c:v>
                </c:pt>
                <c:pt idx="16">
                  <c:v>-0.88498933628133614</c:v>
                </c:pt>
                <c:pt idx="17">
                  <c:v>-0.88345981301529264</c:v>
                </c:pt>
                <c:pt idx="18">
                  <c:v>-0.83422503338292842</c:v>
                </c:pt>
                <c:pt idx="19">
                  <c:v>-0.83415451016424669</c:v>
                </c:pt>
                <c:pt idx="20">
                  <c:v>-0.83296435567659444</c:v>
                </c:pt>
                <c:pt idx="21">
                  <c:v>-0.83891596572990323</c:v>
                </c:pt>
                <c:pt idx="22">
                  <c:v>-0.839998501355808</c:v>
                </c:pt>
                <c:pt idx="23">
                  <c:v>-0.84268301137245771</c:v>
                </c:pt>
                <c:pt idx="24">
                  <c:v>-0.84619496706464048</c:v>
                </c:pt>
                <c:pt idx="25">
                  <c:v>-0.84882008262447783</c:v>
                </c:pt>
                <c:pt idx="26">
                  <c:v>-0.8517786504938698</c:v>
                </c:pt>
                <c:pt idx="27">
                  <c:v>-0.93923527996432199</c:v>
                </c:pt>
                <c:pt idx="28">
                  <c:v>-0.9396036384593387</c:v>
                </c:pt>
                <c:pt idx="29">
                  <c:v>-0.94313043611693814</c:v>
                </c:pt>
                <c:pt idx="30">
                  <c:v>-0.94311438063100894</c:v>
                </c:pt>
                <c:pt idx="31">
                  <c:v>-0.94325929390914354</c:v>
                </c:pt>
                <c:pt idx="32">
                  <c:v>-0.94328230003131353</c:v>
                </c:pt>
                <c:pt idx="33">
                  <c:v>-0.94264338175570117</c:v>
                </c:pt>
                <c:pt idx="34">
                  <c:v>-0.94163621443549061</c:v>
                </c:pt>
                <c:pt idx="35">
                  <c:v>-0.94158796369205788</c:v>
                </c:pt>
                <c:pt idx="36">
                  <c:v>-0.94061542552788779</c:v>
                </c:pt>
                <c:pt idx="37">
                  <c:v>-0.94059835967577499</c:v>
                </c:pt>
                <c:pt idx="38">
                  <c:v>-0.94002198543665116</c:v>
                </c:pt>
                <c:pt idx="39">
                  <c:v>-0.9377390743041758</c:v>
                </c:pt>
                <c:pt idx="40">
                  <c:v>-0.93696165863250513</c:v>
                </c:pt>
                <c:pt idx="41">
                  <c:v>-0.93671006294626125</c:v>
                </c:pt>
                <c:pt idx="42">
                  <c:v>-0.9358385260690838</c:v>
                </c:pt>
                <c:pt idx="43">
                  <c:v>-0.93341833702992005</c:v>
                </c:pt>
                <c:pt idx="44">
                  <c:v>-0.93323047474155629</c:v>
                </c:pt>
                <c:pt idx="45">
                  <c:v>-0.91031538384331157</c:v>
                </c:pt>
                <c:pt idx="46">
                  <c:v>-0.91001714795073241</c:v>
                </c:pt>
                <c:pt idx="47">
                  <c:v>-0.90607515243445391</c:v>
                </c:pt>
                <c:pt idx="48">
                  <c:v>-0.90019258797253343</c:v>
                </c:pt>
                <c:pt idx="49">
                  <c:v>-0.89837057115887831</c:v>
                </c:pt>
                <c:pt idx="50">
                  <c:v>-0.89780529595062575</c:v>
                </c:pt>
                <c:pt idx="51">
                  <c:v>-0.89551721354295921</c:v>
                </c:pt>
                <c:pt idx="52">
                  <c:v>-0.89025745662348754</c:v>
                </c:pt>
                <c:pt idx="53">
                  <c:v>-0.89000297223795144</c:v>
                </c:pt>
                <c:pt idx="54">
                  <c:v>-0.85640599802391648</c:v>
                </c:pt>
                <c:pt idx="55">
                  <c:v>-0.85572540829871002</c:v>
                </c:pt>
                <c:pt idx="56">
                  <c:v>-0.84958952272199895</c:v>
                </c:pt>
                <c:pt idx="57">
                  <c:v>-0.845390919137472</c:v>
                </c:pt>
                <c:pt idx="58">
                  <c:v>-0.84460810262672936</c:v>
                </c:pt>
                <c:pt idx="59">
                  <c:v>-0.84456836839926552</c:v>
                </c:pt>
                <c:pt idx="60">
                  <c:v>-0.8435013844475634</c:v>
                </c:pt>
                <c:pt idx="61">
                  <c:v>-0.84123765283626994</c:v>
                </c:pt>
                <c:pt idx="62">
                  <c:v>-0.84113549917874053</c:v>
                </c:pt>
                <c:pt idx="63">
                  <c:v>-0.83432125305245819</c:v>
                </c:pt>
                <c:pt idx="64">
                  <c:v>-0.83406342031610592</c:v>
                </c:pt>
                <c:pt idx="65">
                  <c:v>-0.83232971714875958</c:v>
                </c:pt>
                <c:pt idx="66">
                  <c:v>-0.83413887937761899</c:v>
                </c:pt>
                <c:pt idx="67">
                  <c:v>-0.83422193337015926</c:v>
                </c:pt>
                <c:pt idx="68">
                  <c:v>-0.8343994202707421</c:v>
                </c:pt>
                <c:pt idx="69">
                  <c:v>-0.83487849881878873</c:v>
                </c:pt>
                <c:pt idx="70">
                  <c:v>-0.83532349277949436</c:v>
                </c:pt>
                <c:pt idx="71">
                  <c:v>-0.83529687013214726</c:v>
                </c:pt>
                <c:pt idx="72">
                  <c:v>-0.83429241913069063</c:v>
                </c:pt>
                <c:pt idx="73">
                  <c:v>-0.83438801705210608</c:v>
                </c:pt>
                <c:pt idx="74">
                  <c:v>-0.83494502040333174</c:v>
                </c:pt>
                <c:pt idx="75">
                  <c:v>-0.84624566018216996</c:v>
                </c:pt>
                <c:pt idx="76">
                  <c:v>-0.84640501318627059</c:v>
                </c:pt>
                <c:pt idx="77">
                  <c:v>-0.84761527129517589</c:v>
                </c:pt>
                <c:pt idx="78">
                  <c:v>-0.85068879140291642</c:v>
                </c:pt>
                <c:pt idx="79">
                  <c:v>-0.85699716059141196</c:v>
                </c:pt>
                <c:pt idx="80">
                  <c:v>-0.85852438886095683</c:v>
                </c:pt>
                <c:pt idx="81">
                  <c:v>-0.87898887220942612</c:v>
                </c:pt>
                <c:pt idx="82">
                  <c:v>-0.88072063535711465</c:v>
                </c:pt>
                <c:pt idx="83">
                  <c:v>-0.89012134725327741</c:v>
                </c:pt>
                <c:pt idx="84">
                  <c:v>-0.89843242481065033</c:v>
                </c:pt>
                <c:pt idx="85">
                  <c:v>-0.89914730895737449</c:v>
                </c:pt>
                <c:pt idx="86">
                  <c:v>-0.89970775483690346</c:v>
                </c:pt>
                <c:pt idx="87">
                  <c:v>-0.90418278912480332</c:v>
                </c:pt>
                <c:pt idx="88">
                  <c:v>-0.91037017110607366</c:v>
                </c:pt>
                <c:pt idx="89">
                  <c:v>-0.91224841499793996</c:v>
                </c:pt>
                <c:pt idx="90">
                  <c:v>-0.91415780394609669</c:v>
                </c:pt>
                <c:pt idx="91">
                  <c:v>-0.91424108182930297</c:v>
                </c:pt>
                <c:pt idx="92">
                  <c:v>-0.91453516653237443</c:v>
                </c:pt>
                <c:pt idx="93">
                  <c:v>-0.91834595379358319</c:v>
                </c:pt>
                <c:pt idx="94">
                  <c:v>-0.91843363820172641</c:v>
                </c:pt>
                <c:pt idx="95">
                  <c:v>-0.91860521403054918</c:v>
                </c:pt>
                <c:pt idx="96">
                  <c:v>-0.91909212766995552</c:v>
                </c:pt>
                <c:pt idx="97">
                  <c:v>-0.92124974408685034</c:v>
                </c:pt>
                <c:pt idx="98">
                  <c:v>-0.92206885409089523</c:v>
                </c:pt>
                <c:pt idx="99">
                  <c:v>-0.92457226866044806</c:v>
                </c:pt>
                <c:pt idx="100">
                  <c:v>-0.92504692871737149</c:v>
                </c:pt>
                <c:pt idx="101">
                  <c:v>-0.92702914101651857</c:v>
                </c:pt>
                <c:pt idx="102">
                  <c:v>-0.92890683751513592</c:v>
                </c:pt>
                <c:pt idx="103">
                  <c:v>-0.92893242227701478</c:v>
                </c:pt>
                <c:pt idx="104">
                  <c:v>-0.92917571937469745</c:v>
                </c:pt>
                <c:pt idx="105">
                  <c:v>-0.93017181454545295</c:v>
                </c:pt>
                <c:pt idx="106">
                  <c:v>-0.93109418438938718</c:v>
                </c:pt>
                <c:pt idx="107">
                  <c:v>-0.93198334375669134</c:v>
                </c:pt>
                <c:pt idx="108">
                  <c:v>-0.93574192051194416</c:v>
                </c:pt>
                <c:pt idx="109">
                  <c:v>-0.9370818487605419</c:v>
                </c:pt>
                <c:pt idx="110">
                  <c:v>-0.94167053120430211</c:v>
                </c:pt>
                <c:pt idx="111">
                  <c:v>-0.95461443765294973</c:v>
                </c:pt>
                <c:pt idx="112">
                  <c:v>-0.95472457526005172</c:v>
                </c:pt>
                <c:pt idx="113">
                  <c:v>-0.95600365476059324</c:v>
                </c:pt>
                <c:pt idx="114">
                  <c:v>-0.96133825164982767</c:v>
                </c:pt>
                <c:pt idx="115">
                  <c:v>-0.96894611514675688</c:v>
                </c:pt>
                <c:pt idx="116">
                  <c:v>-0.97127513997856596</c:v>
                </c:pt>
                <c:pt idx="117">
                  <c:v>-0.97474116065871641</c:v>
                </c:pt>
                <c:pt idx="118">
                  <c:v>-0.97640620526708233</c:v>
                </c:pt>
                <c:pt idx="119">
                  <c:v>-0.98436391161887116</c:v>
                </c:pt>
                <c:pt idx="120">
                  <c:v>-0.98301804497162237</c:v>
                </c:pt>
                <c:pt idx="121">
                  <c:v>-0.98301653573882675</c:v>
                </c:pt>
                <c:pt idx="122">
                  <c:v>-0.98321758509653989</c:v>
                </c:pt>
                <c:pt idx="123">
                  <c:v>-0.98416810093613805</c:v>
                </c:pt>
                <c:pt idx="124">
                  <c:v>-0.98551871083409281</c:v>
                </c:pt>
                <c:pt idx="125">
                  <c:v>-0.98652988139610187</c:v>
                </c:pt>
                <c:pt idx="126">
                  <c:v>-0.98665489194075207</c:v>
                </c:pt>
                <c:pt idx="127">
                  <c:v>-0.98682864220646849</c:v>
                </c:pt>
                <c:pt idx="128">
                  <c:v>-0.9865400254883312</c:v>
                </c:pt>
                <c:pt idx="129">
                  <c:v>-0.9813462724008275</c:v>
                </c:pt>
                <c:pt idx="130">
                  <c:v>-0.98100372132467584</c:v>
                </c:pt>
                <c:pt idx="131">
                  <c:v>-0.98094057874366314</c:v>
                </c:pt>
                <c:pt idx="132">
                  <c:v>-0.97493353030072427</c:v>
                </c:pt>
                <c:pt idx="133">
                  <c:v>-0.96587572979333913</c:v>
                </c:pt>
                <c:pt idx="134">
                  <c:v>-0.96508854811691691</c:v>
                </c:pt>
                <c:pt idx="135">
                  <c:v>-0.9622313014095738</c:v>
                </c:pt>
                <c:pt idx="136">
                  <c:v>-0.96150600479948167</c:v>
                </c:pt>
                <c:pt idx="137">
                  <c:v>-0.95140838063039723</c:v>
                </c:pt>
                <c:pt idx="138">
                  <c:v>-0.95336500116987821</c:v>
                </c:pt>
                <c:pt idx="139">
                  <c:v>-0.95347245386619761</c:v>
                </c:pt>
                <c:pt idx="140">
                  <c:v>-0.95347801907845309</c:v>
                </c:pt>
                <c:pt idx="141">
                  <c:v>-0.95444357890905707</c:v>
                </c:pt>
                <c:pt idx="142">
                  <c:v>-0.9561147232886924</c:v>
                </c:pt>
                <c:pt idx="143">
                  <c:v>-0.95666629753505106</c:v>
                </c:pt>
                <c:pt idx="144">
                  <c:v>-0.95710884456812551</c:v>
                </c:pt>
                <c:pt idx="145">
                  <c:v>-0.95740602606332459</c:v>
                </c:pt>
                <c:pt idx="146">
                  <c:v>-0.95970245858435277</c:v>
                </c:pt>
                <c:pt idx="147">
                  <c:v>-0.95628023528700368</c:v>
                </c:pt>
                <c:pt idx="148">
                  <c:v>-0.95617108442045406</c:v>
                </c:pt>
                <c:pt idx="149">
                  <c:v>-0.95614944944016855</c:v>
                </c:pt>
                <c:pt idx="150">
                  <c:v>-0.955155441193277</c:v>
                </c:pt>
                <c:pt idx="151">
                  <c:v>-0.95477491765232259</c:v>
                </c:pt>
                <c:pt idx="152">
                  <c:v>-0.95446609332716292</c:v>
                </c:pt>
                <c:pt idx="153">
                  <c:v>-0.95452827342266744</c:v>
                </c:pt>
                <c:pt idx="154">
                  <c:v>-0.95443498988329623</c:v>
                </c:pt>
                <c:pt idx="155">
                  <c:v>-0.95522212615132673</c:v>
                </c:pt>
                <c:pt idx="156">
                  <c:v>-0.93736333825154361</c:v>
                </c:pt>
                <c:pt idx="157">
                  <c:v>-0.93660262992239751</c:v>
                </c:pt>
                <c:pt idx="158">
                  <c:v>-0.93659336426161843</c:v>
                </c:pt>
                <c:pt idx="159">
                  <c:v>-0.92604285029788969</c:v>
                </c:pt>
                <c:pt idx="160">
                  <c:v>-0.92225948840680161</c:v>
                </c:pt>
                <c:pt idx="161">
                  <c:v>-0.91700925948021705</c:v>
                </c:pt>
                <c:pt idx="162">
                  <c:v>-0.91207677076751992</c:v>
                </c:pt>
                <c:pt idx="163">
                  <c:v>-0.91042254139670575</c:v>
                </c:pt>
                <c:pt idx="164">
                  <c:v>-0.9058549974642105</c:v>
                </c:pt>
                <c:pt idx="165">
                  <c:v>-0.87750156586160699</c:v>
                </c:pt>
                <c:pt idx="166">
                  <c:v>-0.87715213187779284</c:v>
                </c:pt>
                <c:pt idx="167">
                  <c:v>-0.87632888977938705</c:v>
                </c:pt>
                <c:pt idx="168">
                  <c:v>-0.858209927801596</c:v>
                </c:pt>
                <c:pt idx="169">
                  <c:v>-0.85690269165339572</c:v>
                </c:pt>
                <c:pt idx="170">
                  <c:v>-0.84897041210589919</c:v>
                </c:pt>
                <c:pt idx="171">
                  <c:v>-0.83728771814973157</c:v>
                </c:pt>
                <c:pt idx="172">
                  <c:v>-0.83462204129899931</c:v>
                </c:pt>
                <c:pt idx="173">
                  <c:v>-0.82821979047049865</c:v>
                </c:pt>
                <c:pt idx="174">
                  <c:v>-0.83445331139476764</c:v>
                </c:pt>
                <c:pt idx="175">
                  <c:v>-0.83461048626038092</c:v>
                </c:pt>
                <c:pt idx="176">
                  <c:v>-0.83547334088052594</c:v>
                </c:pt>
                <c:pt idx="177">
                  <c:v>-0.84014938707471032</c:v>
                </c:pt>
                <c:pt idx="178">
                  <c:v>-0.84149012923428046</c:v>
                </c:pt>
                <c:pt idx="179">
                  <c:v>-0.84262794158793497</c:v>
                </c:pt>
                <c:pt idx="180">
                  <c:v>-0.84615749910464189</c:v>
                </c:pt>
                <c:pt idx="181">
                  <c:v>-0.84663429447943628</c:v>
                </c:pt>
                <c:pt idx="182">
                  <c:v>-0.84727859408011597</c:v>
                </c:pt>
                <c:pt idx="183">
                  <c:v>-0.8576034321615964</c:v>
                </c:pt>
                <c:pt idx="184">
                  <c:v>-0.85769756560317489</c:v>
                </c:pt>
                <c:pt idx="185">
                  <c:v>-0.8586748779026081</c:v>
                </c:pt>
                <c:pt idx="186">
                  <c:v>-0.86221355190377125</c:v>
                </c:pt>
                <c:pt idx="187">
                  <c:v>-0.86448468896618635</c:v>
                </c:pt>
                <c:pt idx="188">
                  <c:v>-0.86485971804256678</c:v>
                </c:pt>
                <c:pt idx="189">
                  <c:v>-0.86988345669275446</c:v>
                </c:pt>
                <c:pt idx="190">
                  <c:v>-0.87014959743986253</c:v>
                </c:pt>
                <c:pt idx="191">
                  <c:v>-0.8704604164613059</c:v>
                </c:pt>
                <c:pt idx="192">
                  <c:v>-0.88080174607908646</c:v>
                </c:pt>
                <c:pt idx="193">
                  <c:v>-0.88101317865697126</c:v>
                </c:pt>
                <c:pt idx="194">
                  <c:v>-0.88280558403448595</c:v>
                </c:pt>
                <c:pt idx="195">
                  <c:v>-0.88737877058093062</c:v>
                </c:pt>
                <c:pt idx="196">
                  <c:v>-0.89355726864982898</c:v>
                </c:pt>
                <c:pt idx="197">
                  <c:v>-0.89455451733097391</c:v>
                </c:pt>
                <c:pt idx="198">
                  <c:v>-0.90507320278537406</c:v>
                </c:pt>
                <c:pt idx="199">
                  <c:v>-0.90644281431893603</c:v>
                </c:pt>
                <c:pt idx="200">
                  <c:v>-0.90782542656175025</c:v>
                </c:pt>
                <c:pt idx="201">
                  <c:v>-0.91118848649203699</c:v>
                </c:pt>
                <c:pt idx="202">
                  <c:v>-0.91124826700555417</c:v>
                </c:pt>
                <c:pt idx="203">
                  <c:v>-0.91150923120112992</c:v>
                </c:pt>
                <c:pt idx="204">
                  <c:v>-0.91134519954229631</c:v>
                </c:pt>
                <c:pt idx="205">
                  <c:v>-0.91074011229963503</c:v>
                </c:pt>
                <c:pt idx="206">
                  <c:v>-0.91048625805807148</c:v>
                </c:pt>
                <c:pt idx="207">
                  <c:v>-0.90968222444973179</c:v>
                </c:pt>
                <c:pt idx="208">
                  <c:v>-0.90795320538744306</c:v>
                </c:pt>
                <c:pt idx="209">
                  <c:v>-0.90764798313832529</c:v>
                </c:pt>
                <c:pt idx="210">
                  <c:v>-0.9078427075568456</c:v>
                </c:pt>
                <c:pt idx="211">
                  <c:v>-0.90820117371473685</c:v>
                </c:pt>
                <c:pt idx="212">
                  <c:v>-0.91702067761303141</c:v>
                </c:pt>
                <c:pt idx="213">
                  <c:v>-0.91709721121177523</c:v>
                </c:pt>
                <c:pt idx="214">
                  <c:v>-0.93843641694130042</c:v>
                </c:pt>
                <c:pt idx="215">
                  <c:v>-0.95337674409640272</c:v>
                </c:pt>
                <c:pt idx="216">
                  <c:v>-0.97347235568538082</c:v>
                </c:pt>
                <c:pt idx="217">
                  <c:v>-0.9966130420580015</c:v>
                </c:pt>
                <c:pt idx="218">
                  <c:v>-0.99963313520112251</c:v>
                </c:pt>
                <c:pt idx="219">
                  <c:v>-1.019810590412547</c:v>
                </c:pt>
                <c:pt idx="220">
                  <c:v>-1.031164688016986</c:v>
                </c:pt>
                <c:pt idx="221">
                  <c:v>-1.0326356521321358</c:v>
                </c:pt>
                <c:pt idx="222">
                  <c:v>-1.0474339870972997</c:v>
                </c:pt>
                <c:pt idx="223">
                  <c:v>-1.0637216365048232</c:v>
                </c:pt>
                <c:pt idx="224">
                  <c:v>-1.0731635251191776</c:v>
                </c:pt>
                <c:pt idx="225">
                  <c:v>-1.0806136799570112</c:v>
                </c:pt>
                <c:pt idx="226">
                  <c:v>-1.0810744182890204</c:v>
                </c:pt>
                <c:pt idx="227">
                  <c:v>-1.0811326875667504</c:v>
                </c:pt>
                <c:pt idx="228">
                  <c:v>-1.08072079401569</c:v>
                </c:pt>
                <c:pt idx="229">
                  <c:v>-1.0806623515843867</c:v>
                </c:pt>
                <c:pt idx="230">
                  <c:v>-1.0806312182777233</c:v>
                </c:pt>
                <c:pt idx="231">
                  <c:v>-1.0810595025748668</c:v>
                </c:pt>
                <c:pt idx="232">
                  <c:v>-1.0816858880286517</c:v>
                </c:pt>
                <c:pt idx="233">
                  <c:v>-1.0816536926782376</c:v>
                </c:pt>
                <c:pt idx="234">
                  <c:v>-1.0812256827978572</c:v>
                </c:pt>
                <c:pt idx="235">
                  <c:v>-1.0801401885093824</c:v>
                </c:pt>
                <c:pt idx="236">
                  <c:v>-1.0800923017292945</c:v>
                </c:pt>
                <c:pt idx="237">
                  <c:v>-1.0815629231726334</c:v>
                </c:pt>
                <c:pt idx="238">
                  <c:v>-1.0829010439540738</c:v>
                </c:pt>
                <c:pt idx="239">
                  <c:v>-1.0852845461990981</c:v>
                </c:pt>
                <c:pt idx="240">
                  <c:v>-1.0876089370509234</c:v>
                </c:pt>
                <c:pt idx="241">
                  <c:v>-1.0935329214337486</c:v>
                </c:pt>
                <c:pt idx="242">
                  <c:v>-1.0945998841410756</c:v>
                </c:pt>
                <c:pt idx="243">
                  <c:v>-1.0966093274461812</c:v>
                </c:pt>
                <c:pt idx="244">
                  <c:v>-1.1017338503863172</c:v>
                </c:pt>
                <c:pt idx="245">
                  <c:v>-1.1038326720028948</c:v>
                </c:pt>
                <c:pt idx="246">
                  <c:v>-1.1044817373610556</c:v>
                </c:pt>
                <c:pt idx="247">
                  <c:v>-1.1048156307823405</c:v>
                </c:pt>
                <c:pt idx="248">
                  <c:v>-1.1052858029502204</c:v>
                </c:pt>
                <c:pt idx="249">
                  <c:v>-1.1056731394341668</c:v>
                </c:pt>
                <c:pt idx="250">
                  <c:v>-1.1089407697443008</c:v>
                </c:pt>
                <c:pt idx="251">
                  <c:v>-1.1091014986778092</c:v>
                </c:pt>
                <c:pt idx="252">
                  <c:v>-1.1113742701638429</c:v>
                </c:pt>
                <c:pt idx="253">
                  <c:v>-1.1199138810926001</c:v>
                </c:pt>
                <c:pt idx="254">
                  <c:v>-1.120719232166536</c:v>
                </c:pt>
                <c:pt idx="255">
                  <c:v>-1.1208535145109124</c:v>
                </c:pt>
                <c:pt idx="256">
                  <c:v>-1.1209302170283806</c:v>
                </c:pt>
                <c:pt idx="257">
                  <c:v>-1.1225196107220015</c:v>
                </c:pt>
                <c:pt idx="258">
                  <c:v>-1.1234560433004646</c:v>
                </c:pt>
                <c:pt idx="259">
                  <c:v>-1.127131777740658</c:v>
                </c:pt>
                <c:pt idx="260">
                  <c:v>-1.1273449299509224</c:v>
                </c:pt>
                <c:pt idx="261">
                  <c:v>-1.1279396687110648</c:v>
                </c:pt>
                <c:pt idx="262">
                  <c:v>-1.1320445702163298</c:v>
                </c:pt>
                <c:pt idx="263">
                  <c:v>-1.1320886661510201</c:v>
                </c:pt>
                <c:pt idx="264">
                  <c:v>-1.1324548074190943</c:v>
                </c:pt>
                <c:pt idx="265">
                  <c:v>-1.1330046794857296</c:v>
                </c:pt>
                <c:pt idx="266">
                  <c:v>-1.1356306365997071</c:v>
                </c:pt>
                <c:pt idx="267">
                  <c:v>-1.1357975373475639</c:v>
                </c:pt>
                <c:pt idx="268">
                  <c:v>-1.1363853276901921</c:v>
                </c:pt>
                <c:pt idx="269">
                  <c:v>-1.1365333618248243</c:v>
                </c:pt>
                <c:pt idx="270">
                  <c:v>-1.1368673465171426</c:v>
                </c:pt>
                <c:pt idx="271">
                  <c:v>-1.1380918265286368</c:v>
                </c:pt>
                <c:pt idx="272">
                  <c:v>-1.1382116792866626</c:v>
                </c:pt>
                <c:pt idx="273">
                  <c:v>-1.1387731857138235</c:v>
                </c:pt>
                <c:pt idx="274">
                  <c:v>-1.1388718161458442</c:v>
                </c:pt>
                <c:pt idx="275">
                  <c:v>-1.1389797091680691</c:v>
                </c:pt>
                <c:pt idx="276">
                  <c:v>-1.138996412760001</c:v>
                </c:pt>
                <c:pt idx="277">
                  <c:v>-1.1402851571630492</c:v>
                </c:pt>
                <c:pt idx="278">
                  <c:v>-1.1410342842241192</c:v>
                </c:pt>
                <c:pt idx="279">
                  <c:v>-1.1414048958875966</c:v>
                </c:pt>
                <c:pt idx="280">
                  <c:v>-1.1448689785656896</c:v>
                </c:pt>
                <c:pt idx="281">
                  <c:v>-1.1454585427765451</c:v>
                </c:pt>
                <c:pt idx="282">
                  <c:v>-1.1464741335700452</c:v>
                </c:pt>
                <c:pt idx="283">
                  <c:v>-1.1465367143690131</c:v>
                </c:pt>
                <c:pt idx="284">
                  <c:v>-1.1482293918321815</c:v>
                </c:pt>
                <c:pt idx="285">
                  <c:v>-1.1482318390416708</c:v>
                </c:pt>
                <c:pt idx="286">
                  <c:v>-1.1505078268626505</c:v>
                </c:pt>
                <c:pt idx="287">
                  <c:v>-1.1482316296474053</c:v>
                </c:pt>
                <c:pt idx="288">
                  <c:v>-1.1474351787198529</c:v>
                </c:pt>
                <c:pt idx="289">
                  <c:v>-1.1424459752162193</c:v>
                </c:pt>
                <c:pt idx="290">
                  <c:v>-1.1414695287870771</c:v>
                </c:pt>
                <c:pt idx="291">
                  <c:v>-1.1396423644694096</c:v>
                </c:pt>
                <c:pt idx="292">
                  <c:v>-1.1394856587842668</c:v>
                </c:pt>
                <c:pt idx="293">
                  <c:v>-1.1388989543218671</c:v>
                </c:pt>
                <c:pt idx="294">
                  <c:v>-1.1387042859226355</c:v>
                </c:pt>
                <c:pt idx="295">
                  <c:v>-1.1367756967080354</c:v>
                </c:pt>
                <c:pt idx="296">
                  <c:v>-1.1362835274380956</c:v>
                </c:pt>
                <c:pt idx="297">
                  <c:v>-1.1361937182030672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3BE-4EDE-9B06-59BDE07897AD}"/>
            </c:ext>
          </c:extLst>
        </c:ser>
        <c:ser>
          <c:idx val="3"/>
          <c:order val="3"/>
          <c:tx>
            <c:strRef>
              <c:f>race_data!$P$1</c:f>
              <c:strCache>
                <c:ptCount val="1"/>
                <c:pt idx="0">
                  <c:v>YannickD</c:v>
                </c:pt>
              </c:strCache>
            </c:strRef>
          </c:tx>
          <c:marker>
            <c:symbol val="none"/>
          </c:marker>
          <c:xVal>
            <c:numRef>
              <c:f>intermediate_data!$A$2:$A$299</c:f>
              <c:numCache>
                <c:formatCode>General</c:formatCode>
                <c:ptCount val="298"/>
                <c:pt idx="0">
                  <c:v>53.683999999999997</c:v>
                </c:pt>
                <c:pt idx="1">
                  <c:v>53.756</c:v>
                </c:pt>
                <c:pt idx="2">
                  <c:v>54.529000000000003</c:v>
                </c:pt>
                <c:pt idx="3">
                  <c:v>55.472999999999999</c:v>
                </c:pt>
                <c:pt idx="4">
                  <c:v>55.91</c:v>
                </c:pt>
                <c:pt idx="5">
                  <c:v>56.984000000000002</c:v>
                </c:pt>
                <c:pt idx="6">
                  <c:v>57.091999999999999</c:v>
                </c:pt>
                <c:pt idx="7">
                  <c:v>57.482999999999997</c:v>
                </c:pt>
                <c:pt idx="8">
                  <c:v>58.719000000000001</c:v>
                </c:pt>
                <c:pt idx="9">
                  <c:v>107.248</c:v>
                </c:pt>
                <c:pt idx="10">
                  <c:v>107.48399999999999</c:v>
                </c:pt>
                <c:pt idx="11">
                  <c:v>109.506</c:v>
                </c:pt>
                <c:pt idx="12">
                  <c:v>111.09399999999999</c:v>
                </c:pt>
                <c:pt idx="13">
                  <c:v>111.527</c:v>
                </c:pt>
                <c:pt idx="14">
                  <c:v>112.53</c:v>
                </c:pt>
                <c:pt idx="15">
                  <c:v>113.36199999999999</c:v>
                </c:pt>
                <c:pt idx="16">
                  <c:v>113.758</c:v>
                </c:pt>
                <c:pt idx="17">
                  <c:v>115.387</c:v>
                </c:pt>
                <c:pt idx="18">
                  <c:v>160.595</c:v>
                </c:pt>
                <c:pt idx="19">
                  <c:v>160.697</c:v>
                </c:pt>
                <c:pt idx="20">
                  <c:v>163.79</c:v>
                </c:pt>
                <c:pt idx="21">
                  <c:v>166.34</c:v>
                </c:pt>
                <c:pt idx="22">
                  <c:v>166.87200000000001</c:v>
                </c:pt>
                <c:pt idx="23">
                  <c:v>167.84800000000001</c:v>
                </c:pt>
                <c:pt idx="24">
                  <c:v>169.19900000000001</c:v>
                </c:pt>
                <c:pt idx="25">
                  <c:v>170.291</c:v>
                </c:pt>
                <c:pt idx="26">
                  <c:v>171.417</c:v>
                </c:pt>
                <c:pt idx="27">
                  <c:v>214.05799999999999</c:v>
                </c:pt>
                <c:pt idx="28">
                  <c:v>214.31100000000001</c:v>
                </c:pt>
                <c:pt idx="29">
                  <c:v>217.57599999999999</c:v>
                </c:pt>
                <c:pt idx="30">
                  <c:v>221.208</c:v>
                </c:pt>
                <c:pt idx="31">
                  <c:v>222.99600000000001</c:v>
                </c:pt>
                <c:pt idx="32">
                  <c:v>223.346</c:v>
                </c:pt>
                <c:pt idx="33">
                  <c:v>224.792</c:v>
                </c:pt>
                <c:pt idx="34">
                  <c:v>227.23699999999999</c:v>
                </c:pt>
                <c:pt idx="35">
                  <c:v>227.387</c:v>
                </c:pt>
                <c:pt idx="36">
                  <c:v>267.20299999999997</c:v>
                </c:pt>
                <c:pt idx="37">
                  <c:v>267.286</c:v>
                </c:pt>
                <c:pt idx="38">
                  <c:v>271.62</c:v>
                </c:pt>
                <c:pt idx="39">
                  <c:v>276.245</c:v>
                </c:pt>
                <c:pt idx="40">
                  <c:v>278.11500000000001</c:v>
                </c:pt>
                <c:pt idx="41">
                  <c:v>278.77100000000002</c:v>
                </c:pt>
                <c:pt idx="42">
                  <c:v>280.43099999999998</c:v>
                </c:pt>
                <c:pt idx="43">
                  <c:v>283.97699999999998</c:v>
                </c:pt>
                <c:pt idx="44">
                  <c:v>284.36900000000003</c:v>
                </c:pt>
                <c:pt idx="45">
                  <c:v>319.94</c:v>
                </c:pt>
                <c:pt idx="46">
                  <c:v>320.41699999999997</c:v>
                </c:pt>
                <c:pt idx="47">
                  <c:v>325.77699999999999</c:v>
                </c:pt>
                <c:pt idx="48">
                  <c:v>331.447</c:v>
                </c:pt>
                <c:pt idx="49">
                  <c:v>333.30500000000001</c:v>
                </c:pt>
                <c:pt idx="50">
                  <c:v>333.83100000000002</c:v>
                </c:pt>
                <c:pt idx="51">
                  <c:v>335.64</c:v>
                </c:pt>
                <c:pt idx="52">
                  <c:v>340.83300000000003</c:v>
                </c:pt>
                <c:pt idx="53">
                  <c:v>341.09199999999998</c:v>
                </c:pt>
                <c:pt idx="54">
                  <c:v>372.53500000000003</c:v>
                </c:pt>
                <c:pt idx="55">
                  <c:v>373.22</c:v>
                </c:pt>
                <c:pt idx="56">
                  <c:v>380.05599999999998</c:v>
                </c:pt>
                <c:pt idx="57">
                  <c:v>386.74900000000002</c:v>
                </c:pt>
                <c:pt idx="58">
                  <c:v>388.19299999999998</c:v>
                </c:pt>
                <c:pt idx="59">
                  <c:v>388.30299999999988</c:v>
                </c:pt>
                <c:pt idx="60">
                  <c:v>391.55099999999999</c:v>
                </c:pt>
                <c:pt idx="61">
                  <c:v>397.34199999999998</c:v>
                </c:pt>
                <c:pt idx="62">
                  <c:v>397.60199999999998</c:v>
                </c:pt>
                <c:pt idx="63">
                  <c:v>425.07600000000002</c:v>
                </c:pt>
                <c:pt idx="64">
                  <c:v>426.26299999999998</c:v>
                </c:pt>
                <c:pt idx="65">
                  <c:v>434.23099999999999</c:v>
                </c:pt>
                <c:pt idx="66">
                  <c:v>442.30500000000001</c:v>
                </c:pt>
                <c:pt idx="67">
                  <c:v>442.87700000000001</c:v>
                </c:pt>
                <c:pt idx="68">
                  <c:v>443.70699999999999</c:v>
                </c:pt>
                <c:pt idx="69">
                  <c:v>447.20600000000002</c:v>
                </c:pt>
                <c:pt idx="70">
                  <c:v>453.82100000000003</c:v>
                </c:pt>
                <c:pt idx="71">
                  <c:v>454.59500000000003</c:v>
                </c:pt>
                <c:pt idx="72">
                  <c:v>477.66599999999988</c:v>
                </c:pt>
                <c:pt idx="73">
                  <c:v>479.28800000000001</c:v>
                </c:pt>
                <c:pt idx="74">
                  <c:v>488.19099999999997</c:v>
                </c:pt>
                <c:pt idx="75">
                  <c:v>497.56099999999998</c:v>
                </c:pt>
                <c:pt idx="76">
                  <c:v>497.72300000000001</c:v>
                </c:pt>
                <c:pt idx="77">
                  <c:v>498.91699999999997</c:v>
                </c:pt>
                <c:pt idx="78">
                  <c:v>502.58499999999998</c:v>
                </c:pt>
                <c:pt idx="79">
                  <c:v>509.87099999999998</c:v>
                </c:pt>
                <c:pt idx="80">
                  <c:v>511.53800000000001</c:v>
                </c:pt>
                <c:pt idx="81">
                  <c:v>530.65299999999991</c:v>
                </c:pt>
                <c:pt idx="82">
                  <c:v>532.33299999999997</c:v>
                </c:pt>
                <c:pt idx="83">
                  <c:v>541.52099999999996</c:v>
                </c:pt>
                <c:pt idx="84">
                  <c:v>551.93500000000006</c:v>
                </c:pt>
                <c:pt idx="85">
                  <c:v>552.71499999999992</c:v>
                </c:pt>
                <c:pt idx="86">
                  <c:v>553.38400000000001</c:v>
                </c:pt>
                <c:pt idx="87">
                  <c:v>558.18000000000006</c:v>
                </c:pt>
                <c:pt idx="88">
                  <c:v>566.23699999999997</c:v>
                </c:pt>
                <c:pt idx="89">
                  <c:v>569.47499999999991</c:v>
                </c:pt>
                <c:pt idx="90">
                  <c:v>583.65299999999991</c:v>
                </c:pt>
                <c:pt idx="91">
                  <c:v>585.43899999999996</c:v>
                </c:pt>
                <c:pt idx="92">
                  <c:v>594.96499999999992</c:v>
                </c:pt>
                <c:pt idx="93">
                  <c:v>606.97200000000009</c:v>
                </c:pt>
                <c:pt idx="94">
                  <c:v>607.32999999999993</c:v>
                </c:pt>
                <c:pt idx="95">
                  <c:v>608.36599999999999</c:v>
                </c:pt>
                <c:pt idx="96">
                  <c:v>613.03800000000001</c:v>
                </c:pt>
                <c:pt idx="97">
                  <c:v>621.69099999999992</c:v>
                </c:pt>
                <c:pt idx="98">
                  <c:v>625.02299999999991</c:v>
                </c:pt>
                <c:pt idx="99">
                  <c:v>636.24399999999991</c:v>
                </c:pt>
                <c:pt idx="100">
                  <c:v>638.471</c:v>
                </c:pt>
                <c:pt idx="101">
                  <c:v>648.21699999999987</c:v>
                </c:pt>
                <c:pt idx="102">
                  <c:v>661.52299999999991</c:v>
                </c:pt>
                <c:pt idx="103">
                  <c:v>661.65100000000007</c:v>
                </c:pt>
                <c:pt idx="104">
                  <c:v>663.02</c:v>
                </c:pt>
                <c:pt idx="105">
                  <c:v>668.73</c:v>
                </c:pt>
                <c:pt idx="106">
                  <c:v>677.15299999999991</c:v>
                </c:pt>
                <c:pt idx="107">
                  <c:v>680.47199999999987</c:v>
                </c:pt>
                <c:pt idx="108">
                  <c:v>688.80799999999988</c:v>
                </c:pt>
                <c:pt idx="109">
                  <c:v>691.47199999999998</c:v>
                </c:pt>
                <c:pt idx="110">
                  <c:v>701.5089999999999</c:v>
                </c:pt>
                <c:pt idx="111">
                  <c:v>716.07599999999991</c:v>
                </c:pt>
                <c:pt idx="112">
                  <c:v>716.20200000000011</c:v>
                </c:pt>
                <c:pt idx="113">
                  <c:v>717.66599999999994</c:v>
                </c:pt>
                <c:pt idx="114">
                  <c:v>724.04100000000005</c:v>
                </c:pt>
                <c:pt idx="115">
                  <c:v>733.63499999999988</c:v>
                </c:pt>
                <c:pt idx="116">
                  <c:v>737.13299999999981</c:v>
                </c:pt>
                <c:pt idx="117">
                  <c:v>741.71299999999985</c:v>
                </c:pt>
                <c:pt idx="118">
                  <c:v>744.25900000000001</c:v>
                </c:pt>
                <c:pt idx="119">
                  <c:v>754.44999999999993</c:v>
                </c:pt>
                <c:pt idx="120">
                  <c:v>770.65599999999995</c:v>
                </c:pt>
                <c:pt idx="121">
                  <c:v>770.76300000000015</c:v>
                </c:pt>
                <c:pt idx="122">
                  <c:v>772.13699999999994</c:v>
                </c:pt>
                <c:pt idx="123">
                  <c:v>779.18400000000008</c:v>
                </c:pt>
                <c:pt idx="124">
                  <c:v>789.3359999999999</c:v>
                </c:pt>
                <c:pt idx="125">
                  <c:v>794.03099999999984</c:v>
                </c:pt>
                <c:pt idx="126">
                  <c:v>794.50299999999982</c:v>
                </c:pt>
                <c:pt idx="127">
                  <c:v>797.92899999999997</c:v>
                </c:pt>
                <c:pt idx="128">
                  <c:v>808.10399999999993</c:v>
                </c:pt>
                <c:pt idx="129">
                  <c:v>825.70099999999991</c:v>
                </c:pt>
                <c:pt idx="130">
                  <c:v>826.44900000000018</c:v>
                </c:pt>
                <c:pt idx="131">
                  <c:v>826.54</c:v>
                </c:pt>
                <c:pt idx="132">
                  <c:v>834.33500000000004</c:v>
                </c:pt>
                <c:pt idx="133">
                  <c:v>845.66899999999987</c:v>
                </c:pt>
                <c:pt idx="134">
                  <c:v>846.68199999999979</c:v>
                </c:pt>
                <c:pt idx="135">
                  <c:v>850.2489999999998</c:v>
                </c:pt>
                <c:pt idx="136">
                  <c:v>851.06</c:v>
                </c:pt>
                <c:pt idx="137">
                  <c:v>862.00699999999995</c:v>
                </c:pt>
                <c:pt idx="138">
                  <c:v>879.50599999999986</c:v>
                </c:pt>
                <c:pt idx="139">
                  <c:v>880.33399999999995</c:v>
                </c:pt>
                <c:pt idx="140">
                  <c:v>880.38000000000022</c:v>
                </c:pt>
                <c:pt idx="141">
                  <c:v>889.13300000000004</c:v>
                </c:pt>
                <c:pt idx="142">
                  <c:v>899.13499999999976</c:v>
                </c:pt>
                <c:pt idx="143">
                  <c:v>902.08499999999981</c:v>
                </c:pt>
                <c:pt idx="144">
                  <c:v>903.89799999999991</c:v>
                </c:pt>
                <c:pt idx="145">
                  <c:v>905.23399999999981</c:v>
                </c:pt>
                <c:pt idx="146">
                  <c:v>914.92899999999997</c:v>
                </c:pt>
                <c:pt idx="147">
                  <c:v>933.46699999999987</c:v>
                </c:pt>
                <c:pt idx="148">
                  <c:v>934.0619999999999</c:v>
                </c:pt>
                <c:pt idx="149">
                  <c:v>934.23800000000017</c:v>
                </c:pt>
                <c:pt idx="150">
                  <c:v>944.41399999999999</c:v>
                </c:pt>
                <c:pt idx="151">
                  <c:v>951.75499999999977</c:v>
                </c:pt>
                <c:pt idx="152">
                  <c:v>956.57899999999995</c:v>
                </c:pt>
                <c:pt idx="153">
                  <c:v>959.00699999999983</c:v>
                </c:pt>
                <c:pt idx="154">
                  <c:v>960.36199999999985</c:v>
                </c:pt>
                <c:pt idx="155">
                  <c:v>968.27699999999993</c:v>
                </c:pt>
                <c:pt idx="156">
                  <c:v>987.40599999999984</c:v>
                </c:pt>
                <c:pt idx="157">
                  <c:v>988.2829999999999</c:v>
                </c:pt>
                <c:pt idx="158">
                  <c:v>988.29300000000012</c:v>
                </c:pt>
                <c:pt idx="159">
                  <c:v>1000.082</c:v>
                </c:pt>
                <c:pt idx="160">
                  <c:v>1004.273</c:v>
                </c:pt>
                <c:pt idx="161">
                  <c:v>1009.982</c:v>
                </c:pt>
                <c:pt idx="162">
                  <c:v>1015.061</c:v>
                </c:pt>
                <c:pt idx="163">
                  <c:v>1017.0119999999999</c:v>
                </c:pt>
                <c:pt idx="164">
                  <c:v>1022.78</c:v>
                </c:pt>
                <c:pt idx="165">
                  <c:v>1041.758</c:v>
                </c:pt>
                <c:pt idx="166">
                  <c:v>1041.9860000000001</c:v>
                </c:pt>
                <c:pt idx="167">
                  <c:v>1042.5309999999999</c:v>
                </c:pt>
                <c:pt idx="168">
                  <c:v>1055.546</c:v>
                </c:pt>
                <c:pt idx="169">
                  <c:v>1056.577</c:v>
                </c:pt>
                <c:pt idx="170">
                  <c:v>1062.8579999999999</c:v>
                </c:pt>
                <c:pt idx="171">
                  <c:v>1072.2570000000001</c:v>
                </c:pt>
                <c:pt idx="172">
                  <c:v>1074.1559999999999</c:v>
                </c:pt>
                <c:pt idx="173">
                  <c:v>1078.1659999999999</c:v>
                </c:pt>
                <c:pt idx="174">
                  <c:v>1095.5119999999999</c:v>
                </c:pt>
                <c:pt idx="175">
                  <c:v>1095.8789999999999</c:v>
                </c:pt>
                <c:pt idx="176">
                  <c:v>1097.713</c:v>
                </c:pt>
                <c:pt idx="177">
                  <c:v>1108.8510000000001</c:v>
                </c:pt>
                <c:pt idx="178">
                  <c:v>1112.067</c:v>
                </c:pt>
                <c:pt idx="179">
                  <c:v>1115.752</c:v>
                </c:pt>
                <c:pt idx="180">
                  <c:v>1127.6790000000001</c:v>
                </c:pt>
                <c:pt idx="181">
                  <c:v>1129.2570000000001</c:v>
                </c:pt>
                <c:pt idx="182">
                  <c:v>1131.1469999999999</c:v>
                </c:pt>
                <c:pt idx="183">
                  <c:v>1149.9880000000001</c:v>
                </c:pt>
                <c:pt idx="184">
                  <c:v>1150.1880000000001</c:v>
                </c:pt>
                <c:pt idx="185">
                  <c:v>1152.442</c:v>
                </c:pt>
                <c:pt idx="186">
                  <c:v>1161.1489999999999</c:v>
                </c:pt>
                <c:pt idx="187">
                  <c:v>1167.48</c:v>
                </c:pt>
                <c:pt idx="188">
                  <c:v>1168.566</c:v>
                </c:pt>
                <c:pt idx="189">
                  <c:v>1183.204</c:v>
                </c:pt>
                <c:pt idx="190">
                  <c:v>1183.8610000000001</c:v>
                </c:pt>
                <c:pt idx="191">
                  <c:v>1184.771</c:v>
                </c:pt>
                <c:pt idx="192">
                  <c:v>1203.7750000000001</c:v>
                </c:pt>
                <c:pt idx="193">
                  <c:v>1204.1310000000001</c:v>
                </c:pt>
                <c:pt idx="194">
                  <c:v>1206.932</c:v>
                </c:pt>
                <c:pt idx="195">
                  <c:v>1213.0440000000001</c:v>
                </c:pt>
                <c:pt idx="196">
                  <c:v>1221.4059999999999</c:v>
                </c:pt>
                <c:pt idx="197">
                  <c:v>1222.7739999999999</c:v>
                </c:pt>
                <c:pt idx="198">
                  <c:v>1236.6559999999999</c:v>
                </c:pt>
                <c:pt idx="199">
                  <c:v>1239.4690000000001</c:v>
                </c:pt>
                <c:pt idx="200">
                  <c:v>1242.714999999999</c:v>
                </c:pt>
                <c:pt idx="201">
                  <c:v>1258.1849999999999</c:v>
                </c:pt>
                <c:pt idx="202">
                  <c:v>1258.5820000000001</c:v>
                </c:pt>
                <c:pt idx="203">
                  <c:v>1262.6769999999999</c:v>
                </c:pt>
                <c:pt idx="204">
                  <c:v>1264.9359999999999</c:v>
                </c:pt>
                <c:pt idx="205">
                  <c:v>1274.2059999999999</c:v>
                </c:pt>
                <c:pt idx="206">
                  <c:v>1278.5029999999999</c:v>
                </c:pt>
                <c:pt idx="207">
                  <c:v>1289.8050000000001</c:v>
                </c:pt>
                <c:pt idx="208">
                  <c:v>1295.049</c:v>
                </c:pt>
                <c:pt idx="209">
                  <c:v>1298.196999999999</c:v>
                </c:pt>
                <c:pt idx="210">
                  <c:v>1311.886</c:v>
                </c:pt>
                <c:pt idx="211">
                  <c:v>1312.077</c:v>
                </c:pt>
                <c:pt idx="212">
                  <c:v>1316.857</c:v>
                </c:pt>
                <c:pt idx="213">
                  <c:v>1316.8969999999999</c:v>
                </c:pt>
                <c:pt idx="214">
                  <c:v>1327.0650000000001</c:v>
                </c:pt>
                <c:pt idx="215">
                  <c:v>1334.078</c:v>
                </c:pt>
                <c:pt idx="216">
                  <c:v>1343.328</c:v>
                </c:pt>
                <c:pt idx="217">
                  <c:v>1353.5630000000001</c:v>
                </c:pt>
                <c:pt idx="218">
                  <c:v>1355.049999999999</c:v>
                </c:pt>
                <c:pt idx="219">
                  <c:v>1365.2909999999999</c:v>
                </c:pt>
                <c:pt idx="220">
                  <c:v>1371.1030000000001</c:v>
                </c:pt>
                <c:pt idx="221">
                  <c:v>1371.922</c:v>
                </c:pt>
                <c:pt idx="222">
                  <c:v>1380.578</c:v>
                </c:pt>
                <c:pt idx="223">
                  <c:v>1390.499</c:v>
                </c:pt>
                <c:pt idx="224">
                  <c:v>1396.672</c:v>
                </c:pt>
                <c:pt idx="225">
                  <c:v>1400.73</c:v>
                </c:pt>
                <c:pt idx="226">
                  <c:v>1409.2739999999999</c:v>
                </c:pt>
                <c:pt idx="227">
                  <c:v>1411.327</c:v>
                </c:pt>
                <c:pt idx="228">
                  <c:v>1418.57</c:v>
                </c:pt>
                <c:pt idx="229">
                  <c:v>1423.5709999999999</c:v>
                </c:pt>
                <c:pt idx="230">
                  <c:v>1426.067</c:v>
                </c:pt>
                <c:pt idx="231">
                  <c:v>1433.5509999999999</c:v>
                </c:pt>
                <c:pt idx="232">
                  <c:v>1445.6969999999999</c:v>
                </c:pt>
                <c:pt idx="233">
                  <c:v>1449.5250000000001</c:v>
                </c:pt>
                <c:pt idx="234">
                  <c:v>1454.1659999999999</c:v>
                </c:pt>
                <c:pt idx="235">
                  <c:v>1464.6569999999999</c:v>
                </c:pt>
                <c:pt idx="236">
                  <c:v>1466.481</c:v>
                </c:pt>
                <c:pt idx="237">
                  <c:v>1472.396</c:v>
                </c:pt>
                <c:pt idx="238">
                  <c:v>1476.029</c:v>
                </c:pt>
                <c:pt idx="239">
                  <c:v>1481.104</c:v>
                </c:pt>
                <c:pt idx="240">
                  <c:v>1486.4649999999999</c:v>
                </c:pt>
                <c:pt idx="241">
                  <c:v>1500.1189999999999</c:v>
                </c:pt>
                <c:pt idx="242">
                  <c:v>1502.5119999999999</c:v>
                </c:pt>
                <c:pt idx="243">
                  <c:v>1507.4490000000001</c:v>
                </c:pt>
                <c:pt idx="244">
                  <c:v>1521.09</c:v>
                </c:pt>
                <c:pt idx="245">
                  <c:v>1525.5940000000001</c:v>
                </c:pt>
                <c:pt idx="246">
                  <c:v>1527.826</c:v>
                </c:pt>
                <c:pt idx="247">
                  <c:v>1529.7850000000001</c:v>
                </c:pt>
                <c:pt idx="248">
                  <c:v>1535.702</c:v>
                </c:pt>
                <c:pt idx="249">
                  <c:v>1539.453</c:v>
                </c:pt>
                <c:pt idx="250">
                  <c:v>1554.7650000000001</c:v>
                </c:pt>
                <c:pt idx="251">
                  <c:v>1555.56</c:v>
                </c:pt>
                <c:pt idx="252">
                  <c:v>1560.393</c:v>
                </c:pt>
                <c:pt idx="253">
                  <c:v>1578.941</c:v>
                </c:pt>
                <c:pt idx="254">
                  <c:v>1581.6189999999999</c:v>
                </c:pt>
                <c:pt idx="255">
                  <c:v>1582.057</c:v>
                </c:pt>
                <c:pt idx="256">
                  <c:v>1582.367</c:v>
                </c:pt>
                <c:pt idx="257">
                  <c:v>1590.6369999999999</c:v>
                </c:pt>
                <c:pt idx="258">
                  <c:v>1593.943</c:v>
                </c:pt>
                <c:pt idx="259">
                  <c:v>1608.1479999999999</c:v>
                </c:pt>
                <c:pt idx="260">
                  <c:v>1609.2860000000001</c:v>
                </c:pt>
                <c:pt idx="261">
                  <c:v>1613.3009999999999</c:v>
                </c:pt>
                <c:pt idx="262">
                  <c:v>1634.2470000000001</c:v>
                </c:pt>
                <c:pt idx="263">
                  <c:v>1634.453</c:v>
                </c:pt>
                <c:pt idx="264">
                  <c:v>1635.501</c:v>
                </c:pt>
                <c:pt idx="265">
                  <c:v>1637.64</c:v>
                </c:pt>
                <c:pt idx="266">
                  <c:v>1646.942</c:v>
                </c:pt>
                <c:pt idx="267">
                  <c:v>1648.1289999999999</c:v>
                </c:pt>
                <c:pt idx="268">
                  <c:v>1660.857</c:v>
                </c:pt>
                <c:pt idx="269">
                  <c:v>1663.2570000000001</c:v>
                </c:pt>
                <c:pt idx="270">
                  <c:v>1666.9079999999999</c:v>
                </c:pt>
                <c:pt idx="271">
                  <c:v>1686.402</c:v>
                </c:pt>
                <c:pt idx="272">
                  <c:v>1688.105</c:v>
                </c:pt>
                <c:pt idx="273">
                  <c:v>1692.096</c:v>
                </c:pt>
                <c:pt idx="274">
                  <c:v>1693.64</c:v>
                </c:pt>
                <c:pt idx="275">
                  <c:v>1700.982</c:v>
                </c:pt>
                <c:pt idx="276">
                  <c:v>1701.133</c:v>
                </c:pt>
                <c:pt idx="277">
                  <c:v>1713.537</c:v>
                </c:pt>
                <c:pt idx="278">
                  <c:v>1717.67</c:v>
                </c:pt>
                <c:pt idx="279">
                  <c:v>1720.1189999999999</c:v>
                </c:pt>
                <c:pt idx="280">
                  <c:v>1738.673</c:v>
                </c:pt>
                <c:pt idx="281">
                  <c:v>1741.722</c:v>
                </c:pt>
                <c:pt idx="282">
                  <c:v>1748.4749999999999</c:v>
                </c:pt>
                <c:pt idx="283">
                  <c:v>1748.867</c:v>
                </c:pt>
                <c:pt idx="284">
                  <c:v>1755.2349999999999</c:v>
                </c:pt>
                <c:pt idx="285">
                  <c:v>1755.2439999999999</c:v>
                </c:pt>
                <c:pt idx="286">
                  <c:v>1766.07</c:v>
                </c:pt>
                <c:pt idx="287">
                  <c:v>1771.6389999999999</c:v>
                </c:pt>
                <c:pt idx="288">
                  <c:v>1773.8879999999999</c:v>
                </c:pt>
                <c:pt idx="289">
                  <c:v>1791.0740000000001</c:v>
                </c:pt>
                <c:pt idx="290">
                  <c:v>1794.713</c:v>
                </c:pt>
                <c:pt idx="291">
                  <c:v>1805.02</c:v>
                </c:pt>
                <c:pt idx="292">
                  <c:v>1805.8710000000001</c:v>
                </c:pt>
                <c:pt idx="293">
                  <c:v>1808.5830000000001</c:v>
                </c:pt>
                <c:pt idx="294">
                  <c:v>1809.4469999999999</c:v>
                </c:pt>
                <c:pt idx="295">
                  <c:v>1819.8219999999999</c:v>
                </c:pt>
                <c:pt idx="296">
                  <c:v>1826.442</c:v>
                </c:pt>
                <c:pt idx="297">
                  <c:v>1828.6089999999999</c:v>
                </c:pt>
              </c:numCache>
            </c:numRef>
          </c:xVal>
          <c:yVal>
            <c:numRef>
              <c:f>intermediate_data!$AG$2:$AG$299</c:f>
              <c:numCache>
                <c:formatCode>General</c:formatCode>
                <c:ptCount val="298"/>
                <c:pt idx="0">
                  <c:v>1.073907137565719</c:v>
                </c:pt>
                <c:pt idx="1">
                  <c:v>1.0738884533677648</c:v>
                </c:pt>
                <c:pt idx="2">
                  <c:v>1.0741430065230588</c:v>
                </c:pt>
                <c:pt idx="3">
                  <c:v>1.0735609704818074</c:v>
                </c:pt>
                <c:pt idx="4">
                  <c:v>1.0731679622800456</c:v>
                </c:pt>
                <c:pt idx="5">
                  <c:v>1.072844520783363</c:v>
                </c:pt>
                <c:pt idx="6">
                  <c:v>1.0703206487525989</c:v>
                </c:pt>
                <c:pt idx="7">
                  <c:v>1.0615759334484096</c:v>
                </c:pt>
                <c:pt idx="8">
                  <c:v>1.0383704335379846</c:v>
                </c:pt>
                <c:pt idx="9">
                  <c:v>0.65330203215297189</c:v>
                </c:pt>
                <c:pt idx="10">
                  <c:v>0.65233344877846378</c:v>
                </c:pt>
                <c:pt idx="11">
                  <c:v>0.64551149091193594</c:v>
                </c:pt>
                <c:pt idx="12">
                  <c:v>0.64147282204246636</c:v>
                </c:pt>
                <c:pt idx="13">
                  <c:v>0.64055490000779258</c:v>
                </c:pt>
                <c:pt idx="14">
                  <c:v>0.63872713699628036</c:v>
                </c:pt>
                <c:pt idx="15">
                  <c:v>0.63569961121711316</c:v>
                </c:pt>
                <c:pt idx="16">
                  <c:v>0.63429069929075865</c:v>
                </c:pt>
                <c:pt idx="17">
                  <c:v>0.62880073756017651</c:v>
                </c:pt>
                <c:pt idx="18">
                  <c:v>0.54103803995805322</c:v>
                </c:pt>
                <c:pt idx="19">
                  <c:v>0.54088814231123195</c:v>
                </c:pt>
                <c:pt idx="20">
                  <c:v>0.53552698032512325</c:v>
                </c:pt>
                <c:pt idx="21">
                  <c:v>0.5321520965158939</c:v>
                </c:pt>
                <c:pt idx="22">
                  <c:v>0.53159693329609325</c:v>
                </c:pt>
                <c:pt idx="23">
                  <c:v>0.52987100194347647</c:v>
                </c:pt>
                <c:pt idx="24">
                  <c:v>0.5262746366564528</c:v>
                </c:pt>
                <c:pt idx="25">
                  <c:v>0.5235822738919893</c:v>
                </c:pt>
                <c:pt idx="26">
                  <c:v>0.52055526357854376</c:v>
                </c:pt>
                <c:pt idx="27">
                  <c:v>0.43103733949341461</c:v>
                </c:pt>
                <c:pt idx="28">
                  <c:v>0.43065920167624228</c:v>
                </c:pt>
                <c:pt idx="29">
                  <c:v>0.42700824363694068</c:v>
                </c:pt>
                <c:pt idx="30">
                  <c:v>0.42258003829225288</c:v>
                </c:pt>
                <c:pt idx="31">
                  <c:v>0.42030132992884006</c:v>
                </c:pt>
                <c:pt idx="32">
                  <c:v>0.41981823637587468</c:v>
                </c:pt>
                <c:pt idx="33">
                  <c:v>0.41857178538506901</c:v>
                </c:pt>
                <c:pt idx="34">
                  <c:v>0.41644655532665098</c:v>
                </c:pt>
                <c:pt idx="35">
                  <c:v>0.4163048650081862</c:v>
                </c:pt>
                <c:pt idx="36">
                  <c:v>0.37450989899239318</c:v>
                </c:pt>
                <c:pt idx="37">
                  <c:v>0.37445131342667537</c:v>
                </c:pt>
                <c:pt idx="38">
                  <c:v>0.37114256305833493</c:v>
                </c:pt>
                <c:pt idx="39">
                  <c:v>0.36750854463098648</c:v>
                </c:pt>
                <c:pt idx="40">
                  <c:v>0.36595014532018411</c:v>
                </c:pt>
                <c:pt idx="41">
                  <c:v>0.36555976613941965</c:v>
                </c:pt>
                <c:pt idx="42">
                  <c:v>0.36482035275578539</c:v>
                </c:pt>
                <c:pt idx="43">
                  <c:v>0.36386306895607845</c:v>
                </c:pt>
                <c:pt idx="44">
                  <c:v>0.36368278625803896</c:v>
                </c:pt>
                <c:pt idx="45">
                  <c:v>0.35698162606498585</c:v>
                </c:pt>
                <c:pt idx="46">
                  <c:v>0.35692781078362401</c:v>
                </c:pt>
                <c:pt idx="47">
                  <c:v>0.35698537272119069</c:v>
                </c:pt>
                <c:pt idx="48">
                  <c:v>0.35680386776257933</c:v>
                </c:pt>
                <c:pt idx="49">
                  <c:v>0.35668394031864636</c:v>
                </c:pt>
                <c:pt idx="50">
                  <c:v>0.35621867739924795</c:v>
                </c:pt>
                <c:pt idx="51">
                  <c:v>0.35498753016741347</c:v>
                </c:pt>
                <c:pt idx="52">
                  <c:v>0.35035487635332174</c:v>
                </c:pt>
                <c:pt idx="53">
                  <c:v>0.35012395998422363</c:v>
                </c:pt>
                <c:pt idx="54">
                  <c:v>0.32986269043458094</c:v>
                </c:pt>
                <c:pt idx="55">
                  <c:v>0.3294720728080307</c:v>
                </c:pt>
                <c:pt idx="56">
                  <c:v>0.32513162135374074</c:v>
                </c:pt>
                <c:pt idx="57">
                  <c:v>0.32123982955916119</c:v>
                </c:pt>
                <c:pt idx="58">
                  <c:v>0.32031420371352226</c:v>
                </c:pt>
                <c:pt idx="59">
                  <c:v>0.32040330488717217</c:v>
                </c:pt>
                <c:pt idx="60">
                  <c:v>0.32291544542947292</c:v>
                </c:pt>
                <c:pt idx="61">
                  <c:v>0.32769713212169194</c:v>
                </c:pt>
                <c:pt idx="62">
                  <c:v>0.32791061275440114</c:v>
                </c:pt>
                <c:pt idx="63">
                  <c:v>0.34572040313728536</c:v>
                </c:pt>
                <c:pt idx="64">
                  <c:v>0.34642131926521813</c:v>
                </c:pt>
                <c:pt idx="65">
                  <c:v>0.35106654892216227</c:v>
                </c:pt>
                <c:pt idx="66">
                  <c:v>0.35605542792256273</c:v>
                </c:pt>
                <c:pt idx="67">
                  <c:v>0.35644453124825048</c:v>
                </c:pt>
                <c:pt idx="68">
                  <c:v>0.35694999240866565</c:v>
                </c:pt>
                <c:pt idx="69">
                  <c:v>0.35693478345289265</c:v>
                </c:pt>
                <c:pt idx="70">
                  <c:v>0.35734700093078686</c:v>
                </c:pt>
                <c:pt idx="71">
                  <c:v>0.35747227552513294</c:v>
                </c:pt>
                <c:pt idx="72">
                  <c:v>0.36126901487457275</c:v>
                </c:pt>
                <c:pt idx="73">
                  <c:v>0.36135951192802906</c:v>
                </c:pt>
                <c:pt idx="74">
                  <c:v>0.36180172577925163</c:v>
                </c:pt>
                <c:pt idx="75">
                  <c:v>0.36363927901499693</c:v>
                </c:pt>
                <c:pt idx="76">
                  <c:v>0.36370263358001154</c:v>
                </c:pt>
                <c:pt idx="77">
                  <c:v>0.36412925801738538</c:v>
                </c:pt>
                <c:pt idx="78">
                  <c:v>0.36049398966493129</c:v>
                </c:pt>
                <c:pt idx="79">
                  <c:v>0.3530944536309093</c:v>
                </c:pt>
                <c:pt idx="80">
                  <c:v>0.35132206848436454</c:v>
                </c:pt>
                <c:pt idx="81">
                  <c:v>0.32815962127259013</c:v>
                </c:pt>
                <c:pt idx="82">
                  <c:v>0.32620025821524479</c:v>
                </c:pt>
                <c:pt idx="83">
                  <c:v>0.31558045902929877</c:v>
                </c:pt>
                <c:pt idx="84">
                  <c:v>0.30372614965571643</c:v>
                </c:pt>
                <c:pt idx="85">
                  <c:v>0.30275140367456288</c:v>
                </c:pt>
                <c:pt idx="86">
                  <c:v>0.30196867600825783</c:v>
                </c:pt>
                <c:pt idx="87">
                  <c:v>0.30044020309686914</c:v>
                </c:pt>
                <c:pt idx="88">
                  <c:v>0.29908834431532938</c:v>
                </c:pt>
                <c:pt idx="89">
                  <c:v>0.2991141489632767</c:v>
                </c:pt>
                <c:pt idx="90">
                  <c:v>0.30528845182954001</c:v>
                </c:pt>
                <c:pt idx="91">
                  <c:v>0.30619518979082727</c:v>
                </c:pt>
                <c:pt idx="92">
                  <c:v>0.31107932039245156</c:v>
                </c:pt>
                <c:pt idx="93">
                  <c:v>0.31746171533800549</c:v>
                </c:pt>
                <c:pt idx="94">
                  <c:v>0.31767162957928008</c:v>
                </c:pt>
                <c:pt idx="95">
                  <c:v>0.31835924531592497</c:v>
                </c:pt>
                <c:pt idx="96">
                  <c:v>0.31916605296715517</c:v>
                </c:pt>
                <c:pt idx="97">
                  <c:v>0.31935174088152252</c:v>
                </c:pt>
                <c:pt idx="98">
                  <c:v>0.31941718006708442</c:v>
                </c:pt>
                <c:pt idx="99">
                  <c:v>0.3198226161789961</c:v>
                </c:pt>
                <c:pt idx="100">
                  <c:v>0.31991277635562909</c:v>
                </c:pt>
                <c:pt idx="101">
                  <c:v>0.32035550059731577</c:v>
                </c:pt>
                <c:pt idx="102">
                  <c:v>0.32084332045892694</c:v>
                </c:pt>
                <c:pt idx="103">
                  <c:v>0.32084001731898582</c:v>
                </c:pt>
                <c:pt idx="104">
                  <c:v>0.32083447716404123</c:v>
                </c:pt>
                <c:pt idx="105">
                  <c:v>0.32074947480981564</c:v>
                </c:pt>
                <c:pt idx="106">
                  <c:v>0.32114231863970133</c:v>
                </c:pt>
                <c:pt idx="107">
                  <c:v>0.32076223593242048</c:v>
                </c:pt>
                <c:pt idx="108">
                  <c:v>0.31826007759259767</c:v>
                </c:pt>
                <c:pt idx="109">
                  <c:v>0.31731512524665106</c:v>
                </c:pt>
                <c:pt idx="110">
                  <c:v>0.31418696286254999</c:v>
                </c:pt>
                <c:pt idx="111">
                  <c:v>0.31065298277403031</c:v>
                </c:pt>
                <c:pt idx="112">
                  <c:v>0.31062251875001579</c:v>
                </c:pt>
                <c:pt idx="113">
                  <c:v>0.3102670586881402</c:v>
                </c:pt>
                <c:pt idx="114">
                  <c:v>0.30733230449575899</c:v>
                </c:pt>
                <c:pt idx="115">
                  <c:v>0.30325487373698223</c:v>
                </c:pt>
                <c:pt idx="116">
                  <c:v>0.30218944772141754</c:v>
                </c:pt>
                <c:pt idx="117">
                  <c:v>0.30035927918001448</c:v>
                </c:pt>
                <c:pt idx="118">
                  <c:v>0.29959460893218903</c:v>
                </c:pt>
                <c:pt idx="119">
                  <c:v>0.29517809352884683</c:v>
                </c:pt>
                <c:pt idx="120">
                  <c:v>0.2866344862515362</c:v>
                </c:pt>
                <c:pt idx="121">
                  <c:v>0.28657210530811739</c:v>
                </c:pt>
                <c:pt idx="122">
                  <c:v>0.28555223424795884</c:v>
                </c:pt>
                <c:pt idx="123">
                  <c:v>0.27981714066947205</c:v>
                </c:pt>
                <c:pt idx="124">
                  <c:v>0.2717266249817385</c:v>
                </c:pt>
                <c:pt idx="125">
                  <c:v>0.26765774521970087</c:v>
                </c:pt>
                <c:pt idx="126">
                  <c:v>0.26722736954400972</c:v>
                </c:pt>
                <c:pt idx="127">
                  <c:v>0.26484814982211446</c:v>
                </c:pt>
                <c:pt idx="128">
                  <c:v>0.25869879403351348</c:v>
                </c:pt>
                <c:pt idx="129">
                  <c:v>0.24781425636145116</c:v>
                </c:pt>
                <c:pt idx="130">
                  <c:v>0.24748872145870848</c:v>
                </c:pt>
                <c:pt idx="131">
                  <c:v>0.24747066972113174</c:v>
                </c:pt>
                <c:pt idx="132">
                  <c:v>0.24068813987297233</c:v>
                </c:pt>
                <c:pt idx="133">
                  <c:v>0.23158020495994691</c:v>
                </c:pt>
                <c:pt idx="134">
                  <c:v>0.23076801252636159</c:v>
                </c:pt>
                <c:pt idx="135">
                  <c:v>0.228024542473662</c:v>
                </c:pt>
                <c:pt idx="136">
                  <c:v>0.22748315119333284</c:v>
                </c:pt>
                <c:pt idx="137">
                  <c:v>0.22072137013737603</c:v>
                </c:pt>
                <c:pt idx="138">
                  <c:v>0.2125587047032127</c:v>
                </c:pt>
                <c:pt idx="139">
                  <c:v>0.21216395173953373</c:v>
                </c:pt>
                <c:pt idx="140">
                  <c:v>0.21213882983603582</c:v>
                </c:pt>
                <c:pt idx="141">
                  <c:v>0.20749027007328635</c:v>
                </c:pt>
                <c:pt idx="142">
                  <c:v>0.20170183810024866</c:v>
                </c:pt>
                <c:pt idx="143">
                  <c:v>0.19995402912176274</c:v>
                </c:pt>
                <c:pt idx="144">
                  <c:v>0.19878033082787994</c:v>
                </c:pt>
                <c:pt idx="145">
                  <c:v>0.1979463116624558</c:v>
                </c:pt>
                <c:pt idx="146">
                  <c:v>0.19180298213313307</c:v>
                </c:pt>
                <c:pt idx="147">
                  <c:v>0.1794253326853763</c:v>
                </c:pt>
                <c:pt idx="148">
                  <c:v>0.17903807685312501</c:v>
                </c:pt>
                <c:pt idx="149">
                  <c:v>0.17900924690095366</c:v>
                </c:pt>
                <c:pt idx="150">
                  <c:v>0.17711812764667911</c:v>
                </c:pt>
                <c:pt idx="151">
                  <c:v>0.17545642621017521</c:v>
                </c:pt>
                <c:pt idx="152">
                  <c:v>0.17444066584138085</c:v>
                </c:pt>
                <c:pt idx="153">
                  <c:v>0.1737169471640172</c:v>
                </c:pt>
                <c:pt idx="154">
                  <c:v>0.17344252892085166</c:v>
                </c:pt>
                <c:pt idx="155">
                  <c:v>0.17052851542952396</c:v>
                </c:pt>
                <c:pt idx="156">
                  <c:v>0.16112002449199281</c:v>
                </c:pt>
                <c:pt idx="157">
                  <c:v>0.16065592589732347</c:v>
                </c:pt>
                <c:pt idx="158">
                  <c:v>0.16064581202505934</c:v>
                </c:pt>
                <c:pt idx="159">
                  <c:v>0.14862194119940142</c:v>
                </c:pt>
                <c:pt idx="160">
                  <c:v>0.14450901367813174</c:v>
                </c:pt>
                <c:pt idx="161">
                  <c:v>0.13910932225920192</c:v>
                </c:pt>
                <c:pt idx="162">
                  <c:v>0.1346687840410894</c:v>
                </c:pt>
                <c:pt idx="163">
                  <c:v>0.13274766941403016</c:v>
                </c:pt>
                <c:pt idx="164">
                  <c:v>0.12682547573218983</c:v>
                </c:pt>
                <c:pt idx="165">
                  <c:v>0.1060401738125023</c:v>
                </c:pt>
                <c:pt idx="166">
                  <c:v>0.10581007382123175</c:v>
                </c:pt>
                <c:pt idx="167">
                  <c:v>0.10535226103635864</c:v>
                </c:pt>
                <c:pt idx="168">
                  <c:v>9.3267896364764624E-2</c:v>
                </c:pt>
                <c:pt idx="169">
                  <c:v>9.2214036409956179E-2</c:v>
                </c:pt>
                <c:pt idx="170">
                  <c:v>8.5860184126161698E-2</c:v>
                </c:pt>
                <c:pt idx="171">
                  <c:v>7.6474491313774706E-2</c:v>
                </c:pt>
                <c:pt idx="172">
                  <c:v>7.4927798251600564E-2</c:v>
                </c:pt>
                <c:pt idx="173">
                  <c:v>7.2483336454347125E-2</c:v>
                </c:pt>
                <c:pt idx="174">
                  <c:v>6.6438982911918743E-2</c:v>
                </c:pt>
                <c:pt idx="175">
                  <c:v>6.6285742064565056E-2</c:v>
                </c:pt>
                <c:pt idx="176">
                  <c:v>6.6155434221343512E-2</c:v>
                </c:pt>
                <c:pt idx="177">
                  <c:v>6.5874786292297927E-2</c:v>
                </c:pt>
                <c:pt idx="178">
                  <c:v>6.5786368530240225E-2</c:v>
                </c:pt>
                <c:pt idx="179">
                  <c:v>6.6074405312292583E-2</c:v>
                </c:pt>
                <c:pt idx="180">
                  <c:v>6.709426765332438E-2</c:v>
                </c:pt>
                <c:pt idx="181">
                  <c:v>6.7211999470409012E-2</c:v>
                </c:pt>
                <c:pt idx="182">
                  <c:v>6.7277537049328373E-2</c:v>
                </c:pt>
                <c:pt idx="183">
                  <c:v>6.8439655841068259E-2</c:v>
                </c:pt>
                <c:pt idx="184">
                  <c:v>6.8465378583404402E-2</c:v>
                </c:pt>
                <c:pt idx="185">
                  <c:v>6.8102909693045888E-2</c:v>
                </c:pt>
                <c:pt idx="186">
                  <c:v>6.6916061850676556E-2</c:v>
                </c:pt>
                <c:pt idx="187">
                  <c:v>6.6332129480500157E-2</c:v>
                </c:pt>
                <c:pt idx="188">
                  <c:v>6.6244613003696884E-2</c:v>
                </c:pt>
                <c:pt idx="189">
                  <c:v>6.504281494281372E-2</c:v>
                </c:pt>
                <c:pt idx="190">
                  <c:v>6.494591752065304E-2</c:v>
                </c:pt>
                <c:pt idx="191">
                  <c:v>6.4804461727220541E-2</c:v>
                </c:pt>
                <c:pt idx="192">
                  <c:v>5.7939485980888605E-2</c:v>
                </c:pt>
                <c:pt idx="193">
                  <c:v>5.7792092140978468E-2</c:v>
                </c:pt>
                <c:pt idx="194">
                  <c:v>5.7704540285939743E-2</c:v>
                </c:pt>
                <c:pt idx="195">
                  <c:v>5.682348513469293E-2</c:v>
                </c:pt>
                <c:pt idx="196">
                  <c:v>5.563500694591994E-2</c:v>
                </c:pt>
                <c:pt idx="197">
                  <c:v>5.5447460669483917E-2</c:v>
                </c:pt>
                <c:pt idx="198">
                  <c:v>5.3041646180247426E-2</c:v>
                </c:pt>
                <c:pt idx="199">
                  <c:v>5.2465654913198989E-2</c:v>
                </c:pt>
                <c:pt idx="200">
                  <c:v>5.1994283622896376E-2</c:v>
                </c:pt>
                <c:pt idx="201">
                  <c:v>5.2908404523904551E-2</c:v>
                </c:pt>
                <c:pt idx="202">
                  <c:v>5.2956980778347429E-2</c:v>
                </c:pt>
                <c:pt idx="203">
                  <c:v>5.0622758810781932E-2</c:v>
                </c:pt>
                <c:pt idx="204">
                  <c:v>4.9649020376207886E-2</c:v>
                </c:pt>
                <c:pt idx="205">
                  <c:v>4.562883159050557E-2</c:v>
                </c:pt>
                <c:pt idx="206">
                  <c:v>4.3762204824275841E-2</c:v>
                </c:pt>
                <c:pt idx="207">
                  <c:v>3.9058620567104185E-2</c:v>
                </c:pt>
                <c:pt idx="208">
                  <c:v>3.6728407219072778E-2</c:v>
                </c:pt>
                <c:pt idx="209">
                  <c:v>3.4613016070267122E-2</c:v>
                </c:pt>
                <c:pt idx="210">
                  <c:v>2.4030905638923628E-2</c:v>
                </c:pt>
                <c:pt idx="211">
                  <c:v>2.3529079173179923E-2</c:v>
                </c:pt>
                <c:pt idx="212">
                  <c:v>1.0064990031764864E-2</c:v>
                </c:pt>
                <c:pt idx="213">
                  <c:v>9.9497363038452136E-3</c:v>
                </c:pt>
                <c:pt idx="214">
                  <c:v>-2.1154072736898399E-2</c:v>
                </c:pt>
                <c:pt idx="215">
                  <c:v>-4.2739769085223145E-2</c:v>
                </c:pt>
                <c:pt idx="216">
                  <c:v>-7.1491126461921795E-2</c:v>
                </c:pt>
                <c:pt idx="217">
                  <c:v>-0.10269860539312248</c:v>
                </c:pt>
                <c:pt idx="218">
                  <c:v>-0.10688021039484852</c:v>
                </c:pt>
                <c:pt idx="219">
                  <c:v>-0.13498601986879777</c:v>
                </c:pt>
                <c:pt idx="220">
                  <c:v>-0.15049543574102842</c:v>
                </c:pt>
                <c:pt idx="221">
                  <c:v>-0.15254902761250122</c:v>
                </c:pt>
                <c:pt idx="222">
                  <c:v>-0.17346154803474434</c:v>
                </c:pt>
                <c:pt idx="223">
                  <c:v>-0.19666035281179006</c:v>
                </c:pt>
                <c:pt idx="224">
                  <c:v>-0.21035136679584099</c:v>
                </c:pt>
                <c:pt idx="225">
                  <c:v>-0.21911798521163917</c:v>
                </c:pt>
                <c:pt idx="226">
                  <c:v>-0.22232472979170126</c:v>
                </c:pt>
                <c:pt idx="227">
                  <c:v>-0.22303767414828002</c:v>
                </c:pt>
                <c:pt idx="228">
                  <c:v>-0.22491974714740337</c:v>
                </c:pt>
                <c:pt idx="229">
                  <c:v>-0.22443662938147213</c:v>
                </c:pt>
                <c:pt idx="230">
                  <c:v>-0.2241946895174749</c:v>
                </c:pt>
                <c:pt idx="231">
                  <c:v>-0.2239954286821586</c:v>
                </c:pt>
                <c:pt idx="232">
                  <c:v>-0.22361760665248198</c:v>
                </c:pt>
                <c:pt idx="233">
                  <c:v>-0.22327251440245988</c:v>
                </c:pt>
                <c:pt idx="234">
                  <c:v>-0.22290752634453526</c:v>
                </c:pt>
                <c:pt idx="235">
                  <c:v>-0.22196299381733553</c:v>
                </c:pt>
                <c:pt idx="236">
                  <c:v>-0.22193940546395652</c:v>
                </c:pt>
                <c:pt idx="237">
                  <c:v>-0.22348840175541085</c:v>
                </c:pt>
                <c:pt idx="238">
                  <c:v>-0.22093917902504501</c:v>
                </c:pt>
                <c:pt idx="239">
                  <c:v>-0.21792420631508236</c:v>
                </c:pt>
                <c:pt idx="240">
                  <c:v>-0.21458579846487424</c:v>
                </c:pt>
                <c:pt idx="241">
                  <c:v>-0.20626934982213641</c:v>
                </c:pt>
                <c:pt idx="242">
                  <c:v>-0.20486710282622056</c:v>
                </c:pt>
                <c:pt idx="243">
                  <c:v>-0.20201165147683753</c:v>
                </c:pt>
                <c:pt idx="244">
                  <c:v>-0.19385785913529929</c:v>
                </c:pt>
                <c:pt idx="245">
                  <c:v>-0.19162435057205585</c:v>
                </c:pt>
                <c:pt idx="246">
                  <c:v>-0.1901359129398017</c:v>
                </c:pt>
                <c:pt idx="247">
                  <c:v>-0.19069208078295219</c:v>
                </c:pt>
                <c:pt idx="248">
                  <c:v>-0.19183008644753841</c:v>
                </c:pt>
                <c:pt idx="249">
                  <c:v>-0.19263806232298464</c:v>
                </c:pt>
                <c:pt idx="250">
                  <c:v>-0.19760122195523167</c:v>
                </c:pt>
                <c:pt idx="251">
                  <c:v>-0.19784904910032708</c:v>
                </c:pt>
                <c:pt idx="252">
                  <c:v>-0.199180021552813</c:v>
                </c:pt>
                <c:pt idx="253">
                  <c:v>-0.20416057759804573</c:v>
                </c:pt>
                <c:pt idx="254">
                  <c:v>-0.20445919792946654</c:v>
                </c:pt>
                <c:pt idx="255">
                  <c:v>-0.20448548500054642</c:v>
                </c:pt>
                <c:pt idx="256">
                  <c:v>-0.20448578980951737</c:v>
                </c:pt>
                <c:pt idx="257">
                  <c:v>-0.20404843771967052</c:v>
                </c:pt>
                <c:pt idx="258">
                  <c:v>-0.20418073550504801</c:v>
                </c:pt>
                <c:pt idx="259">
                  <c:v>-0.2044401393131281</c:v>
                </c:pt>
                <c:pt idx="260">
                  <c:v>-0.20447099230119647</c:v>
                </c:pt>
                <c:pt idx="261">
                  <c:v>-0.20442467279499965</c:v>
                </c:pt>
                <c:pt idx="262">
                  <c:v>-0.20523778763178768</c:v>
                </c:pt>
                <c:pt idx="263">
                  <c:v>-0.20524994066721547</c:v>
                </c:pt>
                <c:pt idx="264">
                  <c:v>-0.20545370455037215</c:v>
                </c:pt>
                <c:pt idx="265">
                  <c:v>-0.20742304276944168</c:v>
                </c:pt>
                <c:pt idx="266">
                  <c:v>-0.21617679972703741</c:v>
                </c:pt>
                <c:pt idx="267">
                  <c:v>-0.21712041449210773</c:v>
                </c:pt>
                <c:pt idx="268">
                  <c:v>-0.22596338999500176</c:v>
                </c:pt>
                <c:pt idx="269">
                  <c:v>-0.22760988271195259</c:v>
                </c:pt>
                <c:pt idx="270">
                  <c:v>-0.23021469183534293</c:v>
                </c:pt>
                <c:pt idx="271">
                  <c:v>-0.24338895305850627</c:v>
                </c:pt>
                <c:pt idx="272">
                  <c:v>-0.24453895919762658</c:v>
                </c:pt>
                <c:pt idx="273">
                  <c:v>-0.24499439799538436</c:v>
                </c:pt>
                <c:pt idx="274">
                  <c:v>-0.24505213311955032</c:v>
                </c:pt>
                <c:pt idx="275">
                  <c:v>-0.24496661528600328</c:v>
                </c:pt>
                <c:pt idx="276">
                  <c:v>-0.2449793592476226</c:v>
                </c:pt>
                <c:pt idx="277">
                  <c:v>-0.24594530843406659</c:v>
                </c:pt>
                <c:pt idx="278">
                  <c:v>-0.24622150423461164</c:v>
                </c:pt>
                <c:pt idx="279">
                  <c:v>-0.2463129923638121</c:v>
                </c:pt>
                <c:pt idx="280">
                  <c:v>-0.24768884522496393</c:v>
                </c:pt>
                <c:pt idx="281">
                  <c:v>-0.24793965555556952</c:v>
                </c:pt>
                <c:pt idx="282">
                  <c:v>-0.25072986212915538</c:v>
                </c:pt>
                <c:pt idx="283">
                  <c:v>-0.25089501653759072</c:v>
                </c:pt>
                <c:pt idx="284">
                  <c:v>-0.25424728701311494</c:v>
                </c:pt>
                <c:pt idx="285">
                  <c:v>-0.25425207084980883</c:v>
                </c:pt>
                <c:pt idx="286">
                  <c:v>-0.25932075040760338</c:v>
                </c:pt>
                <c:pt idx="287">
                  <c:v>-0.26235365431417534</c:v>
                </c:pt>
                <c:pt idx="288">
                  <c:v>-0.26369158463868558</c:v>
                </c:pt>
                <c:pt idx="289">
                  <c:v>-0.27483161165303471</c:v>
                </c:pt>
                <c:pt idx="290">
                  <c:v>-0.27722989906037299</c:v>
                </c:pt>
                <c:pt idx="291">
                  <c:v>-0.27671613547779117</c:v>
                </c:pt>
                <c:pt idx="292">
                  <c:v>-0.2766672038804785</c:v>
                </c:pt>
                <c:pt idx="293">
                  <c:v>-0.27642328434037466</c:v>
                </c:pt>
                <c:pt idx="294">
                  <c:v>-0.27633760685422715</c:v>
                </c:pt>
                <c:pt idx="295">
                  <c:v>-0.27570974305385221</c:v>
                </c:pt>
                <c:pt idx="296">
                  <c:v>-0.27521757378391243</c:v>
                </c:pt>
                <c:pt idx="297">
                  <c:v>-0.2751277645488841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3BE-4EDE-9B06-59BDE07897AD}"/>
            </c:ext>
          </c:extLst>
        </c:ser>
        <c:ser>
          <c:idx val="4"/>
          <c:order val="4"/>
          <c:tx>
            <c:strRef>
              <c:f>race_data!$U$1</c:f>
              <c:strCache>
                <c:ptCount val="1"/>
                <c:pt idx="0">
                  <c:v>NielsS</c:v>
                </c:pt>
              </c:strCache>
            </c:strRef>
          </c:tx>
          <c:marker>
            <c:symbol val="none"/>
          </c:marker>
          <c:xVal>
            <c:numRef>
              <c:f>intermediate_data!$A$2:$A$299</c:f>
              <c:numCache>
                <c:formatCode>General</c:formatCode>
                <c:ptCount val="298"/>
                <c:pt idx="0">
                  <c:v>53.683999999999997</c:v>
                </c:pt>
                <c:pt idx="1">
                  <c:v>53.756</c:v>
                </c:pt>
                <c:pt idx="2">
                  <c:v>54.529000000000003</c:v>
                </c:pt>
                <c:pt idx="3">
                  <c:v>55.472999999999999</c:v>
                </c:pt>
                <c:pt idx="4">
                  <c:v>55.91</c:v>
                </c:pt>
                <c:pt idx="5">
                  <c:v>56.984000000000002</c:v>
                </c:pt>
                <c:pt idx="6">
                  <c:v>57.091999999999999</c:v>
                </c:pt>
                <c:pt idx="7">
                  <c:v>57.482999999999997</c:v>
                </c:pt>
                <c:pt idx="8">
                  <c:v>58.719000000000001</c:v>
                </c:pt>
                <c:pt idx="9">
                  <c:v>107.248</c:v>
                </c:pt>
                <c:pt idx="10">
                  <c:v>107.48399999999999</c:v>
                </c:pt>
                <c:pt idx="11">
                  <c:v>109.506</c:v>
                </c:pt>
                <c:pt idx="12">
                  <c:v>111.09399999999999</c:v>
                </c:pt>
                <c:pt idx="13">
                  <c:v>111.527</c:v>
                </c:pt>
                <c:pt idx="14">
                  <c:v>112.53</c:v>
                </c:pt>
                <c:pt idx="15">
                  <c:v>113.36199999999999</c:v>
                </c:pt>
                <c:pt idx="16">
                  <c:v>113.758</c:v>
                </c:pt>
                <c:pt idx="17">
                  <c:v>115.387</c:v>
                </c:pt>
                <c:pt idx="18">
                  <c:v>160.595</c:v>
                </c:pt>
                <c:pt idx="19">
                  <c:v>160.697</c:v>
                </c:pt>
                <c:pt idx="20">
                  <c:v>163.79</c:v>
                </c:pt>
                <c:pt idx="21">
                  <c:v>166.34</c:v>
                </c:pt>
                <c:pt idx="22">
                  <c:v>166.87200000000001</c:v>
                </c:pt>
                <c:pt idx="23">
                  <c:v>167.84800000000001</c:v>
                </c:pt>
                <c:pt idx="24">
                  <c:v>169.19900000000001</c:v>
                </c:pt>
                <c:pt idx="25">
                  <c:v>170.291</c:v>
                </c:pt>
                <c:pt idx="26">
                  <c:v>171.417</c:v>
                </c:pt>
                <c:pt idx="27">
                  <c:v>214.05799999999999</c:v>
                </c:pt>
                <c:pt idx="28">
                  <c:v>214.31100000000001</c:v>
                </c:pt>
                <c:pt idx="29">
                  <c:v>217.57599999999999</c:v>
                </c:pt>
                <c:pt idx="30">
                  <c:v>221.208</c:v>
                </c:pt>
                <c:pt idx="31">
                  <c:v>222.99600000000001</c:v>
                </c:pt>
                <c:pt idx="32">
                  <c:v>223.346</c:v>
                </c:pt>
                <c:pt idx="33">
                  <c:v>224.792</c:v>
                </c:pt>
                <c:pt idx="34">
                  <c:v>227.23699999999999</c:v>
                </c:pt>
                <c:pt idx="35">
                  <c:v>227.387</c:v>
                </c:pt>
                <c:pt idx="36">
                  <c:v>267.20299999999997</c:v>
                </c:pt>
                <c:pt idx="37">
                  <c:v>267.286</c:v>
                </c:pt>
                <c:pt idx="38">
                  <c:v>271.62</c:v>
                </c:pt>
                <c:pt idx="39">
                  <c:v>276.245</c:v>
                </c:pt>
                <c:pt idx="40">
                  <c:v>278.11500000000001</c:v>
                </c:pt>
                <c:pt idx="41">
                  <c:v>278.77100000000002</c:v>
                </c:pt>
                <c:pt idx="42">
                  <c:v>280.43099999999998</c:v>
                </c:pt>
                <c:pt idx="43">
                  <c:v>283.97699999999998</c:v>
                </c:pt>
                <c:pt idx="44">
                  <c:v>284.36900000000003</c:v>
                </c:pt>
                <c:pt idx="45">
                  <c:v>319.94</c:v>
                </c:pt>
                <c:pt idx="46">
                  <c:v>320.41699999999997</c:v>
                </c:pt>
                <c:pt idx="47">
                  <c:v>325.77699999999999</c:v>
                </c:pt>
                <c:pt idx="48">
                  <c:v>331.447</c:v>
                </c:pt>
                <c:pt idx="49">
                  <c:v>333.30500000000001</c:v>
                </c:pt>
                <c:pt idx="50">
                  <c:v>333.83100000000002</c:v>
                </c:pt>
                <c:pt idx="51">
                  <c:v>335.64</c:v>
                </c:pt>
                <c:pt idx="52">
                  <c:v>340.83300000000003</c:v>
                </c:pt>
                <c:pt idx="53">
                  <c:v>341.09199999999998</c:v>
                </c:pt>
                <c:pt idx="54">
                  <c:v>372.53500000000003</c:v>
                </c:pt>
                <c:pt idx="55">
                  <c:v>373.22</c:v>
                </c:pt>
                <c:pt idx="56">
                  <c:v>380.05599999999998</c:v>
                </c:pt>
                <c:pt idx="57">
                  <c:v>386.74900000000002</c:v>
                </c:pt>
                <c:pt idx="58">
                  <c:v>388.19299999999998</c:v>
                </c:pt>
                <c:pt idx="59">
                  <c:v>388.30299999999988</c:v>
                </c:pt>
                <c:pt idx="60">
                  <c:v>391.55099999999999</c:v>
                </c:pt>
                <c:pt idx="61">
                  <c:v>397.34199999999998</c:v>
                </c:pt>
                <c:pt idx="62">
                  <c:v>397.60199999999998</c:v>
                </c:pt>
                <c:pt idx="63">
                  <c:v>425.07600000000002</c:v>
                </c:pt>
                <c:pt idx="64">
                  <c:v>426.26299999999998</c:v>
                </c:pt>
                <c:pt idx="65">
                  <c:v>434.23099999999999</c:v>
                </c:pt>
                <c:pt idx="66">
                  <c:v>442.30500000000001</c:v>
                </c:pt>
                <c:pt idx="67">
                  <c:v>442.87700000000001</c:v>
                </c:pt>
                <c:pt idx="68">
                  <c:v>443.70699999999999</c:v>
                </c:pt>
                <c:pt idx="69">
                  <c:v>447.20600000000002</c:v>
                </c:pt>
                <c:pt idx="70">
                  <c:v>453.82100000000003</c:v>
                </c:pt>
                <c:pt idx="71">
                  <c:v>454.59500000000003</c:v>
                </c:pt>
                <c:pt idx="72">
                  <c:v>477.66599999999988</c:v>
                </c:pt>
                <c:pt idx="73">
                  <c:v>479.28800000000001</c:v>
                </c:pt>
                <c:pt idx="74">
                  <c:v>488.19099999999997</c:v>
                </c:pt>
                <c:pt idx="75">
                  <c:v>497.56099999999998</c:v>
                </c:pt>
                <c:pt idx="76">
                  <c:v>497.72300000000001</c:v>
                </c:pt>
                <c:pt idx="77">
                  <c:v>498.91699999999997</c:v>
                </c:pt>
                <c:pt idx="78">
                  <c:v>502.58499999999998</c:v>
                </c:pt>
                <c:pt idx="79">
                  <c:v>509.87099999999998</c:v>
                </c:pt>
                <c:pt idx="80">
                  <c:v>511.53800000000001</c:v>
                </c:pt>
                <c:pt idx="81">
                  <c:v>530.65299999999991</c:v>
                </c:pt>
                <c:pt idx="82">
                  <c:v>532.33299999999997</c:v>
                </c:pt>
                <c:pt idx="83">
                  <c:v>541.52099999999996</c:v>
                </c:pt>
                <c:pt idx="84">
                  <c:v>551.93500000000006</c:v>
                </c:pt>
                <c:pt idx="85">
                  <c:v>552.71499999999992</c:v>
                </c:pt>
                <c:pt idx="86">
                  <c:v>553.38400000000001</c:v>
                </c:pt>
                <c:pt idx="87">
                  <c:v>558.18000000000006</c:v>
                </c:pt>
                <c:pt idx="88">
                  <c:v>566.23699999999997</c:v>
                </c:pt>
                <c:pt idx="89">
                  <c:v>569.47499999999991</c:v>
                </c:pt>
                <c:pt idx="90">
                  <c:v>583.65299999999991</c:v>
                </c:pt>
                <c:pt idx="91">
                  <c:v>585.43899999999996</c:v>
                </c:pt>
                <c:pt idx="92">
                  <c:v>594.96499999999992</c:v>
                </c:pt>
                <c:pt idx="93">
                  <c:v>606.97200000000009</c:v>
                </c:pt>
                <c:pt idx="94">
                  <c:v>607.32999999999993</c:v>
                </c:pt>
                <c:pt idx="95">
                  <c:v>608.36599999999999</c:v>
                </c:pt>
                <c:pt idx="96">
                  <c:v>613.03800000000001</c:v>
                </c:pt>
                <c:pt idx="97">
                  <c:v>621.69099999999992</c:v>
                </c:pt>
                <c:pt idx="98">
                  <c:v>625.02299999999991</c:v>
                </c:pt>
                <c:pt idx="99">
                  <c:v>636.24399999999991</c:v>
                </c:pt>
                <c:pt idx="100">
                  <c:v>638.471</c:v>
                </c:pt>
                <c:pt idx="101">
                  <c:v>648.21699999999987</c:v>
                </c:pt>
                <c:pt idx="102">
                  <c:v>661.52299999999991</c:v>
                </c:pt>
                <c:pt idx="103">
                  <c:v>661.65100000000007</c:v>
                </c:pt>
                <c:pt idx="104">
                  <c:v>663.02</c:v>
                </c:pt>
                <c:pt idx="105">
                  <c:v>668.73</c:v>
                </c:pt>
                <c:pt idx="106">
                  <c:v>677.15299999999991</c:v>
                </c:pt>
                <c:pt idx="107">
                  <c:v>680.47199999999987</c:v>
                </c:pt>
                <c:pt idx="108">
                  <c:v>688.80799999999988</c:v>
                </c:pt>
                <c:pt idx="109">
                  <c:v>691.47199999999998</c:v>
                </c:pt>
                <c:pt idx="110">
                  <c:v>701.5089999999999</c:v>
                </c:pt>
                <c:pt idx="111">
                  <c:v>716.07599999999991</c:v>
                </c:pt>
                <c:pt idx="112">
                  <c:v>716.20200000000011</c:v>
                </c:pt>
                <c:pt idx="113">
                  <c:v>717.66599999999994</c:v>
                </c:pt>
                <c:pt idx="114">
                  <c:v>724.04100000000005</c:v>
                </c:pt>
                <c:pt idx="115">
                  <c:v>733.63499999999988</c:v>
                </c:pt>
                <c:pt idx="116">
                  <c:v>737.13299999999981</c:v>
                </c:pt>
                <c:pt idx="117">
                  <c:v>741.71299999999985</c:v>
                </c:pt>
                <c:pt idx="118">
                  <c:v>744.25900000000001</c:v>
                </c:pt>
                <c:pt idx="119">
                  <c:v>754.44999999999993</c:v>
                </c:pt>
                <c:pt idx="120">
                  <c:v>770.65599999999995</c:v>
                </c:pt>
                <c:pt idx="121">
                  <c:v>770.76300000000015</c:v>
                </c:pt>
                <c:pt idx="122">
                  <c:v>772.13699999999994</c:v>
                </c:pt>
                <c:pt idx="123">
                  <c:v>779.18400000000008</c:v>
                </c:pt>
                <c:pt idx="124">
                  <c:v>789.3359999999999</c:v>
                </c:pt>
                <c:pt idx="125">
                  <c:v>794.03099999999984</c:v>
                </c:pt>
                <c:pt idx="126">
                  <c:v>794.50299999999982</c:v>
                </c:pt>
                <c:pt idx="127">
                  <c:v>797.92899999999997</c:v>
                </c:pt>
                <c:pt idx="128">
                  <c:v>808.10399999999993</c:v>
                </c:pt>
                <c:pt idx="129">
                  <c:v>825.70099999999991</c:v>
                </c:pt>
                <c:pt idx="130">
                  <c:v>826.44900000000018</c:v>
                </c:pt>
                <c:pt idx="131">
                  <c:v>826.54</c:v>
                </c:pt>
                <c:pt idx="132">
                  <c:v>834.33500000000004</c:v>
                </c:pt>
                <c:pt idx="133">
                  <c:v>845.66899999999987</c:v>
                </c:pt>
                <c:pt idx="134">
                  <c:v>846.68199999999979</c:v>
                </c:pt>
                <c:pt idx="135">
                  <c:v>850.2489999999998</c:v>
                </c:pt>
                <c:pt idx="136">
                  <c:v>851.06</c:v>
                </c:pt>
                <c:pt idx="137">
                  <c:v>862.00699999999995</c:v>
                </c:pt>
                <c:pt idx="138">
                  <c:v>879.50599999999986</c:v>
                </c:pt>
                <c:pt idx="139">
                  <c:v>880.33399999999995</c:v>
                </c:pt>
                <c:pt idx="140">
                  <c:v>880.38000000000022</c:v>
                </c:pt>
                <c:pt idx="141">
                  <c:v>889.13300000000004</c:v>
                </c:pt>
                <c:pt idx="142">
                  <c:v>899.13499999999976</c:v>
                </c:pt>
                <c:pt idx="143">
                  <c:v>902.08499999999981</c:v>
                </c:pt>
                <c:pt idx="144">
                  <c:v>903.89799999999991</c:v>
                </c:pt>
                <c:pt idx="145">
                  <c:v>905.23399999999981</c:v>
                </c:pt>
                <c:pt idx="146">
                  <c:v>914.92899999999997</c:v>
                </c:pt>
                <c:pt idx="147">
                  <c:v>933.46699999999987</c:v>
                </c:pt>
                <c:pt idx="148">
                  <c:v>934.0619999999999</c:v>
                </c:pt>
                <c:pt idx="149">
                  <c:v>934.23800000000017</c:v>
                </c:pt>
                <c:pt idx="150">
                  <c:v>944.41399999999999</c:v>
                </c:pt>
                <c:pt idx="151">
                  <c:v>951.75499999999977</c:v>
                </c:pt>
                <c:pt idx="152">
                  <c:v>956.57899999999995</c:v>
                </c:pt>
                <c:pt idx="153">
                  <c:v>959.00699999999983</c:v>
                </c:pt>
                <c:pt idx="154">
                  <c:v>960.36199999999985</c:v>
                </c:pt>
                <c:pt idx="155">
                  <c:v>968.27699999999993</c:v>
                </c:pt>
                <c:pt idx="156">
                  <c:v>987.40599999999984</c:v>
                </c:pt>
                <c:pt idx="157">
                  <c:v>988.2829999999999</c:v>
                </c:pt>
                <c:pt idx="158">
                  <c:v>988.29300000000012</c:v>
                </c:pt>
                <c:pt idx="159">
                  <c:v>1000.082</c:v>
                </c:pt>
                <c:pt idx="160">
                  <c:v>1004.273</c:v>
                </c:pt>
                <c:pt idx="161">
                  <c:v>1009.982</c:v>
                </c:pt>
                <c:pt idx="162">
                  <c:v>1015.061</c:v>
                </c:pt>
                <c:pt idx="163">
                  <c:v>1017.0119999999999</c:v>
                </c:pt>
                <c:pt idx="164">
                  <c:v>1022.78</c:v>
                </c:pt>
                <c:pt idx="165">
                  <c:v>1041.758</c:v>
                </c:pt>
                <c:pt idx="166">
                  <c:v>1041.9860000000001</c:v>
                </c:pt>
                <c:pt idx="167">
                  <c:v>1042.5309999999999</c:v>
                </c:pt>
                <c:pt idx="168">
                  <c:v>1055.546</c:v>
                </c:pt>
                <c:pt idx="169">
                  <c:v>1056.577</c:v>
                </c:pt>
                <c:pt idx="170">
                  <c:v>1062.8579999999999</c:v>
                </c:pt>
                <c:pt idx="171">
                  <c:v>1072.2570000000001</c:v>
                </c:pt>
                <c:pt idx="172">
                  <c:v>1074.1559999999999</c:v>
                </c:pt>
                <c:pt idx="173">
                  <c:v>1078.1659999999999</c:v>
                </c:pt>
                <c:pt idx="174">
                  <c:v>1095.5119999999999</c:v>
                </c:pt>
                <c:pt idx="175">
                  <c:v>1095.8789999999999</c:v>
                </c:pt>
                <c:pt idx="176">
                  <c:v>1097.713</c:v>
                </c:pt>
                <c:pt idx="177">
                  <c:v>1108.8510000000001</c:v>
                </c:pt>
                <c:pt idx="178">
                  <c:v>1112.067</c:v>
                </c:pt>
                <c:pt idx="179">
                  <c:v>1115.752</c:v>
                </c:pt>
                <c:pt idx="180">
                  <c:v>1127.6790000000001</c:v>
                </c:pt>
                <c:pt idx="181">
                  <c:v>1129.2570000000001</c:v>
                </c:pt>
                <c:pt idx="182">
                  <c:v>1131.1469999999999</c:v>
                </c:pt>
                <c:pt idx="183">
                  <c:v>1149.9880000000001</c:v>
                </c:pt>
                <c:pt idx="184">
                  <c:v>1150.1880000000001</c:v>
                </c:pt>
                <c:pt idx="185">
                  <c:v>1152.442</c:v>
                </c:pt>
                <c:pt idx="186">
                  <c:v>1161.1489999999999</c:v>
                </c:pt>
                <c:pt idx="187">
                  <c:v>1167.48</c:v>
                </c:pt>
                <c:pt idx="188">
                  <c:v>1168.566</c:v>
                </c:pt>
                <c:pt idx="189">
                  <c:v>1183.204</c:v>
                </c:pt>
                <c:pt idx="190">
                  <c:v>1183.8610000000001</c:v>
                </c:pt>
                <c:pt idx="191">
                  <c:v>1184.771</c:v>
                </c:pt>
                <c:pt idx="192">
                  <c:v>1203.7750000000001</c:v>
                </c:pt>
                <c:pt idx="193">
                  <c:v>1204.1310000000001</c:v>
                </c:pt>
                <c:pt idx="194">
                  <c:v>1206.932</c:v>
                </c:pt>
                <c:pt idx="195">
                  <c:v>1213.0440000000001</c:v>
                </c:pt>
                <c:pt idx="196">
                  <c:v>1221.4059999999999</c:v>
                </c:pt>
                <c:pt idx="197">
                  <c:v>1222.7739999999999</c:v>
                </c:pt>
                <c:pt idx="198">
                  <c:v>1236.6559999999999</c:v>
                </c:pt>
                <c:pt idx="199">
                  <c:v>1239.4690000000001</c:v>
                </c:pt>
                <c:pt idx="200">
                  <c:v>1242.714999999999</c:v>
                </c:pt>
                <c:pt idx="201">
                  <c:v>1258.1849999999999</c:v>
                </c:pt>
                <c:pt idx="202">
                  <c:v>1258.5820000000001</c:v>
                </c:pt>
                <c:pt idx="203">
                  <c:v>1262.6769999999999</c:v>
                </c:pt>
                <c:pt idx="204">
                  <c:v>1264.9359999999999</c:v>
                </c:pt>
                <c:pt idx="205">
                  <c:v>1274.2059999999999</c:v>
                </c:pt>
                <c:pt idx="206">
                  <c:v>1278.5029999999999</c:v>
                </c:pt>
                <c:pt idx="207">
                  <c:v>1289.8050000000001</c:v>
                </c:pt>
                <c:pt idx="208">
                  <c:v>1295.049</c:v>
                </c:pt>
                <c:pt idx="209">
                  <c:v>1298.196999999999</c:v>
                </c:pt>
                <c:pt idx="210">
                  <c:v>1311.886</c:v>
                </c:pt>
                <c:pt idx="211">
                  <c:v>1312.077</c:v>
                </c:pt>
                <c:pt idx="212">
                  <c:v>1316.857</c:v>
                </c:pt>
                <c:pt idx="213">
                  <c:v>1316.8969999999999</c:v>
                </c:pt>
                <c:pt idx="214">
                  <c:v>1327.0650000000001</c:v>
                </c:pt>
                <c:pt idx="215">
                  <c:v>1334.078</c:v>
                </c:pt>
                <c:pt idx="216">
                  <c:v>1343.328</c:v>
                </c:pt>
                <c:pt idx="217">
                  <c:v>1353.5630000000001</c:v>
                </c:pt>
                <c:pt idx="218">
                  <c:v>1355.049999999999</c:v>
                </c:pt>
                <c:pt idx="219">
                  <c:v>1365.2909999999999</c:v>
                </c:pt>
                <c:pt idx="220">
                  <c:v>1371.1030000000001</c:v>
                </c:pt>
                <c:pt idx="221">
                  <c:v>1371.922</c:v>
                </c:pt>
                <c:pt idx="222">
                  <c:v>1380.578</c:v>
                </c:pt>
                <c:pt idx="223">
                  <c:v>1390.499</c:v>
                </c:pt>
                <c:pt idx="224">
                  <c:v>1396.672</c:v>
                </c:pt>
                <c:pt idx="225">
                  <c:v>1400.73</c:v>
                </c:pt>
                <c:pt idx="226">
                  <c:v>1409.2739999999999</c:v>
                </c:pt>
                <c:pt idx="227">
                  <c:v>1411.327</c:v>
                </c:pt>
                <c:pt idx="228">
                  <c:v>1418.57</c:v>
                </c:pt>
                <c:pt idx="229">
                  <c:v>1423.5709999999999</c:v>
                </c:pt>
                <c:pt idx="230">
                  <c:v>1426.067</c:v>
                </c:pt>
                <c:pt idx="231">
                  <c:v>1433.5509999999999</c:v>
                </c:pt>
                <c:pt idx="232">
                  <c:v>1445.6969999999999</c:v>
                </c:pt>
                <c:pt idx="233">
                  <c:v>1449.5250000000001</c:v>
                </c:pt>
                <c:pt idx="234">
                  <c:v>1454.1659999999999</c:v>
                </c:pt>
                <c:pt idx="235">
                  <c:v>1464.6569999999999</c:v>
                </c:pt>
                <c:pt idx="236">
                  <c:v>1466.481</c:v>
                </c:pt>
                <c:pt idx="237">
                  <c:v>1472.396</c:v>
                </c:pt>
                <c:pt idx="238">
                  <c:v>1476.029</c:v>
                </c:pt>
                <c:pt idx="239">
                  <c:v>1481.104</c:v>
                </c:pt>
                <c:pt idx="240">
                  <c:v>1486.4649999999999</c:v>
                </c:pt>
                <c:pt idx="241">
                  <c:v>1500.1189999999999</c:v>
                </c:pt>
                <c:pt idx="242">
                  <c:v>1502.5119999999999</c:v>
                </c:pt>
                <c:pt idx="243">
                  <c:v>1507.4490000000001</c:v>
                </c:pt>
                <c:pt idx="244">
                  <c:v>1521.09</c:v>
                </c:pt>
                <c:pt idx="245">
                  <c:v>1525.5940000000001</c:v>
                </c:pt>
                <c:pt idx="246">
                  <c:v>1527.826</c:v>
                </c:pt>
                <c:pt idx="247">
                  <c:v>1529.7850000000001</c:v>
                </c:pt>
                <c:pt idx="248">
                  <c:v>1535.702</c:v>
                </c:pt>
                <c:pt idx="249">
                  <c:v>1539.453</c:v>
                </c:pt>
                <c:pt idx="250">
                  <c:v>1554.7650000000001</c:v>
                </c:pt>
                <c:pt idx="251">
                  <c:v>1555.56</c:v>
                </c:pt>
                <c:pt idx="252">
                  <c:v>1560.393</c:v>
                </c:pt>
                <c:pt idx="253">
                  <c:v>1578.941</c:v>
                </c:pt>
                <c:pt idx="254">
                  <c:v>1581.6189999999999</c:v>
                </c:pt>
                <c:pt idx="255">
                  <c:v>1582.057</c:v>
                </c:pt>
                <c:pt idx="256">
                  <c:v>1582.367</c:v>
                </c:pt>
                <c:pt idx="257">
                  <c:v>1590.6369999999999</c:v>
                </c:pt>
                <c:pt idx="258">
                  <c:v>1593.943</c:v>
                </c:pt>
                <c:pt idx="259">
                  <c:v>1608.1479999999999</c:v>
                </c:pt>
                <c:pt idx="260">
                  <c:v>1609.2860000000001</c:v>
                </c:pt>
                <c:pt idx="261">
                  <c:v>1613.3009999999999</c:v>
                </c:pt>
                <c:pt idx="262">
                  <c:v>1634.2470000000001</c:v>
                </c:pt>
                <c:pt idx="263">
                  <c:v>1634.453</c:v>
                </c:pt>
                <c:pt idx="264">
                  <c:v>1635.501</c:v>
                </c:pt>
                <c:pt idx="265">
                  <c:v>1637.64</c:v>
                </c:pt>
                <c:pt idx="266">
                  <c:v>1646.942</c:v>
                </c:pt>
                <c:pt idx="267">
                  <c:v>1648.1289999999999</c:v>
                </c:pt>
                <c:pt idx="268">
                  <c:v>1660.857</c:v>
                </c:pt>
                <c:pt idx="269">
                  <c:v>1663.2570000000001</c:v>
                </c:pt>
                <c:pt idx="270">
                  <c:v>1666.9079999999999</c:v>
                </c:pt>
                <c:pt idx="271">
                  <c:v>1686.402</c:v>
                </c:pt>
                <c:pt idx="272">
                  <c:v>1688.105</c:v>
                </c:pt>
                <c:pt idx="273">
                  <c:v>1692.096</c:v>
                </c:pt>
                <c:pt idx="274">
                  <c:v>1693.64</c:v>
                </c:pt>
                <c:pt idx="275">
                  <c:v>1700.982</c:v>
                </c:pt>
                <c:pt idx="276">
                  <c:v>1701.133</c:v>
                </c:pt>
                <c:pt idx="277">
                  <c:v>1713.537</c:v>
                </c:pt>
                <c:pt idx="278">
                  <c:v>1717.67</c:v>
                </c:pt>
                <c:pt idx="279">
                  <c:v>1720.1189999999999</c:v>
                </c:pt>
                <c:pt idx="280">
                  <c:v>1738.673</c:v>
                </c:pt>
                <c:pt idx="281">
                  <c:v>1741.722</c:v>
                </c:pt>
                <c:pt idx="282">
                  <c:v>1748.4749999999999</c:v>
                </c:pt>
                <c:pt idx="283">
                  <c:v>1748.867</c:v>
                </c:pt>
                <c:pt idx="284">
                  <c:v>1755.2349999999999</c:v>
                </c:pt>
                <c:pt idx="285">
                  <c:v>1755.2439999999999</c:v>
                </c:pt>
                <c:pt idx="286">
                  <c:v>1766.07</c:v>
                </c:pt>
                <c:pt idx="287">
                  <c:v>1771.6389999999999</c:v>
                </c:pt>
                <c:pt idx="288">
                  <c:v>1773.8879999999999</c:v>
                </c:pt>
                <c:pt idx="289">
                  <c:v>1791.0740000000001</c:v>
                </c:pt>
                <c:pt idx="290">
                  <c:v>1794.713</c:v>
                </c:pt>
                <c:pt idx="291">
                  <c:v>1805.02</c:v>
                </c:pt>
                <c:pt idx="292">
                  <c:v>1805.8710000000001</c:v>
                </c:pt>
                <c:pt idx="293">
                  <c:v>1808.5830000000001</c:v>
                </c:pt>
                <c:pt idx="294">
                  <c:v>1809.4469999999999</c:v>
                </c:pt>
                <c:pt idx="295">
                  <c:v>1819.8219999999999</c:v>
                </c:pt>
                <c:pt idx="296">
                  <c:v>1826.442</c:v>
                </c:pt>
                <c:pt idx="297">
                  <c:v>1828.6089999999999</c:v>
                </c:pt>
              </c:numCache>
            </c:numRef>
          </c:xVal>
          <c:yVal>
            <c:numRef>
              <c:f>intermediate_data!$AH$2:$AH$299</c:f>
              <c:numCache>
                <c:formatCode>General</c:formatCode>
                <c:ptCount val="298"/>
                <c:pt idx="0">
                  <c:v>-0.4370928624342838</c:v>
                </c:pt>
                <c:pt idx="1">
                  <c:v>-0.43711154663223795</c:v>
                </c:pt>
                <c:pt idx="2">
                  <c:v>-0.43685699347694396</c:v>
                </c:pt>
                <c:pt idx="3">
                  <c:v>-0.43743902951819535</c:v>
                </c:pt>
                <c:pt idx="4">
                  <c:v>-0.4366783040869322</c:v>
                </c:pt>
                <c:pt idx="5">
                  <c:v>-0.43424124551223997</c:v>
                </c:pt>
                <c:pt idx="6">
                  <c:v>-0.43370273042076235</c:v>
                </c:pt>
                <c:pt idx="7">
                  <c:v>-0.4314589425114832</c:v>
                </c:pt>
                <c:pt idx="8">
                  <c:v>-0.42091268294872464</c:v>
                </c:pt>
                <c:pt idx="9">
                  <c:v>-0.10324025148815963</c:v>
                </c:pt>
                <c:pt idx="10">
                  <c:v>-0.10236079321713731</c:v>
                </c:pt>
                <c:pt idx="11">
                  <c:v>-9.3679503132818809E-2</c:v>
                </c:pt>
                <c:pt idx="12">
                  <c:v>-8.594284148712461E-2</c:v>
                </c:pt>
                <c:pt idx="13">
                  <c:v>-8.5170737696294907E-2</c:v>
                </c:pt>
                <c:pt idx="14">
                  <c:v>-8.31345955460705E-2</c:v>
                </c:pt>
                <c:pt idx="15">
                  <c:v>-8.1286124731832388E-2</c:v>
                </c:pt>
                <c:pt idx="16">
                  <c:v>-8.0399857319214618E-2</c:v>
                </c:pt>
                <c:pt idx="17">
                  <c:v>-7.6617599256124436E-2</c:v>
                </c:pt>
                <c:pt idx="18">
                  <c:v>1.6723493465754302E-2</c:v>
                </c:pt>
                <c:pt idx="19">
                  <c:v>1.6865197338148619E-2</c:v>
                </c:pt>
                <c:pt idx="20">
                  <c:v>2.017129155237285E-2</c:v>
                </c:pt>
                <c:pt idx="21">
                  <c:v>2.3695987316926903E-2</c:v>
                </c:pt>
                <c:pt idx="22">
                  <c:v>2.3331111272689498E-2</c:v>
                </c:pt>
                <c:pt idx="23">
                  <c:v>2.1951076431371064E-2</c:v>
                </c:pt>
                <c:pt idx="24">
                  <c:v>2.021933525235653E-2</c:v>
                </c:pt>
                <c:pt idx="25">
                  <c:v>1.9011982835543506E-2</c:v>
                </c:pt>
                <c:pt idx="26">
                  <c:v>1.7495928212973411E-2</c:v>
                </c:pt>
                <c:pt idx="27">
                  <c:v>-2.672740326577383E-2</c:v>
                </c:pt>
                <c:pt idx="28">
                  <c:v>-2.6891621092545392E-2</c:v>
                </c:pt>
                <c:pt idx="29">
                  <c:v>-2.7827396828577378E-2</c:v>
                </c:pt>
                <c:pt idx="30">
                  <c:v>-2.9331151631154739E-2</c:v>
                </c:pt>
                <c:pt idx="31">
                  <c:v>-2.8833609873629484E-2</c:v>
                </c:pt>
                <c:pt idx="32">
                  <c:v>-2.8732073384354351E-2</c:v>
                </c:pt>
                <c:pt idx="33">
                  <c:v>-2.7582773825081119E-2</c:v>
                </c:pt>
                <c:pt idx="34">
                  <c:v>-2.5727560335795374E-2</c:v>
                </c:pt>
                <c:pt idx="35">
                  <c:v>-2.5627882631468424E-2</c:v>
                </c:pt>
                <c:pt idx="36">
                  <c:v>-1.3065811195289712E-2</c:v>
                </c:pt>
                <c:pt idx="37">
                  <c:v>-1.3028226709195678E-2</c:v>
                </c:pt>
                <c:pt idx="38">
                  <c:v>-1.1398020327249014E-2</c:v>
                </c:pt>
                <c:pt idx="39">
                  <c:v>-9.9346191282592144E-3</c:v>
                </c:pt>
                <c:pt idx="40">
                  <c:v>-8.3661422859790946E-3</c:v>
                </c:pt>
                <c:pt idx="41">
                  <c:v>-7.839564912728747E-3</c:v>
                </c:pt>
                <c:pt idx="42">
                  <c:v>-6.2779590542021424E-3</c:v>
                </c:pt>
                <c:pt idx="43">
                  <c:v>-2.4108091710033364E-3</c:v>
                </c:pt>
                <c:pt idx="44">
                  <c:v>-2.0652130853306971E-3</c:v>
                </c:pt>
                <c:pt idx="45">
                  <c:v>3.3548717862835531E-2</c:v>
                </c:pt>
                <c:pt idx="46">
                  <c:v>3.3998020127597783E-2</c:v>
                </c:pt>
                <c:pt idx="47">
                  <c:v>3.9607017608126682E-2</c:v>
                </c:pt>
                <c:pt idx="48">
                  <c:v>4.5101170176103267E-2</c:v>
                </c:pt>
                <c:pt idx="49">
                  <c:v>4.7356016521675315E-2</c:v>
                </c:pt>
                <c:pt idx="50">
                  <c:v>4.8042951448941551E-2</c:v>
                </c:pt>
                <c:pt idx="51">
                  <c:v>5.0746532998900307E-2</c:v>
                </c:pt>
                <c:pt idx="52">
                  <c:v>5.717455646630043E-2</c:v>
                </c:pt>
                <c:pt idx="53">
                  <c:v>5.7486377328281435E-2</c:v>
                </c:pt>
                <c:pt idx="54">
                  <c:v>9.7452161403900561E-2</c:v>
                </c:pt>
                <c:pt idx="55">
                  <c:v>9.8259563122425675E-2</c:v>
                </c:pt>
                <c:pt idx="56">
                  <c:v>0.10563595040984097</c:v>
                </c:pt>
                <c:pt idx="57">
                  <c:v>0.11281080728406323</c:v>
                </c:pt>
                <c:pt idx="58">
                  <c:v>0.11516102725602195</c:v>
                </c:pt>
                <c:pt idx="59">
                  <c:v>0.11531968579041774</c:v>
                </c:pt>
                <c:pt idx="60">
                  <c:v>0.11986816562461655</c:v>
                </c:pt>
                <c:pt idx="61">
                  <c:v>0.12819846440151395</c:v>
                </c:pt>
                <c:pt idx="62">
                  <c:v>0.12856885875689983</c:v>
                </c:pt>
                <c:pt idx="63">
                  <c:v>0.16188424182368522</c:v>
                </c:pt>
                <c:pt idx="64">
                  <c:v>0.16321029397985143</c:v>
                </c:pt>
                <c:pt idx="65">
                  <c:v>0.17196393176249813</c:v>
                </c:pt>
                <c:pt idx="66">
                  <c:v>0.18096575014252636</c:v>
                </c:pt>
                <c:pt idx="67">
                  <c:v>0.18124780606400748</c:v>
                </c:pt>
                <c:pt idx="68">
                  <c:v>0.18159842684321603</c:v>
                </c:pt>
                <c:pt idx="69">
                  <c:v>0.18332398478447232</c:v>
                </c:pt>
                <c:pt idx="70">
                  <c:v>0.18695347746300683</c:v>
                </c:pt>
                <c:pt idx="71">
                  <c:v>0.18744904557178188</c:v>
                </c:pt>
                <c:pt idx="72">
                  <c:v>0.20172967176193168</c:v>
                </c:pt>
                <c:pt idx="73">
                  <c:v>0.20251908007411856</c:v>
                </c:pt>
                <c:pt idx="74">
                  <c:v>0.20671445494465246</c:v>
                </c:pt>
                <c:pt idx="75">
                  <c:v>0.21235630482284762</c:v>
                </c:pt>
                <c:pt idx="76">
                  <c:v>0.21219213532418735</c:v>
                </c:pt>
                <c:pt idx="77">
                  <c:v>0.21094647564094515</c:v>
                </c:pt>
                <c:pt idx="78">
                  <c:v>0.20776526701494191</c:v>
                </c:pt>
                <c:pt idx="79">
                  <c:v>0.20124764449808197</c:v>
                </c:pt>
                <c:pt idx="80">
                  <c:v>0.19967338899197529</c:v>
                </c:pt>
                <c:pt idx="81">
                  <c:v>0.17869104225346888</c:v>
                </c:pt>
                <c:pt idx="82">
                  <c:v>0.17691556482365201</c:v>
                </c:pt>
                <c:pt idx="83">
                  <c:v>0.16728063464898213</c:v>
                </c:pt>
                <c:pt idx="84">
                  <c:v>0.15650175755747853</c:v>
                </c:pt>
                <c:pt idx="85">
                  <c:v>0.15655829350998829</c:v>
                </c:pt>
                <c:pt idx="86">
                  <c:v>0.15665772875925654</c:v>
                </c:pt>
                <c:pt idx="87">
                  <c:v>0.1568662771377447</c:v>
                </c:pt>
                <c:pt idx="88">
                  <c:v>0.15836567269840884</c:v>
                </c:pt>
                <c:pt idx="89">
                  <c:v>0.15951442520174908</c:v>
                </c:pt>
                <c:pt idx="90">
                  <c:v>0.17045768509493087</c:v>
                </c:pt>
                <c:pt idx="91">
                  <c:v>0.17194864227095508</c:v>
                </c:pt>
                <c:pt idx="92">
                  <c:v>0.17988906899786627</c:v>
                </c:pt>
                <c:pt idx="93">
                  <c:v>0.18998593413886766</c:v>
                </c:pt>
                <c:pt idx="94">
                  <c:v>0.19009081646851911</c:v>
                </c:pt>
                <c:pt idx="95">
                  <c:v>0.1904751920567378</c:v>
                </c:pt>
                <c:pt idx="96">
                  <c:v>0.19247150420554249</c:v>
                </c:pt>
                <c:pt idx="97">
                  <c:v>0.19481208230543956</c:v>
                </c:pt>
                <c:pt idx="98">
                  <c:v>0.19569106643935896</c:v>
                </c:pt>
                <c:pt idx="99">
                  <c:v>0.19877231219952307</c:v>
                </c:pt>
                <c:pt idx="100">
                  <c:v>0.19938212368876407</c:v>
                </c:pt>
                <c:pt idx="101">
                  <c:v>0.2020561620887662</c:v>
                </c:pt>
                <c:pt idx="102">
                  <c:v>0.20548214439232737</c:v>
                </c:pt>
                <c:pt idx="103">
                  <c:v>0.2055065206241693</c:v>
                </c:pt>
                <c:pt idx="104">
                  <c:v>0.20552697333899062</c:v>
                </c:pt>
                <c:pt idx="105">
                  <c:v>0.20561902211530736</c:v>
                </c:pt>
                <c:pt idx="106">
                  <c:v>0.20626747574478799</c:v>
                </c:pt>
                <c:pt idx="107">
                  <c:v>0.20598633974483249</c:v>
                </c:pt>
                <c:pt idx="108">
                  <c:v>0.20372840535927139</c:v>
                </c:pt>
                <c:pt idx="109">
                  <c:v>0.20286023477446236</c:v>
                </c:pt>
                <c:pt idx="110">
                  <c:v>0.20001601636767674</c:v>
                </c:pt>
                <c:pt idx="111">
                  <c:v>0.19687969617613987</c:v>
                </c:pt>
                <c:pt idx="112">
                  <c:v>0.19685259984035497</c:v>
                </c:pt>
                <c:pt idx="113">
                  <c:v>0.19655698250827669</c:v>
                </c:pt>
                <c:pt idx="114">
                  <c:v>0.19545718146122937</c:v>
                </c:pt>
                <c:pt idx="115">
                  <c:v>0.19407977851900426</c:v>
                </c:pt>
                <c:pt idx="116">
                  <c:v>0.19398091256118732</c:v>
                </c:pt>
                <c:pt idx="117">
                  <c:v>0.1934021887857682</c:v>
                </c:pt>
                <c:pt idx="118">
                  <c:v>0.19332638138577352</c:v>
                </c:pt>
                <c:pt idx="119">
                  <c:v>0.1916196369184604</c:v>
                </c:pt>
                <c:pt idx="120">
                  <c:v>0.18723440359440957</c:v>
                </c:pt>
                <c:pt idx="121">
                  <c:v>0.18719888468859835</c:v>
                </c:pt>
                <c:pt idx="122">
                  <c:v>0.18852039559731537</c:v>
                </c:pt>
                <c:pt idx="123">
                  <c:v>0.19529501803780391</c:v>
                </c:pt>
                <c:pt idx="124">
                  <c:v>0.20483253779036659</c:v>
                </c:pt>
                <c:pt idx="125">
                  <c:v>0.20876330217620165</c:v>
                </c:pt>
                <c:pt idx="126">
                  <c:v>0.20913190786384916</c:v>
                </c:pt>
                <c:pt idx="127">
                  <c:v>0.21252367587301535</c:v>
                </c:pt>
                <c:pt idx="128">
                  <c:v>0.22322463675944704</c:v>
                </c:pt>
                <c:pt idx="129">
                  <c:v>0.24049922213339414</c:v>
                </c:pt>
                <c:pt idx="130">
                  <c:v>0.24134402384095921</c:v>
                </c:pt>
                <c:pt idx="131">
                  <c:v>0.241272900139478</c:v>
                </c:pt>
                <c:pt idx="132">
                  <c:v>0.2358897650847851</c:v>
                </c:pt>
                <c:pt idx="133">
                  <c:v>0.22876847307852444</c:v>
                </c:pt>
                <c:pt idx="134">
                  <c:v>0.22813113567859489</c:v>
                </c:pt>
                <c:pt idx="135">
                  <c:v>0.22599990482289201</c:v>
                </c:pt>
                <c:pt idx="136">
                  <c:v>0.22559696544010421</c:v>
                </c:pt>
                <c:pt idx="137">
                  <c:v>0.22067741595242296</c:v>
                </c:pt>
                <c:pt idx="138">
                  <c:v>0.21536024454570679</c:v>
                </c:pt>
                <c:pt idx="139">
                  <c:v>0.21509720809928723</c:v>
                </c:pt>
                <c:pt idx="140">
                  <c:v>0.21508300822976167</c:v>
                </c:pt>
                <c:pt idx="141">
                  <c:v>0.21174248710154586</c:v>
                </c:pt>
                <c:pt idx="142">
                  <c:v>0.20741617052460981</c:v>
                </c:pt>
                <c:pt idx="143">
                  <c:v>0.2060931315630441</c:v>
                </c:pt>
                <c:pt idx="144">
                  <c:v>0.20517905001607062</c:v>
                </c:pt>
                <c:pt idx="145">
                  <c:v>0.20453564738694752</c:v>
                </c:pt>
                <c:pt idx="146">
                  <c:v>0.19975816122536116</c:v>
                </c:pt>
                <c:pt idx="147">
                  <c:v>0.18990977553990263</c:v>
                </c:pt>
                <c:pt idx="148">
                  <c:v>0.18960196510122529</c:v>
                </c:pt>
                <c:pt idx="149">
                  <c:v>0.18950036833692963</c:v>
                </c:pt>
                <c:pt idx="150">
                  <c:v>0.18565075364330852</c:v>
                </c:pt>
                <c:pt idx="151">
                  <c:v>0.18260295600353516</c:v>
                </c:pt>
                <c:pt idx="152">
                  <c:v>0.18068827115245512</c:v>
                </c:pt>
                <c:pt idx="153">
                  <c:v>0.17951563002085891</c:v>
                </c:pt>
                <c:pt idx="154">
                  <c:v>0.17899169616593014</c:v>
                </c:pt>
                <c:pt idx="155">
                  <c:v>0.17463453730434964</c:v>
                </c:pt>
                <c:pt idx="156">
                  <c:v>0.16183648292146557</c:v>
                </c:pt>
                <c:pt idx="157">
                  <c:v>0.16122021921386676</c:v>
                </c:pt>
                <c:pt idx="158">
                  <c:v>0.16121379807469083</c:v>
                </c:pt>
                <c:pt idx="159">
                  <c:v>0.15570735408097391</c:v>
                </c:pt>
                <c:pt idx="160">
                  <c:v>0.15387325261104223</c:v>
                </c:pt>
                <c:pt idx="161">
                  <c:v>0.15154632858715189</c:v>
                </c:pt>
                <c:pt idx="162">
                  <c:v>0.14980943764053478</c:v>
                </c:pt>
                <c:pt idx="163">
                  <c:v>0.14891945630353831</c:v>
                </c:pt>
                <c:pt idx="164">
                  <c:v>0.14602196107849608</c:v>
                </c:pt>
                <c:pt idx="165">
                  <c:v>0.1349444196094467</c:v>
                </c:pt>
                <c:pt idx="166">
                  <c:v>0.13482872743144014</c:v>
                </c:pt>
                <c:pt idx="167">
                  <c:v>0.13454096618010425</c:v>
                </c:pt>
                <c:pt idx="168">
                  <c:v>0.13817171416905438</c:v>
                </c:pt>
                <c:pt idx="169">
                  <c:v>0.13834600289189325</c:v>
                </c:pt>
                <c:pt idx="170">
                  <c:v>0.13942213325448449</c:v>
                </c:pt>
                <c:pt idx="171">
                  <c:v>0.14099032600592665</c:v>
                </c:pt>
                <c:pt idx="172">
                  <c:v>0.1416332390056283</c:v>
                </c:pt>
                <c:pt idx="173">
                  <c:v>0.14378679946229767</c:v>
                </c:pt>
                <c:pt idx="174">
                  <c:v>0.15723991971110252</c:v>
                </c:pt>
                <c:pt idx="175">
                  <c:v>0.15749245567841541</c:v>
                </c:pt>
                <c:pt idx="176">
                  <c:v>0.15867288537547353</c:v>
                </c:pt>
                <c:pt idx="177">
                  <c:v>0.1617201315399015</c:v>
                </c:pt>
                <c:pt idx="178">
                  <c:v>0.16258006699796113</c:v>
                </c:pt>
                <c:pt idx="179">
                  <c:v>0.16394795956918529</c:v>
                </c:pt>
                <c:pt idx="180">
                  <c:v>0.16841397860163454</c:v>
                </c:pt>
                <c:pt idx="181">
                  <c:v>0.16898213851802524</c:v>
                </c:pt>
                <c:pt idx="182">
                  <c:v>0.16958548929373052</c:v>
                </c:pt>
                <c:pt idx="183">
                  <c:v>0.17601121467617986</c:v>
                </c:pt>
                <c:pt idx="184">
                  <c:v>0.17609187600507425</c:v>
                </c:pt>
                <c:pt idx="185">
                  <c:v>0.17708020451907913</c:v>
                </c:pt>
                <c:pt idx="186">
                  <c:v>0.17925150568588322</c:v>
                </c:pt>
                <c:pt idx="187">
                  <c:v>0.18107718846214027</c:v>
                </c:pt>
                <c:pt idx="188">
                  <c:v>0.18140032823894359</c:v>
                </c:pt>
                <c:pt idx="189">
                  <c:v>0.18565852465815169</c:v>
                </c:pt>
                <c:pt idx="190">
                  <c:v>0.18580345382925145</c:v>
                </c:pt>
                <c:pt idx="191">
                  <c:v>0.1859964954211577</c:v>
                </c:pt>
                <c:pt idx="192">
                  <c:v>0.18599895642429942</c:v>
                </c:pt>
                <c:pt idx="193">
                  <c:v>0.18597809673715204</c:v>
                </c:pt>
                <c:pt idx="194">
                  <c:v>0.18568109092935003</c:v>
                </c:pt>
                <c:pt idx="195">
                  <c:v>0.19061206408812836</c:v>
                </c:pt>
                <c:pt idx="196">
                  <c:v>0.1972819544188269</c:v>
                </c:pt>
                <c:pt idx="197">
                  <c:v>0.19836989356918622</c:v>
                </c:pt>
                <c:pt idx="198">
                  <c:v>0.20874933021513442</c:v>
                </c:pt>
                <c:pt idx="199">
                  <c:v>0.21072956542863608</c:v>
                </c:pt>
                <c:pt idx="200">
                  <c:v>0.21319366397170825</c:v>
                </c:pt>
                <c:pt idx="201">
                  <c:v>0.22789187157039237</c:v>
                </c:pt>
                <c:pt idx="202">
                  <c:v>0.22828976923296551</c:v>
                </c:pt>
                <c:pt idx="203">
                  <c:v>0.23273296310734537</c:v>
                </c:pt>
                <c:pt idx="204">
                  <c:v>0.23269005826977462</c:v>
                </c:pt>
                <c:pt idx="205">
                  <c:v>0.23245382367837664</c:v>
                </c:pt>
                <c:pt idx="206">
                  <c:v>0.23232192610731062</c:v>
                </c:pt>
                <c:pt idx="207">
                  <c:v>0.23212390159758201</c:v>
                </c:pt>
                <c:pt idx="208">
                  <c:v>0.23185656483513384</c:v>
                </c:pt>
                <c:pt idx="209">
                  <c:v>0.23097124198883989</c:v>
                </c:pt>
                <c:pt idx="210">
                  <c:v>0.22566701237185072</c:v>
                </c:pt>
                <c:pt idx="211">
                  <c:v>0.22523802100440093</c:v>
                </c:pt>
                <c:pt idx="212">
                  <c:v>0.21466031388035134</c:v>
                </c:pt>
                <c:pt idx="213">
                  <c:v>0.21459624838414726</c:v>
                </c:pt>
                <c:pt idx="214">
                  <c:v>0.19640204499720681</c:v>
                </c:pt>
                <c:pt idx="215">
                  <c:v>0.18360291957210961</c:v>
                </c:pt>
                <c:pt idx="216">
                  <c:v>0.16629730338033966</c:v>
                </c:pt>
                <c:pt idx="217">
                  <c:v>0.14756787432310858</c:v>
                </c:pt>
                <c:pt idx="218">
                  <c:v>0.14518310940613333</c:v>
                </c:pt>
                <c:pt idx="219">
                  <c:v>0.12934344788072138</c:v>
                </c:pt>
                <c:pt idx="220">
                  <c:v>0.12042221770871464</c:v>
                </c:pt>
                <c:pt idx="221">
                  <c:v>0.11929241884749331</c:v>
                </c:pt>
                <c:pt idx="222">
                  <c:v>0.10224913901541299</c:v>
                </c:pt>
                <c:pt idx="223">
                  <c:v>8.342353082308307E-2</c:v>
                </c:pt>
                <c:pt idx="224">
                  <c:v>7.242104534076077E-2</c:v>
                </c:pt>
                <c:pt idx="225">
                  <c:v>6.5408412518848991E-2</c:v>
                </c:pt>
                <c:pt idx="226">
                  <c:v>6.5860371092661296E-2</c:v>
                </c:pt>
                <c:pt idx="227">
                  <c:v>6.6019712054213642E-2</c:v>
                </c:pt>
                <c:pt idx="228">
                  <c:v>6.7194150258011121E-2</c:v>
                </c:pt>
                <c:pt idx="229">
                  <c:v>6.7774431655919898E-2</c:v>
                </c:pt>
                <c:pt idx="230">
                  <c:v>6.8064603714837801E-2</c:v>
                </c:pt>
                <c:pt idx="231">
                  <c:v>7.3108379021562087E-2</c:v>
                </c:pt>
                <c:pt idx="232">
                  <c:v>8.1240680443265489E-2</c:v>
                </c:pt>
                <c:pt idx="233">
                  <c:v>8.4002515829475044E-2</c:v>
                </c:pt>
                <c:pt idx="234">
                  <c:v>8.7280287004865897E-2</c:v>
                </c:pt>
                <c:pt idx="235">
                  <c:v>9.4740481229329987E-2</c:v>
                </c:pt>
                <c:pt idx="236">
                  <c:v>9.5887297242732927E-2</c:v>
                </c:pt>
                <c:pt idx="237">
                  <c:v>9.7961452466009291E-2</c:v>
                </c:pt>
                <c:pt idx="238">
                  <c:v>9.8786318917589711E-2</c:v>
                </c:pt>
                <c:pt idx="239">
                  <c:v>9.9406396156872745E-2</c:v>
                </c:pt>
                <c:pt idx="240">
                  <c:v>9.8646865611982548E-2</c:v>
                </c:pt>
                <c:pt idx="241">
                  <c:v>9.6657036995281942E-2</c:v>
                </c:pt>
                <c:pt idx="242">
                  <c:v>9.6272081316932656E-2</c:v>
                </c:pt>
                <c:pt idx="243">
                  <c:v>9.5458082601012961E-2</c:v>
                </c:pt>
                <c:pt idx="244">
                  <c:v>9.3595594967538887E-2</c:v>
                </c:pt>
                <c:pt idx="245">
                  <c:v>9.2560818672488665E-2</c:v>
                </c:pt>
                <c:pt idx="246">
                  <c:v>9.2436688833863911E-2</c:v>
                </c:pt>
                <c:pt idx="247">
                  <c:v>9.2562242582111764E-2</c:v>
                </c:pt>
                <c:pt idx="248">
                  <c:v>9.347256202547527E-2</c:v>
                </c:pt>
                <c:pt idx="249">
                  <c:v>9.4778315055435769E-2</c:v>
                </c:pt>
                <c:pt idx="250">
                  <c:v>9.8336515557384985E-2</c:v>
                </c:pt>
                <c:pt idx="251">
                  <c:v>9.8526479587171423E-2</c:v>
                </c:pt>
                <c:pt idx="252">
                  <c:v>9.9847228241451091E-2</c:v>
                </c:pt>
                <c:pt idx="253">
                  <c:v>0.10489084720882857</c:v>
                </c:pt>
                <c:pt idx="254">
                  <c:v>0.10601987652987788</c:v>
                </c:pt>
                <c:pt idx="255">
                  <c:v>0.10620133717099378</c:v>
                </c:pt>
                <c:pt idx="256">
                  <c:v>0.10634799817136553</c:v>
                </c:pt>
                <c:pt idx="257">
                  <c:v>0.11068464727691918</c:v>
                </c:pt>
                <c:pt idx="258">
                  <c:v>0.11486360498670933</c:v>
                </c:pt>
                <c:pt idx="259">
                  <c:v>0.132929556743143</c:v>
                </c:pt>
                <c:pt idx="260">
                  <c:v>0.13435299023955594</c:v>
                </c:pt>
                <c:pt idx="261">
                  <c:v>0.13951404071270446</c:v>
                </c:pt>
                <c:pt idx="262">
                  <c:v>0.1649820759835734</c:v>
                </c:pt>
                <c:pt idx="263">
                  <c:v>0.16522509315118583</c:v>
                </c:pt>
                <c:pt idx="264">
                  <c:v>0.16631849474045879</c:v>
                </c:pt>
                <c:pt idx="265">
                  <c:v>0.16874184716684226</c:v>
                </c:pt>
                <c:pt idx="266">
                  <c:v>0.17895668727557279</c:v>
                </c:pt>
                <c:pt idx="267">
                  <c:v>0.17891416073159405</c:v>
                </c:pt>
                <c:pt idx="268">
                  <c:v>0.17964849379301029</c:v>
                </c:pt>
                <c:pt idx="269">
                  <c:v>0.17979067770099277</c:v>
                </c:pt>
                <c:pt idx="270">
                  <c:v>0.17989653443496678</c:v>
                </c:pt>
                <c:pt idx="271">
                  <c:v>0.18098729819404724</c:v>
                </c:pt>
                <c:pt idx="272">
                  <c:v>0.18106708750124767</c:v>
                </c:pt>
                <c:pt idx="273">
                  <c:v>0.180971821659341</c:v>
                </c:pt>
                <c:pt idx="274">
                  <c:v>0.18105295831165336</c:v>
                </c:pt>
                <c:pt idx="275">
                  <c:v>0.18179528791362998</c:v>
                </c:pt>
                <c:pt idx="276">
                  <c:v>0.18179599113162226</c:v>
                </c:pt>
                <c:pt idx="277">
                  <c:v>0.18126475983487467</c:v>
                </c:pt>
                <c:pt idx="278">
                  <c:v>0.18113197372993994</c:v>
                </c:pt>
                <c:pt idx="279">
                  <c:v>0.18112512744688303</c:v>
                </c:pt>
                <c:pt idx="280">
                  <c:v>0.18038255013210147</c:v>
                </c:pt>
                <c:pt idx="281">
                  <c:v>0.18023447638353929</c:v>
                </c:pt>
                <c:pt idx="282">
                  <c:v>0.18019104021559684</c:v>
                </c:pt>
                <c:pt idx="283">
                  <c:v>0.18018465287523355</c:v>
                </c:pt>
                <c:pt idx="284">
                  <c:v>0.17940119685751199</c:v>
                </c:pt>
                <c:pt idx="285">
                  <c:v>0.17940060841275596</c:v>
                </c:pt>
                <c:pt idx="286">
                  <c:v>0.179346361875524</c:v>
                </c:pt>
                <c:pt idx="287">
                  <c:v>0.17886814122659445</c:v>
                </c:pt>
                <c:pt idx="288">
                  <c:v>0.1785571792805527</c:v>
                </c:pt>
                <c:pt idx="289">
                  <c:v>0.17517645439092178</c:v>
                </c:pt>
                <c:pt idx="290">
                  <c:v>0.17440134924390094</c:v>
                </c:pt>
                <c:pt idx="291">
                  <c:v>0.17130607728740443</c:v>
                </c:pt>
                <c:pt idx="292">
                  <c:v>0.17105889020893983</c:v>
                </c:pt>
                <c:pt idx="293">
                  <c:v>0.17036100756568828</c:v>
                </c:pt>
                <c:pt idx="294">
                  <c:v>0.17014724163063022</c:v>
                </c:pt>
                <c:pt idx="295">
                  <c:v>0.17077510543101937</c:v>
                </c:pt>
                <c:pt idx="296">
                  <c:v>0.17126727470095915</c:v>
                </c:pt>
                <c:pt idx="297">
                  <c:v>0.17135708393598748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3BE-4EDE-9B06-59BDE07897AD}"/>
            </c:ext>
          </c:extLst>
        </c:ser>
        <c:ser>
          <c:idx val="5"/>
          <c:order val="5"/>
          <c:tx>
            <c:strRef>
              <c:f>race_data!$Z$1</c:f>
              <c:strCache>
                <c:ptCount val="1"/>
                <c:pt idx="0">
                  <c:v>GökhanB</c:v>
                </c:pt>
              </c:strCache>
            </c:strRef>
          </c:tx>
          <c:marker>
            <c:symbol val="none"/>
          </c:marker>
          <c:xVal>
            <c:numRef>
              <c:f>intermediate_data!$A$2:$A$299</c:f>
              <c:numCache>
                <c:formatCode>General</c:formatCode>
                <c:ptCount val="298"/>
                <c:pt idx="0">
                  <c:v>53.683999999999997</c:v>
                </c:pt>
                <c:pt idx="1">
                  <c:v>53.756</c:v>
                </c:pt>
                <c:pt idx="2">
                  <c:v>54.529000000000003</c:v>
                </c:pt>
                <c:pt idx="3">
                  <c:v>55.472999999999999</c:v>
                </c:pt>
                <c:pt idx="4">
                  <c:v>55.91</c:v>
                </c:pt>
                <c:pt idx="5">
                  <c:v>56.984000000000002</c:v>
                </c:pt>
                <c:pt idx="6">
                  <c:v>57.091999999999999</c:v>
                </c:pt>
                <c:pt idx="7">
                  <c:v>57.482999999999997</c:v>
                </c:pt>
                <c:pt idx="8">
                  <c:v>58.719000000000001</c:v>
                </c:pt>
                <c:pt idx="9">
                  <c:v>107.248</c:v>
                </c:pt>
                <c:pt idx="10">
                  <c:v>107.48399999999999</c:v>
                </c:pt>
                <c:pt idx="11">
                  <c:v>109.506</c:v>
                </c:pt>
                <c:pt idx="12">
                  <c:v>111.09399999999999</c:v>
                </c:pt>
                <c:pt idx="13">
                  <c:v>111.527</c:v>
                </c:pt>
                <c:pt idx="14">
                  <c:v>112.53</c:v>
                </c:pt>
                <c:pt idx="15">
                  <c:v>113.36199999999999</c:v>
                </c:pt>
                <c:pt idx="16">
                  <c:v>113.758</c:v>
                </c:pt>
                <c:pt idx="17">
                  <c:v>115.387</c:v>
                </c:pt>
                <c:pt idx="18">
                  <c:v>160.595</c:v>
                </c:pt>
                <c:pt idx="19">
                  <c:v>160.697</c:v>
                </c:pt>
                <c:pt idx="20">
                  <c:v>163.79</c:v>
                </c:pt>
                <c:pt idx="21">
                  <c:v>166.34</c:v>
                </c:pt>
                <c:pt idx="22">
                  <c:v>166.87200000000001</c:v>
                </c:pt>
                <c:pt idx="23">
                  <c:v>167.84800000000001</c:v>
                </c:pt>
                <c:pt idx="24">
                  <c:v>169.19900000000001</c:v>
                </c:pt>
                <c:pt idx="25">
                  <c:v>170.291</c:v>
                </c:pt>
                <c:pt idx="26">
                  <c:v>171.417</c:v>
                </c:pt>
                <c:pt idx="27">
                  <c:v>214.05799999999999</c:v>
                </c:pt>
                <c:pt idx="28">
                  <c:v>214.31100000000001</c:v>
                </c:pt>
                <c:pt idx="29">
                  <c:v>217.57599999999999</c:v>
                </c:pt>
                <c:pt idx="30">
                  <c:v>221.208</c:v>
                </c:pt>
                <c:pt idx="31">
                  <c:v>222.99600000000001</c:v>
                </c:pt>
                <c:pt idx="32">
                  <c:v>223.346</c:v>
                </c:pt>
                <c:pt idx="33">
                  <c:v>224.792</c:v>
                </c:pt>
                <c:pt idx="34">
                  <c:v>227.23699999999999</c:v>
                </c:pt>
                <c:pt idx="35">
                  <c:v>227.387</c:v>
                </c:pt>
                <c:pt idx="36">
                  <c:v>267.20299999999997</c:v>
                </c:pt>
                <c:pt idx="37">
                  <c:v>267.286</c:v>
                </c:pt>
                <c:pt idx="38">
                  <c:v>271.62</c:v>
                </c:pt>
                <c:pt idx="39">
                  <c:v>276.245</c:v>
                </c:pt>
                <c:pt idx="40">
                  <c:v>278.11500000000001</c:v>
                </c:pt>
                <c:pt idx="41">
                  <c:v>278.77100000000002</c:v>
                </c:pt>
                <c:pt idx="42">
                  <c:v>280.43099999999998</c:v>
                </c:pt>
                <c:pt idx="43">
                  <c:v>283.97699999999998</c:v>
                </c:pt>
                <c:pt idx="44">
                  <c:v>284.36900000000003</c:v>
                </c:pt>
                <c:pt idx="45">
                  <c:v>319.94</c:v>
                </c:pt>
                <c:pt idx="46">
                  <c:v>320.41699999999997</c:v>
                </c:pt>
                <c:pt idx="47">
                  <c:v>325.77699999999999</c:v>
                </c:pt>
                <c:pt idx="48">
                  <c:v>331.447</c:v>
                </c:pt>
                <c:pt idx="49">
                  <c:v>333.30500000000001</c:v>
                </c:pt>
                <c:pt idx="50">
                  <c:v>333.83100000000002</c:v>
                </c:pt>
                <c:pt idx="51">
                  <c:v>335.64</c:v>
                </c:pt>
                <c:pt idx="52">
                  <c:v>340.83300000000003</c:v>
                </c:pt>
                <c:pt idx="53">
                  <c:v>341.09199999999998</c:v>
                </c:pt>
                <c:pt idx="54">
                  <c:v>372.53500000000003</c:v>
                </c:pt>
                <c:pt idx="55">
                  <c:v>373.22</c:v>
                </c:pt>
                <c:pt idx="56">
                  <c:v>380.05599999999998</c:v>
                </c:pt>
                <c:pt idx="57">
                  <c:v>386.74900000000002</c:v>
                </c:pt>
                <c:pt idx="58">
                  <c:v>388.19299999999998</c:v>
                </c:pt>
                <c:pt idx="59">
                  <c:v>388.30299999999988</c:v>
                </c:pt>
                <c:pt idx="60">
                  <c:v>391.55099999999999</c:v>
                </c:pt>
                <c:pt idx="61">
                  <c:v>397.34199999999998</c:v>
                </c:pt>
                <c:pt idx="62">
                  <c:v>397.60199999999998</c:v>
                </c:pt>
                <c:pt idx="63">
                  <c:v>425.07600000000002</c:v>
                </c:pt>
                <c:pt idx="64">
                  <c:v>426.26299999999998</c:v>
                </c:pt>
                <c:pt idx="65">
                  <c:v>434.23099999999999</c:v>
                </c:pt>
                <c:pt idx="66">
                  <c:v>442.30500000000001</c:v>
                </c:pt>
                <c:pt idx="67">
                  <c:v>442.87700000000001</c:v>
                </c:pt>
                <c:pt idx="68">
                  <c:v>443.70699999999999</c:v>
                </c:pt>
                <c:pt idx="69">
                  <c:v>447.20600000000002</c:v>
                </c:pt>
                <c:pt idx="70">
                  <c:v>453.82100000000003</c:v>
                </c:pt>
                <c:pt idx="71">
                  <c:v>454.59500000000003</c:v>
                </c:pt>
                <c:pt idx="72">
                  <c:v>477.66599999999988</c:v>
                </c:pt>
                <c:pt idx="73">
                  <c:v>479.28800000000001</c:v>
                </c:pt>
                <c:pt idx="74">
                  <c:v>488.19099999999997</c:v>
                </c:pt>
                <c:pt idx="75">
                  <c:v>497.56099999999998</c:v>
                </c:pt>
                <c:pt idx="76">
                  <c:v>497.72300000000001</c:v>
                </c:pt>
                <c:pt idx="77">
                  <c:v>498.91699999999997</c:v>
                </c:pt>
                <c:pt idx="78">
                  <c:v>502.58499999999998</c:v>
                </c:pt>
                <c:pt idx="79">
                  <c:v>509.87099999999998</c:v>
                </c:pt>
                <c:pt idx="80">
                  <c:v>511.53800000000001</c:v>
                </c:pt>
                <c:pt idx="81">
                  <c:v>530.65299999999991</c:v>
                </c:pt>
                <c:pt idx="82">
                  <c:v>532.33299999999997</c:v>
                </c:pt>
                <c:pt idx="83">
                  <c:v>541.52099999999996</c:v>
                </c:pt>
                <c:pt idx="84">
                  <c:v>551.93500000000006</c:v>
                </c:pt>
                <c:pt idx="85">
                  <c:v>552.71499999999992</c:v>
                </c:pt>
                <c:pt idx="86">
                  <c:v>553.38400000000001</c:v>
                </c:pt>
                <c:pt idx="87">
                  <c:v>558.18000000000006</c:v>
                </c:pt>
                <c:pt idx="88">
                  <c:v>566.23699999999997</c:v>
                </c:pt>
                <c:pt idx="89">
                  <c:v>569.47499999999991</c:v>
                </c:pt>
                <c:pt idx="90">
                  <c:v>583.65299999999991</c:v>
                </c:pt>
                <c:pt idx="91">
                  <c:v>585.43899999999996</c:v>
                </c:pt>
                <c:pt idx="92">
                  <c:v>594.96499999999992</c:v>
                </c:pt>
                <c:pt idx="93">
                  <c:v>606.97200000000009</c:v>
                </c:pt>
                <c:pt idx="94">
                  <c:v>607.32999999999993</c:v>
                </c:pt>
                <c:pt idx="95">
                  <c:v>608.36599999999999</c:v>
                </c:pt>
                <c:pt idx="96">
                  <c:v>613.03800000000001</c:v>
                </c:pt>
                <c:pt idx="97">
                  <c:v>621.69099999999992</c:v>
                </c:pt>
                <c:pt idx="98">
                  <c:v>625.02299999999991</c:v>
                </c:pt>
                <c:pt idx="99">
                  <c:v>636.24399999999991</c:v>
                </c:pt>
                <c:pt idx="100">
                  <c:v>638.471</c:v>
                </c:pt>
                <c:pt idx="101">
                  <c:v>648.21699999999987</c:v>
                </c:pt>
                <c:pt idx="102">
                  <c:v>661.52299999999991</c:v>
                </c:pt>
                <c:pt idx="103">
                  <c:v>661.65100000000007</c:v>
                </c:pt>
                <c:pt idx="104">
                  <c:v>663.02</c:v>
                </c:pt>
                <c:pt idx="105">
                  <c:v>668.73</c:v>
                </c:pt>
                <c:pt idx="106">
                  <c:v>677.15299999999991</c:v>
                </c:pt>
                <c:pt idx="107">
                  <c:v>680.47199999999987</c:v>
                </c:pt>
                <c:pt idx="108">
                  <c:v>688.80799999999988</c:v>
                </c:pt>
                <c:pt idx="109">
                  <c:v>691.47199999999998</c:v>
                </c:pt>
                <c:pt idx="110">
                  <c:v>701.5089999999999</c:v>
                </c:pt>
                <c:pt idx="111">
                  <c:v>716.07599999999991</c:v>
                </c:pt>
                <c:pt idx="112">
                  <c:v>716.20200000000011</c:v>
                </c:pt>
                <c:pt idx="113">
                  <c:v>717.66599999999994</c:v>
                </c:pt>
                <c:pt idx="114">
                  <c:v>724.04100000000005</c:v>
                </c:pt>
                <c:pt idx="115">
                  <c:v>733.63499999999988</c:v>
                </c:pt>
                <c:pt idx="116">
                  <c:v>737.13299999999981</c:v>
                </c:pt>
                <c:pt idx="117">
                  <c:v>741.71299999999985</c:v>
                </c:pt>
                <c:pt idx="118">
                  <c:v>744.25900000000001</c:v>
                </c:pt>
                <c:pt idx="119">
                  <c:v>754.44999999999993</c:v>
                </c:pt>
                <c:pt idx="120">
                  <c:v>770.65599999999995</c:v>
                </c:pt>
                <c:pt idx="121">
                  <c:v>770.76300000000015</c:v>
                </c:pt>
                <c:pt idx="122">
                  <c:v>772.13699999999994</c:v>
                </c:pt>
                <c:pt idx="123">
                  <c:v>779.18400000000008</c:v>
                </c:pt>
                <c:pt idx="124">
                  <c:v>789.3359999999999</c:v>
                </c:pt>
                <c:pt idx="125">
                  <c:v>794.03099999999984</c:v>
                </c:pt>
                <c:pt idx="126">
                  <c:v>794.50299999999982</c:v>
                </c:pt>
                <c:pt idx="127">
                  <c:v>797.92899999999997</c:v>
                </c:pt>
                <c:pt idx="128">
                  <c:v>808.10399999999993</c:v>
                </c:pt>
                <c:pt idx="129">
                  <c:v>825.70099999999991</c:v>
                </c:pt>
                <c:pt idx="130">
                  <c:v>826.44900000000018</c:v>
                </c:pt>
                <c:pt idx="131">
                  <c:v>826.54</c:v>
                </c:pt>
                <c:pt idx="132">
                  <c:v>834.33500000000004</c:v>
                </c:pt>
                <c:pt idx="133">
                  <c:v>845.66899999999987</c:v>
                </c:pt>
                <c:pt idx="134">
                  <c:v>846.68199999999979</c:v>
                </c:pt>
                <c:pt idx="135">
                  <c:v>850.2489999999998</c:v>
                </c:pt>
                <c:pt idx="136">
                  <c:v>851.06</c:v>
                </c:pt>
                <c:pt idx="137">
                  <c:v>862.00699999999995</c:v>
                </c:pt>
                <c:pt idx="138">
                  <c:v>879.50599999999986</c:v>
                </c:pt>
                <c:pt idx="139">
                  <c:v>880.33399999999995</c:v>
                </c:pt>
                <c:pt idx="140">
                  <c:v>880.38000000000022</c:v>
                </c:pt>
                <c:pt idx="141">
                  <c:v>889.13300000000004</c:v>
                </c:pt>
                <c:pt idx="142">
                  <c:v>899.13499999999976</c:v>
                </c:pt>
                <c:pt idx="143">
                  <c:v>902.08499999999981</c:v>
                </c:pt>
                <c:pt idx="144">
                  <c:v>903.89799999999991</c:v>
                </c:pt>
                <c:pt idx="145">
                  <c:v>905.23399999999981</c:v>
                </c:pt>
                <c:pt idx="146">
                  <c:v>914.92899999999997</c:v>
                </c:pt>
                <c:pt idx="147">
                  <c:v>933.46699999999987</c:v>
                </c:pt>
                <c:pt idx="148">
                  <c:v>934.0619999999999</c:v>
                </c:pt>
                <c:pt idx="149">
                  <c:v>934.23800000000017</c:v>
                </c:pt>
                <c:pt idx="150">
                  <c:v>944.41399999999999</c:v>
                </c:pt>
                <c:pt idx="151">
                  <c:v>951.75499999999977</c:v>
                </c:pt>
                <c:pt idx="152">
                  <c:v>956.57899999999995</c:v>
                </c:pt>
                <c:pt idx="153">
                  <c:v>959.00699999999983</c:v>
                </c:pt>
                <c:pt idx="154">
                  <c:v>960.36199999999985</c:v>
                </c:pt>
                <c:pt idx="155">
                  <c:v>968.27699999999993</c:v>
                </c:pt>
                <c:pt idx="156">
                  <c:v>987.40599999999984</c:v>
                </c:pt>
                <c:pt idx="157">
                  <c:v>988.2829999999999</c:v>
                </c:pt>
                <c:pt idx="158">
                  <c:v>988.29300000000012</c:v>
                </c:pt>
                <c:pt idx="159">
                  <c:v>1000.082</c:v>
                </c:pt>
                <c:pt idx="160">
                  <c:v>1004.273</c:v>
                </c:pt>
                <c:pt idx="161">
                  <c:v>1009.982</c:v>
                </c:pt>
                <c:pt idx="162">
                  <c:v>1015.061</c:v>
                </c:pt>
                <c:pt idx="163">
                  <c:v>1017.0119999999999</c:v>
                </c:pt>
                <c:pt idx="164">
                  <c:v>1022.78</c:v>
                </c:pt>
                <c:pt idx="165">
                  <c:v>1041.758</c:v>
                </c:pt>
                <c:pt idx="166">
                  <c:v>1041.9860000000001</c:v>
                </c:pt>
                <c:pt idx="167">
                  <c:v>1042.5309999999999</c:v>
                </c:pt>
                <c:pt idx="168">
                  <c:v>1055.546</c:v>
                </c:pt>
                <c:pt idx="169">
                  <c:v>1056.577</c:v>
                </c:pt>
                <c:pt idx="170">
                  <c:v>1062.8579999999999</c:v>
                </c:pt>
                <c:pt idx="171">
                  <c:v>1072.2570000000001</c:v>
                </c:pt>
                <c:pt idx="172">
                  <c:v>1074.1559999999999</c:v>
                </c:pt>
                <c:pt idx="173">
                  <c:v>1078.1659999999999</c:v>
                </c:pt>
                <c:pt idx="174">
                  <c:v>1095.5119999999999</c:v>
                </c:pt>
                <c:pt idx="175">
                  <c:v>1095.8789999999999</c:v>
                </c:pt>
                <c:pt idx="176">
                  <c:v>1097.713</c:v>
                </c:pt>
                <c:pt idx="177">
                  <c:v>1108.8510000000001</c:v>
                </c:pt>
                <c:pt idx="178">
                  <c:v>1112.067</c:v>
                </c:pt>
                <c:pt idx="179">
                  <c:v>1115.752</c:v>
                </c:pt>
                <c:pt idx="180">
                  <c:v>1127.6790000000001</c:v>
                </c:pt>
                <c:pt idx="181">
                  <c:v>1129.2570000000001</c:v>
                </c:pt>
                <c:pt idx="182">
                  <c:v>1131.1469999999999</c:v>
                </c:pt>
                <c:pt idx="183">
                  <c:v>1149.9880000000001</c:v>
                </c:pt>
                <c:pt idx="184">
                  <c:v>1150.1880000000001</c:v>
                </c:pt>
                <c:pt idx="185">
                  <c:v>1152.442</c:v>
                </c:pt>
                <c:pt idx="186">
                  <c:v>1161.1489999999999</c:v>
                </c:pt>
                <c:pt idx="187">
                  <c:v>1167.48</c:v>
                </c:pt>
                <c:pt idx="188">
                  <c:v>1168.566</c:v>
                </c:pt>
                <c:pt idx="189">
                  <c:v>1183.204</c:v>
                </c:pt>
                <c:pt idx="190">
                  <c:v>1183.8610000000001</c:v>
                </c:pt>
                <c:pt idx="191">
                  <c:v>1184.771</c:v>
                </c:pt>
                <c:pt idx="192">
                  <c:v>1203.7750000000001</c:v>
                </c:pt>
                <c:pt idx="193">
                  <c:v>1204.1310000000001</c:v>
                </c:pt>
                <c:pt idx="194">
                  <c:v>1206.932</c:v>
                </c:pt>
                <c:pt idx="195">
                  <c:v>1213.0440000000001</c:v>
                </c:pt>
                <c:pt idx="196">
                  <c:v>1221.4059999999999</c:v>
                </c:pt>
                <c:pt idx="197">
                  <c:v>1222.7739999999999</c:v>
                </c:pt>
                <c:pt idx="198">
                  <c:v>1236.6559999999999</c:v>
                </c:pt>
                <c:pt idx="199">
                  <c:v>1239.4690000000001</c:v>
                </c:pt>
                <c:pt idx="200">
                  <c:v>1242.714999999999</c:v>
                </c:pt>
                <c:pt idx="201">
                  <c:v>1258.1849999999999</c:v>
                </c:pt>
                <c:pt idx="202">
                  <c:v>1258.5820000000001</c:v>
                </c:pt>
                <c:pt idx="203">
                  <c:v>1262.6769999999999</c:v>
                </c:pt>
                <c:pt idx="204">
                  <c:v>1264.9359999999999</c:v>
                </c:pt>
                <c:pt idx="205">
                  <c:v>1274.2059999999999</c:v>
                </c:pt>
                <c:pt idx="206">
                  <c:v>1278.5029999999999</c:v>
                </c:pt>
                <c:pt idx="207">
                  <c:v>1289.8050000000001</c:v>
                </c:pt>
                <c:pt idx="208">
                  <c:v>1295.049</c:v>
                </c:pt>
                <c:pt idx="209">
                  <c:v>1298.196999999999</c:v>
                </c:pt>
                <c:pt idx="210">
                  <c:v>1311.886</c:v>
                </c:pt>
                <c:pt idx="211">
                  <c:v>1312.077</c:v>
                </c:pt>
                <c:pt idx="212">
                  <c:v>1316.857</c:v>
                </c:pt>
                <c:pt idx="213">
                  <c:v>1316.8969999999999</c:v>
                </c:pt>
                <c:pt idx="214">
                  <c:v>1327.0650000000001</c:v>
                </c:pt>
                <c:pt idx="215">
                  <c:v>1334.078</c:v>
                </c:pt>
                <c:pt idx="216">
                  <c:v>1343.328</c:v>
                </c:pt>
                <c:pt idx="217">
                  <c:v>1353.5630000000001</c:v>
                </c:pt>
                <c:pt idx="218">
                  <c:v>1355.049999999999</c:v>
                </c:pt>
                <c:pt idx="219">
                  <c:v>1365.2909999999999</c:v>
                </c:pt>
                <c:pt idx="220">
                  <c:v>1371.1030000000001</c:v>
                </c:pt>
                <c:pt idx="221">
                  <c:v>1371.922</c:v>
                </c:pt>
                <c:pt idx="222">
                  <c:v>1380.578</c:v>
                </c:pt>
                <c:pt idx="223">
                  <c:v>1390.499</c:v>
                </c:pt>
                <c:pt idx="224">
                  <c:v>1396.672</c:v>
                </c:pt>
                <c:pt idx="225">
                  <c:v>1400.73</c:v>
                </c:pt>
                <c:pt idx="226">
                  <c:v>1409.2739999999999</c:v>
                </c:pt>
                <c:pt idx="227">
                  <c:v>1411.327</c:v>
                </c:pt>
                <c:pt idx="228">
                  <c:v>1418.57</c:v>
                </c:pt>
                <c:pt idx="229">
                  <c:v>1423.5709999999999</c:v>
                </c:pt>
                <c:pt idx="230">
                  <c:v>1426.067</c:v>
                </c:pt>
                <c:pt idx="231">
                  <c:v>1433.5509999999999</c:v>
                </c:pt>
                <c:pt idx="232">
                  <c:v>1445.6969999999999</c:v>
                </c:pt>
                <c:pt idx="233">
                  <c:v>1449.5250000000001</c:v>
                </c:pt>
                <c:pt idx="234">
                  <c:v>1454.1659999999999</c:v>
                </c:pt>
                <c:pt idx="235">
                  <c:v>1464.6569999999999</c:v>
                </c:pt>
                <c:pt idx="236">
                  <c:v>1466.481</c:v>
                </c:pt>
                <c:pt idx="237">
                  <c:v>1472.396</c:v>
                </c:pt>
                <c:pt idx="238">
                  <c:v>1476.029</c:v>
                </c:pt>
                <c:pt idx="239">
                  <c:v>1481.104</c:v>
                </c:pt>
                <c:pt idx="240">
                  <c:v>1486.4649999999999</c:v>
                </c:pt>
                <c:pt idx="241">
                  <c:v>1500.1189999999999</c:v>
                </c:pt>
                <c:pt idx="242">
                  <c:v>1502.5119999999999</c:v>
                </c:pt>
                <c:pt idx="243">
                  <c:v>1507.4490000000001</c:v>
                </c:pt>
                <c:pt idx="244">
                  <c:v>1521.09</c:v>
                </c:pt>
                <c:pt idx="245">
                  <c:v>1525.5940000000001</c:v>
                </c:pt>
                <c:pt idx="246">
                  <c:v>1527.826</c:v>
                </c:pt>
                <c:pt idx="247">
                  <c:v>1529.7850000000001</c:v>
                </c:pt>
                <c:pt idx="248">
                  <c:v>1535.702</c:v>
                </c:pt>
                <c:pt idx="249">
                  <c:v>1539.453</c:v>
                </c:pt>
                <c:pt idx="250">
                  <c:v>1554.7650000000001</c:v>
                </c:pt>
                <c:pt idx="251">
                  <c:v>1555.56</c:v>
                </c:pt>
                <c:pt idx="252">
                  <c:v>1560.393</c:v>
                </c:pt>
                <c:pt idx="253">
                  <c:v>1578.941</c:v>
                </c:pt>
                <c:pt idx="254">
                  <c:v>1581.6189999999999</c:v>
                </c:pt>
                <c:pt idx="255">
                  <c:v>1582.057</c:v>
                </c:pt>
                <c:pt idx="256">
                  <c:v>1582.367</c:v>
                </c:pt>
                <c:pt idx="257">
                  <c:v>1590.6369999999999</c:v>
                </c:pt>
                <c:pt idx="258">
                  <c:v>1593.943</c:v>
                </c:pt>
                <c:pt idx="259">
                  <c:v>1608.1479999999999</c:v>
                </c:pt>
                <c:pt idx="260">
                  <c:v>1609.2860000000001</c:v>
                </c:pt>
                <c:pt idx="261">
                  <c:v>1613.3009999999999</c:v>
                </c:pt>
                <c:pt idx="262">
                  <c:v>1634.2470000000001</c:v>
                </c:pt>
                <c:pt idx="263">
                  <c:v>1634.453</c:v>
                </c:pt>
                <c:pt idx="264">
                  <c:v>1635.501</c:v>
                </c:pt>
                <c:pt idx="265">
                  <c:v>1637.64</c:v>
                </c:pt>
                <c:pt idx="266">
                  <c:v>1646.942</c:v>
                </c:pt>
                <c:pt idx="267">
                  <c:v>1648.1289999999999</c:v>
                </c:pt>
                <c:pt idx="268">
                  <c:v>1660.857</c:v>
                </c:pt>
                <c:pt idx="269">
                  <c:v>1663.2570000000001</c:v>
                </c:pt>
                <c:pt idx="270">
                  <c:v>1666.9079999999999</c:v>
                </c:pt>
                <c:pt idx="271">
                  <c:v>1686.402</c:v>
                </c:pt>
                <c:pt idx="272">
                  <c:v>1688.105</c:v>
                </c:pt>
                <c:pt idx="273">
                  <c:v>1692.096</c:v>
                </c:pt>
                <c:pt idx="274">
                  <c:v>1693.64</c:v>
                </c:pt>
                <c:pt idx="275">
                  <c:v>1700.982</c:v>
                </c:pt>
                <c:pt idx="276">
                  <c:v>1701.133</c:v>
                </c:pt>
                <c:pt idx="277">
                  <c:v>1713.537</c:v>
                </c:pt>
                <c:pt idx="278">
                  <c:v>1717.67</c:v>
                </c:pt>
                <c:pt idx="279">
                  <c:v>1720.1189999999999</c:v>
                </c:pt>
                <c:pt idx="280">
                  <c:v>1738.673</c:v>
                </c:pt>
                <c:pt idx="281">
                  <c:v>1741.722</c:v>
                </c:pt>
                <c:pt idx="282">
                  <c:v>1748.4749999999999</c:v>
                </c:pt>
                <c:pt idx="283">
                  <c:v>1748.867</c:v>
                </c:pt>
                <c:pt idx="284">
                  <c:v>1755.2349999999999</c:v>
                </c:pt>
                <c:pt idx="285">
                  <c:v>1755.2439999999999</c:v>
                </c:pt>
                <c:pt idx="286">
                  <c:v>1766.07</c:v>
                </c:pt>
                <c:pt idx="287">
                  <c:v>1771.6389999999999</c:v>
                </c:pt>
                <c:pt idx="288">
                  <c:v>1773.8879999999999</c:v>
                </c:pt>
                <c:pt idx="289">
                  <c:v>1791.0740000000001</c:v>
                </c:pt>
                <c:pt idx="290">
                  <c:v>1794.713</c:v>
                </c:pt>
                <c:pt idx="291">
                  <c:v>1805.02</c:v>
                </c:pt>
                <c:pt idx="292">
                  <c:v>1805.8710000000001</c:v>
                </c:pt>
                <c:pt idx="293">
                  <c:v>1808.5830000000001</c:v>
                </c:pt>
                <c:pt idx="294">
                  <c:v>1809.4469999999999</c:v>
                </c:pt>
                <c:pt idx="295">
                  <c:v>1819.8219999999999</c:v>
                </c:pt>
                <c:pt idx="296">
                  <c:v>1826.442</c:v>
                </c:pt>
                <c:pt idx="297">
                  <c:v>1828.6089999999999</c:v>
                </c:pt>
              </c:numCache>
            </c:numRef>
          </c:xVal>
          <c:yVal>
            <c:numRef>
              <c:f>intermediate_data!$AI$2:$AI$299</c:f>
              <c:numCache>
                <c:formatCode>General</c:formatCode>
                <c:ptCount val="298"/>
                <c:pt idx="0">
                  <c:v>1.5729071375657142</c:v>
                </c:pt>
                <c:pt idx="1">
                  <c:v>1.5728884533677601</c:v>
                </c:pt>
                <c:pt idx="2">
                  <c:v>1.5731430065230541</c:v>
                </c:pt>
                <c:pt idx="3">
                  <c:v>1.5725609704818027</c:v>
                </c:pt>
                <c:pt idx="4">
                  <c:v>1.5721679622800409</c:v>
                </c:pt>
                <c:pt idx="5">
                  <c:v>1.5718445207833582</c:v>
                </c:pt>
                <c:pt idx="6">
                  <c:v>1.5721111759384243</c:v>
                </c:pt>
                <c:pt idx="7">
                  <c:v>1.5733792522101098</c:v>
                </c:pt>
                <c:pt idx="8">
                  <c:v>1.5462149701322545</c:v>
                </c:pt>
                <c:pt idx="9">
                  <c:v>1.0798244291842636</c:v>
                </c:pt>
                <c:pt idx="10">
                  <c:v>1.0786447562606867</c:v>
                </c:pt>
                <c:pt idx="11">
                  <c:v>1.0700525356484292</c:v>
                </c:pt>
                <c:pt idx="12">
                  <c:v>1.0646699633352341</c:v>
                </c:pt>
                <c:pt idx="13">
                  <c:v>1.0633924172849518</c:v>
                </c:pt>
                <c:pt idx="14">
                  <c:v>1.0607425346487673</c:v>
                </c:pt>
                <c:pt idx="15">
                  <c:v>1.058768043412897</c:v>
                </c:pt>
                <c:pt idx="16">
                  <c:v>1.0577042224032809</c:v>
                </c:pt>
                <c:pt idx="17">
                  <c:v>1.0536081137830422</c:v>
                </c:pt>
                <c:pt idx="18">
                  <c:v>0.99298350829188564</c:v>
                </c:pt>
                <c:pt idx="19">
                  <c:v>0.99287717368085282</c:v>
                </c:pt>
                <c:pt idx="20">
                  <c:v>0.98881063784600087</c:v>
                </c:pt>
                <c:pt idx="21">
                  <c:v>0.98646607210180548</c:v>
                </c:pt>
                <c:pt idx="22">
                  <c:v>0.9861218021556013</c:v>
                </c:pt>
                <c:pt idx="23">
                  <c:v>0.98477921892309439</c:v>
                </c:pt>
                <c:pt idx="24">
                  <c:v>0.98309858021990237</c:v>
                </c:pt>
                <c:pt idx="25">
                  <c:v>0.98032881000774807</c:v>
                </c:pt>
                <c:pt idx="26">
                  <c:v>0.9772230363132195</c:v>
                </c:pt>
                <c:pt idx="27">
                  <c:v>0.8853423323441092</c:v>
                </c:pt>
                <c:pt idx="28">
                  <c:v>0.88495302780089702</c:v>
                </c:pt>
                <c:pt idx="29">
                  <c:v>0.88116032965302082</c:v>
                </c:pt>
                <c:pt idx="30">
                  <c:v>0.87657944675633104</c:v>
                </c:pt>
                <c:pt idx="31">
                  <c:v>0.87422743249666013</c:v>
                </c:pt>
                <c:pt idx="32">
                  <c:v>0.87377659280460307</c:v>
                </c:pt>
                <c:pt idx="33">
                  <c:v>0.87266230510864773</c:v>
                </c:pt>
                <c:pt idx="34">
                  <c:v>0.87126187032669833</c:v>
                </c:pt>
                <c:pt idx="35">
                  <c:v>0.87116412740728322</c:v>
                </c:pt>
                <c:pt idx="36">
                  <c:v>0.83925730896668682</c:v>
                </c:pt>
                <c:pt idx="37">
                  <c:v>0.83921620193613933</c:v>
                </c:pt>
                <c:pt idx="38">
                  <c:v>0.83680501245484606</c:v>
                </c:pt>
                <c:pt idx="39">
                  <c:v>0.83409719734493137</c:v>
                </c:pt>
                <c:pt idx="40">
                  <c:v>0.83290438250387666</c:v>
                </c:pt>
                <c:pt idx="41">
                  <c:v>0.83247114838675174</c:v>
                </c:pt>
                <c:pt idx="42">
                  <c:v>0.83162419943486299</c:v>
                </c:pt>
                <c:pt idx="43">
                  <c:v>0.82494458347675703</c:v>
                </c:pt>
                <c:pt idx="44">
                  <c:v>0.82414067712461048</c:v>
                </c:pt>
                <c:pt idx="45">
                  <c:v>0.7673423459994666</c:v>
                </c:pt>
                <c:pt idx="46">
                  <c:v>0.76669387150292323</c:v>
                </c:pt>
                <c:pt idx="47">
                  <c:v>0.76019145687737222</c:v>
                </c:pt>
                <c:pt idx="48">
                  <c:v>0.75330609779918944</c:v>
                </c:pt>
                <c:pt idx="49">
                  <c:v>0.75103998491726998</c:v>
                </c:pt>
                <c:pt idx="50">
                  <c:v>0.75045628770434547</c:v>
                </c:pt>
                <c:pt idx="51">
                  <c:v>0.74882072832337343</c:v>
                </c:pt>
                <c:pt idx="52">
                  <c:v>0.75389235294021262</c:v>
                </c:pt>
                <c:pt idx="53">
                  <c:v>0.75413760435612431</c:v>
                </c:pt>
                <c:pt idx="54">
                  <c:v>0.78670913705079215</c:v>
                </c:pt>
                <c:pt idx="55">
                  <c:v>0.78736931153434853</c:v>
                </c:pt>
                <c:pt idx="56">
                  <c:v>0.79330549655843186</c:v>
                </c:pt>
                <c:pt idx="57">
                  <c:v>0.79911958048461429</c:v>
                </c:pt>
                <c:pt idx="58">
                  <c:v>0.80024360849598963</c:v>
                </c:pt>
                <c:pt idx="59">
                  <c:v>0.80030923099475615</c:v>
                </c:pt>
                <c:pt idx="60">
                  <c:v>0.80213405232850477</c:v>
                </c:pt>
                <c:pt idx="61">
                  <c:v>0.80196692118406787</c:v>
                </c:pt>
                <c:pt idx="62">
                  <c:v>0.80196160829594021</c:v>
                </c:pt>
                <c:pt idx="63">
                  <c:v>0.79816568251746389</c:v>
                </c:pt>
                <c:pt idx="64">
                  <c:v>0.79799613056991348</c:v>
                </c:pt>
                <c:pt idx="65">
                  <c:v>0.79692179089607862</c:v>
                </c:pt>
                <c:pt idx="66">
                  <c:v>0.79632596267197187</c:v>
                </c:pt>
                <c:pt idx="67">
                  <c:v>0.79632717055107349</c:v>
                </c:pt>
                <c:pt idx="68">
                  <c:v>0.79627156121256348</c:v>
                </c:pt>
                <c:pt idx="69">
                  <c:v>0.79630125008766584</c:v>
                </c:pt>
                <c:pt idx="70">
                  <c:v>0.79271838572766029</c:v>
                </c:pt>
                <c:pt idx="71">
                  <c:v>0.79238391046914103</c:v>
                </c:pt>
                <c:pt idx="72">
                  <c:v>0.78316966084062756</c:v>
                </c:pt>
                <c:pt idx="73">
                  <c:v>0.78239316249334223</c:v>
                </c:pt>
                <c:pt idx="74">
                  <c:v>0.77818042629240836</c:v>
                </c:pt>
                <c:pt idx="75">
                  <c:v>0.77530102592638173</c:v>
                </c:pt>
                <c:pt idx="76">
                  <c:v>0.7752844093706841</c:v>
                </c:pt>
                <c:pt idx="77">
                  <c:v>0.77512323895518875</c:v>
                </c:pt>
                <c:pt idx="78">
                  <c:v>0.77524057103717325</c:v>
                </c:pt>
                <c:pt idx="79">
                  <c:v>0.77825657996869779</c:v>
                </c:pt>
                <c:pt idx="80">
                  <c:v>0.77882460368292072</c:v>
                </c:pt>
                <c:pt idx="81">
                  <c:v>0.78142590228551256</c:v>
                </c:pt>
                <c:pt idx="82">
                  <c:v>0.78164058906375544</c:v>
                </c:pt>
                <c:pt idx="83">
                  <c:v>0.78266724721613201</c:v>
                </c:pt>
                <c:pt idx="84">
                  <c:v>0.78353518002952427</c:v>
                </c:pt>
                <c:pt idx="85">
                  <c:v>0.78349363273672168</c:v>
                </c:pt>
                <c:pt idx="86">
                  <c:v>0.78350916451056918</c:v>
                </c:pt>
                <c:pt idx="87">
                  <c:v>0.78312214519735335</c:v>
                </c:pt>
                <c:pt idx="88">
                  <c:v>0.77293405413465877</c:v>
                </c:pt>
                <c:pt idx="89">
                  <c:v>0.76948077498834522</c:v>
                </c:pt>
                <c:pt idx="90">
                  <c:v>0.76088638331143699</c:v>
                </c:pt>
                <c:pt idx="91">
                  <c:v>0.75998459436866028</c:v>
                </c:pt>
                <c:pt idx="92">
                  <c:v>0.75541007276278549</c:v>
                </c:pt>
                <c:pt idx="93">
                  <c:v>0.7503025682690776</c:v>
                </c:pt>
                <c:pt idx="94">
                  <c:v>0.750177027864666</c:v>
                </c:pt>
                <c:pt idx="95">
                  <c:v>0.74989615956958033</c:v>
                </c:pt>
                <c:pt idx="96">
                  <c:v>0.74892107770560301</c:v>
                </c:pt>
                <c:pt idx="97">
                  <c:v>0.75767734281619425</c:v>
                </c:pt>
                <c:pt idx="98">
                  <c:v>0.76097898195909863</c:v>
                </c:pt>
                <c:pt idx="99">
                  <c:v>0.7720305050029026</c:v>
                </c:pt>
                <c:pt idx="100">
                  <c:v>0.77418852465456922</c:v>
                </c:pt>
                <c:pt idx="101">
                  <c:v>0.78351167140087341</c:v>
                </c:pt>
                <c:pt idx="102">
                  <c:v>0.79569634010371004</c:v>
                </c:pt>
                <c:pt idx="103">
                  <c:v>0.79580324627226418</c:v>
                </c:pt>
                <c:pt idx="104">
                  <c:v>0.79697373690178352</c:v>
                </c:pt>
                <c:pt idx="105">
                  <c:v>0.8018111608930667</c:v>
                </c:pt>
                <c:pt idx="106">
                  <c:v>0.80453449463121274</c:v>
                </c:pt>
                <c:pt idx="107">
                  <c:v>0.80505658084694431</c:v>
                </c:pt>
                <c:pt idx="108">
                  <c:v>0.80478127284057877</c:v>
                </c:pt>
                <c:pt idx="109">
                  <c:v>0.80453644623743514</c:v>
                </c:pt>
                <c:pt idx="110">
                  <c:v>0.80399749656886144</c:v>
                </c:pt>
                <c:pt idx="111">
                  <c:v>0.80408994542194989</c:v>
                </c:pt>
                <c:pt idx="112">
                  <c:v>0.80409019411709437</c:v>
                </c:pt>
                <c:pt idx="113">
                  <c:v>0.80409078219561536</c:v>
                </c:pt>
                <c:pt idx="114">
                  <c:v>0.80426660985098408</c:v>
                </c:pt>
                <c:pt idx="115">
                  <c:v>0.80253253670959168</c:v>
                </c:pt>
                <c:pt idx="116">
                  <c:v>0.80230597711601348</c:v>
                </c:pt>
                <c:pt idx="117">
                  <c:v>0.80156191354257089</c:v>
                </c:pt>
                <c:pt idx="118">
                  <c:v>0.80139508953937622</c:v>
                </c:pt>
                <c:pt idx="119">
                  <c:v>0.79933028224082392</c:v>
                </c:pt>
                <c:pt idx="120">
                  <c:v>0.79439547178385794</c:v>
                </c:pt>
                <c:pt idx="121">
                  <c:v>0.79435640235862337</c:v>
                </c:pt>
                <c:pt idx="122">
                  <c:v>0.79363529039412839</c:v>
                </c:pt>
                <c:pt idx="123">
                  <c:v>0.79004667693187258</c:v>
                </c:pt>
                <c:pt idx="124">
                  <c:v>0.78508426091075023</c:v>
                </c:pt>
                <c:pt idx="125">
                  <c:v>0.78243437262564441</c:v>
                </c:pt>
                <c:pt idx="126">
                  <c:v>0.78214570294917252</c:v>
                </c:pt>
                <c:pt idx="127">
                  <c:v>0.78078991472296622</c:v>
                </c:pt>
                <c:pt idx="128">
                  <c:v>0.77762778961066203</c:v>
                </c:pt>
                <c:pt idx="129">
                  <c:v>0.77173192911526201</c:v>
                </c:pt>
                <c:pt idx="130">
                  <c:v>0.77161363973299046</c:v>
                </c:pt>
                <c:pt idx="131">
                  <c:v>0.77162077487040648</c:v>
                </c:pt>
                <c:pt idx="132">
                  <c:v>0.77287597268771435</c:v>
                </c:pt>
                <c:pt idx="133">
                  <c:v>0.77034033544077118</c:v>
                </c:pt>
                <c:pt idx="134">
                  <c:v>0.77010665616913343</c:v>
                </c:pt>
                <c:pt idx="135">
                  <c:v>0.76938886204503376</c:v>
                </c:pt>
                <c:pt idx="136">
                  <c:v>0.76930557135084143</c:v>
                </c:pt>
                <c:pt idx="137">
                  <c:v>0.76863973095660754</c:v>
                </c:pt>
                <c:pt idx="138">
                  <c:v>0.7698945754512323</c:v>
                </c:pt>
                <c:pt idx="139">
                  <c:v>0.76993580663873473</c:v>
                </c:pt>
                <c:pt idx="140">
                  <c:v>0.76993849315800844</c:v>
                </c:pt>
                <c:pt idx="141">
                  <c:v>0.77052702325166678</c:v>
                </c:pt>
                <c:pt idx="142">
                  <c:v>0.77606949459088526</c:v>
                </c:pt>
                <c:pt idx="143">
                  <c:v>0.77761427320589149</c:v>
                </c:pt>
                <c:pt idx="144">
                  <c:v>0.77845315278641891</c:v>
                </c:pt>
                <c:pt idx="145">
                  <c:v>0.77909689592772224</c:v>
                </c:pt>
                <c:pt idx="146">
                  <c:v>0.78354434735329193</c:v>
                </c:pt>
                <c:pt idx="147">
                  <c:v>0.79078806671461876</c:v>
                </c:pt>
                <c:pt idx="148">
                  <c:v>0.79101732550306991</c:v>
                </c:pt>
                <c:pt idx="149">
                  <c:v>0.79107445847313329</c:v>
                </c:pt>
                <c:pt idx="150">
                  <c:v>0.79409808625162981</c:v>
                </c:pt>
                <c:pt idx="151">
                  <c:v>0.79890894802221624</c:v>
                </c:pt>
                <c:pt idx="152">
                  <c:v>0.80209182621090491</c:v>
                </c:pt>
                <c:pt idx="153">
                  <c:v>0.80346519721167198</c:v>
                </c:pt>
                <c:pt idx="154">
                  <c:v>0.80435644649646321</c:v>
                </c:pt>
                <c:pt idx="155">
                  <c:v>0.80818558471944613</c:v>
                </c:pt>
                <c:pt idx="156">
                  <c:v>0.81462286468089928</c:v>
                </c:pt>
                <c:pt idx="157">
                  <c:v>0.81487037867320566</c:v>
                </c:pt>
                <c:pt idx="158">
                  <c:v>0.81487379780539015</c:v>
                </c:pt>
                <c:pt idx="159">
                  <c:v>0.81861196729162344</c:v>
                </c:pt>
                <c:pt idx="160">
                  <c:v>0.81916035945446453</c:v>
                </c:pt>
                <c:pt idx="161">
                  <c:v>0.82004662900560987</c:v>
                </c:pt>
                <c:pt idx="162">
                  <c:v>0.82113755159203805</c:v>
                </c:pt>
                <c:pt idx="163">
                  <c:v>0.82132620904435782</c:v>
                </c:pt>
                <c:pt idx="164">
                  <c:v>0.82159324235084341</c:v>
                </c:pt>
                <c:pt idx="165">
                  <c:v>0.82067707296680936</c:v>
                </c:pt>
                <c:pt idx="166">
                  <c:v>0.82068117842382549</c:v>
                </c:pt>
                <c:pt idx="167">
                  <c:v>0.82067956039743706</c:v>
                </c:pt>
                <c:pt idx="168">
                  <c:v>0.81934684533112545</c:v>
                </c:pt>
                <c:pt idx="169">
                  <c:v>0.82014861885219403</c:v>
                </c:pt>
                <c:pt idx="170">
                  <c:v>0.82502176760331736</c:v>
                </c:pt>
                <c:pt idx="171">
                  <c:v>0.83219064407337839</c:v>
                </c:pt>
                <c:pt idx="172">
                  <c:v>0.83395349683097919</c:v>
                </c:pt>
                <c:pt idx="173">
                  <c:v>0.83845928969136452</c:v>
                </c:pt>
                <c:pt idx="174">
                  <c:v>0.86189339182080005</c:v>
                </c:pt>
                <c:pt idx="175">
                  <c:v>0.86235376254863638</c:v>
                </c:pt>
                <c:pt idx="176">
                  <c:v>0.8645707624723471</c:v>
                </c:pt>
                <c:pt idx="177">
                  <c:v>0.87837995525712387</c:v>
                </c:pt>
                <c:pt idx="178">
                  <c:v>0.88230773870790102</c:v>
                </c:pt>
                <c:pt idx="179">
                  <c:v>0.8835569189036363</c:v>
                </c:pt>
                <c:pt idx="180">
                  <c:v>0.88764406052631983</c:v>
                </c:pt>
                <c:pt idx="181">
                  <c:v>0.88816269618526889</c:v>
                </c:pt>
                <c:pt idx="182">
                  <c:v>0.88870691377783118</c:v>
                </c:pt>
                <c:pt idx="183">
                  <c:v>0.89455384236209312</c:v>
                </c:pt>
                <c:pt idx="184">
                  <c:v>0.89462846198612311</c:v>
                </c:pt>
                <c:pt idx="185">
                  <c:v>0.89554884632517684</c:v>
                </c:pt>
                <c:pt idx="186">
                  <c:v>0.89926989835799276</c:v>
                </c:pt>
                <c:pt idx="187">
                  <c:v>0.90220776459884888</c:v>
                </c:pt>
                <c:pt idx="188">
                  <c:v>0.90260890597711096</c:v>
                </c:pt>
                <c:pt idx="189">
                  <c:v>0.90790432372797625</c:v>
                </c:pt>
                <c:pt idx="190">
                  <c:v>0.90809519764981417</c:v>
                </c:pt>
                <c:pt idx="191">
                  <c:v>0.90835179133901534</c:v>
                </c:pt>
                <c:pt idx="192">
                  <c:v>0.90965921563951468</c:v>
                </c:pt>
                <c:pt idx="193">
                  <c:v>0.90966240378537577</c:v>
                </c:pt>
                <c:pt idx="194">
                  <c:v>0.90955410474955301</c:v>
                </c:pt>
                <c:pt idx="195">
                  <c:v>0.90862811286788059</c:v>
                </c:pt>
                <c:pt idx="196">
                  <c:v>0.90737888964941504</c:v>
                </c:pt>
                <c:pt idx="197">
                  <c:v>0.90718148534328691</c:v>
                </c:pt>
                <c:pt idx="198">
                  <c:v>0.90957204894195343</c:v>
                </c:pt>
                <c:pt idx="199">
                  <c:v>0.90995485653155583</c:v>
                </c:pt>
                <c:pt idx="200">
                  <c:v>0.91058446315191333</c:v>
                </c:pt>
                <c:pt idx="201">
                  <c:v>0.91666746093727625</c:v>
                </c:pt>
                <c:pt idx="202">
                  <c:v>0.91684700766718663</c:v>
                </c:pt>
                <c:pt idx="203">
                  <c:v>0.91904581181039191</c:v>
                </c:pt>
                <c:pt idx="204">
                  <c:v>0.92055989501155722</c:v>
                </c:pt>
                <c:pt idx="205">
                  <c:v>0.92665447359654252</c:v>
                </c:pt>
                <c:pt idx="206">
                  <c:v>0.92942568181381091</c:v>
                </c:pt>
                <c:pt idx="207">
                  <c:v>0.93542379649827723</c:v>
                </c:pt>
                <c:pt idx="208">
                  <c:v>0.93799418383655819</c:v>
                </c:pt>
                <c:pt idx="209">
                  <c:v>0.93880120477287221</c:v>
                </c:pt>
                <c:pt idx="210">
                  <c:v>0.94076041580245118</c:v>
                </c:pt>
                <c:pt idx="211">
                  <c:v>0.94043168382146547</c:v>
                </c:pt>
                <c:pt idx="212">
                  <c:v>0.93235349183751737</c:v>
                </c:pt>
                <c:pt idx="213">
                  <c:v>0.93228313888450032</c:v>
                </c:pt>
                <c:pt idx="214">
                  <c:v>0.91250291733401667</c:v>
                </c:pt>
                <c:pt idx="215">
                  <c:v>0.89862393614115632</c:v>
                </c:pt>
                <c:pt idx="216">
                  <c:v>0.88565227630309806</c:v>
                </c:pt>
                <c:pt idx="217">
                  <c:v>0.87165052052548475</c:v>
                </c:pt>
                <c:pt idx="218">
                  <c:v>0.86994678427969774</c:v>
                </c:pt>
                <c:pt idx="219">
                  <c:v>0.85875780996945394</c:v>
                </c:pt>
                <c:pt idx="220">
                  <c:v>0.85244559707420819</c:v>
                </c:pt>
                <c:pt idx="221">
                  <c:v>0.8516817033322539</c:v>
                </c:pt>
                <c:pt idx="222">
                  <c:v>0.84430547548704737</c:v>
                </c:pt>
                <c:pt idx="223">
                  <c:v>0.83641179123954146</c:v>
                </c:pt>
                <c:pt idx="224">
                  <c:v>0.82676345993750289</c:v>
                </c:pt>
                <c:pt idx="225">
                  <c:v>0.82063438049364379</c:v>
                </c:pt>
                <c:pt idx="226">
                  <c:v>0.82292965128362283</c:v>
                </c:pt>
                <c:pt idx="227">
                  <c:v>0.8235285183502512</c:v>
                </c:pt>
                <c:pt idx="228">
                  <c:v>0.8262432351245721</c:v>
                </c:pt>
                <c:pt idx="229">
                  <c:v>0.82787768018555141</c:v>
                </c:pt>
                <c:pt idx="230">
                  <c:v>0.82869116233154472</c:v>
                </c:pt>
                <c:pt idx="231">
                  <c:v>0.83059195031999167</c:v>
                </c:pt>
                <c:pt idx="232">
                  <c:v>0.83369294476018041</c:v>
                </c:pt>
                <c:pt idx="233">
                  <c:v>0.83277759119233963</c:v>
                </c:pt>
                <c:pt idx="234">
                  <c:v>0.83162364151706214</c:v>
                </c:pt>
                <c:pt idx="235">
                  <c:v>0.8291712886257514</c:v>
                </c:pt>
                <c:pt idx="236">
                  <c:v>0.82860941125441911</c:v>
                </c:pt>
                <c:pt idx="237">
                  <c:v>0.82517214069076772</c:v>
                </c:pt>
                <c:pt idx="238">
                  <c:v>0.82263417423800433</c:v>
                </c:pt>
                <c:pt idx="239">
                  <c:v>0.81858476672479696</c:v>
                </c:pt>
                <c:pt idx="240">
                  <c:v>0.81451335037404249</c:v>
                </c:pt>
                <c:pt idx="241">
                  <c:v>0.80419808296470308</c:v>
                </c:pt>
                <c:pt idx="242">
                  <c:v>0.80274027745633703</c:v>
                </c:pt>
                <c:pt idx="243">
                  <c:v>0.79972387232751885</c:v>
                </c:pt>
                <c:pt idx="244">
                  <c:v>0.79185198937604184</c:v>
                </c:pt>
                <c:pt idx="245">
                  <c:v>0.78885711812809944</c:v>
                </c:pt>
                <c:pt idx="246">
                  <c:v>0.78776601670449509</c:v>
                </c:pt>
                <c:pt idx="247">
                  <c:v>0.78704524458854053</c:v>
                </c:pt>
                <c:pt idx="248">
                  <c:v>0.78541268842974432</c:v>
                </c:pt>
                <c:pt idx="249">
                  <c:v>0.78429322466626417</c:v>
                </c:pt>
                <c:pt idx="250">
                  <c:v>0.77807457082099063</c:v>
                </c:pt>
                <c:pt idx="251">
                  <c:v>0.77769614146878041</c:v>
                </c:pt>
                <c:pt idx="252">
                  <c:v>0.77557415987947564</c:v>
                </c:pt>
                <c:pt idx="253">
                  <c:v>0.76760423311785786</c:v>
                </c:pt>
                <c:pt idx="254">
                  <c:v>0.76687997314112266</c:v>
                </c:pt>
                <c:pt idx="255">
                  <c:v>0.76675892616490415</c:v>
                </c:pt>
                <c:pt idx="256">
                  <c:v>0.76669158648766711</c:v>
                </c:pt>
                <c:pt idx="257">
                  <c:v>0.76535055239030214</c:v>
                </c:pt>
                <c:pt idx="258">
                  <c:v>0.76451264541590547</c:v>
                </c:pt>
                <c:pt idx="259">
                  <c:v>0.76125540430257388</c:v>
                </c:pt>
                <c:pt idx="260">
                  <c:v>0.7609867432179982</c:v>
                </c:pt>
                <c:pt idx="261">
                  <c:v>0.75876452070324518</c:v>
                </c:pt>
                <c:pt idx="262">
                  <c:v>0.74630441085219701</c:v>
                </c:pt>
                <c:pt idx="263">
                  <c:v>0.74617925225712867</c:v>
                </c:pt>
                <c:pt idx="264">
                  <c:v>0.74540104436473342</c:v>
                </c:pt>
                <c:pt idx="265">
                  <c:v>0.7440118389003274</c:v>
                </c:pt>
                <c:pt idx="266">
                  <c:v>0.73776226225875519</c:v>
                </c:pt>
                <c:pt idx="267">
                  <c:v>0.7371360310025068</c:v>
                </c:pt>
                <c:pt idx="268">
                  <c:v>0.73166593282910952</c:v>
                </c:pt>
                <c:pt idx="269">
                  <c:v>0.73064927079680331</c:v>
                </c:pt>
                <c:pt idx="270">
                  <c:v>0.73001207925828737</c:v>
                </c:pt>
                <c:pt idx="271">
                  <c:v>0.72719157941305212</c:v>
                </c:pt>
                <c:pt idx="272">
                  <c:v>0.72693410321105034</c:v>
                </c:pt>
                <c:pt idx="273">
                  <c:v>0.72605119363358739</c:v>
                </c:pt>
                <c:pt idx="274">
                  <c:v>0.72582864077051568</c:v>
                </c:pt>
                <c:pt idx="275">
                  <c:v>0.72513464747495249</c:v>
                </c:pt>
                <c:pt idx="276">
                  <c:v>0.72510594452401733</c:v>
                </c:pt>
                <c:pt idx="277">
                  <c:v>0.7228389477193744</c:v>
                </c:pt>
                <c:pt idx="278">
                  <c:v>0.72213355189435902</c:v>
                </c:pt>
                <c:pt idx="279">
                  <c:v>0.7211279094109031</c:v>
                </c:pt>
                <c:pt idx="280">
                  <c:v>0.71291336723458443</c:v>
                </c:pt>
                <c:pt idx="281">
                  <c:v>0.71155325529160507</c:v>
                </c:pt>
                <c:pt idx="282">
                  <c:v>0.70884101543672529</c:v>
                </c:pt>
                <c:pt idx="283">
                  <c:v>0.70868036676326795</c:v>
                </c:pt>
                <c:pt idx="284">
                  <c:v>0.70540098516327987</c:v>
                </c:pt>
                <c:pt idx="285">
                  <c:v>0.7053963039349469</c:v>
                </c:pt>
                <c:pt idx="286">
                  <c:v>0.7004502283669467</c:v>
                </c:pt>
                <c:pt idx="287">
                  <c:v>0.69747975938238227</c:v>
                </c:pt>
                <c:pt idx="288">
                  <c:v>0.69726267171072465</c:v>
                </c:pt>
                <c:pt idx="289">
                  <c:v>0.69459133910084603</c:v>
                </c:pt>
                <c:pt idx="290">
                  <c:v>0.69396466009969515</c:v>
                </c:pt>
                <c:pt idx="291">
                  <c:v>0.69128646553613038</c:v>
                </c:pt>
                <c:pt idx="292">
                  <c:v>0.69107349703651977</c:v>
                </c:pt>
                <c:pt idx="293">
                  <c:v>0.69048444387667729</c:v>
                </c:pt>
                <c:pt idx="294">
                  <c:v>0.69030527923479212</c:v>
                </c:pt>
                <c:pt idx="295">
                  <c:v>0.68777272821559876</c:v>
                </c:pt>
                <c:pt idx="296">
                  <c:v>0.68626727470095972</c:v>
                </c:pt>
                <c:pt idx="297">
                  <c:v>0.68635708393598094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3BE-4EDE-9B06-59BDE07897AD}"/>
            </c:ext>
          </c:extLst>
        </c:ser>
        <c:ser>
          <c:idx val="6"/>
          <c:order val="6"/>
          <c:tx>
            <c:strRef>
              <c:f>race_data!$AE$1</c:f>
              <c:strCache>
                <c:ptCount val="1"/>
                <c:pt idx="0">
                  <c:v>KyleS</c:v>
                </c:pt>
              </c:strCache>
            </c:strRef>
          </c:tx>
          <c:marker>
            <c:symbol val="none"/>
          </c:marker>
          <c:xVal>
            <c:numRef>
              <c:f>intermediate_data!$A$2:$A$299</c:f>
              <c:numCache>
                <c:formatCode>General</c:formatCode>
                <c:ptCount val="298"/>
                <c:pt idx="0">
                  <c:v>53.683999999999997</c:v>
                </c:pt>
                <c:pt idx="1">
                  <c:v>53.756</c:v>
                </c:pt>
                <c:pt idx="2">
                  <c:v>54.529000000000003</c:v>
                </c:pt>
                <c:pt idx="3">
                  <c:v>55.472999999999999</c:v>
                </c:pt>
                <c:pt idx="4">
                  <c:v>55.91</c:v>
                </c:pt>
                <c:pt idx="5">
                  <c:v>56.984000000000002</c:v>
                </c:pt>
                <c:pt idx="6">
                  <c:v>57.091999999999999</c:v>
                </c:pt>
                <c:pt idx="7">
                  <c:v>57.482999999999997</c:v>
                </c:pt>
                <c:pt idx="8">
                  <c:v>58.719000000000001</c:v>
                </c:pt>
                <c:pt idx="9">
                  <c:v>107.248</c:v>
                </c:pt>
                <c:pt idx="10">
                  <c:v>107.48399999999999</c:v>
                </c:pt>
                <c:pt idx="11">
                  <c:v>109.506</c:v>
                </c:pt>
                <c:pt idx="12">
                  <c:v>111.09399999999999</c:v>
                </c:pt>
                <c:pt idx="13">
                  <c:v>111.527</c:v>
                </c:pt>
                <c:pt idx="14">
                  <c:v>112.53</c:v>
                </c:pt>
                <c:pt idx="15">
                  <c:v>113.36199999999999</c:v>
                </c:pt>
                <c:pt idx="16">
                  <c:v>113.758</c:v>
                </c:pt>
                <c:pt idx="17">
                  <c:v>115.387</c:v>
                </c:pt>
                <c:pt idx="18">
                  <c:v>160.595</c:v>
                </c:pt>
                <c:pt idx="19">
                  <c:v>160.697</c:v>
                </c:pt>
                <c:pt idx="20">
                  <c:v>163.79</c:v>
                </c:pt>
                <c:pt idx="21">
                  <c:v>166.34</c:v>
                </c:pt>
                <c:pt idx="22">
                  <c:v>166.87200000000001</c:v>
                </c:pt>
                <c:pt idx="23">
                  <c:v>167.84800000000001</c:v>
                </c:pt>
                <c:pt idx="24">
                  <c:v>169.19900000000001</c:v>
                </c:pt>
                <c:pt idx="25">
                  <c:v>170.291</c:v>
                </c:pt>
                <c:pt idx="26">
                  <c:v>171.417</c:v>
                </c:pt>
                <c:pt idx="27">
                  <c:v>214.05799999999999</c:v>
                </c:pt>
                <c:pt idx="28">
                  <c:v>214.31100000000001</c:v>
                </c:pt>
                <c:pt idx="29">
                  <c:v>217.57599999999999</c:v>
                </c:pt>
                <c:pt idx="30">
                  <c:v>221.208</c:v>
                </c:pt>
                <c:pt idx="31">
                  <c:v>222.99600000000001</c:v>
                </c:pt>
                <c:pt idx="32">
                  <c:v>223.346</c:v>
                </c:pt>
                <c:pt idx="33">
                  <c:v>224.792</c:v>
                </c:pt>
                <c:pt idx="34">
                  <c:v>227.23699999999999</c:v>
                </c:pt>
                <c:pt idx="35">
                  <c:v>227.387</c:v>
                </c:pt>
                <c:pt idx="36">
                  <c:v>267.20299999999997</c:v>
                </c:pt>
                <c:pt idx="37">
                  <c:v>267.286</c:v>
                </c:pt>
                <c:pt idx="38">
                  <c:v>271.62</c:v>
                </c:pt>
                <c:pt idx="39">
                  <c:v>276.245</c:v>
                </c:pt>
                <c:pt idx="40">
                  <c:v>278.11500000000001</c:v>
                </c:pt>
                <c:pt idx="41">
                  <c:v>278.77100000000002</c:v>
                </c:pt>
                <c:pt idx="42">
                  <c:v>280.43099999999998</c:v>
                </c:pt>
                <c:pt idx="43">
                  <c:v>283.97699999999998</c:v>
                </c:pt>
                <c:pt idx="44">
                  <c:v>284.36900000000003</c:v>
                </c:pt>
                <c:pt idx="45">
                  <c:v>319.94</c:v>
                </c:pt>
                <c:pt idx="46">
                  <c:v>320.41699999999997</c:v>
                </c:pt>
                <c:pt idx="47">
                  <c:v>325.77699999999999</c:v>
                </c:pt>
                <c:pt idx="48">
                  <c:v>331.447</c:v>
                </c:pt>
                <c:pt idx="49">
                  <c:v>333.30500000000001</c:v>
                </c:pt>
                <c:pt idx="50">
                  <c:v>333.83100000000002</c:v>
                </c:pt>
                <c:pt idx="51">
                  <c:v>335.64</c:v>
                </c:pt>
                <c:pt idx="52">
                  <c:v>340.83300000000003</c:v>
                </c:pt>
                <c:pt idx="53">
                  <c:v>341.09199999999998</c:v>
                </c:pt>
                <c:pt idx="54">
                  <c:v>372.53500000000003</c:v>
                </c:pt>
                <c:pt idx="55">
                  <c:v>373.22</c:v>
                </c:pt>
                <c:pt idx="56">
                  <c:v>380.05599999999998</c:v>
                </c:pt>
                <c:pt idx="57">
                  <c:v>386.74900000000002</c:v>
                </c:pt>
                <c:pt idx="58">
                  <c:v>388.19299999999998</c:v>
                </c:pt>
                <c:pt idx="59">
                  <c:v>388.30299999999988</c:v>
                </c:pt>
                <c:pt idx="60">
                  <c:v>391.55099999999999</c:v>
                </c:pt>
                <c:pt idx="61">
                  <c:v>397.34199999999998</c:v>
                </c:pt>
                <c:pt idx="62">
                  <c:v>397.60199999999998</c:v>
                </c:pt>
                <c:pt idx="63">
                  <c:v>425.07600000000002</c:v>
                </c:pt>
                <c:pt idx="64">
                  <c:v>426.26299999999998</c:v>
                </c:pt>
                <c:pt idx="65">
                  <c:v>434.23099999999999</c:v>
                </c:pt>
                <c:pt idx="66">
                  <c:v>442.30500000000001</c:v>
                </c:pt>
                <c:pt idx="67">
                  <c:v>442.87700000000001</c:v>
                </c:pt>
                <c:pt idx="68">
                  <c:v>443.70699999999999</c:v>
                </c:pt>
                <c:pt idx="69">
                  <c:v>447.20600000000002</c:v>
                </c:pt>
                <c:pt idx="70">
                  <c:v>453.82100000000003</c:v>
                </c:pt>
                <c:pt idx="71">
                  <c:v>454.59500000000003</c:v>
                </c:pt>
                <c:pt idx="72">
                  <c:v>477.66599999999988</c:v>
                </c:pt>
                <c:pt idx="73">
                  <c:v>479.28800000000001</c:v>
                </c:pt>
                <c:pt idx="74">
                  <c:v>488.19099999999997</c:v>
                </c:pt>
                <c:pt idx="75">
                  <c:v>497.56099999999998</c:v>
                </c:pt>
                <c:pt idx="76">
                  <c:v>497.72300000000001</c:v>
                </c:pt>
                <c:pt idx="77">
                  <c:v>498.91699999999997</c:v>
                </c:pt>
                <c:pt idx="78">
                  <c:v>502.58499999999998</c:v>
                </c:pt>
                <c:pt idx="79">
                  <c:v>509.87099999999998</c:v>
                </c:pt>
                <c:pt idx="80">
                  <c:v>511.53800000000001</c:v>
                </c:pt>
                <c:pt idx="81">
                  <c:v>530.65299999999991</c:v>
                </c:pt>
                <c:pt idx="82">
                  <c:v>532.33299999999997</c:v>
                </c:pt>
                <c:pt idx="83">
                  <c:v>541.52099999999996</c:v>
                </c:pt>
                <c:pt idx="84">
                  <c:v>551.93500000000006</c:v>
                </c:pt>
                <c:pt idx="85">
                  <c:v>552.71499999999992</c:v>
                </c:pt>
                <c:pt idx="86">
                  <c:v>553.38400000000001</c:v>
                </c:pt>
                <c:pt idx="87">
                  <c:v>558.18000000000006</c:v>
                </c:pt>
                <c:pt idx="88">
                  <c:v>566.23699999999997</c:v>
                </c:pt>
                <c:pt idx="89">
                  <c:v>569.47499999999991</c:v>
                </c:pt>
                <c:pt idx="90">
                  <c:v>583.65299999999991</c:v>
                </c:pt>
                <c:pt idx="91">
                  <c:v>585.43899999999996</c:v>
                </c:pt>
                <c:pt idx="92">
                  <c:v>594.96499999999992</c:v>
                </c:pt>
                <c:pt idx="93">
                  <c:v>606.97200000000009</c:v>
                </c:pt>
                <c:pt idx="94">
                  <c:v>607.32999999999993</c:v>
                </c:pt>
                <c:pt idx="95">
                  <c:v>608.36599999999999</c:v>
                </c:pt>
                <c:pt idx="96">
                  <c:v>613.03800000000001</c:v>
                </c:pt>
                <c:pt idx="97">
                  <c:v>621.69099999999992</c:v>
                </c:pt>
                <c:pt idx="98">
                  <c:v>625.02299999999991</c:v>
                </c:pt>
                <c:pt idx="99">
                  <c:v>636.24399999999991</c:v>
                </c:pt>
                <c:pt idx="100">
                  <c:v>638.471</c:v>
                </c:pt>
                <c:pt idx="101">
                  <c:v>648.21699999999987</c:v>
                </c:pt>
                <c:pt idx="102">
                  <c:v>661.52299999999991</c:v>
                </c:pt>
                <c:pt idx="103">
                  <c:v>661.65100000000007</c:v>
                </c:pt>
                <c:pt idx="104">
                  <c:v>663.02</c:v>
                </c:pt>
                <c:pt idx="105">
                  <c:v>668.73</c:v>
                </c:pt>
                <c:pt idx="106">
                  <c:v>677.15299999999991</c:v>
                </c:pt>
                <c:pt idx="107">
                  <c:v>680.47199999999987</c:v>
                </c:pt>
                <c:pt idx="108">
                  <c:v>688.80799999999988</c:v>
                </c:pt>
                <c:pt idx="109">
                  <c:v>691.47199999999998</c:v>
                </c:pt>
                <c:pt idx="110">
                  <c:v>701.5089999999999</c:v>
                </c:pt>
                <c:pt idx="111">
                  <c:v>716.07599999999991</c:v>
                </c:pt>
                <c:pt idx="112">
                  <c:v>716.20200000000011</c:v>
                </c:pt>
                <c:pt idx="113">
                  <c:v>717.66599999999994</c:v>
                </c:pt>
                <c:pt idx="114">
                  <c:v>724.04100000000005</c:v>
                </c:pt>
                <c:pt idx="115">
                  <c:v>733.63499999999988</c:v>
                </c:pt>
                <c:pt idx="116">
                  <c:v>737.13299999999981</c:v>
                </c:pt>
                <c:pt idx="117">
                  <c:v>741.71299999999985</c:v>
                </c:pt>
                <c:pt idx="118">
                  <c:v>744.25900000000001</c:v>
                </c:pt>
                <c:pt idx="119">
                  <c:v>754.44999999999993</c:v>
                </c:pt>
                <c:pt idx="120">
                  <c:v>770.65599999999995</c:v>
                </c:pt>
                <c:pt idx="121">
                  <c:v>770.76300000000015</c:v>
                </c:pt>
                <c:pt idx="122">
                  <c:v>772.13699999999994</c:v>
                </c:pt>
                <c:pt idx="123">
                  <c:v>779.18400000000008</c:v>
                </c:pt>
                <c:pt idx="124">
                  <c:v>789.3359999999999</c:v>
                </c:pt>
                <c:pt idx="125">
                  <c:v>794.03099999999984</c:v>
                </c:pt>
                <c:pt idx="126">
                  <c:v>794.50299999999982</c:v>
                </c:pt>
                <c:pt idx="127">
                  <c:v>797.92899999999997</c:v>
                </c:pt>
                <c:pt idx="128">
                  <c:v>808.10399999999993</c:v>
                </c:pt>
                <c:pt idx="129">
                  <c:v>825.70099999999991</c:v>
                </c:pt>
                <c:pt idx="130">
                  <c:v>826.44900000000018</c:v>
                </c:pt>
                <c:pt idx="131">
                  <c:v>826.54</c:v>
                </c:pt>
                <c:pt idx="132">
                  <c:v>834.33500000000004</c:v>
                </c:pt>
                <c:pt idx="133">
                  <c:v>845.66899999999987</c:v>
                </c:pt>
                <c:pt idx="134">
                  <c:v>846.68199999999979</c:v>
                </c:pt>
                <c:pt idx="135">
                  <c:v>850.2489999999998</c:v>
                </c:pt>
                <c:pt idx="136">
                  <c:v>851.06</c:v>
                </c:pt>
                <c:pt idx="137">
                  <c:v>862.00699999999995</c:v>
                </c:pt>
                <c:pt idx="138">
                  <c:v>879.50599999999986</c:v>
                </c:pt>
                <c:pt idx="139">
                  <c:v>880.33399999999995</c:v>
                </c:pt>
                <c:pt idx="140">
                  <c:v>880.38000000000022</c:v>
                </c:pt>
                <c:pt idx="141">
                  <c:v>889.13300000000004</c:v>
                </c:pt>
                <c:pt idx="142">
                  <c:v>899.13499999999976</c:v>
                </c:pt>
                <c:pt idx="143">
                  <c:v>902.08499999999981</c:v>
                </c:pt>
                <c:pt idx="144">
                  <c:v>903.89799999999991</c:v>
                </c:pt>
                <c:pt idx="145">
                  <c:v>905.23399999999981</c:v>
                </c:pt>
                <c:pt idx="146">
                  <c:v>914.92899999999997</c:v>
                </c:pt>
                <c:pt idx="147">
                  <c:v>933.46699999999987</c:v>
                </c:pt>
                <c:pt idx="148">
                  <c:v>934.0619999999999</c:v>
                </c:pt>
                <c:pt idx="149">
                  <c:v>934.23800000000017</c:v>
                </c:pt>
                <c:pt idx="150">
                  <c:v>944.41399999999999</c:v>
                </c:pt>
                <c:pt idx="151">
                  <c:v>951.75499999999977</c:v>
                </c:pt>
                <c:pt idx="152">
                  <c:v>956.57899999999995</c:v>
                </c:pt>
                <c:pt idx="153">
                  <c:v>959.00699999999983</c:v>
                </c:pt>
                <c:pt idx="154">
                  <c:v>960.36199999999985</c:v>
                </c:pt>
                <c:pt idx="155">
                  <c:v>968.27699999999993</c:v>
                </c:pt>
                <c:pt idx="156">
                  <c:v>987.40599999999984</c:v>
                </c:pt>
                <c:pt idx="157">
                  <c:v>988.2829999999999</c:v>
                </c:pt>
                <c:pt idx="158">
                  <c:v>988.29300000000012</c:v>
                </c:pt>
                <c:pt idx="159">
                  <c:v>1000.082</c:v>
                </c:pt>
                <c:pt idx="160">
                  <c:v>1004.273</c:v>
                </c:pt>
                <c:pt idx="161">
                  <c:v>1009.982</c:v>
                </c:pt>
                <c:pt idx="162">
                  <c:v>1015.061</c:v>
                </c:pt>
                <c:pt idx="163">
                  <c:v>1017.0119999999999</c:v>
                </c:pt>
                <c:pt idx="164">
                  <c:v>1022.78</c:v>
                </c:pt>
                <c:pt idx="165">
                  <c:v>1041.758</c:v>
                </c:pt>
                <c:pt idx="166">
                  <c:v>1041.9860000000001</c:v>
                </c:pt>
                <c:pt idx="167">
                  <c:v>1042.5309999999999</c:v>
                </c:pt>
                <c:pt idx="168">
                  <c:v>1055.546</c:v>
                </c:pt>
                <c:pt idx="169">
                  <c:v>1056.577</c:v>
                </c:pt>
                <c:pt idx="170">
                  <c:v>1062.8579999999999</c:v>
                </c:pt>
                <c:pt idx="171">
                  <c:v>1072.2570000000001</c:v>
                </c:pt>
                <c:pt idx="172">
                  <c:v>1074.1559999999999</c:v>
                </c:pt>
                <c:pt idx="173">
                  <c:v>1078.1659999999999</c:v>
                </c:pt>
                <c:pt idx="174">
                  <c:v>1095.5119999999999</c:v>
                </c:pt>
                <c:pt idx="175">
                  <c:v>1095.8789999999999</c:v>
                </c:pt>
                <c:pt idx="176">
                  <c:v>1097.713</c:v>
                </c:pt>
                <c:pt idx="177">
                  <c:v>1108.8510000000001</c:v>
                </c:pt>
                <c:pt idx="178">
                  <c:v>1112.067</c:v>
                </c:pt>
                <c:pt idx="179">
                  <c:v>1115.752</c:v>
                </c:pt>
                <c:pt idx="180">
                  <c:v>1127.6790000000001</c:v>
                </c:pt>
                <c:pt idx="181">
                  <c:v>1129.2570000000001</c:v>
                </c:pt>
                <c:pt idx="182">
                  <c:v>1131.1469999999999</c:v>
                </c:pt>
                <c:pt idx="183">
                  <c:v>1149.9880000000001</c:v>
                </c:pt>
                <c:pt idx="184">
                  <c:v>1150.1880000000001</c:v>
                </c:pt>
                <c:pt idx="185">
                  <c:v>1152.442</c:v>
                </c:pt>
                <c:pt idx="186">
                  <c:v>1161.1489999999999</c:v>
                </c:pt>
                <c:pt idx="187">
                  <c:v>1167.48</c:v>
                </c:pt>
                <c:pt idx="188">
                  <c:v>1168.566</c:v>
                </c:pt>
                <c:pt idx="189">
                  <c:v>1183.204</c:v>
                </c:pt>
                <c:pt idx="190">
                  <c:v>1183.8610000000001</c:v>
                </c:pt>
                <c:pt idx="191">
                  <c:v>1184.771</c:v>
                </c:pt>
                <c:pt idx="192">
                  <c:v>1203.7750000000001</c:v>
                </c:pt>
                <c:pt idx="193">
                  <c:v>1204.1310000000001</c:v>
                </c:pt>
                <c:pt idx="194">
                  <c:v>1206.932</c:v>
                </c:pt>
                <c:pt idx="195">
                  <c:v>1213.0440000000001</c:v>
                </c:pt>
                <c:pt idx="196">
                  <c:v>1221.4059999999999</c:v>
                </c:pt>
                <c:pt idx="197">
                  <c:v>1222.7739999999999</c:v>
                </c:pt>
                <c:pt idx="198">
                  <c:v>1236.6559999999999</c:v>
                </c:pt>
                <c:pt idx="199">
                  <c:v>1239.4690000000001</c:v>
                </c:pt>
                <c:pt idx="200">
                  <c:v>1242.714999999999</c:v>
                </c:pt>
                <c:pt idx="201">
                  <c:v>1258.1849999999999</c:v>
                </c:pt>
                <c:pt idx="202">
                  <c:v>1258.5820000000001</c:v>
                </c:pt>
                <c:pt idx="203">
                  <c:v>1262.6769999999999</c:v>
                </c:pt>
                <c:pt idx="204">
                  <c:v>1264.9359999999999</c:v>
                </c:pt>
                <c:pt idx="205">
                  <c:v>1274.2059999999999</c:v>
                </c:pt>
                <c:pt idx="206">
                  <c:v>1278.5029999999999</c:v>
                </c:pt>
                <c:pt idx="207">
                  <c:v>1289.8050000000001</c:v>
                </c:pt>
                <c:pt idx="208">
                  <c:v>1295.049</c:v>
                </c:pt>
                <c:pt idx="209">
                  <c:v>1298.196999999999</c:v>
                </c:pt>
                <c:pt idx="210">
                  <c:v>1311.886</c:v>
                </c:pt>
                <c:pt idx="211">
                  <c:v>1312.077</c:v>
                </c:pt>
                <c:pt idx="212">
                  <c:v>1316.857</c:v>
                </c:pt>
                <c:pt idx="213">
                  <c:v>1316.8969999999999</c:v>
                </c:pt>
                <c:pt idx="214">
                  <c:v>1327.0650000000001</c:v>
                </c:pt>
                <c:pt idx="215">
                  <c:v>1334.078</c:v>
                </c:pt>
                <c:pt idx="216">
                  <c:v>1343.328</c:v>
                </c:pt>
                <c:pt idx="217">
                  <c:v>1353.5630000000001</c:v>
                </c:pt>
                <c:pt idx="218">
                  <c:v>1355.049999999999</c:v>
                </c:pt>
                <c:pt idx="219">
                  <c:v>1365.2909999999999</c:v>
                </c:pt>
                <c:pt idx="220">
                  <c:v>1371.1030000000001</c:v>
                </c:pt>
                <c:pt idx="221">
                  <c:v>1371.922</c:v>
                </c:pt>
                <c:pt idx="222">
                  <c:v>1380.578</c:v>
                </c:pt>
                <c:pt idx="223">
                  <c:v>1390.499</c:v>
                </c:pt>
                <c:pt idx="224">
                  <c:v>1396.672</c:v>
                </c:pt>
                <c:pt idx="225">
                  <c:v>1400.73</c:v>
                </c:pt>
                <c:pt idx="226">
                  <c:v>1409.2739999999999</c:v>
                </c:pt>
                <c:pt idx="227">
                  <c:v>1411.327</c:v>
                </c:pt>
                <c:pt idx="228">
                  <c:v>1418.57</c:v>
                </c:pt>
                <c:pt idx="229">
                  <c:v>1423.5709999999999</c:v>
                </c:pt>
                <c:pt idx="230">
                  <c:v>1426.067</c:v>
                </c:pt>
                <c:pt idx="231">
                  <c:v>1433.5509999999999</c:v>
                </c:pt>
                <c:pt idx="232">
                  <c:v>1445.6969999999999</c:v>
                </c:pt>
                <c:pt idx="233">
                  <c:v>1449.5250000000001</c:v>
                </c:pt>
                <c:pt idx="234">
                  <c:v>1454.1659999999999</c:v>
                </c:pt>
                <c:pt idx="235">
                  <c:v>1464.6569999999999</c:v>
                </c:pt>
                <c:pt idx="236">
                  <c:v>1466.481</c:v>
                </c:pt>
                <c:pt idx="237">
                  <c:v>1472.396</c:v>
                </c:pt>
                <c:pt idx="238">
                  <c:v>1476.029</c:v>
                </c:pt>
                <c:pt idx="239">
                  <c:v>1481.104</c:v>
                </c:pt>
                <c:pt idx="240">
                  <c:v>1486.4649999999999</c:v>
                </c:pt>
                <c:pt idx="241">
                  <c:v>1500.1189999999999</c:v>
                </c:pt>
                <c:pt idx="242">
                  <c:v>1502.5119999999999</c:v>
                </c:pt>
                <c:pt idx="243">
                  <c:v>1507.4490000000001</c:v>
                </c:pt>
                <c:pt idx="244">
                  <c:v>1521.09</c:v>
                </c:pt>
                <c:pt idx="245">
                  <c:v>1525.5940000000001</c:v>
                </c:pt>
                <c:pt idx="246">
                  <c:v>1527.826</c:v>
                </c:pt>
                <c:pt idx="247">
                  <c:v>1529.7850000000001</c:v>
                </c:pt>
                <c:pt idx="248">
                  <c:v>1535.702</c:v>
                </c:pt>
                <c:pt idx="249">
                  <c:v>1539.453</c:v>
                </c:pt>
                <c:pt idx="250">
                  <c:v>1554.7650000000001</c:v>
                </c:pt>
                <c:pt idx="251">
                  <c:v>1555.56</c:v>
                </c:pt>
                <c:pt idx="252">
                  <c:v>1560.393</c:v>
                </c:pt>
                <c:pt idx="253">
                  <c:v>1578.941</c:v>
                </c:pt>
                <c:pt idx="254">
                  <c:v>1581.6189999999999</c:v>
                </c:pt>
                <c:pt idx="255">
                  <c:v>1582.057</c:v>
                </c:pt>
                <c:pt idx="256">
                  <c:v>1582.367</c:v>
                </c:pt>
                <c:pt idx="257">
                  <c:v>1590.6369999999999</c:v>
                </c:pt>
                <c:pt idx="258">
                  <c:v>1593.943</c:v>
                </c:pt>
                <c:pt idx="259">
                  <c:v>1608.1479999999999</c:v>
                </c:pt>
                <c:pt idx="260">
                  <c:v>1609.2860000000001</c:v>
                </c:pt>
                <c:pt idx="261">
                  <c:v>1613.3009999999999</c:v>
                </c:pt>
                <c:pt idx="262">
                  <c:v>1634.2470000000001</c:v>
                </c:pt>
                <c:pt idx="263">
                  <c:v>1634.453</c:v>
                </c:pt>
                <c:pt idx="264">
                  <c:v>1635.501</c:v>
                </c:pt>
                <c:pt idx="265">
                  <c:v>1637.64</c:v>
                </c:pt>
                <c:pt idx="266">
                  <c:v>1646.942</c:v>
                </c:pt>
                <c:pt idx="267">
                  <c:v>1648.1289999999999</c:v>
                </c:pt>
                <c:pt idx="268">
                  <c:v>1660.857</c:v>
                </c:pt>
                <c:pt idx="269">
                  <c:v>1663.2570000000001</c:v>
                </c:pt>
                <c:pt idx="270">
                  <c:v>1666.9079999999999</c:v>
                </c:pt>
                <c:pt idx="271">
                  <c:v>1686.402</c:v>
                </c:pt>
                <c:pt idx="272">
                  <c:v>1688.105</c:v>
                </c:pt>
                <c:pt idx="273">
                  <c:v>1692.096</c:v>
                </c:pt>
                <c:pt idx="274">
                  <c:v>1693.64</c:v>
                </c:pt>
                <c:pt idx="275">
                  <c:v>1700.982</c:v>
                </c:pt>
                <c:pt idx="276">
                  <c:v>1701.133</c:v>
                </c:pt>
                <c:pt idx="277">
                  <c:v>1713.537</c:v>
                </c:pt>
                <c:pt idx="278">
                  <c:v>1717.67</c:v>
                </c:pt>
                <c:pt idx="279">
                  <c:v>1720.1189999999999</c:v>
                </c:pt>
                <c:pt idx="280">
                  <c:v>1738.673</c:v>
                </c:pt>
                <c:pt idx="281">
                  <c:v>1741.722</c:v>
                </c:pt>
                <c:pt idx="282">
                  <c:v>1748.4749999999999</c:v>
                </c:pt>
                <c:pt idx="283">
                  <c:v>1748.867</c:v>
                </c:pt>
                <c:pt idx="284">
                  <c:v>1755.2349999999999</c:v>
                </c:pt>
                <c:pt idx="285">
                  <c:v>1755.2439999999999</c:v>
                </c:pt>
                <c:pt idx="286">
                  <c:v>1766.07</c:v>
                </c:pt>
                <c:pt idx="287">
                  <c:v>1771.6389999999999</c:v>
                </c:pt>
                <c:pt idx="288">
                  <c:v>1773.8879999999999</c:v>
                </c:pt>
                <c:pt idx="289">
                  <c:v>1791.0740000000001</c:v>
                </c:pt>
                <c:pt idx="290">
                  <c:v>1794.713</c:v>
                </c:pt>
                <c:pt idx="291">
                  <c:v>1805.02</c:v>
                </c:pt>
                <c:pt idx="292">
                  <c:v>1805.8710000000001</c:v>
                </c:pt>
                <c:pt idx="293">
                  <c:v>1808.5830000000001</c:v>
                </c:pt>
                <c:pt idx="294">
                  <c:v>1809.4469999999999</c:v>
                </c:pt>
                <c:pt idx="295">
                  <c:v>1819.8219999999999</c:v>
                </c:pt>
                <c:pt idx="296">
                  <c:v>1826.442</c:v>
                </c:pt>
                <c:pt idx="297">
                  <c:v>1828.6089999999999</c:v>
                </c:pt>
              </c:numCache>
            </c:numRef>
          </c:xVal>
          <c:yVal>
            <c:numRef>
              <c:f>intermediate_data!$AJ$2:$AJ$299</c:f>
              <c:numCache>
                <c:formatCode>General</c:formatCode>
                <c:ptCount val="298"/>
                <c:pt idx="0">
                  <c:v>-9.2862434286189455E-5</c:v>
                </c:pt>
                <c:pt idx="1">
                  <c:v>-1.1154663224033357E-4</c:v>
                </c:pt>
                <c:pt idx="2">
                  <c:v>1.4300652305365702E-4</c:v>
                </c:pt>
                <c:pt idx="3">
                  <c:v>-4.3902951819774216E-4</c:v>
                </c:pt>
                <c:pt idx="4">
                  <c:v>-8.3203771995954412E-4</c:v>
                </c:pt>
                <c:pt idx="5">
                  <c:v>-6.7063073904307657E-3</c:v>
                </c:pt>
                <c:pt idx="6">
                  <c:v>-6.9862201425010539E-3</c:v>
                </c:pt>
                <c:pt idx="7">
                  <c:v>-7.6796566900441121E-3</c:v>
                </c:pt>
                <c:pt idx="8">
                  <c:v>-6.1604158220163185E-3</c:v>
                </c:pt>
                <c:pt idx="9">
                  <c:v>0.12177088713191608</c:v>
                </c:pt>
                <c:pt idx="10">
                  <c:v>0.12214682821331735</c:v>
                </c:pt>
                <c:pt idx="11">
                  <c:v>0.12660315916157572</c:v>
                </c:pt>
                <c:pt idx="12">
                  <c:v>0.13112966688373717</c:v>
                </c:pt>
                <c:pt idx="13">
                  <c:v>0.13250422737018397</c:v>
                </c:pt>
                <c:pt idx="14">
                  <c:v>0.13346901876147399</c:v>
                </c:pt>
                <c:pt idx="15">
                  <c:v>0.13444336000920742</c:v>
                </c:pt>
                <c:pt idx="16">
                  <c:v>0.13491812344359033</c:v>
                </c:pt>
                <c:pt idx="17">
                  <c:v>0.13703768215577838</c:v>
                </c:pt>
                <c:pt idx="18">
                  <c:v>0.19781342298296067</c:v>
                </c:pt>
                <c:pt idx="19">
                  <c:v>0.19790255400297951</c:v>
                </c:pt>
                <c:pt idx="20">
                  <c:v>0.19964582435486733</c:v>
                </c:pt>
                <c:pt idx="21">
                  <c:v>0.20192615031496786</c:v>
                </c:pt>
                <c:pt idx="22">
                  <c:v>0.20252866964881377</c:v>
                </c:pt>
                <c:pt idx="23">
                  <c:v>0.20940627035429316</c:v>
                </c:pt>
                <c:pt idx="24">
                  <c:v>0.2189484289332313</c:v>
                </c:pt>
                <c:pt idx="25">
                  <c:v>0.22672351414958314</c:v>
                </c:pt>
                <c:pt idx="26">
                  <c:v>0.23435025877710558</c:v>
                </c:pt>
                <c:pt idx="27">
                  <c:v>0.46582197546445059</c:v>
                </c:pt>
                <c:pt idx="28">
                  <c:v>0.46696731269786795</c:v>
                </c:pt>
                <c:pt idx="29">
                  <c:v>0.48265924797308202</c:v>
                </c:pt>
                <c:pt idx="30">
                  <c:v>0.49907755777811502</c:v>
                </c:pt>
                <c:pt idx="31">
                  <c:v>0.50681206388111377</c:v>
                </c:pt>
                <c:pt idx="32">
                  <c:v>0.50831676010042059</c:v>
                </c:pt>
                <c:pt idx="33">
                  <c:v>0.50849575943898628</c:v>
                </c:pt>
                <c:pt idx="34">
                  <c:v>0.50873874626324067</c:v>
                </c:pt>
                <c:pt idx="35">
                  <c:v>0.50874065651628797</c:v>
                </c:pt>
                <c:pt idx="36">
                  <c:v>0.49927202469270782</c:v>
                </c:pt>
                <c:pt idx="37">
                  <c:v>0.49927060869899975</c:v>
                </c:pt>
                <c:pt idx="38">
                  <c:v>0.49889777720716211</c:v>
                </c:pt>
                <c:pt idx="39">
                  <c:v>0.49829364827255773</c:v>
                </c:pt>
                <c:pt idx="40">
                  <c:v>0.49793126436064483</c:v>
                </c:pt>
                <c:pt idx="41">
                  <c:v>0.4977866708341665</c:v>
                </c:pt>
                <c:pt idx="42">
                  <c:v>0.49546341087332735</c:v>
                </c:pt>
                <c:pt idx="43">
                  <c:v>0.49118606746139903</c:v>
                </c:pt>
                <c:pt idx="44">
                  <c:v>0.49064394598223515</c:v>
                </c:pt>
                <c:pt idx="45">
                  <c:v>0.45486485672574872</c:v>
                </c:pt>
                <c:pt idx="46">
                  <c:v>0.45446575764226793</c:v>
                </c:pt>
                <c:pt idx="47">
                  <c:v>0.45071412959359236</c:v>
                </c:pt>
                <c:pt idx="48">
                  <c:v>0.44663951851052985</c:v>
                </c:pt>
                <c:pt idx="49">
                  <c:v>0.44527316499933534</c:v>
                </c:pt>
                <c:pt idx="50">
                  <c:v>0.44494232786277621</c:v>
                </c:pt>
                <c:pt idx="51">
                  <c:v>0.44089974463599901</c:v>
                </c:pt>
                <c:pt idx="52">
                  <c:v>0.42836767850520374</c:v>
                </c:pt>
                <c:pt idx="53">
                  <c:v>0.42774928362074149</c:v>
                </c:pt>
                <c:pt idx="54">
                  <c:v>0.36457020629842418</c:v>
                </c:pt>
                <c:pt idx="55">
                  <c:v>0.36332749356789407</c:v>
                </c:pt>
                <c:pt idx="56">
                  <c:v>0.35065671770315276</c:v>
                </c:pt>
                <c:pt idx="57">
                  <c:v>0.33890238858754174</c:v>
                </c:pt>
                <c:pt idx="58">
                  <c:v>0.33631701518034163</c:v>
                </c:pt>
                <c:pt idx="59">
                  <c:v>0.3361012176795839</c:v>
                </c:pt>
                <c:pt idx="60">
                  <c:v>0.33056463275863734</c:v>
                </c:pt>
                <c:pt idx="61">
                  <c:v>0.32132726529884081</c:v>
                </c:pt>
                <c:pt idx="62">
                  <c:v>0.32092105192613474</c:v>
                </c:pt>
                <c:pt idx="63">
                  <c:v>0.27758070707217541</c:v>
                </c:pt>
                <c:pt idx="64">
                  <c:v>0.27581979257104905</c:v>
                </c:pt>
                <c:pt idx="65">
                  <c:v>0.26429264466791125</c:v>
                </c:pt>
                <c:pt idx="66">
                  <c:v>0.25349638520513196</c:v>
                </c:pt>
                <c:pt idx="67">
                  <c:v>0.25278932135927334</c:v>
                </c:pt>
                <c:pt idx="68">
                  <c:v>0.25223022286921548</c:v>
                </c:pt>
                <c:pt idx="69">
                  <c:v>0.250158200710203</c:v>
                </c:pt>
                <c:pt idx="70">
                  <c:v>0.24676977233397679</c:v>
                </c:pt>
                <c:pt idx="71">
                  <c:v>0.24645767212496139</c:v>
                </c:pt>
                <c:pt idx="72">
                  <c:v>0.23787660201166005</c:v>
                </c:pt>
                <c:pt idx="73">
                  <c:v>0.23714229339089599</c:v>
                </c:pt>
                <c:pt idx="74">
                  <c:v>0.23315607082592749</c:v>
                </c:pt>
                <c:pt idx="75">
                  <c:v>0.23050619174193088</c:v>
                </c:pt>
                <c:pt idx="76">
                  <c:v>0.23049346640227242</c:v>
                </c:pt>
                <c:pt idx="77">
                  <c:v>0.23071518782228395</c:v>
                </c:pt>
                <c:pt idx="78">
                  <c:v>0.23199723772606262</c:v>
                </c:pt>
                <c:pt idx="79">
                  <c:v>0.23415066123345696</c:v>
                </c:pt>
                <c:pt idx="80">
                  <c:v>0.23452481875526132</c:v>
                </c:pt>
                <c:pt idx="81">
                  <c:v>0.23499101719199444</c:v>
                </c:pt>
                <c:pt idx="82">
                  <c:v>0.23502545345641579</c:v>
                </c:pt>
                <c:pt idx="83">
                  <c:v>0.23508628594058933</c:v>
                </c:pt>
                <c:pt idx="84">
                  <c:v>0.23489876014333078</c:v>
                </c:pt>
                <c:pt idx="85">
                  <c:v>0.23477977586504295</c:v>
                </c:pt>
                <c:pt idx="86">
                  <c:v>0.23426548793321444</c:v>
                </c:pt>
                <c:pt idx="87">
                  <c:v>0.2301180209440119</c:v>
                </c:pt>
                <c:pt idx="88">
                  <c:v>0.22446808063948254</c:v>
                </c:pt>
                <c:pt idx="89">
                  <c:v>0.22280142019241111</c:v>
                </c:pt>
                <c:pt idx="90">
                  <c:v>0.22179005648637684</c:v>
                </c:pt>
                <c:pt idx="91">
                  <c:v>0.22181673169025373</c:v>
                </c:pt>
                <c:pt idx="92">
                  <c:v>0.22209764741607785</c:v>
                </c:pt>
                <c:pt idx="93">
                  <c:v>0.22288724880767319</c:v>
                </c:pt>
                <c:pt idx="94">
                  <c:v>0.22293386091332223</c:v>
                </c:pt>
                <c:pt idx="95">
                  <c:v>0.22240989849204595</c:v>
                </c:pt>
                <c:pt idx="96">
                  <c:v>0.22034911768238885</c:v>
                </c:pt>
                <c:pt idx="97">
                  <c:v>0.21534101051636156</c:v>
                </c:pt>
                <c:pt idx="98">
                  <c:v>0.21344597894571393</c:v>
                </c:pt>
                <c:pt idx="99">
                  <c:v>0.20740469274669238</c:v>
                </c:pt>
                <c:pt idx="100">
                  <c:v>0.20624312859548866</c:v>
                </c:pt>
                <c:pt idx="101">
                  <c:v>0.20131204174880679</c:v>
                </c:pt>
                <c:pt idx="102">
                  <c:v>0.19472600077880742</c:v>
                </c:pt>
                <c:pt idx="103">
                  <c:v>0.19472765882560594</c:v>
                </c:pt>
                <c:pt idx="104">
                  <c:v>0.19477505780850635</c:v>
                </c:pt>
                <c:pt idx="105">
                  <c:v>0.19497828285400942</c:v>
                </c:pt>
                <c:pt idx="106">
                  <c:v>0.19578724240558643</c:v>
                </c:pt>
                <c:pt idx="107">
                  <c:v>0.19556823836440884</c:v>
                </c:pt>
                <c:pt idx="108">
                  <c:v>0.19346366044401009</c:v>
                </c:pt>
                <c:pt idx="109">
                  <c:v>0.19264370373257123</c:v>
                </c:pt>
                <c:pt idx="110">
                  <c:v>0.18997778344076721</c:v>
                </c:pt>
                <c:pt idx="111">
                  <c:v>0.18709116761827005</c:v>
                </c:pt>
                <c:pt idx="112">
                  <c:v>0.18707102632005501</c:v>
                </c:pt>
                <c:pt idx="113">
                  <c:v>0.18683523566324567</c:v>
                </c:pt>
                <c:pt idx="114">
                  <c:v>0.18599307704793233</c:v>
                </c:pt>
                <c:pt idx="115">
                  <c:v>0.18499481511230442</c:v>
                </c:pt>
                <c:pt idx="116">
                  <c:v>0.18503168476581777</c:v>
                </c:pt>
                <c:pt idx="117">
                  <c:v>0.1846287113706282</c:v>
                </c:pt>
                <c:pt idx="118">
                  <c:v>0.18464965030589298</c:v>
                </c:pt>
                <c:pt idx="119">
                  <c:v>0.18332350202187797</c:v>
                </c:pt>
                <c:pt idx="120">
                  <c:v>0.17952240771843009</c:v>
                </c:pt>
                <c:pt idx="121">
                  <c:v>0.17955576972200049</c:v>
                </c:pt>
                <c:pt idx="122">
                  <c:v>0.17976295774312234</c:v>
                </c:pt>
                <c:pt idx="123">
                  <c:v>0.18088349308468565</c:v>
                </c:pt>
                <c:pt idx="124">
                  <c:v>0.1824511819845327</c:v>
                </c:pt>
                <c:pt idx="125">
                  <c:v>0.18276429672991412</c:v>
                </c:pt>
                <c:pt idx="126">
                  <c:v>0.18277155041312199</c:v>
                </c:pt>
                <c:pt idx="127">
                  <c:v>0.18355312716636973</c:v>
                </c:pt>
                <c:pt idx="128">
                  <c:v>0.18663105354116993</c:v>
                </c:pt>
                <c:pt idx="129">
                  <c:v>0.19116083469052825</c:v>
                </c:pt>
                <c:pt idx="130">
                  <c:v>0.19032757989220528</c:v>
                </c:pt>
                <c:pt idx="131">
                  <c:v>0.19024782504541093</c:v>
                </c:pt>
                <c:pt idx="132">
                  <c:v>0.184132651233611</c:v>
                </c:pt>
                <c:pt idx="133">
                  <c:v>0.17597210276906594</c:v>
                </c:pt>
                <c:pt idx="134">
                  <c:v>0.17524329364376712</c:v>
                </c:pt>
                <c:pt idx="135">
                  <c:v>0.17279178119574823</c:v>
                </c:pt>
                <c:pt idx="136">
                  <c:v>0.17231641293133038</c:v>
                </c:pt>
                <c:pt idx="137">
                  <c:v>0.16643311782937076</c:v>
                </c:pt>
                <c:pt idx="138">
                  <c:v>0.15962731052544399</c:v>
                </c:pt>
                <c:pt idx="139">
                  <c:v>0.15944806000563005</c:v>
                </c:pt>
                <c:pt idx="140">
                  <c:v>0.15943851010997889</c:v>
                </c:pt>
                <c:pt idx="141">
                  <c:v>0.15772247167794262</c:v>
                </c:pt>
                <c:pt idx="142">
                  <c:v>0.15521219923985541</c:v>
                </c:pt>
                <c:pt idx="143">
                  <c:v>0.15441679435701161</c:v>
                </c:pt>
                <c:pt idx="144">
                  <c:v>0.15382520864490346</c:v>
                </c:pt>
                <c:pt idx="145">
                  <c:v>0.15341859426865767</c:v>
                </c:pt>
                <c:pt idx="146">
                  <c:v>0.15033790063225183</c:v>
                </c:pt>
                <c:pt idx="147">
                  <c:v>0.14363214132840341</c:v>
                </c:pt>
                <c:pt idx="148">
                  <c:v>0.14340853626822536</c:v>
                </c:pt>
                <c:pt idx="149">
                  <c:v>0.14333182597189165</c:v>
                </c:pt>
                <c:pt idx="150">
                  <c:v>0.13870363826066523</c:v>
                </c:pt>
                <c:pt idx="151">
                  <c:v>0.13510486615832917</c:v>
                </c:pt>
                <c:pt idx="152">
                  <c:v>0.13283287978762814</c:v>
                </c:pt>
                <c:pt idx="153">
                  <c:v>0.1314818088584957</c:v>
                </c:pt>
                <c:pt idx="154">
                  <c:v>0.13085870377512521</c:v>
                </c:pt>
                <c:pt idx="155">
                  <c:v>0.12592798544740447</c:v>
                </c:pt>
                <c:pt idx="156">
                  <c:v>0.11178296653023523</c:v>
                </c:pt>
                <c:pt idx="157">
                  <c:v>0.11148241212202947</c:v>
                </c:pt>
                <c:pt idx="158">
                  <c:v>0.11147958754926179</c:v>
                </c:pt>
                <c:pt idx="159">
                  <c:v>0.10794451982938114</c:v>
                </c:pt>
                <c:pt idx="160">
                  <c:v>0.1067998566131223</c:v>
                </c:pt>
                <c:pt idx="161">
                  <c:v>0.10540268898482452</c:v>
                </c:pt>
                <c:pt idx="162">
                  <c:v>0.10448397869972581</c:v>
                </c:pt>
                <c:pt idx="163">
                  <c:v>0.10390606777054501</c:v>
                </c:pt>
                <c:pt idx="164">
                  <c:v>0.10192407980743923</c:v>
                </c:pt>
                <c:pt idx="165">
                  <c:v>9.3785747166457156E-2</c:v>
                </c:pt>
                <c:pt idx="166">
                  <c:v>9.357006301415538E-2</c:v>
                </c:pt>
                <c:pt idx="167">
                  <c:v>9.3043468692847853E-2</c:v>
                </c:pt>
                <c:pt idx="168">
                  <c:v>7.9338434968370564E-2</c:v>
                </c:pt>
                <c:pt idx="169">
                  <c:v>7.8157961659485409E-2</c:v>
                </c:pt>
                <c:pt idx="170">
                  <c:v>7.1038264885196156E-2</c:v>
                </c:pt>
                <c:pt idx="171">
                  <c:v>6.0523920026277267E-2</c:v>
                </c:pt>
                <c:pt idx="172">
                  <c:v>5.8751676985387746E-2</c:v>
                </c:pt>
                <c:pt idx="173">
                  <c:v>5.5833640543333729E-2</c:v>
                </c:pt>
                <c:pt idx="174">
                  <c:v>4.778211442182112E-2</c:v>
                </c:pt>
                <c:pt idx="175">
                  <c:v>4.7834857110423457E-2</c:v>
                </c:pt>
                <c:pt idx="176">
                  <c:v>4.8018866949497863E-2</c:v>
                </c:pt>
                <c:pt idx="177">
                  <c:v>4.9624441148814924E-2</c:v>
                </c:pt>
                <c:pt idx="178">
                  <c:v>5.0073523803838782E-2</c:v>
                </c:pt>
                <c:pt idx="179">
                  <c:v>5.0973583230309316E-2</c:v>
                </c:pt>
                <c:pt idx="180">
                  <c:v>5.3946530974293694E-2</c:v>
                </c:pt>
                <c:pt idx="181">
                  <c:v>5.4319531939668764E-2</c:v>
                </c:pt>
                <c:pt idx="182">
                  <c:v>5.4689859663078266E-2</c:v>
                </c:pt>
                <c:pt idx="183">
                  <c:v>5.8834839284330087E-2</c:v>
                </c:pt>
                <c:pt idx="184">
                  <c:v>5.8769079009636016E-2</c:v>
                </c:pt>
                <c:pt idx="185">
                  <c:v>5.8110823028947323E-2</c:v>
                </c:pt>
                <c:pt idx="186">
                  <c:v>5.5792519639460636E-2</c:v>
                </c:pt>
                <c:pt idx="187">
                  <c:v>5.4396834078694667E-2</c:v>
                </c:pt>
                <c:pt idx="188">
                  <c:v>5.4170984911266373E-2</c:v>
                </c:pt>
                <c:pt idx="189">
                  <c:v>5.1130210009610266E-2</c:v>
                </c:pt>
                <c:pt idx="190">
                  <c:v>5.0951874499745031E-2</c:v>
                </c:pt>
                <c:pt idx="191">
                  <c:v>5.0697774174025767E-2</c:v>
                </c:pt>
                <c:pt idx="192">
                  <c:v>4.1520544332847464E-2</c:v>
                </c:pt>
                <c:pt idx="193">
                  <c:v>4.1518984187341346E-2</c:v>
                </c:pt>
                <c:pt idx="194">
                  <c:v>4.1373424643445844E-2</c:v>
                </c:pt>
                <c:pt idx="195">
                  <c:v>4.0366732254106807E-2</c:v>
                </c:pt>
                <c:pt idx="196">
                  <c:v>3.9008424900039529E-2</c:v>
                </c:pt>
                <c:pt idx="197">
                  <c:v>3.8793318486739281E-2</c:v>
                </c:pt>
                <c:pt idx="198">
                  <c:v>3.6111318287595395E-2</c:v>
                </c:pt>
                <c:pt idx="199">
                  <c:v>3.5480123476489211E-2</c:v>
                </c:pt>
                <c:pt idx="200">
                  <c:v>3.4945365104626092E-2</c:v>
                </c:pt>
                <c:pt idx="201">
                  <c:v>3.5561932088405968E-2</c:v>
                </c:pt>
                <c:pt idx="202">
                  <c:v>3.5373922843930927E-2</c:v>
                </c:pt>
                <c:pt idx="203">
                  <c:v>3.379514128361194E-2</c:v>
                </c:pt>
                <c:pt idx="204">
                  <c:v>3.3235960425116673E-2</c:v>
                </c:pt>
                <c:pt idx="205">
                  <c:v>3.0900920448701186E-2</c:v>
                </c:pt>
                <c:pt idx="206">
                  <c:v>2.9806796670968083E-2</c:v>
                </c:pt>
                <c:pt idx="207">
                  <c:v>2.7109486161663199E-2</c:v>
                </c:pt>
                <c:pt idx="208">
                  <c:v>2.5697787719892062E-2</c:v>
                </c:pt>
                <c:pt idx="209">
                  <c:v>2.4130077867539512E-2</c:v>
                </c:pt>
                <c:pt idx="210">
                  <c:v>1.5897762733331433E-2</c:v>
                </c:pt>
                <c:pt idx="211">
                  <c:v>1.8632382502651978E-2</c:v>
                </c:pt>
                <c:pt idx="212">
                  <c:v>8.7039800886167029E-2</c:v>
                </c:pt>
                <c:pt idx="213">
                  <c:v>8.7608050934349535E-2</c:v>
                </c:pt>
                <c:pt idx="214">
                  <c:v>0.22938878379222416</c:v>
                </c:pt>
                <c:pt idx="215">
                  <c:v>0.32605153832355427</c:v>
                </c:pt>
                <c:pt idx="216">
                  <c:v>0.45204477019817801</c:v>
                </c:pt>
                <c:pt idx="217">
                  <c:v>0.59046032492332756</c:v>
                </c:pt>
                <c:pt idx="218">
                  <c:v>0.61078415015246179</c:v>
                </c:pt>
                <c:pt idx="219">
                  <c:v>0.75050441527189093</c:v>
                </c:pt>
                <c:pt idx="220">
                  <c:v>0.82922378674078345</c:v>
                </c:pt>
                <c:pt idx="221">
                  <c:v>0.84040674077175481</c:v>
                </c:pt>
                <c:pt idx="222">
                  <c:v>0.95876544067914438</c:v>
                </c:pt>
                <c:pt idx="223">
                  <c:v>1.0937982807873112</c:v>
                </c:pt>
                <c:pt idx="224">
                  <c:v>1.1778195093093018</c:v>
                </c:pt>
                <c:pt idx="225">
                  <c:v>1.2329797838619712</c:v>
                </c:pt>
                <c:pt idx="226">
                  <c:v>1.221353695912704</c:v>
                </c:pt>
                <c:pt idx="227">
                  <c:v>1.2186339748234118</c:v>
                </c:pt>
                <c:pt idx="228">
                  <c:v>1.2097216542806706</c:v>
                </c:pt>
                <c:pt idx="229">
                  <c:v>1.2034009516983701</c:v>
                </c:pt>
                <c:pt idx="230">
                  <c:v>1.2002660395299074</c:v>
                </c:pt>
                <c:pt idx="231">
                  <c:v>1.1904149008769735</c:v>
                </c:pt>
                <c:pt idx="232">
                  <c:v>1.1747163712629458</c:v>
                </c:pt>
                <c:pt idx="233">
                  <c:v>1.1700539216339436</c:v>
                </c:pt>
                <c:pt idx="234">
                  <c:v>1.1643853153547568</c:v>
                </c:pt>
                <c:pt idx="235">
                  <c:v>1.1506369325783865</c:v>
                </c:pt>
                <c:pt idx="236">
                  <c:v>1.1481287439102701</c:v>
                </c:pt>
                <c:pt idx="237">
                  <c:v>1.138415333739843</c:v>
                </c:pt>
                <c:pt idx="238">
                  <c:v>1.132049234525411</c:v>
                </c:pt>
                <c:pt idx="239">
                  <c:v>1.1226858744489974</c:v>
                </c:pt>
                <c:pt idx="240">
                  <c:v>1.1130431858309748</c:v>
                </c:pt>
                <c:pt idx="241">
                  <c:v>1.0887306049103174</c:v>
                </c:pt>
                <c:pt idx="242">
                  <c:v>1.0844773431965393</c:v>
                </c:pt>
                <c:pt idx="243">
                  <c:v>1.0757234783207181</c:v>
                </c:pt>
                <c:pt idx="244">
                  <c:v>1.0488486969190589</c:v>
                </c:pt>
                <c:pt idx="245">
                  <c:v>1.0396592912267622</c:v>
                </c:pt>
                <c:pt idx="246">
                  <c:v>1.0355129120493274</c:v>
                </c:pt>
                <c:pt idx="247">
                  <c:v>1.0321184194059825</c:v>
                </c:pt>
                <c:pt idx="248">
                  <c:v>1.0224544123678783</c:v>
                </c:pt>
                <c:pt idx="249">
                  <c:v>1.0162777199605486</c:v>
                </c:pt>
                <c:pt idx="250">
                  <c:v>0.98968543116534136</c:v>
                </c:pt>
                <c:pt idx="251">
                  <c:v>0.98832701880223084</c:v>
                </c:pt>
                <c:pt idx="252">
                  <c:v>0.98027049055345827</c:v>
                </c:pt>
                <c:pt idx="253">
                  <c:v>0.94941765207006057</c:v>
                </c:pt>
                <c:pt idx="254">
                  <c:v>0.94543697763164403</c:v>
                </c:pt>
                <c:pt idx="255">
                  <c:v>0.94478445118776477</c:v>
                </c:pt>
                <c:pt idx="256">
                  <c:v>0.94434114060651808</c:v>
                </c:pt>
                <c:pt idx="257">
                  <c:v>0.93302807207378891</c:v>
                </c:pt>
                <c:pt idx="258">
                  <c:v>0.92823474166704756</c:v>
                </c:pt>
                <c:pt idx="259">
                  <c:v>0.90818000346132521</c:v>
                </c:pt>
                <c:pt idx="260">
                  <c:v>0.90657937015015477</c:v>
                </c:pt>
                <c:pt idx="261">
                  <c:v>0.9011061232893951</c:v>
                </c:pt>
                <c:pt idx="262">
                  <c:v>0.88172960494274122</c:v>
                </c:pt>
                <c:pt idx="263">
                  <c:v>0.88153736202488631</c:v>
                </c:pt>
                <c:pt idx="264">
                  <c:v>0.88041814938445384</c:v>
                </c:pt>
                <c:pt idx="265">
                  <c:v>0.87833438480424064</c:v>
                </c:pt>
                <c:pt idx="266">
                  <c:v>0.8690866667161643</c:v>
                </c:pt>
                <c:pt idx="267">
                  <c:v>0.8680804428305251</c:v>
                </c:pt>
                <c:pt idx="268">
                  <c:v>0.85857205946776105</c:v>
                </c:pt>
                <c:pt idx="269">
                  <c:v>0.85680130191560977</c:v>
                </c:pt>
                <c:pt idx="270">
                  <c:v>0.8540081793560006</c:v>
                </c:pt>
                <c:pt idx="271">
                  <c:v>0.8348932026612772</c:v>
                </c:pt>
                <c:pt idx="272">
                  <c:v>0.83323122330937593</c:v>
                </c:pt>
                <c:pt idx="273">
                  <c:v>0.82906860767681678</c:v>
                </c:pt>
                <c:pt idx="274">
                  <c:v>0.82758163710637689</c:v>
                </c:pt>
                <c:pt idx="275">
                  <c:v>0.82090845626012054</c:v>
                </c:pt>
                <c:pt idx="276">
                  <c:v>0.82075735680948725</c:v>
                </c:pt>
                <c:pt idx="277">
                  <c:v>0.80851419360055843</c:v>
                </c:pt>
                <c:pt idx="278">
                  <c:v>0.8045187070647799</c:v>
                </c:pt>
                <c:pt idx="279">
                  <c:v>0.80223228079402986</c:v>
                </c:pt>
                <c:pt idx="280">
                  <c:v>0.79084234138588982</c:v>
                </c:pt>
                <c:pt idx="281">
                  <c:v>0.78896725796293055</c:v>
                </c:pt>
                <c:pt idx="282">
                  <c:v>0.78512120774771432</c:v>
                </c:pt>
                <c:pt idx="283">
                  <c:v>0.78489502766159802</c:v>
                </c:pt>
                <c:pt idx="284">
                  <c:v>0.78055542932471411</c:v>
                </c:pt>
                <c:pt idx="285">
                  <c:v>0.78054925542971176</c:v>
                </c:pt>
                <c:pt idx="286">
                  <c:v>0.7738193092454182</c:v>
                </c:pt>
                <c:pt idx="287">
                  <c:v>0.76994017275858795</c:v>
                </c:pt>
                <c:pt idx="288">
                  <c:v>0.76826208570145127</c:v>
                </c:pt>
                <c:pt idx="289">
                  <c:v>0.76408876779600376</c:v>
                </c:pt>
                <c:pt idx="290">
                  <c:v>0.76314783012598753</c:v>
                </c:pt>
                <c:pt idx="291">
                  <c:v>0.75958657203798907</c:v>
                </c:pt>
                <c:pt idx="292">
                  <c:v>0.75930115393373399</c:v>
                </c:pt>
                <c:pt idx="293">
                  <c:v>0.75848168074625733</c:v>
                </c:pt>
                <c:pt idx="294">
                  <c:v>0.758229256327553</c:v>
                </c:pt>
                <c:pt idx="295">
                  <c:v>0.75482255020605749</c:v>
                </c:pt>
                <c:pt idx="296">
                  <c:v>0.75276462947404355</c:v>
                </c:pt>
                <c:pt idx="297">
                  <c:v>0.75202375060262483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3BE-4EDE-9B06-59BDE07897AD}"/>
            </c:ext>
          </c:extLst>
        </c:ser>
        <c:ser>
          <c:idx val="7"/>
          <c:order val="7"/>
          <c:tx>
            <c:strRef>
              <c:f>race_data!$AJ$1</c:f>
              <c:strCache>
                <c:ptCount val="1"/>
                <c:pt idx="0">
                  <c:v>HannesD</c:v>
                </c:pt>
              </c:strCache>
            </c:strRef>
          </c:tx>
          <c:marker>
            <c:symbol val="none"/>
          </c:marker>
          <c:xVal>
            <c:numRef>
              <c:f>intermediate_data!$A$2:$A$299</c:f>
              <c:numCache>
                <c:formatCode>General</c:formatCode>
                <c:ptCount val="298"/>
                <c:pt idx="0">
                  <c:v>53.683999999999997</c:v>
                </c:pt>
                <c:pt idx="1">
                  <c:v>53.756</c:v>
                </c:pt>
                <c:pt idx="2">
                  <c:v>54.529000000000003</c:v>
                </c:pt>
                <c:pt idx="3">
                  <c:v>55.472999999999999</c:v>
                </c:pt>
                <c:pt idx="4">
                  <c:v>55.91</c:v>
                </c:pt>
                <c:pt idx="5">
                  <c:v>56.984000000000002</c:v>
                </c:pt>
                <c:pt idx="6">
                  <c:v>57.091999999999999</c:v>
                </c:pt>
                <c:pt idx="7">
                  <c:v>57.482999999999997</c:v>
                </c:pt>
                <c:pt idx="8">
                  <c:v>58.719000000000001</c:v>
                </c:pt>
                <c:pt idx="9">
                  <c:v>107.248</c:v>
                </c:pt>
                <c:pt idx="10">
                  <c:v>107.48399999999999</c:v>
                </c:pt>
                <c:pt idx="11">
                  <c:v>109.506</c:v>
                </c:pt>
                <c:pt idx="12">
                  <c:v>111.09399999999999</c:v>
                </c:pt>
                <c:pt idx="13">
                  <c:v>111.527</c:v>
                </c:pt>
                <c:pt idx="14">
                  <c:v>112.53</c:v>
                </c:pt>
                <c:pt idx="15">
                  <c:v>113.36199999999999</c:v>
                </c:pt>
                <c:pt idx="16">
                  <c:v>113.758</c:v>
                </c:pt>
                <c:pt idx="17">
                  <c:v>115.387</c:v>
                </c:pt>
                <c:pt idx="18">
                  <c:v>160.595</c:v>
                </c:pt>
                <c:pt idx="19">
                  <c:v>160.697</c:v>
                </c:pt>
                <c:pt idx="20">
                  <c:v>163.79</c:v>
                </c:pt>
                <c:pt idx="21">
                  <c:v>166.34</c:v>
                </c:pt>
                <c:pt idx="22">
                  <c:v>166.87200000000001</c:v>
                </c:pt>
                <c:pt idx="23">
                  <c:v>167.84800000000001</c:v>
                </c:pt>
                <c:pt idx="24">
                  <c:v>169.19900000000001</c:v>
                </c:pt>
                <c:pt idx="25">
                  <c:v>170.291</c:v>
                </c:pt>
                <c:pt idx="26">
                  <c:v>171.417</c:v>
                </c:pt>
                <c:pt idx="27">
                  <c:v>214.05799999999999</c:v>
                </c:pt>
                <c:pt idx="28">
                  <c:v>214.31100000000001</c:v>
                </c:pt>
                <c:pt idx="29">
                  <c:v>217.57599999999999</c:v>
                </c:pt>
                <c:pt idx="30">
                  <c:v>221.208</c:v>
                </c:pt>
                <c:pt idx="31">
                  <c:v>222.99600000000001</c:v>
                </c:pt>
                <c:pt idx="32">
                  <c:v>223.346</c:v>
                </c:pt>
                <c:pt idx="33">
                  <c:v>224.792</c:v>
                </c:pt>
                <c:pt idx="34">
                  <c:v>227.23699999999999</c:v>
                </c:pt>
                <c:pt idx="35">
                  <c:v>227.387</c:v>
                </c:pt>
                <c:pt idx="36">
                  <c:v>267.20299999999997</c:v>
                </c:pt>
                <c:pt idx="37">
                  <c:v>267.286</c:v>
                </c:pt>
                <c:pt idx="38">
                  <c:v>271.62</c:v>
                </c:pt>
                <c:pt idx="39">
                  <c:v>276.245</c:v>
                </c:pt>
                <c:pt idx="40">
                  <c:v>278.11500000000001</c:v>
                </c:pt>
                <c:pt idx="41">
                  <c:v>278.77100000000002</c:v>
                </c:pt>
                <c:pt idx="42">
                  <c:v>280.43099999999998</c:v>
                </c:pt>
                <c:pt idx="43">
                  <c:v>283.97699999999998</c:v>
                </c:pt>
                <c:pt idx="44">
                  <c:v>284.36900000000003</c:v>
                </c:pt>
                <c:pt idx="45">
                  <c:v>319.94</c:v>
                </c:pt>
                <c:pt idx="46">
                  <c:v>320.41699999999997</c:v>
                </c:pt>
                <c:pt idx="47">
                  <c:v>325.77699999999999</c:v>
                </c:pt>
                <c:pt idx="48">
                  <c:v>331.447</c:v>
                </c:pt>
                <c:pt idx="49">
                  <c:v>333.30500000000001</c:v>
                </c:pt>
                <c:pt idx="50">
                  <c:v>333.83100000000002</c:v>
                </c:pt>
                <c:pt idx="51">
                  <c:v>335.64</c:v>
                </c:pt>
                <c:pt idx="52">
                  <c:v>340.83300000000003</c:v>
                </c:pt>
                <c:pt idx="53">
                  <c:v>341.09199999999998</c:v>
                </c:pt>
                <c:pt idx="54">
                  <c:v>372.53500000000003</c:v>
                </c:pt>
                <c:pt idx="55">
                  <c:v>373.22</c:v>
                </c:pt>
                <c:pt idx="56">
                  <c:v>380.05599999999998</c:v>
                </c:pt>
                <c:pt idx="57">
                  <c:v>386.74900000000002</c:v>
                </c:pt>
                <c:pt idx="58">
                  <c:v>388.19299999999998</c:v>
                </c:pt>
                <c:pt idx="59">
                  <c:v>388.30299999999988</c:v>
                </c:pt>
                <c:pt idx="60">
                  <c:v>391.55099999999999</c:v>
                </c:pt>
                <c:pt idx="61">
                  <c:v>397.34199999999998</c:v>
                </c:pt>
                <c:pt idx="62">
                  <c:v>397.60199999999998</c:v>
                </c:pt>
                <c:pt idx="63">
                  <c:v>425.07600000000002</c:v>
                </c:pt>
                <c:pt idx="64">
                  <c:v>426.26299999999998</c:v>
                </c:pt>
                <c:pt idx="65">
                  <c:v>434.23099999999999</c:v>
                </c:pt>
                <c:pt idx="66">
                  <c:v>442.30500000000001</c:v>
                </c:pt>
                <c:pt idx="67">
                  <c:v>442.87700000000001</c:v>
                </c:pt>
                <c:pt idx="68">
                  <c:v>443.70699999999999</c:v>
                </c:pt>
                <c:pt idx="69">
                  <c:v>447.20600000000002</c:v>
                </c:pt>
                <c:pt idx="70">
                  <c:v>453.82100000000003</c:v>
                </c:pt>
                <c:pt idx="71">
                  <c:v>454.59500000000003</c:v>
                </c:pt>
                <c:pt idx="72">
                  <c:v>477.66599999999988</c:v>
                </c:pt>
                <c:pt idx="73">
                  <c:v>479.28800000000001</c:v>
                </c:pt>
                <c:pt idx="74">
                  <c:v>488.19099999999997</c:v>
                </c:pt>
                <c:pt idx="75">
                  <c:v>497.56099999999998</c:v>
                </c:pt>
                <c:pt idx="76">
                  <c:v>497.72300000000001</c:v>
                </c:pt>
                <c:pt idx="77">
                  <c:v>498.91699999999997</c:v>
                </c:pt>
                <c:pt idx="78">
                  <c:v>502.58499999999998</c:v>
                </c:pt>
                <c:pt idx="79">
                  <c:v>509.87099999999998</c:v>
                </c:pt>
                <c:pt idx="80">
                  <c:v>511.53800000000001</c:v>
                </c:pt>
                <c:pt idx="81">
                  <c:v>530.65299999999991</c:v>
                </c:pt>
                <c:pt idx="82">
                  <c:v>532.33299999999997</c:v>
                </c:pt>
                <c:pt idx="83">
                  <c:v>541.52099999999996</c:v>
                </c:pt>
                <c:pt idx="84">
                  <c:v>551.93500000000006</c:v>
                </c:pt>
                <c:pt idx="85">
                  <c:v>552.71499999999992</c:v>
                </c:pt>
                <c:pt idx="86">
                  <c:v>553.38400000000001</c:v>
                </c:pt>
                <c:pt idx="87">
                  <c:v>558.18000000000006</c:v>
                </c:pt>
                <c:pt idx="88">
                  <c:v>566.23699999999997</c:v>
                </c:pt>
                <c:pt idx="89">
                  <c:v>569.47499999999991</c:v>
                </c:pt>
                <c:pt idx="90">
                  <c:v>583.65299999999991</c:v>
                </c:pt>
                <c:pt idx="91">
                  <c:v>585.43899999999996</c:v>
                </c:pt>
                <c:pt idx="92">
                  <c:v>594.96499999999992</c:v>
                </c:pt>
                <c:pt idx="93">
                  <c:v>606.97200000000009</c:v>
                </c:pt>
                <c:pt idx="94">
                  <c:v>607.32999999999993</c:v>
                </c:pt>
                <c:pt idx="95">
                  <c:v>608.36599999999999</c:v>
                </c:pt>
                <c:pt idx="96">
                  <c:v>613.03800000000001</c:v>
                </c:pt>
                <c:pt idx="97">
                  <c:v>621.69099999999992</c:v>
                </c:pt>
                <c:pt idx="98">
                  <c:v>625.02299999999991</c:v>
                </c:pt>
                <c:pt idx="99">
                  <c:v>636.24399999999991</c:v>
                </c:pt>
                <c:pt idx="100">
                  <c:v>638.471</c:v>
                </c:pt>
                <c:pt idx="101">
                  <c:v>648.21699999999987</c:v>
                </c:pt>
                <c:pt idx="102">
                  <c:v>661.52299999999991</c:v>
                </c:pt>
                <c:pt idx="103">
                  <c:v>661.65100000000007</c:v>
                </c:pt>
                <c:pt idx="104">
                  <c:v>663.02</c:v>
                </c:pt>
                <c:pt idx="105">
                  <c:v>668.73</c:v>
                </c:pt>
                <c:pt idx="106">
                  <c:v>677.15299999999991</c:v>
                </c:pt>
                <c:pt idx="107">
                  <c:v>680.47199999999987</c:v>
                </c:pt>
                <c:pt idx="108">
                  <c:v>688.80799999999988</c:v>
                </c:pt>
                <c:pt idx="109">
                  <c:v>691.47199999999998</c:v>
                </c:pt>
                <c:pt idx="110">
                  <c:v>701.5089999999999</c:v>
                </c:pt>
                <c:pt idx="111">
                  <c:v>716.07599999999991</c:v>
                </c:pt>
                <c:pt idx="112">
                  <c:v>716.20200000000011</c:v>
                </c:pt>
                <c:pt idx="113">
                  <c:v>717.66599999999994</c:v>
                </c:pt>
                <c:pt idx="114">
                  <c:v>724.04100000000005</c:v>
                </c:pt>
                <c:pt idx="115">
                  <c:v>733.63499999999988</c:v>
                </c:pt>
                <c:pt idx="116">
                  <c:v>737.13299999999981</c:v>
                </c:pt>
                <c:pt idx="117">
                  <c:v>741.71299999999985</c:v>
                </c:pt>
                <c:pt idx="118">
                  <c:v>744.25900000000001</c:v>
                </c:pt>
                <c:pt idx="119">
                  <c:v>754.44999999999993</c:v>
                </c:pt>
                <c:pt idx="120">
                  <c:v>770.65599999999995</c:v>
                </c:pt>
                <c:pt idx="121">
                  <c:v>770.76300000000015</c:v>
                </c:pt>
                <c:pt idx="122">
                  <c:v>772.13699999999994</c:v>
                </c:pt>
                <c:pt idx="123">
                  <c:v>779.18400000000008</c:v>
                </c:pt>
                <c:pt idx="124">
                  <c:v>789.3359999999999</c:v>
                </c:pt>
                <c:pt idx="125">
                  <c:v>794.03099999999984</c:v>
                </c:pt>
                <c:pt idx="126">
                  <c:v>794.50299999999982</c:v>
                </c:pt>
                <c:pt idx="127">
                  <c:v>797.92899999999997</c:v>
                </c:pt>
                <c:pt idx="128">
                  <c:v>808.10399999999993</c:v>
                </c:pt>
                <c:pt idx="129">
                  <c:v>825.70099999999991</c:v>
                </c:pt>
                <c:pt idx="130">
                  <c:v>826.44900000000018</c:v>
                </c:pt>
                <c:pt idx="131">
                  <c:v>826.54</c:v>
                </c:pt>
                <c:pt idx="132">
                  <c:v>834.33500000000004</c:v>
                </c:pt>
                <c:pt idx="133">
                  <c:v>845.66899999999987</c:v>
                </c:pt>
                <c:pt idx="134">
                  <c:v>846.68199999999979</c:v>
                </c:pt>
                <c:pt idx="135">
                  <c:v>850.2489999999998</c:v>
                </c:pt>
                <c:pt idx="136">
                  <c:v>851.06</c:v>
                </c:pt>
                <c:pt idx="137">
                  <c:v>862.00699999999995</c:v>
                </c:pt>
                <c:pt idx="138">
                  <c:v>879.50599999999986</c:v>
                </c:pt>
                <c:pt idx="139">
                  <c:v>880.33399999999995</c:v>
                </c:pt>
                <c:pt idx="140">
                  <c:v>880.38000000000022</c:v>
                </c:pt>
                <c:pt idx="141">
                  <c:v>889.13300000000004</c:v>
                </c:pt>
                <c:pt idx="142">
                  <c:v>899.13499999999976</c:v>
                </c:pt>
                <c:pt idx="143">
                  <c:v>902.08499999999981</c:v>
                </c:pt>
                <c:pt idx="144">
                  <c:v>903.89799999999991</c:v>
                </c:pt>
                <c:pt idx="145">
                  <c:v>905.23399999999981</c:v>
                </c:pt>
                <c:pt idx="146">
                  <c:v>914.92899999999997</c:v>
                </c:pt>
                <c:pt idx="147">
                  <c:v>933.46699999999987</c:v>
                </c:pt>
                <c:pt idx="148">
                  <c:v>934.0619999999999</c:v>
                </c:pt>
                <c:pt idx="149">
                  <c:v>934.23800000000017</c:v>
                </c:pt>
                <c:pt idx="150">
                  <c:v>944.41399999999999</c:v>
                </c:pt>
                <c:pt idx="151">
                  <c:v>951.75499999999977</c:v>
                </c:pt>
                <c:pt idx="152">
                  <c:v>956.57899999999995</c:v>
                </c:pt>
                <c:pt idx="153">
                  <c:v>959.00699999999983</c:v>
                </c:pt>
                <c:pt idx="154">
                  <c:v>960.36199999999985</c:v>
                </c:pt>
                <c:pt idx="155">
                  <c:v>968.27699999999993</c:v>
                </c:pt>
                <c:pt idx="156">
                  <c:v>987.40599999999984</c:v>
                </c:pt>
                <c:pt idx="157">
                  <c:v>988.2829999999999</c:v>
                </c:pt>
                <c:pt idx="158">
                  <c:v>988.29300000000012</c:v>
                </c:pt>
                <c:pt idx="159">
                  <c:v>1000.082</c:v>
                </c:pt>
                <c:pt idx="160">
                  <c:v>1004.273</c:v>
                </c:pt>
                <c:pt idx="161">
                  <c:v>1009.982</c:v>
                </c:pt>
                <c:pt idx="162">
                  <c:v>1015.061</c:v>
                </c:pt>
                <c:pt idx="163">
                  <c:v>1017.0119999999999</c:v>
                </c:pt>
                <c:pt idx="164">
                  <c:v>1022.78</c:v>
                </c:pt>
                <c:pt idx="165">
                  <c:v>1041.758</c:v>
                </c:pt>
                <c:pt idx="166">
                  <c:v>1041.9860000000001</c:v>
                </c:pt>
                <c:pt idx="167">
                  <c:v>1042.5309999999999</c:v>
                </c:pt>
                <c:pt idx="168">
                  <c:v>1055.546</c:v>
                </c:pt>
                <c:pt idx="169">
                  <c:v>1056.577</c:v>
                </c:pt>
                <c:pt idx="170">
                  <c:v>1062.8579999999999</c:v>
                </c:pt>
                <c:pt idx="171">
                  <c:v>1072.2570000000001</c:v>
                </c:pt>
                <c:pt idx="172">
                  <c:v>1074.1559999999999</c:v>
                </c:pt>
                <c:pt idx="173">
                  <c:v>1078.1659999999999</c:v>
                </c:pt>
                <c:pt idx="174">
                  <c:v>1095.5119999999999</c:v>
                </c:pt>
                <c:pt idx="175">
                  <c:v>1095.8789999999999</c:v>
                </c:pt>
                <c:pt idx="176">
                  <c:v>1097.713</c:v>
                </c:pt>
                <c:pt idx="177">
                  <c:v>1108.8510000000001</c:v>
                </c:pt>
                <c:pt idx="178">
                  <c:v>1112.067</c:v>
                </c:pt>
                <c:pt idx="179">
                  <c:v>1115.752</c:v>
                </c:pt>
                <c:pt idx="180">
                  <c:v>1127.6790000000001</c:v>
                </c:pt>
                <c:pt idx="181">
                  <c:v>1129.2570000000001</c:v>
                </c:pt>
                <c:pt idx="182">
                  <c:v>1131.1469999999999</c:v>
                </c:pt>
                <c:pt idx="183">
                  <c:v>1149.9880000000001</c:v>
                </c:pt>
                <c:pt idx="184">
                  <c:v>1150.1880000000001</c:v>
                </c:pt>
                <c:pt idx="185">
                  <c:v>1152.442</c:v>
                </c:pt>
                <c:pt idx="186">
                  <c:v>1161.1489999999999</c:v>
                </c:pt>
                <c:pt idx="187">
                  <c:v>1167.48</c:v>
                </c:pt>
                <c:pt idx="188">
                  <c:v>1168.566</c:v>
                </c:pt>
                <c:pt idx="189">
                  <c:v>1183.204</c:v>
                </c:pt>
                <c:pt idx="190">
                  <c:v>1183.8610000000001</c:v>
                </c:pt>
                <c:pt idx="191">
                  <c:v>1184.771</c:v>
                </c:pt>
                <c:pt idx="192">
                  <c:v>1203.7750000000001</c:v>
                </c:pt>
                <c:pt idx="193">
                  <c:v>1204.1310000000001</c:v>
                </c:pt>
                <c:pt idx="194">
                  <c:v>1206.932</c:v>
                </c:pt>
                <c:pt idx="195">
                  <c:v>1213.0440000000001</c:v>
                </c:pt>
                <c:pt idx="196">
                  <c:v>1221.4059999999999</c:v>
                </c:pt>
                <c:pt idx="197">
                  <c:v>1222.7739999999999</c:v>
                </c:pt>
                <c:pt idx="198">
                  <c:v>1236.6559999999999</c:v>
                </c:pt>
                <c:pt idx="199">
                  <c:v>1239.4690000000001</c:v>
                </c:pt>
                <c:pt idx="200">
                  <c:v>1242.714999999999</c:v>
                </c:pt>
                <c:pt idx="201">
                  <c:v>1258.1849999999999</c:v>
                </c:pt>
                <c:pt idx="202">
                  <c:v>1258.5820000000001</c:v>
                </c:pt>
                <c:pt idx="203">
                  <c:v>1262.6769999999999</c:v>
                </c:pt>
                <c:pt idx="204">
                  <c:v>1264.9359999999999</c:v>
                </c:pt>
                <c:pt idx="205">
                  <c:v>1274.2059999999999</c:v>
                </c:pt>
                <c:pt idx="206">
                  <c:v>1278.5029999999999</c:v>
                </c:pt>
                <c:pt idx="207">
                  <c:v>1289.8050000000001</c:v>
                </c:pt>
                <c:pt idx="208">
                  <c:v>1295.049</c:v>
                </c:pt>
                <c:pt idx="209">
                  <c:v>1298.196999999999</c:v>
                </c:pt>
                <c:pt idx="210">
                  <c:v>1311.886</c:v>
                </c:pt>
                <c:pt idx="211">
                  <c:v>1312.077</c:v>
                </c:pt>
                <c:pt idx="212">
                  <c:v>1316.857</c:v>
                </c:pt>
                <c:pt idx="213">
                  <c:v>1316.8969999999999</c:v>
                </c:pt>
                <c:pt idx="214">
                  <c:v>1327.0650000000001</c:v>
                </c:pt>
                <c:pt idx="215">
                  <c:v>1334.078</c:v>
                </c:pt>
                <c:pt idx="216">
                  <c:v>1343.328</c:v>
                </c:pt>
                <c:pt idx="217">
                  <c:v>1353.5630000000001</c:v>
                </c:pt>
                <c:pt idx="218">
                  <c:v>1355.049999999999</c:v>
                </c:pt>
                <c:pt idx="219">
                  <c:v>1365.2909999999999</c:v>
                </c:pt>
                <c:pt idx="220">
                  <c:v>1371.1030000000001</c:v>
                </c:pt>
                <c:pt idx="221">
                  <c:v>1371.922</c:v>
                </c:pt>
                <c:pt idx="222">
                  <c:v>1380.578</c:v>
                </c:pt>
                <c:pt idx="223">
                  <c:v>1390.499</c:v>
                </c:pt>
                <c:pt idx="224">
                  <c:v>1396.672</c:v>
                </c:pt>
                <c:pt idx="225">
                  <c:v>1400.73</c:v>
                </c:pt>
                <c:pt idx="226">
                  <c:v>1409.2739999999999</c:v>
                </c:pt>
                <c:pt idx="227">
                  <c:v>1411.327</c:v>
                </c:pt>
                <c:pt idx="228">
                  <c:v>1418.57</c:v>
                </c:pt>
                <c:pt idx="229">
                  <c:v>1423.5709999999999</c:v>
                </c:pt>
                <c:pt idx="230">
                  <c:v>1426.067</c:v>
                </c:pt>
                <c:pt idx="231">
                  <c:v>1433.5509999999999</c:v>
                </c:pt>
                <c:pt idx="232">
                  <c:v>1445.6969999999999</c:v>
                </c:pt>
                <c:pt idx="233">
                  <c:v>1449.5250000000001</c:v>
                </c:pt>
                <c:pt idx="234">
                  <c:v>1454.1659999999999</c:v>
                </c:pt>
                <c:pt idx="235">
                  <c:v>1464.6569999999999</c:v>
                </c:pt>
                <c:pt idx="236">
                  <c:v>1466.481</c:v>
                </c:pt>
                <c:pt idx="237">
                  <c:v>1472.396</c:v>
                </c:pt>
                <c:pt idx="238">
                  <c:v>1476.029</c:v>
                </c:pt>
                <c:pt idx="239">
                  <c:v>1481.104</c:v>
                </c:pt>
                <c:pt idx="240">
                  <c:v>1486.4649999999999</c:v>
                </c:pt>
                <c:pt idx="241">
                  <c:v>1500.1189999999999</c:v>
                </c:pt>
                <c:pt idx="242">
                  <c:v>1502.5119999999999</c:v>
                </c:pt>
                <c:pt idx="243">
                  <c:v>1507.4490000000001</c:v>
                </c:pt>
                <c:pt idx="244">
                  <c:v>1521.09</c:v>
                </c:pt>
                <c:pt idx="245">
                  <c:v>1525.5940000000001</c:v>
                </c:pt>
                <c:pt idx="246">
                  <c:v>1527.826</c:v>
                </c:pt>
                <c:pt idx="247">
                  <c:v>1529.7850000000001</c:v>
                </c:pt>
                <c:pt idx="248">
                  <c:v>1535.702</c:v>
                </c:pt>
                <c:pt idx="249">
                  <c:v>1539.453</c:v>
                </c:pt>
                <c:pt idx="250">
                  <c:v>1554.7650000000001</c:v>
                </c:pt>
                <c:pt idx="251">
                  <c:v>1555.56</c:v>
                </c:pt>
                <c:pt idx="252">
                  <c:v>1560.393</c:v>
                </c:pt>
                <c:pt idx="253">
                  <c:v>1578.941</c:v>
                </c:pt>
                <c:pt idx="254">
                  <c:v>1581.6189999999999</c:v>
                </c:pt>
                <c:pt idx="255">
                  <c:v>1582.057</c:v>
                </c:pt>
                <c:pt idx="256">
                  <c:v>1582.367</c:v>
                </c:pt>
                <c:pt idx="257">
                  <c:v>1590.6369999999999</c:v>
                </c:pt>
                <c:pt idx="258">
                  <c:v>1593.943</c:v>
                </c:pt>
                <c:pt idx="259">
                  <c:v>1608.1479999999999</c:v>
                </c:pt>
                <c:pt idx="260">
                  <c:v>1609.2860000000001</c:v>
                </c:pt>
                <c:pt idx="261">
                  <c:v>1613.3009999999999</c:v>
                </c:pt>
                <c:pt idx="262">
                  <c:v>1634.2470000000001</c:v>
                </c:pt>
                <c:pt idx="263">
                  <c:v>1634.453</c:v>
                </c:pt>
                <c:pt idx="264">
                  <c:v>1635.501</c:v>
                </c:pt>
                <c:pt idx="265">
                  <c:v>1637.64</c:v>
                </c:pt>
                <c:pt idx="266">
                  <c:v>1646.942</c:v>
                </c:pt>
                <c:pt idx="267">
                  <c:v>1648.1289999999999</c:v>
                </c:pt>
                <c:pt idx="268">
                  <c:v>1660.857</c:v>
                </c:pt>
                <c:pt idx="269">
                  <c:v>1663.2570000000001</c:v>
                </c:pt>
                <c:pt idx="270">
                  <c:v>1666.9079999999999</c:v>
                </c:pt>
                <c:pt idx="271">
                  <c:v>1686.402</c:v>
                </c:pt>
                <c:pt idx="272">
                  <c:v>1688.105</c:v>
                </c:pt>
                <c:pt idx="273">
                  <c:v>1692.096</c:v>
                </c:pt>
                <c:pt idx="274">
                  <c:v>1693.64</c:v>
                </c:pt>
                <c:pt idx="275">
                  <c:v>1700.982</c:v>
                </c:pt>
                <c:pt idx="276">
                  <c:v>1701.133</c:v>
                </c:pt>
                <c:pt idx="277">
                  <c:v>1713.537</c:v>
                </c:pt>
                <c:pt idx="278">
                  <c:v>1717.67</c:v>
                </c:pt>
                <c:pt idx="279">
                  <c:v>1720.1189999999999</c:v>
                </c:pt>
                <c:pt idx="280">
                  <c:v>1738.673</c:v>
                </c:pt>
                <c:pt idx="281">
                  <c:v>1741.722</c:v>
                </c:pt>
                <c:pt idx="282">
                  <c:v>1748.4749999999999</c:v>
                </c:pt>
                <c:pt idx="283">
                  <c:v>1748.867</c:v>
                </c:pt>
                <c:pt idx="284">
                  <c:v>1755.2349999999999</c:v>
                </c:pt>
                <c:pt idx="285">
                  <c:v>1755.2439999999999</c:v>
                </c:pt>
                <c:pt idx="286">
                  <c:v>1766.07</c:v>
                </c:pt>
                <c:pt idx="287">
                  <c:v>1771.6389999999999</c:v>
                </c:pt>
                <c:pt idx="288">
                  <c:v>1773.8879999999999</c:v>
                </c:pt>
                <c:pt idx="289">
                  <c:v>1791.0740000000001</c:v>
                </c:pt>
                <c:pt idx="290">
                  <c:v>1794.713</c:v>
                </c:pt>
                <c:pt idx="291">
                  <c:v>1805.02</c:v>
                </c:pt>
                <c:pt idx="292">
                  <c:v>1805.8710000000001</c:v>
                </c:pt>
                <c:pt idx="293">
                  <c:v>1808.5830000000001</c:v>
                </c:pt>
                <c:pt idx="294">
                  <c:v>1809.4469999999999</c:v>
                </c:pt>
                <c:pt idx="295">
                  <c:v>1819.8219999999999</c:v>
                </c:pt>
                <c:pt idx="296">
                  <c:v>1826.442</c:v>
                </c:pt>
                <c:pt idx="297">
                  <c:v>1828.6089999999999</c:v>
                </c:pt>
              </c:numCache>
            </c:numRef>
          </c:xVal>
          <c:yVal>
            <c:numRef>
              <c:f>intermediate_data!$AK$2:$AK$299</c:f>
              <c:numCache>
                <c:formatCode>General</c:formatCode>
                <c:ptCount val="298"/>
                <c:pt idx="0">
                  <c:v>2.8089071375657184</c:v>
                </c:pt>
                <c:pt idx="1">
                  <c:v>2.8088884533677643</c:v>
                </c:pt>
                <c:pt idx="2">
                  <c:v>2.8091430065230583</c:v>
                </c:pt>
                <c:pt idx="3">
                  <c:v>2.8085609704818069</c:v>
                </c:pt>
                <c:pt idx="4">
                  <c:v>2.8081679622800451</c:v>
                </c:pt>
                <c:pt idx="5">
                  <c:v>2.8078445207833624</c:v>
                </c:pt>
                <c:pt idx="6">
                  <c:v>2.8081111759384285</c:v>
                </c:pt>
                <c:pt idx="7">
                  <c:v>2.809379252210114</c:v>
                </c:pt>
                <c:pt idx="8">
                  <c:v>2.8169264119601465</c:v>
                </c:pt>
                <c:pt idx="9">
                  <c:v>2.1252518305656309</c:v>
                </c:pt>
                <c:pt idx="10">
                  <c:v>2.1234901560644985</c:v>
                </c:pt>
                <c:pt idx="11">
                  <c:v>2.1100176576857805</c:v>
                </c:pt>
                <c:pt idx="12">
                  <c:v>2.1009308780547116</c:v>
                </c:pt>
                <c:pt idx="13">
                  <c:v>2.0986621980669753</c:v>
                </c:pt>
                <c:pt idx="14">
                  <c:v>2.0937466882232059</c:v>
                </c:pt>
                <c:pt idx="15">
                  <c:v>2.0899242184539943</c:v>
                </c:pt>
                <c:pt idx="16">
                  <c:v>2.088141155028346</c:v>
                </c:pt>
                <c:pt idx="17">
                  <c:v>2.0811399082579314</c:v>
                </c:pt>
                <c:pt idx="18">
                  <c:v>1.7781643565888032</c:v>
                </c:pt>
                <c:pt idx="19">
                  <c:v>1.7776702349119304</c:v>
                </c:pt>
                <c:pt idx="20">
                  <c:v>1.762081085743965</c:v>
                </c:pt>
                <c:pt idx="21">
                  <c:v>1.7505688543070903</c:v>
                </c:pt>
                <c:pt idx="22">
                  <c:v>1.7483483523049657</c:v>
                </c:pt>
                <c:pt idx="23">
                  <c:v>1.7435955153287921</c:v>
                </c:pt>
                <c:pt idx="24">
                  <c:v>1.7372611915507292</c:v>
                </c:pt>
                <c:pt idx="25">
                  <c:v>1.7323885672537713</c:v>
                </c:pt>
                <c:pt idx="26">
                  <c:v>1.7271434609361407</c:v>
                </c:pt>
                <c:pt idx="27">
                  <c:v>1.558910476780035</c:v>
                </c:pt>
                <c:pt idx="28">
                  <c:v>1.5581613271254469</c:v>
                </c:pt>
                <c:pt idx="29">
                  <c:v>1.5498019081272147</c:v>
                </c:pt>
                <c:pt idx="30">
                  <c:v>1.5403036134824646</c:v>
                </c:pt>
                <c:pt idx="31">
                  <c:v>1.5355912032254508</c:v>
                </c:pt>
                <c:pt idx="32">
                  <c:v>1.5346828575626645</c:v>
                </c:pt>
                <c:pt idx="33">
                  <c:v>1.5316939159272778</c:v>
                </c:pt>
                <c:pt idx="34">
                  <c:v>1.5266741279013587</c:v>
                </c:pt>
                <c:pt idx="35">
                  <c:v>1.5263569368995675</c:v>
                </c:pt>
                <c:pt idx="36">
                  <c:v>1.5390756452710335</c:v>
                </c:pt>
                <c:pt idx="37">
                  <c:v>1.5391135058579266</c:v>
                </c:pt>
                <c:pt idx="38">
                  <c:v>1.540757886917774</c:v>
                </c:pt>
                <c:pt idx="39">
                  <c:v>1.5422359075088039</c:v>
                </c:pt>
                <c:pt idx="40">
                  <c:v>1.5426955330670253</c:v>
                </c:pt>
                <c:pt idx="41">
                  <c:v>1.5428366636333024</c:v>
                </c:pt>
                <c:pt idx="42">
                  <c:v>1.5434309924657441</c:v>
                </c:pt>
                <c:pt idx="43">
                  <c:v>1.5452699458811168</c:v>
                </c:pt>
                <c:pt idx="44">
                  <c:v>1.5461167213397005</c:v>
                </c:pt>
                <c:pt idx="45">
                  <c:v>1.6221185836468166</c:v>
                </c:pt>
                <c:pt idx="46">
                  <c:v>1.62304880754089</c:v>
                </c:pt>
                <c:pt idx="47">
                  <c:v>1.6339654508492458</c:v>
                </c:pt>
                <c:pt idx="48">
                  <c:v>1.6448881434079468</c:v>
                </c:pt>
                <c:pt idx="49">
                  <c:v>1.6483246218493122</c:v>
                </c:pt>
                <c:pt idx="50">
                  <c:v>1.6493437019240531</c:v>
                </c:pt>
                <c:pt idx="51">
                  <c:v>1.6531816840875493</c:v>
                </c:pt>
                <c:pt idx="52">
                  <c:v>1.6627996520976964</c:v>
                </c:pt>
                <c:pt idx="53">
                  <c:v>1.6632680423695589</c:v>
                </c:pt>
                <c:pt idx="54">
                  <c:v>1.6695080513872895</c:v>
                </c:pt>
                <c:pt idx="55">
                  <c:v>1.6696442558261495</c:v>
                </c:pt>
                <c:pt idx="56">
                  <c:v>1.6704555295951664</c:v>
                </c:pt>
                <c:pt idx="57">
                  <c:v>1.6714284393913701</c:v>
                </c:pt>
                <c:pt idx="58">
                  <c:v>1.6715300130336175</c:v>
                </c:pt>
                <c:pt idx="59">
                  <c:v>1.6715180612205955</c:v>
                </c:pt>
                <c:pt idx="60">
                  <c:v>1.6710720799251675</c:v>
                </c:pt>
                <c:pt idx="61">
                  <c:v>1.6707000801470429</c:v>
                </c:pt>
                <c:pt idx="62">
                  <c:v>1.670685710392668</c:v>
                </c:pt>
                <c:pt idx="63">
                  <c:v>1.6972642165459249</c:v>
                </c:pt>
                <c:pt idx="64">
                  <c:v>1.6983186113388129</c:v>
                </c:pt>
                <c:pt idx="65">
                  <c:v>1.705286818275269</c:v>
                </c:pt>
                <c:pt idx="66">
                  <c:v>1.7125445395820407</c:v>
                </c:pt>
                <c:pt idx="67">
                  <c:v>1.7130912526960387</c:v>
                </c:pt>
                <c:pt idx="68">
                  <c:v>1.7138246935698618</c:v>
                </c:pt>
                <c:pt idx="69">
                  <c:v>1.7171485079490196</c:v>
                </c:pt>
                <c:pt idx="70">
                  <c:v>1.723732391255794</c:v>
                </c:pt>
                <c:pt idx="71">
                  <c:v>1.7245680379298847</c:v>
                </c:pt>
                <c:pt idx="72">
                  <c:v>1.746077284916403</c:v>
                </c:pt>
                <c:pt idx="73">
                  <c:v>1.7473487544566098</c:v>
                </c:pt>
                <c:pt idx="74">
                  <c:v>1.7541331523988148</c:v>
                </c:pt>
                <c:pt idx="75">
                  <c:v>1.7623999007386786</c:v>
                </c:pt>
                <c:pt idx="76">
                  <c:v>1.7625722777251553</c:v>
                </c:pt>
                <c:pt idx="77">
                  <c:v>1.7638002491763487</c:v>
                </c:pt>
                <c:pt idx="78">
                  <c:v>1.7681435119397548</c:v>
                </c:pt>
                <c:pt idx="79">
                  <c:v>1.7762465232548976</c:v>
                </c:pt>
                <c:pt idx="80">
                  <c:v>1.7779580060423612</c:v>
                </c:pt>
                <c:pt idx="81">
                  <c:v>1.8282436201433114</c:v>
                </c:pt>
                <c:pt idx="82">
                  <c:v>1.8324878327493792</c:v>
                </c:pt>
                <c:pt idx="83">
                  <c:v>1.8551160114740739</c:v>
                </c:pt>
                <c:pt idx="84">
                  <c:v>1.8796101533355483</c:v>
                </c:pt>
                <c:pt idx="85">
                  <c:v>1.8813028380217816</c:v>
                </c:pt>
                <c:pt idx="86">
                  <c:v>1.882801965372856</c:v>
                </c:pt>
                <c:pt idx="87">
                  <c:v>1.8929479780539182</c:v>
                </c:pt>
                <c:pt idx="88">
                  <c:v>1.9107682739690901</c:v>
                </c:pt>
                <c:pt idx="89">
                  <c:v>1.9183479551624742</c:v>
                </c:pt>
                <c:pt idx="90">
                  <c:v>1.8981537567595055</c:v>
                </c:pt>
                <c:pt idx="91">
                  <c:v>1.8958321874805648</c:v>
                </c:pt>
                <c:pt idx="92">
                  <c:v>1.8838346397633643</c:v>
                </c:pt>
                <c:pt idx="93">
                  <c:v>1.8697155897578668</c:v>
                </c:pt>
                <c:pt idx="94">
                  <c:v>1.8693270436699549</c:v>
                </c:pt>
                <c:pt idx="95">
                  <c:v>1.8682868864693418</c:v>
                </c:pt>
                <c:pt idx="96">
                  <c:v>1.863920779502692</c:v>
                </c:pt>
                <c:pt idx="97">
                  <c:v>1.8547380694229432</c:v>
                </c:pt>
                <c:pt idx="98">
                  <c:v>1.8512675498458435</c:v>
                </c:pt>
                <c:pt idx="99">
                  <c:v>1.8382179443517046</c:v>
                </c:pt>
                <c:pt idx="100">
                  <c:v>1.8356959346484416</c:v>
                </c:pt>
                <c:pt idx="101">
                  <c:v>1.8249254687047696</c:v>
                </c:pt>
                <c:pt idx="102">
                  <c:v>1.8106556459838004</c:v>
                </c:pt>
                <c:pt idx="103">
                  <c:v>1.8105133581470483</c:v>
                </c:pt>
                <c:pt idx="104">
                  <c:v>1.809024802545963</c:v>
                </c:pt>
                <c:pt idx="105">
                  <c:v>1.8028917228486137</c:v>
                </c:pt>
                <c:pt idx="106">
                  <c:v>1.7945552283108697</c:v>
                </c:pt>
                <c:pt idx="107">
                  <c:v>1.7907967455312814</c:v>
                </c:pt>
                <c:pt idx="108">
                  <c:v>1.7949655077892999</c:v>
                </c:pt>
                <c:pt idx="109">
                  <c:v>1.7961181315109656</c:v>
                </c:pt>
                <c:pt idx="110">
                  <c:v>1.8007481904839224</c:v>
                </c:pt>
                <c:pt idx="111">
                  <c:v>1.8080828042267783</c:v>
                </c:pt>
                <c:pt idx="112">
                  <c:v>1.8081444002454674</c:v>
                </c:pt>
                <c:pt idx="113">
                  <c:v>1.8088561942954655</c:v>
                </c:pt>
                <c:pt idx="114">
                  <c:v>1.8120951857085501</c:v>
                </c:pt>
                <c:pt idx="115">
                  <c:v>1.8171038208462633</c:v>
                </c:pt>
                <c:pt idx="116">
                  <c:v>1.819291546748012</c:v>
                </c:pt>
                <c:pt idx="117">
                  <c:v>1.8260042943313834</c:v>
                </c:pt>
                <c:pt idx="118">
                  <c:v>1.8299430614810603</c:v>
                </c:pt>
                <c:pt idx="119">
                  <c:v>1.8440349796721947</c:v>
                </c:pt>
                <c:pt idx="120">
                  <c:v>1.8639145767728706</c:v>
                </c:pt>
                <c:pt idx="121">
                  <c:v>1.8640358830463697</c:v>
                </c:pt>
                <c:pt idx="122">
                  <c:v>1.8653702320590284</c:v>
                </c:pt>
                <c:pt idx="123">
                  <c:v>1.8722099823880214</c:v>
                </c:pt>
                <c:pt idx="124">
                  <c:v>1.8818392681389966</c:v>
                </c:pt>
                <c:pt idx="125">
                  <c:v>1.885811672744218</c:v>
                </c:pt>
                <c:pt idx="126">
                  <c:v>1.8861844372196899</c:v>
                </c:pt>
                <c:pt idx="127">
                  <c:v>1.8825847070060107</c:v>
                </c:pt>
                <c:pt idx="128">
                  <c:v>1.8728733226216505</c:v>
                </c:pt>
                <c:pt idx="129">
                  <c:v>1.8560416686871193</c:v>
                </c:pt>
                <c:pt idx="130">
                  <c:v>1.8554691115451192</c:v>
                </c:pt>
                <c:pt idx="131">
                  <c:v>1.8554210390220689</c:v>
                </c:pt>
                <c:pt idx="132">
                  <c:v>1.8519930170321217</c:v>
                </c:pt>
                <c:pt idx="133">
                  <c:v>1.8476475486295243</c:v>
                </c:pt>
                <c:pt idx="134">
                  <c:v>1.8472545407856771</c:v>
                </c:pt>
                <c:pt idx="135">
                  <c:v>1.8459788264474142</c:v>
                </c:pt>
                <c:pt idx="136">
                  <c:v>1.845009246081915</c:v>
                </c:pt>
                <c:pt idx="137">
                  <c:v>1.8325505747395567</c:v>
                </c:pt>
                <c:pt idx="138">
                  <c:v>1.8155906093245449</c:v>
                </c:pt>
                <c:pt idx="139">
                  <c:v>1.8147886943874454</c:v>
                </c:pt>
                <c:pt idx="140">
                  <c:v>1.8147445879823607</c:v>
                </c:pt>
                <c:pt idx="141">
                  <c:v>1.8065211506358381</c:v>
                </c:pt>
                <c:pt idx="142">
                  <c:v>1.7967371629549262</c:v>
                </c:pt>
                <c:pt idx="143">
                  <c:v>1.7938286574231341</c:v>
                </c:pt>
                <c:pt idx="144">
                  <c:v>1.7919455669289164</c:v>
                </c:pt>
                <c:pt idx="145">
                  <c:v>1.7905907046179479</c:v>
                </c:pt>
                <c:pt idx="146">
                  <c:v>1.7823147618215955</c:v>
                </c:pt>
                <c:pt idx="147">
                  <c:v>1.7659879894934463</c:v>
                </c:pt>
                <c:pt idx="148">
                  <c:v>1.7654766906968575</c:v>
                </c:pt>
                <c:pt idx="149">
                  <c:v>1.7653149542416102</c:v>
                </c:pt>
                <c:pt idx="150">
                  <c:v>1.7558268217323203</c:v>
                </c:pt>
                <c:pt idx="151">
                  <c:v>1.7487892423124407</c:v>
                </c:pt>
                <c:pt idx="152">
                  <c:v>1.7442874183456638</c:v>
                </c:pt>
                <c:pt idx="153">
                  <c:v>1.741822865072713</c:v>
                </c:pt>
                <c:pt idx="154">
                  <c:v>1.7405809033881496</c:v>
                </c:pt>
                <c:pt idx="155">
                  <c:v>1.744782485240421</c:v>
                </c:pt>
                <c:pt idx="156">
                  <c:v>1.7520953474197754</c:v>
                </c:pt>
                <c:pt idx="157">
                  <c:v>1.7523821949920872</c:v>
                </c:pt>
                <c:pt idx="158">
                  <c:v>1.7523860622250496</c:v>
                </c:pt>
                <c:pt idx="159">
                  <c:v>1.7566462933196263</c:v>
                </c:pt>
                <c:pt idx="160">
                  <c:v>1.758228488383871</c:v>
                </c:pt>
                <c:pt idx="161">
                  <c:v>1.7605092184304567</c:v>
                </c:pt>
                <c:pt idx="162">
                  <c:v>1.7628275476547799</c:v>
                </c:pt>
                <c:pt idx="163">
                  <c:v>1.7634844337214943</c:v>
                </c:pt>
                <c:pt idx="164">
                  <c:v>1.7678728342384815</c:v>
                </c:pt>
                <c:pt idx="165">
                  <c:v>1.7801977802510578</c:v>
                </c:pt>
                <c:pt idx="166">
                  <c:v>1.7803580585751604</c:v>
                </c:pt>
                <c:pt idx="167">
                  <c:v>1.7807294742913626</c:v>
                </c:pt>
                <c:pt idx="168">
                  <c:v>1.7881916953991279</c:v>
                </c:pt>
                <c:pt idx="169">
                  <c:v>1.7886655292534002</c:v>
                </c:pt>
                <c:pt idx="170">
                  <c:v>1.791554178103496</c:v>
                </c:pt>
                <c:pt idx="171">
                  <c:v>1.7957956221075904</c:v>
                </c:pt>
                <c:pt idx="172">
                  <c:v>1.7969730552390359</c:v>
                </c:pt>
                <c:pt idx="173">
                  <c:v>1.792536659584627</c:v>
                </c:pt>
                <c:pt idx="174">
                  <c:v>1.7780506520174768</c:v>
                </c:pt>
                <c:pt idx="175">
                  <c:v>1.7777218105514692</c:v>
                </c:pt>
                <c:pt idx="176">
                  <c:v>1.776002880256236</c:v>
                </c:pt>
                <c:pt idx="177">
                  <c:v>1.7661910839254844</c:v>
                </c:pt>
                <c:pt idx="178">
                  <c:v>1.7633873424246005</c:v>
                </c:pt>
                <c:pt idx="179">
                  <c:v>1.760583956962364</c:v>
                </c:pt>
                <c:pt idx="180">
                  <c:v>1.7517411132153882</c:v>
                </c:pt>
                <c:pt idx="181">
                  <c:v>1.7505700812312384</c:v>
                </c:pt>
                <c:pt idx="182">
                  <c:v>1.7498160915986958</c:v>
                </c:pt>
                <c:pt idx="183">
                  <c:v>1.7429594475625123</c:v>
                </c:pt>
                <c:pt idx="184">
                  <c:v>1.7429014940131609</c:v>
                </c:pt>
                <c:pt idx="185">
                  <c:v>1.7423310238251304</c:v>
                </c:pt>
                <c:pt idx="186">
                  <c:v>1.7403484812354293</c:v>
                </c:pt>
                <c:pt idx="187">
                  <c:v>1.7391936447277487</c:v>
                </c:pt>
                <c:pt idx="188">
                  <c:v>1.7390088358822453</c:v>
                </c:pt>
                <c:pt idx="189">
                  <c:v>1.7365135541209753</c:v>
                </c:pt>
                <c:pt idx="190">
                  <c:v>1.7363593715374535</c:v>
                </c:pt>
                <c:pt idx="191">
                  <c:v>1.7361386788013604</c:v>
                </c:pt>
                <c:pt idx="192">
                  <c:v>1.7656130151297376</c:v>
                </c:pt>
                <c:pt idx="193">
                  <c:v>1.7661355435130162</c:v>
                </c:pt>
                <c:pt idx="194">
                  <c:v>1.7701029346158776</c:v>
                </c:pt>
                <c:pt idx="195">
                  <c:v>1.7780064148887149</c:v>
                </c:pt>
                <c:pt idx="196">
                  <c:v>1.7886968195502888</c:v>
                </c:pt>
                <c:pt idx="197">
                  <c:v>1.7904374797769762</c:v>
                </c:pt>
                <c:pt idx="198">
                  <c:v>1.8073620696742054</c:v>
                </c:pt>
                <c:pt idx="199">
                  <c:v>1.8106514346875784</c:v>
                </c:pt>
                <c:pt idx="200">
                  <c:v>1.814619100500579</c:v>
                </c:pt>
                <c:pt idx="201">
                  <c:v>1.8063331564930536</c:v>
                </c:pt>
                <c:pt idx="202">
                  <c:v>1.8061486792562462</c:v>
                </c:pt>
                <c:pt idx="203">
                  <c:v>1.80460618871561</c:v>
                </c:pt>
                <c:pt idx="204">
                  <c:v>1.8040669182342057</c:v>
                </c:pt>
                <c:pt idx="205">
                  <c:v>1.8018127776905573</c:v>
                </c:pt>
                <c:pt idx="206">
                  <c:v>1.8007557209430871</c:v>
                </c:pt>
                <c:pt idx="207">
                  <c:v>1.7981546224155025</c:v>
                </c:pt>
                <c:pt idx="208">
                  <c:v>1.7967869452977396</c:v>
                </c:pt>
                <c:pt idx="209">
                  <c:v>1.7952454760154666</c:v>
                </c:pt>
                <c:pt idx="210">
                  <c:v>1.8015729959113429</c:v>
                </c:pt>
                <c:pt idx="211">
                  <c:v>1.8013045738008557</c:v>
                </c:pt>
                <c:pt idx="212">
                  <c:v>1.7947300491132552</c:v>
                </c:pt>
                <c:pt idx="213">
                  <c:v>1.7946722334125127</c:v>
                </c:pt>
                <c:pt idx="214">
                  <c:v>1.7780546344655903</c:v>
                </c:pt>
                <c:pt idx="215">
                  <c:v>1.7663290538684535</c:v>
                </c:pt>
                <c:pt idx="216">
                  <c:v>1.7504224541464239</c:v>
                </c:pt>
                <c:pt idx="217">
                  <c:v>1.7332189610136126</c:v>
                </c:pt>
                <c:pt idx="218">
                  <c:v>1.7310539945962873</c:v>
                </c:pt>
                <c:pt idx="219">
                  <c:v>1.7124103945632356</c:v>
                </c:pt>
                <c:pt idx="220">
                  <c:v>1.7019164939053866</c:v>
                </c:pt>
                <c:pt idx="221">
                  <c:v>1.7005661526136961</c:v>
                </c:pt>
                <c:pt idx="222">
                  <c:v>1.6870338364127448</c:v>
                </c:pt>
                <c:pt idx="223">
                  <c:v>1.6721776336589116</c:v>
                </c:pt>
                <c:pt idx="224">
                  <c:v>1.663616042504465</c:v>
                </c:pt>
                <c:pt idx="225">
                  <c:v>1.6581960886270224</c:v>
                </c:pt>
                <c:pt idx="226">
                  <c:v>1.6619709078102076</c:v>
                </c:pt>
                <c:pt idx="227">
                  <c:v>1.662922590958452</c:v>
                </c:pt>
                <c:pt idx="228">
                  <c:v>1.6609873220807643</c:v>
                </c:pt>
                <c:pt idx="229">
                  <c:v>1.6594395998583309</c:v>
                </c:pt>
                <c:pt idx="230">
                  <c:v>1.6586734666570635</c:v>
                </c:pt>
                <c:pt idx="231">
                  <c:v>1.6558719164624307</c:v>
                </c:pt>
                <c:pt idx="232">
                  <c:v>1.6514480998723755</c:v>
                </c:pt>
                <c:pt idx="233">
                  <c:v>1.6502971461234068</c:v>
                </c:pt>
                <c:pt idx="234">
                  <c:v>1.648859288808957</c:v>
                </c:pt>
                <c:pt idx="235">
                  <c:v>1.6457720544406982</c:v>
                </c:pt>
                <c:pt idx="236">
                  <c:v>1.6451007580806234</c:v>
                </c:pt>
                <c:pt idx="237">
                  <c:v>1.6568309711734912</c:v>
                </c:pt>
                <c:pt idx="238">
                  <c:v>1.6635501063624716</c:v>
                </c:pt>
                <c:pt idx="239">
                  <c:v>1.6723579319184338</c:v>
                </c:pt>
                <c:pt idx="240">
                  <c:v>1.6817752831999826</c:v>
                </c:pt>
                <c:pt idx="241">
                  <c:v>1.7053897836410314</c:v>
                </c:pt>
                <c:pt idx="242">
                  <c:v>1.7094462459116073</c:v>
                </c:pt>
                <c:pt idx="243">
                  <c:v>1.7177525722239224</c:v>
                </c:pt>
                <c:pt idx="244">
                  <c:v>1.7407941391754562</c:v>
                </c:pt>
                <c:pt idx="245">
                  <c:v>1.747888290898274</c:v>
                </c:pt>
                <c:pt idx="246">
                  <c:v>1.7480721011193481</c:v>
                </c:pt>
                <c:pt idx="247">
                  <c:v>1.7484671858375052</c:v>
                </c:pt>
                <c:pt idx="248">
                  <c:v>1.7501874043729231</c:v>
                </c:pt>
                <c:pt idx="249">
                  <c:v>1.7511798103512533</c:v>
                </c:pt>
                <c:pt idx="250">
                  <c:v>1.7534745628582584</c:v>
                </c:pt>
                <c:pt idx="251">
                  <c:v>1.7535996072317843</c:v>
                </c:pt>
                <c:pt idx="252">
                  <c:v>1.7545271155958204</c:v>
                </c:pt>
                <c:pt idx="253">
                  <c:v>1.7580838927089601</c:v>
                </c:pt>
                <c:pt idx="254">
                  <c:v>1.7590011271513077</c:v>
                </c:pt>
                <c:pt idx="255">
                  <c:v>1.7591480158721211</c:v>
                </c:pt>
                <c:pt idx="256">
                  <c:v>1.7590948486527864</c:v>
                </c:pt>
                <c:pt idx="257">
                  <c:v>1.7581297810931957</c:v>
                </c:pt>
                <c:pt idx="258">
                  <c:v>1.7574410362807669</c:v>
                </c:pt>
                <c:pt idx="259">
                  <c:v>1.7548174601857482</c:v>
                </c:pt>
                <c:pt idx="260">
                  <c:v>1.7545990612360498</c:v>
                </c:pt>
                <c:pt idx="261">
                  <c:v>1.7539858661109449</c:v>
                </c:pt>
                <c:pt idx="262">
                  <c:v>1.7497860424189113</c:v>
                </c:pt>
                <c:pt idx="263">
                  <c:v>1.74974102414496</c:v>
                </c:pt>
                <c:pt idx="264">
                  <c:v>1.7493701939244346</c:v>
                </c:pt>
                <c:pt idx="265">
                  <c:v>1.7488107688377355</c:v>
                </c:pt>
                <c:pt idx="266">
                  <c:v>1.7485561350200598</c:v>
                </c:pt>
                <c:pt idx="267">
                  <c:v>1.7486898560200217</c:v>
                </c:pt>
                <c:pt idx="268">
                  <c:v>1.7512978809992035</c:v>
                </c:pt>
                <c:pt idx="269">
                  <c:v>1.7517900857253323</c:v>
                </c:pt>
                <c:pt idx="270">
                  <c:v>1.7524264365290634</c:v>
                </c:pt>
                <c:pt idx="271">
                  <c:v>1.7563099853144521</c:v>
                </c:pt>
                <c:pt idx="272">
                  <c:v>1.7566306233257478</c:v>
                </c:pt>
                <c:pt idx="273">
                  <c:v>1.7570978489904263</c:v>
                </c:pt>
                <c:pt idx="274">
                  <c:v>1.7573958705326618</c:v>
                </c:pt>
                <c:pt idx="275">
                  <c:v>1.7557260905793086</c:v>
                </c:pt>
                <c:pt idx="276">
                  <c:v>1.7556774108319857</c:v>
                </c:pt>
                <c:pt idx="277">
                  <c:v>1.7517818920627448</c:v>
                </c:pt>
                <c:pt idx="278">
                  <c:v>1.7505392989056219</c:v>
                </c:pt>
                <c:pt idx="279">
                  <c:v>1.7498774432150128</c:v>
                </c:pt>
                <c:pt idx="280">
                  <c:v>1.744234432508236</c:v>
                </c:pt>
                <c:pt idx="281">
                  <c:v>1.7432913979363889</c:v>
                </c:pt>
                <c:pt idx="282">
                  <c:v>1.7414974729154835</c:v>
                </c:pt>
                <c:pt idx="283">
                  <c:v>1.7413899021267056</c:v>
                </c:pt>
                <c:pt idx="284">
                  <c:v>1.7454866278179892</c:v>
                </c:pt>
                <c:pt idx="285">
                  <c:v>1.7454923328969372</c:v>
                </c:pt>
                <c:pt idx="286">
                  <c:v>1.7529619891316273</c:v>
                </c:pt>
                <c:pt idx="287">
                  <c:v>1.756318273044613</c:v>
                </c:pt>
                <c:pt idx="288">
                  <c:v>1.7575490139355026</c:v>
                </c:pt>
                <c:pt idx="289">
                  <c:v>1.7658213896147572</c:v>
                </c:pt>
                <c:pt idx="290">
                  <c:v>1.7674850681598286</c:v>
                </c:pt>
                <c:pt idx="291">
                  <c:v>1.7712438993685637</c:v>
                </c:pt>
                <c:pt idx="292">
                  <c:v>1.7715591218770967</c:v>
                </c:pt>
                <c:pt idx="293">
                  <c:v>1.7718030414171935</c:v>
                </c:pt>
                <c:pt idx="294">
                  <c:v>1.771888718903341</c:v>
                </c:pt>
                <c:pt idx="295">
                  <c:v>1.772516582703723</c:v>
                </c:pt>
                <c:pt idx="296">
                  <c:v>1.7730087519736628</c:v>
                </c:pt>
                <c:pt idx="297">
                  <c:v>1.7730985612086911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3BE-4EDE-9B06-59BDE07897AD}"/>
            </c:ext>
          </c:extLst>
        </c:ser>
        <c:ser>
          <c:idx val="8"/>
          <c:order val="8"/>
          <c:tx>
            <c:strRef>
              <c:f>race_data!$AO$1</c:f>
              <c:strCache>
                <c:ptCount val="1"/>
                <c:pt idx="0">
                  <c:v>DieterV</c:v>
                </c:pt>
              </c:strCache>
            </c:strRef>
          </c:tx>
          <c:marker>
            <c:symbol val="none"/>
          </c:marker>
          <c:xVal>
            <c:numRef>
              <c:f>intermediate_data!$A$2:$A$299</c:f>
              <c:numCache>
                <c:formatCode>General</c:formatCode>
                <c:ptCount val="298"/>
                <c:pt idx="0">
                  <c:v>53.683999999999997</c:v>
                </c:pt>
                <c:pt idx="1">
                  <c:v>53.756</c:v>
                </c:pt>
                <c:pt idx="2">
                  <c:v>54.529000000000003</c:v>
                </c:pt>
                <c:pt idx="3">
                  <c:v>55.472999999999999</c:v>
                </c:pt>
                <c:pt idx="4">
                  <c:v>55.91</c:v>
                </c:pt>
                <c:pt idx="5">
                  <c:v>56.984000000000002</c:v>
                </c:pt>
                <c:pt idx="6">
                  <c:v>57.091999999999999</c:v>
                </c:pt>
                <c:pt idx="7">
                  <c:v>57.482999999999997</c:v>
                </c:pt>
                <c:pt idx="8">
                  <c:v>58.719000000000001</c:v>
                </c:pt>
                <c:pt idx="9">
                  <c:v>107.248</c:v>
                </c:pt>
                <c:pt idx="10">
                  <c:v>107.48399999999999</c:v>
                </c:pt>
                <c:pt idx="11">
                  <c:v>109.506</c:v>
                </c:pt>
                <c:pt idx="12">
                  <c:v>111.09399999999999</c:v>
                </c:pt>
                <c:pt idx="13">
                  <c:v>111.527</c:v>
                </c:pt>
                <c:pt idx="14">
                  <c:v>112.53</c:v>
                </c:pt>
                <c:pt idx="15">
                  <c:v>113.36199999999999</c:v>
                </c:pt>
                <c:pt idx="16">
                  <c:v>113.758</c:v>
                </c:pt>
                <c:pt idx="17">
                  <c:v>115.387</c:v>
                </c:pt>
                <c:pt idx="18">
                  <c:v>160.595</c:v>
                </c:pt>
                <c:pt idx="19">
                  <c:v>160.697</c:v>
                </c:pt>
                <c:pt idx="20">
                  <c:v>163.79</c:v>
                </c:pt>
                <c:pt idx="21">
                  <c:v>166.34</c:v>
                </c:pt>
                <c:pt idx="22">
                  <c:v>166.87200000000001</c:v>
                </c:pt>
                <c:pt idx="23">
                  <c:v>167.84800000000001</c:v>
                </c:pt>
                <c:pt idx="24">
                  <c:v>169.19900000000001</c:v>
                </c:pt>
                <c:pt idx="25">
                  <c:v>170.291</c:v>
                </c:pt>
                <c:pt idx="26">
                  <c:v>171.417</c:v>
                </c:pt>
                <c:pt idx="27">
                  <c:v>214.05799999999999</c:v>
                </c:pt>
                <c:pt idx="28">
                  <c:v>214.31100000000001</c:v>
                </c:pt>
                <c:pt idx="29">
                  <c:v>217.57599999999999</c:v>
                </c:pt>
                <c:pt idx="30">
                  <c:v>221.208</c:v>
                </c:pt>
                <c:pt idx="31">
                  <c:v>222.99600000000001</c:v>
                </c:pt>
                <c:pt idx="32">
                  <c:v>223.346</c:v>
                </c:pt>
                <c:pt idx="33">
                  <c:v>224.792</c:v>
                </c:pt>
                <c:pt idx="34">
                  <c:v>227.23699999999999</c:v>
                </c:pt>
                <c:pt idx="35">
                  <c:v>227.387</c:v>
                </c:pt>
                <c:pt idx="36">
                  <c:v>267.20299999999997</c:v>
                </c:pt>
                <c:pt idx="37">
                  <c:v>267.286</c:v>
                </c:pt>
                <c:pt idx="38">
                  <c:v>271.62</c:v>
                </c:pt>
                <c:pt idx="39">
                  <c:v>276.245</c:v>
                </c:pt>
                <c:pt idx="40">
                  <c:v>278.11500000000001</c:v>
                </c:pt>
                <c:pt idx="41">
                  <c:v>278.77100000000002</c:v>
                </c:pt>
                <c:pt idx="42">
                  <c:v>280.43099999999998</c:v>
                </c:pt>
                <c:pt idx="43">
                  <c:v>283.97699999999998</c:v>
                </c:pt>
                <c:pt idx="44">
                  <c:v>284.36900000000003</c:v>
                </c:pt>
                <c:pt idx="45">
                  <c:v>319.94</c:v>
                </c:pt>
                <c:pt idx="46">
                  <c:v>320.41699999999997</c:v>
                </c:pt>
                <c:pt idx="47">
                  <c:v>325.77699999999999</c:v>
                </c:pt>
                <c:pt idx="48">
                  <c:v>331.447</c:v>
                </c:pt>
                <c:pt idx="49">
                  <c:v>333.30500000000001</c:v>
                </c:pt>
                <c:pt idx="50">
                  <c:v>333.83100000000002</c:v>
                </c:pt>
                <c:pt idx="51">
                  <c:v>335.64</c:v>
                </c:pt>
                <c:pt idx="52">
                  <c:v>340.83300000000003</c:v>
                </c:pt>
                <c:pt idx="53">
                  <c:v>341.09199999999998</c:v>
                </c:pt>
                <c:pt idx="54">
                  <c:v>372.53500000000003</c:v>
                </c:pt>
                <c:pt idx="55">
                  <c:v>373.22</c:v>
                </c:pt>
                <c:pt idx="56">
                  <c:v>380.05599999999998</c:v>
                </c:pt>
                <c:pt idx="57">
                  <c:v>386.74900000000002</c:v>
                </c:pt>
                <c:pt idx="58">
                  <c:v>388.19299999999998</c:v>
                </c:pt>
                <c:pt idx="59">
                  <c:v>388.30299999999988</c:v>
                </c:pt>
                <c:pt idx="60">
                  <c:v>391.55099999999999</c:v>
                </c:pt>
                <c:pt idx="61">
                  <c:v>397.34199999999998</c:v>
                </c:pt>
                <c:pt idx="62">
                  <c:v>397.60199999999998</c:v>
                </c:pt>
                <c:pt idx="63">
                  <c:v>425.07600000000002</c:v>
                </c:pt>
                <c:pt idx="64">
                  <c:v>426.26299999999998</c:v>
                </c:pt>
                <c:pt idx="65">
                  <c:v>434.23099999999999</c:v>
                </c:pt>
                <c:pt idx="66">
                  <c:v>442.30500000000001</c:v>
                </c:pt>
                <c:pt idx="67">
                  <c:v>442.87700000000001</c:v>
                </c:pt>
                <c:pt idx="68">
                  <c:v>443.70699999999999</c:v>
                </c:pt>
                <c:pt idx="69">
                  <c:v>447.20600000000002</c:v>
                </c:pt>
                <c:pt idx="70">
                  <c:v>453.82100000000003</c:v>
                </c:pt>
                <c:pt idx="71">
                  <c:v>454.59500000000003</c:v>
                </c:pt>
                <c:pt idx="72">
                  <c:v>477.66599999999988</c:v>
                </c:pt>
                <c:pt idx="73">
                  <c:v>479.28800000000001</c:v>
                </c:pt>
                <c:pt idx="74">
                  <c:v>488.19099999999997</c:v>
                </c:pt>
                <c:pt idx="75">
                  <c:v>497.56099999999998</c:v>
                </c:pt>
                <c:pt idx="76">
                  <c:v>497.72300000000001</c:v>
                </c:pt>
                <c:pt idx="77">
                  <c:v>498.91699999999997</c:v>
                </c:pt>
                <c:pt idx="78">
                  <c:v>502.58499999999998</c:v>
                </c:pt>
                <c:pt idx="79">
                  <c:v>509.87099999999998</c:v>
                </c:pt>
                <c:pt idx="80">
                  <c:v>511.53800000000001</c:v>
                </c:pt>
                <c:pt idx="81">
                  <c:v>530.65299999999991</c:v>
                </c:pt>
                <c:pt idx="82">
                  <c:v>532.33299999999997</c:v>
                </c:pt>
                <c:pt idx="83">
                  <c:v>541.52099999999996</c:v>
                </c:pt>
                <c:pt idx="84">
                  <c:v>551.93500000000006</c:v>
                </c:pt>
                <c:pt idx="85">
                  <c:v>552.71499999999992</c:v>
                </c:pt>
                <c:pt idx="86">
                  <c:v>553.38400000000001</c:v>
                </c:pt>
                <c:pt idx="87">
                  <c:v>558.18000000000006</c:v>
                </c:pt>
                <c:pt idx="88">
                  <c:v>566.23699999999997</c:v>
                </c:pt>
                <c:pt idx="89">
                  <c:v>569.47499999999991</c:v>
                </c:pt>
                <c:pt idx="90">
                  <c:v>583.65299999999991</c:v>
                </c:pt>
                <c:pt idx="91">
                  <c:v>585.43899999999996</c:v>
                </c:pt>
                <c:pt idx="92">
                  <c:v>594.96499999999992</c:v>
                </c:pt>
                <c:pt idx="93">
                  <c:v>606.97200000000009</c:v>
                </c:pt>
                <c:pt idx="94">
                  <c:v>607.32999999999993</c:v>
                </c:pt>
                <c:pt idx="95">
                  <c:v>608.36599999999999</c:v>
                </c:pt>
                <c:pt idx="96">
                  <c:v>613.03800000000001</c:v>
                </c:pt>
                <c:pt idx="97">
                  <c:v>621.69099999999992</c:v>
                </c:pt>
                <c:pt idx="98">
                  <c:v>625.02299999999991</c:v>
                </c:pt>
                <c:pt idx="99">
                  <c:v>636.24399999999991</c:v>
                </c:pt>
                <c:pt idx="100">
                  <c:v>638.471</c:v>
                </c:pt>
                <c:pt idx="101">
                  <c:v>648.21699999999987</c:v>
                </c:pt>
                <c:pt idx="102">
                  <c:v>661.52299999999991</c:v>
                </c:pt>
                <c:pt idx="103">
                  <c:v>661.65100000000007</c:v>
                </c:pt>
                <c:pt idx="104">
                  <c:v>663.02</c:v>
                </c:pt>
                <c:pt idx="105">
                  <c:v>668.73</c:v>
                </c:pt>
                <c:pt idx="106">
                  <c:v>677.15299999999991</c:v>
                </c:pt>
                <c:pt idx="107">
                  <c:v>680.47199999999987</c:v>
                </c:pt>
                <c:pt idx="108">
                  <c:v>688.80799999999988</c:v>
                </c:pt>
                <c:pt idx="109">
                  <c:v>691.47199999999998</c:v>
                </c:pt>
                <c:pt idx="110">
                  <c:v>701.5089999999999</c:v>
                </c:pt>
                <c:pt idx="111">
                  <c:v>716.07599999999991</c:v>
                </c:pt>
                <c:pt idx="112">
                  <c:v>716.20200000000011</c:v>
                </c:pt>
                <c:pt idx="113">
                  <c:v>717.66599999999994</c:v>
                </c:pt>
                <c:pt idx="114">
                  <c:v>724.04100000000005</c:v>
                </c:pt>
                <c:pt idx="115">
                  <c:v>733.63499999999988</c:v>
                </c:pt>
                <c:pt idx="116">
                  <c:v>737.13299999999981</c:v>
                </c:pt>
                <c:pt idx="117">
                  <c:v>741.71299999999985</c:v>
                </c:pt>
                <c:pt idx="118">
                  <c:v>744.25900000000001</c:v>
                </c:pt>
                <c:pt idx="119">
                  <c:v>754.44999999999993</c:v>
                </c:pt>
                <c:pt idx="120">
                  <c:v>770.65599999999995</c:v>
                </c:pt>
                <c:pt idx="121">
                  <c:v>770.76300000000015</c:v>
                </c:pt>
                <c:pt idx="122">
                  <c:v>772.13699999999994</c:v>
                </c:pt>
                <c:pt idx="123">
                  <c:v>779.18400000000008</c:v>
                </c:pt>
                <c:pt idx="124">
                  <c:v>789.3359999999999</c:v>
                </c:pt>
                <c:pt idx="125">
                  <c:v>794.03099999999984</c:v>
                </c:pt>
                <c:pt idx="126">
                  <c:v>794.50299999999982</c:v>
                </c:pt>
                <c:pt idx="127">
                  <c:v>797.92899999999997</c:v>
                </c:pt>
                <c:pt idx="128">
                  <c:v>808.10399999999993</c:v>
                </c:pt>
                <c:pt idx="129">
                  <c:v>825.70099999999991</c:v>
                </c:pt>
                <c:pt idx="130">
                  <c:v>826.44900000000018</c:v>
                </c:pt>
                <c:pt idx="131">
                  <c:v>826.54</c:v>
                </c:pt>
                <c:pt idx="132">
                  <c:v>834.33500000000004</c:v>
                </c:pt>
                <c:pt idx="133">
                  <c:v>845.66899999999987</c:v>
                </c:pt>
                <c:pt idx="134">
                  <c:v>846.68199999999979</c:v>
                </c:pt>
                <c:pt idx="135">
                  <c:v>850.2489999999998</c:v>
                </c:pt>
                <c:pt idx="136">
                  <c:v>851.06</c:v>
                </c:pt>
                <c:pt idx="137">
                  <c:v>862.00699999999995</c:v>
                </c:pt>
                <c:pt idx="138">
                  <c:v>879.50599999999986</c:v>
                </c:pt>
                <c:pt idx="139">
                  <c:v>880.33399999999995</c:v>
                </c:pt>
                <c:pt idx="140">
                  <c:v>880.38000000000022</c:v>
                </c:pt>
                <c:pt idx="141">
                  <c:v>889.13300000000004</c:v>
                </c:pt>
                <c:pt idx="142">
                  <c:v>899.13499999999976</c:v>
                </c:pt>
                <c:pt idx="143">
                  <c:v>902.08499999999981</c:v>
                </c:pt>
                <c:pt idx="144">
                  <c:v>903.89799999999991</c:v>
                </c:pt>
                <c:pt idx="145">
                  <c:v>905.23399999999981</c:v>
                </c:pt>
                <c:pt idx="146">
                  <c:v>914.92899999999997</c:v>
                </c:pt>
                <c:pt idx="147">
                  <c:v>933.46699999999987</c:v>
                </c:pt>
                <c:pt idx="148">
                  <c:v>934.0619999999999</c:v>
                </c:pt>
                <c:pt idx="149">
                  <c:v>934.23800000000017</c:v>
                </c:pt>
                <c:pt idx="150">
                  <c:v>944.41399999999999</c:v>
                </c:pt>
                <c:pt idx="151">
                  <c:v>951.75499999999977</c:v>
                </c:pt>
                <c:pt idx="152">
                  <c:v>956.57899999999995</c:v>
                </c:pt>
                <c:pt idx="153">
                  <c:v>959.00699999999983</c:v>
                </c:pt>
                <c:pt idx="154">
                  <c:v>960.36199999999985</c:v>
                </c:pt>
                <c:pt idx="155">
                  <c:v>968.27699999999993</c:v>
                </c:pt>
                <c:pt idx="156">
                  <c:v>987.40599999999984</c:v>
                </c:pt>
                <c:pt idx="157">
                  <c:v>988.2829999999999</c:v>
                </c:pt>
                <c:pt idx="158">
                  <c:v>988.29300000000012</c:v>
                </c:pt>
                <c:pt idx="159">
                  <c:v>1000.082</c:v>
                </c:pt>
                <c:pt idx="160">
                  <c:v>1004.273</c:v>
                </c:pt>
                <c:pt idx="161">
                  <c:v>1009.982</c:v>
                </c:pt>
                <c:pt idx="162">
                  <c:v>1015.061</c:v>
                </c:pt>
                <c:pt idx="163">
                  <c:v>1017.0119999999999</c:v>
                </c:pt>
                <c:pt idx="164">
                  <c:v>1022.78</c:v>
                </c:pt>
                <c:pt idx="165">
                  <c:v>1041.758</c:v>
                </c:pt>
                <c:pt idx="166">
                  <c:v>1041.9860000000001</c:v>
                </c:pt>
                <c:pt idx="167">
                  <c:v>1042.5309999999999</c:v>
                </c:pt>
                <c:pt idx="168">
                  <c:v>1055.546</c:v>
                </c:pt>
                <c:pt idx="169">
                  <c:v>1056.577</c:v>
                </c:pt>
                <c:pt idx="170">
                  <c:v>1062.8579999999999</c:v>
                </c:pt>
                <c:pt idx="171">
                  <c:v>1072.2570000000001</c:v>
                </c:pt>
                <c:pt idx="172">
                  <c:v>1074.1559999999999</c:v>
                </c:pt>
                <c:pt idx="173">
                  <c:v>1078.1659999999999</c:v>
                </c:pt>
                <c:pt idx="174">
                  <c:v>1095.5119999999999</c:v>
                </c:pt>
                <c:pt idx="175">
                  <c:v>1095.8789999999999</c:v>
                </c:pt>
                <c:pt idx="176">
                  <c:v>1097.713</c:v>
                </c:pt>
                <c:pt idx="177">
                  <c:v>1108.8510000000001</c:v>
                </c:pt>
                <c:pt idx="178">
                  <c:v>1112.067</c:v>
                </c:pt>
                <c:pt idx="179">
                  <c:v>1115.752</c:v>
                </c:pt>
                <c:pt idx="180">
                  <c:v>1127.6790000000001</c:v>
                </c:pt>
                <c:pt idx="181">
                  <c:v>1129.2570000000001</c:v>
                </c:pt>
                <c:pt idx="182">
                  <c:v>1131.1469999999999</c:v>
                </c:pt>
                <c:pt idx="183">
                  <c:v>1149.9880000000001</c:v>
                </c:pt>
                <c:pt idx="184">
                  <c:v>1150.1880000000001</c:v>
                </c:pt>
                <c:pt idx="185">
                  <c:v>1152.442</c:v>
                </c:pt>
                <c:pt idx="186">
                  <c:v>1161.1489999999999</c:v>
                </c:pt>
                <c:pt idx="187">
                  <c:v>1167.48</c:v>
                </c:pt>
                <c:pt idx="188">
                  <c:v>1168.566</c:v>
                </c:pt>
                <c:pt idx="189">
                  <c:v>1183.204</c:v>
                </c:pt>
                <c:pt idx="190">
                  <c:v>1183.8610000000001</c:v>
                </c:pt>
                <c:pt idx="191">
                  <c:v>1184.771</c:v>
                </c:pt>
                <c:pt idx="192">
                  <c:v>1203.7750000000001</c:v>
                </c:pt>
                <c:pt idx="193">
                  <c:v>1204.1310000000001</c:v>
                </c:pt>
                <c:pt idx="194">
                  <c:v>1206.932</c:v>
                </c:pt>
                <c:pt idx="195">
                  <c:v>1213.0440000000001</c:v>
                </c:pt>
                <c:pt idx="196">
                  <c:v>1221.4059999999999</c:v>
                </c:pt>
                <c:pt idx="197">
                  <c:v>1222.7739999999999</c:v>
                </c:pt>
                <c:pt idx="198">
                  <c:v>1236.6559999999999</c:v>
                </c:pt>
                <c:pt idx="199">
                  <c:v>1239.4690000000001</c:v>
                </c:pt>
                <c:pt idx="200">
                  <c:v>1242.714999999999</c:v>
                </c:pt>
                <c:pt idx="201">
                  <c:v>1258.1849999999999</c:v>
                </c:pt>
                <c:pt idx="202">
                  <c:v>1258.5820000000001</c:v>
                </c:pt>
                <c:pt idx="203">
                  <c:v>1262.6769999999999</c:v>
                </c:pt>
                <c:pt idx="204">
                  <c:v>1264.9359999999999</c:v>
                </c:pt>
                <c:pt idx="205">
                  <c:v>1274.2059999999999</c:v>
                </c:pt>
                <c:pt idx="206">
                  <c:v>1278.5029999999999</c:v>
                </c:pt>
                <c:pt idx="207">
                  <c:v>1289.8050000000001</c:v>
                </c:pt>
                <c:pt idx="208">
                  <c:v>1295.049</c:v>
                </c:pt>
                <c:pt idx="209">
                  <c:v>1298.196999999999</c:v>
                </c:pt>
                <c:pt idx="210">
                  <c:v>1311.886</c:v>
                </c:pt>
                <c:pt idx="211">
                  <c:v>1312.077</c:v>
                </c:pt>
                <c:pt idx="212">
                  <c:v>1316.857</c:v>
                </c:pt>
                <c:pt idx="213">
                  <c:v>1316.8969999999999</c:v>
                </c:pt>
                <c:pt idx="214">
                  <c:v>1327.0650000000001</c:v>
                </c:pt>
                <c:pt idx="215">
                  <c:v>1334.078</c:v>
                </c:pt>
                <c:pt idx="216">
                  <c:v>1343.328</c:v>
                </c:pt>
                <c:pt idx="217">
                  <c:v>1353.5630000000001</c:v>
                </c:pt>
                <c:pt idx="218">
                  <c:v>1355.049999999999</c:v>
                </c:pt>
                <c:pt idx="219">
                  <c:v>1365.2909999999999</c:v>
                </c:pt>
                <c:pt idx="220">
                  <c:v>1371.1030000000001</c:v>
                </c:pt>
                <c:pt idx="221">
                  <c:v>1371.922</c:v>
                </c:pt>
                <c:pt idx="222">
                  <c:v>1380.578</c:v>
                </c:pt>
                <c:pt idx="223">
                  <c:v>1390.499</c:v>
                </c:pt>
                <c:pt idx="224">
                  <c:v>1396.672</c:v>
                </c:pt>
                <c:pt idx="225">
                  <c:v>1400.73</c:v>
                </c:pt>
                <c:pt idx="226">
                  <c:v>1409.2739999999999</c:v>
                </c:pt>
                <c:pt idx="227">
                  <c:v>1411.327</c:v>
                </c:pt>
                <c:pt idx="228">
                  <c:v>1418.57</c:v>
                </c:pt>
                <c:pt idx="229">
                  <c:v>1423.5709999999999</c:v>
                </c:pt>
                <c:pt idx="230">
                  <c:v>1426.067</c:v>
                </c:pt>
                <c:pt idx="231">
                  <c:v>1433.5509999999999</c:v>
                </c:pt>
                <c:pt idx="232">
                  <c:v>1445.6969999999999</c:v>
                </c:pt>
                <c:pt idx="233">
                  <c:v>1449.5250000000001</c:v>
                </c:pt>
                <c:pt idx="234">
                  <c:v>1454.1659999999999</c:v>
                </c:pt>
                <c:pt idx="235">
                  <c:v>1464.6569999999999</c:v>
                </c:pt>
                <c:pt idx="236">
                  <c:v>1466.481</c:v>
                </c:pt>
                <c:pt idx="237">
                  <c:v>1472.396</c:v>
                </c:pt>
                <c:pt idx="238">
                  <c:v>1476.029</c:v>
                </c:pt>
                <c:pt idx="239">
                  <c:v>1481.104</c:v>
                </c:pt>
                <c:pt idx="240">
                  <c:v>1486.4649999999999</c:v>
                </c:pt>
                <c:pt idx="241">
                  <c:v>1500.1189999999999</c:v>
                </c:pt>
                <c:pt idx="242">
                  <c:v>1502.5119999999999</c:v>
                </c:pt>
                <c:pt idx="243">
                  <c:v>1507.4490000000001</c:v>
                </c:pt>
                <c:pt idx="244">
                  <c:v>1521.09</c:v>
                </c:pt>
                <c:pt idx="245">
                  <c:v>1525.5940000000001</c:v>
                </c:pt>
                <c:pt idx="246">
                  <c:v>1527.826</c:v>
                </c:pt>
                <c:pt idx="247">
                  <c:v>1529.7850000000001</c:v>
                </c:pt>
                <c:pt idx="248">
                  <c:v>1535.702</c:v>
                </c:pt>
                <c:pt idx="249">
                  <c:v>1539.453</c:v>
                </c:pt>
                <c:pt idx="250">
                  <c:v>1554.7650000000001</c:v>
                </c:pt>
                <c:pt idx="251">
                  <c:v>1555.56</c:v>
                </c:pt>
                <c:pt idx="252">
                  <c:v>1560.393</c:v>
                </c:pt>
                <c:pt idx="253">
                  <c:v>1578.941</c:v>
                </c:pt>
                <c:pt idx="254">
                  <c:v>1581.6189999999999</c:v>
                </c:pt>
                <c:pt idx="255">
                  <c:v>1582.057</c:v>
                </c:pt>
                <c:pt idx="256">
                  <c:v>1582.367</c:v>
                </c:pt>
                <c:pt idx="257">
                  <c:v>1590.6369999999999</c:v>
                </c:pt>
                <c:pt idx="258">
                  <c:v>1593.943</c:v>
                </c:pt>
                <c:pt idx="259">
                  <c:v>1608.1479999999999</c:v>
                </c:pt>
                <c:pt idx="260">
                  <c:v>1609.2860000000001</c:v>
                </c:pt>
                <c:pt idx="261">
                  <c:v>1613.3009999999999</c:v>
                </c:pt>
                <c:pt idx="262">
                  <c:v>1634.2470000000001</c:v>
                </c:pt>
                <c:pt idx="263">
                  <c:v>1634.453</c:v>
                </c:pt>
                <c:pt idx="264">
                  <c:v>1635.501</c:v>
                </c:pt>
                <c:pt idx="265">
                  <c:v>1637.64</c:v>
                </c:pt>
                <c:pt idx="266">
                  <c:v>1646.942</c:v>
                </c:pt>
                <c:pt idx="267">
                  <c:v>1648.1289999999999</c:v>
                </c:pt>
                <c:pt idx="268">
                  <c:v>1660.857</c:v>
                </c:pt>
                <c:pt idx="269">
                  <c:v>1663.2570000000001</c:v>
                </c:pt>
                <c:pt idx="270">
                  <c:v>1666.9079999999999</c:v>
                </c:pt>
                <c:pt idx="271">
                  <c:v>1686.402</c:v>
                </c:pt>
                <c:pt idx="272">
                  <c:v>1688.105</c:v>
                </c:pt>
                <c:pt idx="273">
                  <c:v>1692.096</c:v>
                </c:pt>
                <c:pt idx="274">
                  <c:v>1693.64</c:v>
                </c:pt>
                <c:pt idx="275">
                  <c:v>1700.982</c:v>
                </c:pt>
                <c:pt idx="276">
                  <c:v>1701.133</c:v>
                </c:pt>
                <c:pt idx="277">
                  <c:v>1713.537</c:v>
                </c:pt>
                <c:pt idx="278">
                  <c:v>1717.67</c:v>
                </c:pt>
                <c:pt idx="279">
                  <c:v>1720.1189999999999</c:v>
                </c:pt>
                <c:pt idx="280">
                  <c:v>1738.673</c:v>
                </c:pt>
                <c:pt idx="281">
                  <c:v>1741.722</c:v>
                </c:pt>
                <c:pt idx="282">
                  <c:v>1748.4749999999999</c:v>
                </c:pt>
                <c:pt idx="283">
                  <c:v>1748.867</c:v>
                </c:pt>
                <c:pt idx="284">
                  <c:v>1755.2349999999999</c:v>
                </c:pt>
                <c:pt idx="285">
                  <c:v>1755.2439999999999</c:v>
                </c:pt>
                <c:pt idx="286">
                  <c:v>1766.07</c:v>
                </c:pt>
                <c:pt idx="287">
                  <c:v>1771.6389999999999</c:v>
                </c:pt>
                <c:pt idx="288">
                  <c:v>1773.8879999999999</c:v>
                </c:pt>
                <c:pt idx="289">
                  <c:v>1791.0740000000001</c:v>
                </c:pt>
                <c:pt idx="290">
                  <c:v>1794.713</c:v>
                </c:pt>
                <c:pt idx="291">
                  <c:v>1805.02</c:v>
                </c:pt>
                <c:pt idx="292">
                  <c:v>1805.8710000000001</c:v>
                </c:pt>
                <c:pt idx="293">
                  <c:v>1808.5830000000001</c:v>
                </c:pt>
                <c:pt idx="294">
                  <c:v>1809.4469999999999</c:v>
                </c:pt>
                <c:pt idx="295">
                  <c:v>1819.8219999999999</c:v>
                </c:pt>
                <c:pt idx="296">
                  <c:v>1826.442</c:v>
                </c:pt>
                <c:pt idx="297">
                  <c:v>1828.6089999999999</c:v>
                </c:pt>
              </c:numCache>
            </c:numRef>
          </c:xVal>
          <c:yVal>
            <c:numRef>
              <c:f>intermediate_data!$AL$2:$AL$299</c:f>
              <c:numCache>
                <c:formatCode>General</c:formatCode>
                <c:ptCount val="298"/>
                <c:pt idx="0">
                  <c:v>1.181907137565716</c:v>
                </c:pt>
                <c:pt idx="1">
                  <c:v>1.1818884533677618</c:v>
                </c:pt>
                <c:pt idx="2">
                  <c:v>1.1821430065230558</c:v>
                </c:pt>
                <c:pt idx="3">
                  <c:v>1.1815609704818044</c:v>
                </c:pt>
                <c:pt idx="4">
                  <c:v>1.1811679622800426</c:v>
                </c:pt>
                <c:pt idx="5">
                  <c:v>1.18084452078336</c:v>
                </c:pt>
                <c:pt idx="6">
                  <c:v>1.1811111759384261</c:v>
                </c:pt>
                <c:pt idx="7">
                  <c:v>1.1794599609750307</c:v>
                </c:pt>
                <c:pt idx="8">
                  <c:v>1.1780364423240002</c:v>
                </c:pt>
                <c:pt idx="9">
                  <c:v>1.2443905443723722</c:v>
                </c:pt>
                <c:pt idx="10">
                  <c:v>1.2446037806212829</c:v>
                </c:pt>
                <c:pt idx="11">
                  <c:v>1.2476950189256897</c:v>
                </c:pt>
                <c:pt idx="12">
                  <c:v>1.2511844943281076</c:v>
                </c:pt>
                <c:pt idx="13">
                  <c:v>1.2522814435968712</c:v>
                </c:pt>
                <c:pt idx="14">
                  <c:v>1.2550603632861481</c:v>
                </c:pt>
                <c:pt idx="15">
                  <c:v>1.2575149088942368</c:v>
                </c:pt>
                <c:pt idx="16">
                  <c:v>1.2586865013361006</c:v>
                </c:pt>
                <c:pt idx="17">
                  <c:v>1.261725709731401</c:v>
                </c:pt>
                <c:pt idx="18">
                  <c:v>1.3405048702707347</c:v>
                </c:pt>
                <c:pt idx="19">
                  <c:v>1.3406230522530507</c:v>
                </c:pt>
                <c:pt idx="20">
                  <c:v>1.3432298956324402</c:v>
                </c:pt>
                <c:pt idx="21">
                  <c:v>1.3461977983861857</c:v>
                </c:pt>
                <c:pt idx="22">
                  <c:v>1.346941089916001</c:v>
                </c:pt>
                <c:pt idx="23">
                  <c:v>1.3475755493921611</c:v>
                </c:pt>
                <c:pt idx="24">
                  <c:v>1.3485934023934547</c:v>
                </c:pt>
                <c:pt idx="25">
                  <c:v>1.3495761725658966</c:v>
                </c:pt>
                <c:pt idx="26">
                  <c:v>1.3530040247750819</c:v>
                </c:pt>
                <c:pt idx="27">
                  <c:v>1.4575096452875513</c:v>
                </c:pt>
                <c:pt idx="28">
                  <c:v>1.4580502696491635</c:v>
                </c:pt>
                <c:pt idx="29">
                  <c:v>1.4660626980321467</c:v>
                </c:pt>
                <c:pt idx="30">
                  <c:v>1.4742009355822105</c:v>
                </c:pt>
                <c:pt idx="31">
                  <c:v>1.4779569442849123</c:v>
                </c:pt>
                <c:pt idx="32">
                  <c:v>1.4786902041116363</c:v>
                </c:pt>
                <c:pt idx="33">
                  <c:v>1.4824285240055062</c:v>
                </c:pt>
                <c:pt idx="34">
                  <c:v>1.4885863099958456</c:v>
                </c:pt>
                <c:pt idx="35">
                  <c:v>1.489068642879154</c:v>
                </c:pt>
                <c:pt idx="36">
                  <c:v>1.588023795435106</c:v>
                </c:pt>
                <c:pt idx="37">
                  <c:v>1.5882146142984297</c:v>
                </c:pt>
                <c:pt idx="38">
                  <c:v>1.5977162369142306</c:v>
                </c:pt>
                <c:pt idx="39">
                  <c:v>1.6073073819094361</c:v>
                </c:pt>
                <c:pt idx="40">
                  <c:v>1.6109708034305967</c:v>
                </c:pt>
                <c:pt idx="41">
                  <c:v>1.6122256579156087</c:v>
                </c:pt>
                <c:pt idx="42">
                  <c:v>1.6156149974555944</c:v>
                </c:pt>
                <c:pt idx="43">
                  <c:v>1.6233151412763291</c:v>
                </c:pt>
                <c:pt idx="44">
                  <c:v>1.624078617642418</c:v>
                </c:pt>
                <c:pt idx="45">
                  <c:v>1.6189170156266073</c:v>
                </c:pt>
                <c:pt idx="46">
                  <c:v>1.618881481683168</c:v>
                </c:pt>
                <c:pt idx="47">
                  <c:v>1.6191407242686182</c:v>
                </c:pt>
                <c:pt idx="48">
                  <c:v>1.6191653427980768</c:v>
                </c:pt>
                <c:pt idx="49">
                  <c:v>1.6191114082990907</c:v>
                </c:pt>
                <c:pt idx="50">
                  <c:v>1.6191494186633619</c:v>
                </c:pt>
                <c:pt idx="51">
                  <c:v>1.6196368474632692</c:v>
                </c:pt>
                <c:pt idx="52">
                  <c:v>1.6198344284467936</c:v>
                </c:pt>
                <c:pt idx="53">
                  <c:v>1.619875055166986</c:v>
                </c:pt>
                <c:pt idx="54">
                  <c:v>1.629729932769223</c:v>
                </c:pt>
                <c:pt idx="55">
                  <c:v>1.6299380401838519</c:v>
                </c:pt>
                <c:pt idx="56">
                  <c:v>1.6314525314945101</c:v>
                </c:pt>
                <c:pt idx="57">
                  <c:v>1.6330896256706495</c:v>
                </c:pt>
                <c:pt idx="58">
                  <c:v>1.6333314624049748</c:v>
                </c:pt>
                <c:pt idx="59">
                  <c:v>1.6333301522717036</c:v>
                </c:pt>
                <c:pt idx="60">
                  <c:v>1.6331956696696253</c:v>
                </c:pt>
                <c:pt idx="61">
                  <c:v>1.6333662987024553</c:v>
                </c:pt>
                <c:pt idx="62">
                  <c:v>1.6333561123114251</c:v>
                </c:pt>
                <c:pt idx="63">
                  <c:v>1.6290790333901342</c:v>
                </c:pt>
                <c:pt idx="64">
                  <c:v>1.6288901006012182</c:v>
                </c:pt>
                <c:pt idx="65">
                  <c:v>1.6276884237306533</c:v>
                </c:pt>
                <c:pt idx="66">
                  <c:v>1.6269682744659661</c:v>
                </c:pt>
                <c:pt idx="67">
                  <c:v>1.6269608479147806</c:v>
                </c:pt>
                <c:pt idx="68">
                  <c:v>1.6268927494391718</c:v>
                </c:pt>
                <c:pt idx="69">
                  <c:v>1.6268703012469885</c:v>
                </c:pt>
                <c:pt idx="70">
                  <c:v>1.627269131924109</c:v>
                </c:pt>
                <c:pt idx="71">
                  <c:v>1.6266503796282095</c:v>
                </c:pt>
                <c:pt idx="72">
                  <c:v>1.609393901147854</c:v>
                </c:pt>
                <c:pt idx="73">
                  <c:v>1.6080816997460516</c:v>
                </c:pt>
                <c:pt idx="74">
                  <c:v>1.6009931604189163</c:v>
                </c:pt>
                <c:pt idx="75">
                  <c:v>1.5952003713260581</c:v>
                </c:pt>
                <c:pt idx="76">
                  <c:v>1.5951343674932588</c:v>
                </c:pt>
                <c:pt idx="77">
                  <c:v>1.5946102025888109</c:v>
                </c:pt>
                <c:pt idx="78">
                  <c:v>1.5936233961992698</c:v>
                </c:pt>
                <c:pt idx="79">
                  <c:v>1.5913684063709397</c:v>
                </c:pt>
                <c:pt idx="80">
                  <c:v>1.5917979562328313</c:v>
                </c:pt>
                <c:pt idx="81">
                  <c:v>1.5928741407739579</c:v>
                </c:pt>
                <c:pt idx="82">
                  <c:v>1.5929600681777742</c:v>
                </c:pt>
                <c:pt idx="83">
                  <c:v>1.5932967882116316</c:v>
                </c:pt>
                <c:pt idx="84">
                  <c:v>1.5934107258440875</c:v>
                </c:pt>
                <c:pt idx="85">
                  <c:v>1.5933138582225723</c:v>
                </c:pt>
                <c:pt idx="86">
                  <c:v>1.593282067450275</c:v>
                </c:pt>
                <c:pt idx="87">
                  <c:v>1.5925591460774697</c:v>
                </c:pt>
                <c:pt idx="88">
                  <c:v>1.5925295012572818</c:v>
                </c:pt>
                <c:pt idx="89">
                  <c:v>1.5877576396606159</c:v>
                </c:pt>
                <c:pt idx="90">
                  <c:v>1.5735681348984087</c:v>
                </c:pt>
                <c:pt idx="91">
                  <c:v>1.5719814381733741</c:v>
                </c:pt>
                <c:pt idx="92">
                  <c:v>1.5638257226144958</c:v>
                </c:pt>
                <c:pt idx="93">
                  <c:v>1.5543699839859428</c:v>
                </c:pt>
                <c:pt idx="94">
                  <c:v>1.5541175275488044</c:v>
                </c:pt>
                <c:pt idx="95">
                  <c:v>1.5534702532617075</c:v>
                </c:pt>
                <c:pt idx="96">
                  <c:v>1.550858718895725</c:v>
                </c:pt>
                <c:pt idx="97">
                  <c:v>1.5448531012211362</c:v>
                </c:pt>
                <c:pt idx="98">
                  <c:v>1.5426258352334088</c:v>
                </c:pt>
                <c:pt idx="99">
                  <c:v>1.5354920406779939</c:v>
                </c:pt>
                <c:pt idx="100">
                  <c:v>1.5341183495318518</c:v>
                </c:pt>
                <c:pt idx="101">
                  <c:v>1.5282765719706575</c:v>
                </c:pt>
                <c:pt idx="102">
                  <c:v>1.5204917290136208</c:v>
                </c:pt>
                <c:pt idx="103">
                  <c:v>1.5204105065717357</c:v>
                </c:pt>
                <c:pt idx="104">
                  <c:v>1.5195735297744477</c:v>
                </c:pt>
                <c:pt idx="105">
                  <c:v>1.5161282082861618</c:v>
                </c:pt>
                <c:pt idx="106">
                  <c:v>1.5116704626494908</c:v>
                </c:pt>
                <c:pt idx="107">
                  <c:v>1.5144696496294898</c:v>
                </c:pt>
                <c:pt idx="108">
                  <c:v>1.5198161185303789</c:v>
                </c:pt>
                <c:pt idx="109">
                  <c:v>1.5213391245308685</c:v>
                </c:pt>
                <c:pt idx="110">
                  <c:v>1.5273393894558325</c:v>
                </c:pt>
                <c:pt idx="111">
                  <c:v>1.5365943047762443</c:v>
                </c:pt>
                <c:pt idx="112">
                  <c:v>1.5366721700889201</c:v>
                </c:pt>
                <c:pt idx="113">
                  <c:v>1.5375725790851575</c:v>
                </c:pt>
                <c:pt idx="114">
                  <c:v>1.5416240046447527</c:v>
                </c:pt>
                <c:pt idx="115">
                  <c:v>1.5478286948918694</c:v>
                </c:pt>
                <c:pt idx="116">
                  <c:v>1.5466933046399944</c:v>
                </c:pt>
                <c:pt idx="117">
                  <c:v>1.5447725397730068</c:v>
                </c:pt>
                <c:pt idx="118">
                  <c:v>1.5439579952212341</c:v>
                </c:pt>
                <c:pt idx="119">
                  <c:v>1.5393452541375083</c:v>
                </c:pt>
                <c:pt idx="120">
                  <c:v>1.5305004108408298</c:v>
                </c:pt>
                <c:pt idx="121">
                  <c:v>1.5304360835520114</c:v>
                </c:pt>
                <c:pt idx="122">
                  <c:v>1.5293912677052077</c:v>
                </c:pt>
                <c:pt idx="123">
                  <c:v>1.5241607581779064</c:v>
                </c:pt>
                <c:pt idx="124">
                  <c:v>1.5167808478590601</c:v>
                </c:pt>
                <c:pt idx="125">
                  <c:v>1.5168197799491949</c:v>
                </c:pt>
                <c:pt idx="126">
                  <c:v>1.5167996487900908</c:v>
                </c:pt>
                <c:pt idx="127">
                  <c:v>1.5173834252446028</c:v>
                </c:pt>
                <c:pt idx="128">
                  <c:v>1.5198837932947171</c:v>
                </c:pt>
                <c:pt idx="129">
                  <c:v>1.5234483491597501</c:v>
                </c:pt>
                <c:pt idx="130">
                  <c:v>1.5237231852347861</c:v>
                </c:pt>
                <c:pt idx="131">
                  <c:v>1.5237780981255753</c:v>
                </c:pt>
                <c:pt idx="132">
                  <c:v>1.5290868617661175</c:v>
                </c:pt>
                <c:pt idx="133">
                  <c:v>1.5371523229027204</c:v>
                </c:pt>
                <c:pt idx="134">
                  <c:v>1.5379514221706287</c:v>
                </c:pt>
                <c:pt idx="135">
                  <c:v>1.5408504075887492</c:v>
                </c:pt>
                <c:pt idx="136">
                  <c:v>1.5415851452292131</c:v>
                </c:pt>
                <c:pt idx="137">
                  <c:v>1.551808469468952</c:v>
                </c:pt>
                <c:pt idx="138">
                  <c:v>1.5698992223865673</c:v>
                </c:pt>
                <c:pt idx="139">
                  <c:v>1.5707202683968333</c:v>
                </c:pt>
                <c:pt idx="140">
                  <c:v>1.5707662343683069</c:v>
                </c:pt>
                <c:pt idx="141">
                  <c:v>1.5795074970946388</c:v>
                </c:pt>
                <c:pt idx="142">
                  <c:v>1.5886930744183232</c:v>
                </c:pt>
                <c:pt idx="143">
                  <c:v>1.5912968570436092</c:v>
                </c:pt>
                <c:pt idx="144">
                  <c:v>1.5937877698450009</c:v>
                </c:pt>
                <c:pt idx="145">
                  <c:v>1.595644680240035</c:v>
                </c:pt>
                <c:pt idx="146">
                  <c:v>1.6087900846284455</c:v>
                </c:pt>
                <c:pt idx="147">
                  <c:v>1.6321644445264312</c:v>
                </c:pt>
                <c:pt idx="148">
                  <c:v>1.6329008761742188</c:v>
                </c:pt>
                <c:pt idx="149">
                  <c:v>1.6331079067421541</c:v>
                </c:pt>
                <c:pt idx="150">
                  <c:v>1.6447037413354408</c:v>
                </c:pt>
                <c:pt idx="151">
                  <c:v>1.6525917967605537</c:v>
                </c:pt>
                <c:pt idx="152">
                  <c:v>1.6577713611559304</c:v>
                </c:pt>
                <c:pt idx="153">
                  <c:v>1.6601421813547361</c:v>
                </c:pt>
                <c:pt idx="154">
                  <c:v>1.6603664358424481</c:v>
                </c:pt>
                <c:pt idx="155">
                  <c:v>1.6603369011212266</c:v>
                </c:pt>
                <c:pt idx="156">
                  <c:v>1.6577050357721035</c:v>
                </c:pt>
                <c:pt idx="157">
                  <c:v>1.6575452128745738</c:v>
                </c:pt>
                <c:pt idx="158">
                  <c:v>1.6575439915307584</c:v>
                </c:pt>
                <c:pt idx="159">
                  <c:v>1.6558763185831538</c:v>
                </c:pt>
                <c:pt idx="160">
                  <c:v>1.6553847859876143</c:v>
                </c:pt>
                <c:pt idx="161">
                  <c:v>1.6548684583147164</c:v>
                </c:pt>
                <c:pt idx="162">
                  <c:v>1.6547249271221744</c:v>
                </c:pt>
                <c:pt idx="163">
                  <c:v>1.6566157522779861</c:v>
                </c:pt>
                <c:pt idx="164">
                  <c:v>1.6618776163937312</c:v>
                </c:pt>
                <c:pt idx="165">
                  <c:v>1.6770098778901996</c:v>
                </c:pt>
                <c:pt idx="166">
                  <c:v>1.6772032768067646</c:v>
                </c:pt>
                <c:pt idx="167">
                  <c:v>1.6776538051129108</c:v>
                </c:pt>
                <c:pt idx="168">
                  <c:v>1.6869816166154905</c:v>
                </c:pt>
                <c:pt idx="169">
                  <c:v>1.6876013190153643</c:v>
                </c:pt>
                <c:pt idx="170">
                  <c:v>1.6913726550402544</c:v>
                </c:pt>
                <c:pt idx="171">
                  <c:v>1.6969161176977465</c:v>
                </c:pt>
                <c:pt idx="172">
                  <c:v>1.6952029013087468</c:v>
                </c:pt>
                <c:pt idx="173">
                  <c:v>1.6924087872312583</c:v>
                </c:pt>
                <c:pt idx="174">
                  <c:v>1.6848822973679702</c:v>
                </c:pt>
                <c:pt idx="175">
                  <c:v>1.684698219772983</c:v>
                </c:pt>
                <c:pt idx="176">
                  <c:v>1.6837012012180281</c:v>
                </c:pt>
                <c:pt idx="177">
                  <c:v>1.6782201402012902</c:v>
                </c:pt>
                <c:pt idx="178">
                  <c:v>1.6766500324631792</c:v>
                </c:pt>
                <c:pt idx="179">
                  <c:v>1.675251071503375</c:v>
                </c:pt>
                <c:pt idx="180">
                  <c:v>1.6708882621791687</c:v>
                </c:pt>
                <c:pt idx="181">
                  <c:v>1.6704512610585596</c:v>
                </c:pt>
                <c:pt idx="182">
                  <c:v>1.6698544696293283</c:v>
                </c:pt>
                <c:pt idx="183">
                  <c:v>1.6645357544430226</c:v>
                </c:pt>
                <c:pt idx="184">
                  <c:v>1.664493847402774</c:v>
                </c:pt>
                <c:pt idx="185">
                  <c:v>1.6641038240931891</c:v>
                </c:pt>
                <c:pt idx="186">
                  <c:v>1.662811544901686</c:v>
                </c:pt>
                <c:pt idx="187">
                  <c:v>1.6621519431846465</c:v>
                </c:pt>
                <c:pt idx="188">
                  <c:v>1.6620515293465914</c:v>
                </c:pt>
                <c:pt idx="189">
                  <c:v>1.6606782096228443</c:v>
                </c:pt>
                <c:pt idx="190">
                  <c:v>1.6609910115920385</c:v>
                </c:pt>
                <c:pt idx="191">
                  <c:v>1.6614162609590224</c:v>
                </c:pt>
                <c:pt idx="192">
                  <c:v>1.6661871548116522</c:v>
                </c:pt>
                <c:pt idx="193">
                  <c:v>1.6662541736879959</c:v>
                </c:pt>
                <c:pt idx="194">
                  <c:v>1.6666467710208579</c:v>
                </c:pt>
                <c:pt idx="195">
                  <c:v>1.6668056900441783</c:v>
                </c:pt>
                <c:pt idx="196">
                  <c:v>1.6670230594193995</c:v>
                </c:pt>
                <c:pt idx="197">
                  <c:v>1.6670636638828498</c:v>
                </c:pt>
                <c:pt idx="198">
                  <c:v>1.6669443120589023</c:v>
                </c:pt>
                <c:pt idx="199">
                  <c:v>1.6668253608957215</c:v>
                </c:pt>
                <c:pt idx="200">
                  <c:v>1.6650627773297089</c:v>
                </c:pt>
                <c:pt idx="201">
                  <c:v>1.6599163590138915</c:v>
                </c:pt>
                <c:pt idx="202">
                  <c:v>1.6598114026703357</c:v>
                </c:pt>
                <c:pt idx="203">
                  <c:v>1.6590861503480951</c:v>
                </c:pt>
                <c:pt idx="204">
                  <c:v>1.6589953731047871</c:v>
                </c:pt>
                <c:pt idx="205">
                  <c:v>1.6585644977718488</c:v>
                </c:pt>
                <c:pt idx="206">
                  <c:v>1.6583433504527534</c:v>
                </c:pt>
                <c:pt idx="207">
                  <c:v>1.6579134674698182</c:v>
                </c:pt>
                <c:pt idx="208">
                  <c:v>1.6575399485349749</c:v>
                </c:pt>
                <c:pt idx="209">
                  <c:v>1.6635274548908399</c:v>
                </c:pt>
                <c:pt idx="210">
                  <c:v>1.6877354718862989</c:v>
                </c:pt>
                <c:pt idx="211">
                  <c:v>1.6877140109338384</c:v>
                </c:pt>
                <c:pt idx="212">
                  <c:v>1.6872976817478715</c:v>
                </c:pt>
                <c:pt idx="213">
                  <c:v>1.6872912187923106</c:v>
                </c:pt>
                <c:pt idx="214">
                  <c:v>1.683631485133219</c:v>
                </c:pt>
                <c:pt idx="215">
                  <c:v>1.6807330412001065</c:v>
                </c:pt>
                <c:pt idx="216">
                  <c:v>1.6763344136089557</c:v>
                </c:pt>
                <c:pt idx="217">
                  <c:v>1.6716889313055532</c:v>
                </c:pt>
                <c:pt idx="218">
                  <c:v>1.6683319619032417</c:v>
                </c:pt>
                <c:pt idx="219">
                  <c:v>1.6458547340206167</c:v>
                </c:pt>
                <c:pt idx="220">
                  <c:v>1.633211027902739</c:v>
                </c:pt>
                <c:pt idx="221">
                  <c:v>1.6315592327941246</c:v>
                </c:pt>
                <c:pt idx="222">
                  <c:v>1.6148630559377111</c:v>
                </c:pt>
                <c:pt idx="223">
                  <c:v>1.5964298036121676</c:v>
                </c:pt>
                <c:pt idx="224">
                  <c:v>1.5856685515062239</c:v>
                </c:pt>
                <c:pt idx="225">
                  <c:v>1.5788133078908331</c:v>
                </c:pt>
                <c:pt idx="226">
                  <c:v>1.5795935945176254</c:v>
                </c:pt>
                <c:pt idx="227">
                  <c:v>1.579339846891564</c:v>
                </c:pt>
                <c:pt idx="228">
                  <c:v>1.5790667378065422</c:v>
                </c:pt>
                <c:pt idx="229">
                  <c:v>1.5786563954938231</c:v>
                </c:pt>
                <c:pt idx="230">
                  <c:v>1.5784548226898707</c:v>
                </c:pt>
                <c:pt idx="231">
                  <c:v>1.5773337857477898</c:v>
                </c:pt>
                <c:pt idx="232">
                  <c:v>1.5755987992262632</c:v>
                </c:pt>
                <c:pt idx="233">
                  <c:v>1.5752855581495808</c:v>
                </c:pt>
                <c:pt idx="234">
                  <c:v>1.5748571772445388</c:v>
                </c:pt>
                <c:pt idx="235">
                  <c:v>1.5740273562560176</c:v>
                </c:pt>
                <c:pt idx="236">
                  <c:v>1.5750711188491024</c:v>
                </c:pt>
                <c:pt idx="237">
                  <c:v>1.5768128323538235</c:v>
                </c:pt>
                <c:pt idx="238">
                  <c:v>1.5774348267012144</c:v>
                </c:pt>
                <c:pt idx="239">
                  <c:v>1.5777731660311289</c:v>
                </c:pt>
                <c:pt idx="240">
                  <c:v>1.5783035963408452</c:v>
                </c:pt>
                <c:pt idx="241">
                  <c:v>1.5795574202306426</c:v>
                </c:pt>
                <c:pt idx="242">
                  <c:v>1.579734858072392</c:v>
                </c:pt>
                <c:pt idx="243">
                  <c:v>1.580075475715951</c:v>
                </c:pt>
                <c:pt idx="244">
                  <c:v>1.5813641338619817</c:v>
                </c:pt>
                <c:pt idx="245">
                  <c:v>1.5854275393203352</c:v>
                </c:pt>
                <c:pt idx="246">
                  <c:v>1.587818963582734</c:v>
                </c:pt>
                <c:pt idx="247">
                  <c:v>1.5901464711676567</c:v>
                </c:pt>
                <c:pt idx="248">
                  <c:v>1.5976742363362675</c:v>
                </c:pt>
                <c:pt idx="249">
                  <c:v>1.6023257164988607</c:v>
                </c:pt>
                <c:pt idx="250">
                  <c:v>1.6193786414185354</c:v>
                </c:pt>
                <c:pt idx="251">
                  <c:v>1.6202621945735132</c:v>
                </c:pt>
                <c:pt idx="252">
                  <c:v>1.6257846453903113</c:v>
                </c:pt>
                <c:pt idx="253">
                  <c:v>1.6467210890675545</c:v>
                </c:pt>
                <c:pt idx="254">
                  <c:v>1.6461931813395552</c:v>
                </c:pt>
                <c:pt idx="255">
                  <c:v>1.6461041831981689</c:v>
                </c:pt>
                <c:pt idx="256">
                  <c:v>1.6460595153766775</c:v>
                </c:pt>
                <c:pt idx="257">
                  <c:v>1.6453199282576421</c:v>
                </c:pt>
                <c:pt idx="258">
                  <c:v>1.6447206459047976</c:v>
                </c:pt>
                <c:pt idx="259">
                  <c:v>1.6424771501718354</c:v>
                </c:pt>
                <c:pt idx="260">
                  <c:v>1.6422889011264559</c:v>
                </c:pt>
                <c:pt idx="261">
                  <c:v>1.6417817281619591</c:v>
                </c:pt>
                <c:pt idx="262">
                  <c:v>1.6381263085669246</c:v>
                </c:pt>
                <c:pt idx="263">
                  <c:v>1.6380865729942542</c:v>
                </c:pt>
                <c:pt idx="264">
                  <c:v>1.6390981333519292</c:v>
                </c:pt>
                <c:pt idx="265">
                  <c:v>1.6413547529188364</c:v>
                </c:pt>
                <c:pt idx="266">
                  <c:v>1.6508492792435874</c:v>
                </c:pt>
                <c:pt idx="267">
                  <c:v>1.6522192521267698</c:v>
                </c:pt>
                <c:pt idx="268">
                  <c:v>1.6679738459513942</c:v>
                </c:pt>
                <c:pt idx="269">
                  <c:v>1.6709227359539653</c:v>
                </c:pt>
                <c:pt idx="270">
                  <c:v>1.6752829368529163</c:v>
                </c:pt>
                <c:pt idx="271">
                  <c:v>1.6987802354997967</c:v>
                </c:pt>
                <c:pt idx="272">
                  <c:v>1.7007931078817649</c:v>
                </c:pt>
                <c:pt idx="273">
                  <c:v>1.7052129376194998</c:v>
                </c:pt>
                <c:pt idx="274">
                  <c:v>1.7059071325735431</c:v>
                </c:pt>
                <c:pt idx="275">
                  <c:v>1.7095492374321708</c:v>
                </c:pt>
                <c:pt idx="276">
                  <c:v>1.7096093130541306</c:v>
                </c:pt>
                <c:pt idx="277">
                  <c:v>1.7145806567862039</c:v>
                </c:pt>
                <c:pt idx="278">
                  <c:v>1.716263413796014</c:v>
                </c:pt>
                <c:pt idx="279">
                  <c:v>1.7173281870893931</c:v>
                </c:pt>
                <c:pt idx="280">
                  <c:v>1.7246048772675309</c:v>
                </c:pt>
                <c:pt idx="281">
                  <c:v>1.7257580386091576</c:v>
                </c:pt>
                <c:pt idx="282">
                  <c:v>1.7285802217406854</c:v>
                </c:pt>
                <c:pt idx="283">
                  <c:v>1.7287766190245577</c:v>
                </c:pt>
                <c:pt idx="284">
                  <c:v>1.7312745483631815</c:v>
                </c:pt>
                <c:pt idx="285">
                  <c:v>1.731278001941007</c:v>
                </c:pt>
                <c:pt idx="286">
                  <c:v>1.7360557567164108</c:v>
                </c:pt>
                <c:pt idx="287">
                  <c:v>1.7380399522553134</c:v>
                </c:pt>
                <c:pt idx="288">
                  <c:v>1.7387189964278349</c:v>
                </c:pt>
                <c:pt idx="289">
                  <c:v>1.7428206884628565</c:v>
                </c:pt>
                <c:pt idx="290">
                  <c:v>1.7436113764570322</c:v>
                </c:pt>
                <c:pt idx="291">
                  <c:v>1.7449164402797805</c:v>
                </c:pt>
                <c:pt idx="292">
                  <c:v>1.7449653718771003</c:v>
                </c:pt>
                <c:pt idx="293">
                  <c:v>1.7452092914171971</c:v>
                </c:pt>
                <c:pt idx="294">
                  <c:v>1.7452949689033446</c:v>
                </c:pt>
                <c:pt idx="295">
                  <c:v>1.7459228327037195</c:v>
                </c:pt>
                <c:pt idx="296">
                  <c:v>1.7464150019736664</c:v>
                </c:pt>
                <c:pt idx="297">
                  <c:v>1.7465048112086876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3BE-4EDE-9B06-59BDE07897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40001"/>
        <c:axId val="50040002"/>
      </c:scatterChart>
      <c:valAx>
        <c:axId val="50040001"/>
        <c:scaling>
          <c:orientation val="minMax"/>
          <c:max val="1800"/>
          <c:min val="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[sec]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crossAx val="50040002"/>
        <c:crosses val="autoZero"/>
        <c:crossBetween val="midCat"/>
        <c:majorUnit val="250"/>
        <c:minorUnit val="50"/>
      </c:valAx>
      <c:valAx>
        <c:axId val="50040002"/>
        <c:scaling>
          <c:orientation val="minMax"/>
          <c:max val="3"/>
          <c:min val="-2.25"/>
        </c:scaling>
        <c:delete val="0"/>
        <c:axPos val="l"/>
        <c:majorGridlines/>
        <c:min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Diff to total average lap time [sec]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crossAx val="50040001"/>
        <c:crosses val="autoZero"/>
        <c:crossBetween val="midCat"/>
        <c:majorUnit val="0.5"/>
        <c:minorUnit val="0.1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8</xdr:col>
      <xdr:colOff>1905000</xdr:colOff>
      <xdr:row>71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74</xdr:row>
      <xdr:rowOff>0</xdr:rowOff>
    </xdr:from>
    <xdr:to>
      <xdr:col>8</xdr:col>
      <xdr:colOff>1905000</xdr:colOff>
      <xdr:row>117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120</xdr:row>
      <xdr:rowOff>0</xdr:rowOff>
    </xdr:from>
    <xdr:to>
      <xdr:col>8</xdr:col>
      <xdr:colOff>1905000</xdr:colOff>
      <xdr:row>163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166</xdr:row>
      <xdr:rowOff>0</xdr:rowOff>
    </xdr:from>
    <xdr:to>
      <xdr:col>8</xdr:col>
      <xdr:colOff>1905000</xdr:colOff>
      <xdr:row>209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ace_results" displayName="race_results" ref="A2:L11" totalsRowShown="0" headerRowCellStyle="Heading 2">
  <autoFilter ref="A2:L11" xr:uid="{00000000-0009-0000-0100-000001000000}"/>
  <tableColumns count="12">
    <tableColumn id="1" xr3:uid="{00000000-0010-0000-0000-000001000000}" name="Position"/>
    <tableColumn id="2" xr3:uid="{00000000-0010-0000-0000-000002000000}" name="Kart number"/>
    <tableColumn id="3" xr3:uid="{00000000-0010-0000-0000-000003000000}" name="Team"/>
    <tableColumn id="4" xr3:uid="{00000000-0010-0000-0000-000004000000}" name="Laps [laps]">
      <calculatedColumnFormula>COUNT(INDIRECT("team" &amp; race_results[[#This Row], [Position]] &amp; "_results[Lap times '[sec']]"))</calculatedColumnFormula>
    </tableColumn>
    <tableColumn id="5" xr3:uid="{00000000-0010-0000-0000-000005000000}" name="Distance"/>
    <tableColumn id="6" xr3:uid="{00000000-0010-0000-0000-000006000000}" name="Fastest lap [laps]">
      <calculatedColumnFormula>MIN(INDIRECT("team" &amp; race_results[[#This Row], [Position]] &amp; "_results[Lap times '[sec']]"))</calculatedColumnFormula>
    </tableColumn>
    <tableColumn id="7" xr3:uid="{00000000-0010-0000-0000-000007000000}" name="Slowest lap [laps]"/>
    <tableColumn id="8" xr3:uid="{00000000-0010-0000-0000-000008000000}" name="Average lap [sec]">
      <calculatedColumnFormula>SUM(INDIRECT("team" &amp; race_results[[#This Row], [Position]] &amp; "_results[Lap times '[sec']]")) / race_results[[#This Row], [Laps '[laps']]]</calculatedColumnFormula>
    </tableColumn>
    <tableColumn id="9" xr3:uid="{00000000-0010-0000-0000-000009000000}" name="Standard deviation [sec]"/>
    <tableColumn id="10" xr3:uid="{00000000-0010-0000-0000-00000A000000}" name="Pit time [sec]">
      <calculatedColumnFormula>SUMIF(INDIRECT("team" &amp; race_results[[#This Row], [Position]] &amp; "_results[Driver]"), "Pit", INDIRECT("team" &amp; race_results[[#This Row], [Position]] &amp; "_results[Lap times '[sec']]"))</calculatedColumnFormula>
    </tableColumn>
    <tableColumn id="11" xr3:uid="{00000000-0010-0000-0000-00000B000000}" name="Pit stops">
      <calculatedColumnFormula>COUNTIF(INDIRECT("team" &amp; race_results[[#This Row], [Position]] &amp; "_results[Driver]"), "Pit")</calculatedColumnFormula>
    </tableColumn>
    <tableColumn id="12" xr3:uid="{00000000-0010-0000-0000-00000C000000}" name="Average pit time [sec]">
      <calculatedColumnFormula>IF(race_results[[#This Row], [Pit stops]] = 0, 0, race_results[[#This Row], [Pit time '[sec']]] / race_results[[#This Row], [Pit stops]])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river_results" displayName="driver_results" ref="A16:H25" totalsRowShown="0" headerRowCellStyle="Heading 2">
  <autoFilter ref="A16:H25" xr:uid="{00000000-0009-0000-0100-000002000000}"/>
  <tableColumns count="8">
    <tableColumn id="1" xr3:uid="{00000000-0010-0000-0100-000001000000}" name="Driver"/>
    <tableColumn id="2" xr3:uid="{00000000-0010-0000-0100-000002000000}" name="Team"/>
    <tableColumn id="3" xr3:uid="{00000000-0010-0000-0100-000003000000}" name="Laps [laps]">
      <calculatedColumnFormula>COUNTIF(INDIRECT("team" &amp; INDEX(race_results[Position], MATCH(driver_results[[#This Row], [Team]], race_results[Team], 0)) &amp; "_results[Driver]"), driver_results[[#This Row], [Driver]])</calculatedColumnFormula>
    </tableColumn>
    <tableColumn id="4" xr3:uid="{00000000-0010-0000-0100-000004000000}" name="Fastest lap [sec]"/>
    <tableColumn id="5" xr3:uid="{00000000-0010-0000-0100-000005000000}" name="Slowest lap [sec]"/>
    <tableColumn id="6" xr3:uid="{00000000-0010-0000-0100-000006000000}" name="Average lap [sec]"/>
    <tableColumn id="7" xr3:uid="{00000000-0010-0000-0100-000007000000}" name="Avg lap (no outliers) [sec]"/>
    <tableColumn id="8" xr3:uid="{00000000-0010-0000-0100-000008000000}" name="Standard deviation [sec]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eam1_results" displayName="team1_results" ref="A2:D36" totalsRowShown="0" headerRowCellStyle="Heading 2">
  <autoFilter ref="A2:D36" xr:uid="{00000000-0009-0000-0100-000003000000}"/>
  <tableColumns count="4">
    <tableColumn id="1" xr3:uid="{00000000-0010-0000-0200-000001000000}" name="Lap times [sec]"/>
    <tableColumn id="2" xr3:uid="{00000000-0010-0000-0200-000002000000}" name="Driver"/>
    <tableColumn id="3" xr3:uid="{00000000-0010-0000-0200-000003000000}" name="Running average [sec]">
      <calculatedColumnFormula>AVERAGE(INDEX(team1_results[Lap times '[sec']], 1):team1_results[[#This Row], [Lap times '[sec']]])</calculatedColumnFormula>
    </tableColumn>
    <tableColumn id="4" xr3:uid="{00000000-0010-0000-0200-000004000000}" name="Cumulative time [sec]">
      <calculatedColumnFormula>SUM(INDEX(team1_results[Lap times '[sec']], 1):team1_results[[#This Row], [Lap times '[sec']]])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eam2_results" displayName="team2_results" ref="F2:I36" totalsRowShown="0" headerRowCellStyle="Heading 2">
  <autoFilter ref="F2:I36" xr:uid="{00000000-0009-0000-0100-000004000000}"/>
  <tableColumns count="4">
    <tableColumn id="1" xr3:uid="{00000000-0010-0000-0300-000001000000}" name="Lap times [sec]"/>
    <tableColumn id="2" xr3:uid="{00000000-0010-0000-0300-000002000000}" name="Driver"/>
    <tableColumn id="3" xr3:uid="{00000000-0010-0000-0300-000003000000}" name="Running average [sec]">
      <calculatedColumnFormula>AVERAGE(INDEX(team2_results[Lap times '[sec']], 1):team2_results[[#This Row], [Lap times '[sec']]])</calculatedColumnFormula>
    </tableColumn>
    <tableColumn id="4" xr3:uid="{00000000-0010-0000-0300-000004000000}" name="Cumulative time [sec]">
      <calculatedColumnFormula>SUM(INDEX(team2_results[Lap times '[sec']], 1):team2_results[[#This Row], [Lap times '[sec']]])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eam3_results" displayName="team3_results" ref="K2:N36" totalsRowShown="0" headerRowCellStyle="Heading 2">
  <autoFilter ref="K2:N36" xr:uid="{00000000-0009-0000-0100-000005000000}"/>
  <tableColumns count="4">
    <tableColumn id="1" xr3:uid="{00000000-0010-0000-0400-000001000000}" name="Lap times [sec]"/>
    <tableColumn id="2" xr3:uid="{00000000-0010-0000-0400-000002000000}" name="Driver"/>
    <tableColumn id="3" xr3:uid="{00000000-0010-0000-0400-000003000000}" name="Running average [sec]">
      <calculatedColumnFormula>AVERAGE(INDEX(team3_results[Lap times '[sec']], 1):team3_results[[#This Row], [Lap times '[sec']]])</calculatedColumnFormula>
    </tableColumn>
    <tableColumn id="4" xr3:uid="{00000000-0010-0000-0400-000004000000}" name="Cumulative time [sec]">
      <calculatedColumnFormula>SUM(INDEX(team3_results[Lap times '[sec']], 1):team3_results[[#This Row], [Lap times '[sec']]])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eam4_results" displayName="team4_results" ref="P2:S35" totalsRowShown="0" headerRowCellStyle="Heading 2">
  <autoFilter ref="P2:S35" xr:uid="{00000000-0009-0000-0100-000006000000}"/>
  <tableColumns count="4">
    <tableColumn id="1" xr3:uid="{00000000-0010-0000-0500-000001000000}" name="Lap times [sec]"/>
    <tableColumn id="2" xr3:uid="{00000000-0010-0000-0500-000002000000}" name="Driver"/>
    <tableColumn id="3" xr3:uid="{00000000-0010-0000-0500-000003000000}" name="Running average [sec]">
      <calculatedColumnFormula>AVERAGE(INDEX(team4_results[Lap times '[sec']], 1):team4_results[[#This Row], [Lap times '[sec']]])</calculatedColumnFormula>
    </tableColumn>
    <tableColumn id="4" xr3:uid="{00000000-0010-0000-0500-000004000000}" name="Cumulative time [sec]">
      <calculatedColumnFormula>SUM(INDEX(team4_results[Lap times '[sec']], 1):team4_results[[#This Row], [Lap times '[sec']]])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eam5_results" displayName="team5_results" ref="U2:X35" totalsRowShown="0" headerRowCellStyle="Heading 2">
  <autoFilter ref="U2:X35" xr:uid="{00000000-0009-0000-0100-000007000000}"/>
  <tableColumns count="4">
    <tableColumn id="1" xr3:uid="{00000000-0010-0000-0600-000001000000}" name="Lap times [sec]"/>
    <tableColumn id="2" xr3:uid="{00000000-0010-0000-0600-000002000000}" name="Driver"/>
    <tableColumn id="3" xr3:uid="{00000000-0010-0000-0600-000003000000}" name="Running average [sec]">
      <calculatedColumnFormula>AVERAGE(INDEX(team5_results[Lap times '[sec']], 1):team5_results[[#This Row], [Lap times '[sec']]])</calculatedColumnFormula>
    </tableColumn>
    <tableColumn id="4" xr3:uid="{00000000-0010-0000-0600-000004000000}" name="Cumulative time [sec]">
      <calculatedColumnFormula>SUM(INDEX(team5_results[Lap times '[sec']], 1):team5_results[[#This Row], [Lap times '[sec']]])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eam6_results" displayName="team6_results" ref="Z2:AC35" totalsRowShown="0" headerRowCellStyle="Heading 2">
  <autoFilter ref="Z2:AC35" xr:uid="{00000000-0009-0000-0100-000008000000}"/>
  <tableColumns count="4">
    <tableColumn id="1" xr3:uid="{00000000-0010-0000-0700-000001000000}" name="Lap times [sec]"/>
    <tableColumn id="2" xr3:uid="{00000000-0010-0000-0700-000002000000}" name="Driver"/>
    <tableColumn id="3" xr3:uid="{00000000-0010-0000-0700-000003000000}" name="Running average [sec]">
      <calculatedColumnFormula>AVERAGE(INDEX(team6_results[Lap times '[sec']], 1):team6_results[[#This Row], [Lap times '[sec']]])</calculatedColumnFormula>
    </tableColumn>
    <tableColumn id="4" xr3:uid="{00000000-0010-0000-0700-000004000000}" name="Cumulative time [sec]">
      <calculatedColumnFormula>SUM(INDEX(team6_results[Lap times '[sec']], 1):team6_results[[#This Row], [Lap times '[sec']]])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eam7_results" displayName="team7_results" ref="AE2:AH35" totalsRowShown="0" headerRowCellStyle="Heading 2">
  <autoFilter ref="AE2:AH35" xr:uid="{00000000-0009-0000-0100-000009000000}"/>
  <tableColumns count="4">
    <tableColumn id="1" xr3:uid="{00000000-0010-0000-0800-000001000000}" name="Lap times [sec]"/>
    <tableColumn id="2" xr3:uid="{00000000-0010-0000-0800-000002000000}" name="Driver"/>
    <tableColumn id="3" xr3:uid="{00000000-0010-0000-0800-000003000000}" name="Running average [sec]">
      <calculatedColumnFormula>AVERAGE(INDEX(team7_results[Lap times '[sec']], 1):team7_results[[#This Row], [Lap times '[sec']]])</calculatedColumnFormula>
    </tableColumn>
    <tableColumn id="4" xr3:uid="{00000000-0010-0000-0800-000004000000}" name="Cumulative time [sec]">
      <calculatedColumnFormula>SUM(INDEX(team7_results[Lap times '[sec']], 1):team7_results[[#This Row], [Lap times '[sec']]])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eam8_results" displayName="team8_results" ref="AJ2:AM34" totalsRowShown="0" headerRowCellStyle="Heading 2">
  <autoFilter ref="AJ2:AM34" xr:uid="{00000000-0009-0000-0100-00000A000000}"/>
  <tableColumns count="4">
    <tableColumn id="1" xr3:uid="{00000000-0010-0000-0900-000001000000}" name="Lap times [sec]"/>
    <tableColumn id="2" xr3:uid="{00000000-0010-0000-0900-000002000000}" name="Driver"/>
    <tableColumn id="3" xr3:uid="{00000000-0010-0000-0900-000003000000}" name="Running average [sec]">
      <calculatedColumnFormula>AVERAGE(INDEX(team8_results[Lap times '[sec']], 1):team8_results[[#This Row], [Lap times '[sec']]])</calculatedColumnFormula>
    </tableColumn>
    <tableColumn id="4" xr3:uid="{00000000-0010-0000-0900-000004000000}" name="Cumulative time [sec]">
      <calculatedColumnFormula>SUM(INDEX(team8_results[Lap times '[sec']], 1):team8_results[[#This Row], [Lap times '[sec']]])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eam9_results" displayName="team9_results" ref="AO2:AR34" totalsRowShown="0" headerRowCellStyle="Heading 2">
  <autoFilter ref="AO2:AR34" xr:uid="{00000000-0009-0000-0100-00000B000000}"/>
  <tableColumns count="4">
    <tableColumn id="1" xr3:uid="{00000000-0010-0000-0A00-000001000000}" name="Lap times [sec]"/>
    <tableColumn id="2" xr3:uid="{00000000-0010-0000-0A00-000002000000}" name="Driver"/>
    <tableColumn id="3" xr3:uid="{00000000-0010-0000-0A00-000003000000}" name="Running average [sec]">
      <calculatedColumnFormula>AVERAGE(INDEX(team9_results[Lap times '[sec']], 1):team9_results[[#This Row], [Lap times '[sec']]])</calculatedColumnFormula>
    </tableColumn>
    <tableColumn id="4" xr3:uid="{00000000-0010-0000-0A00-000004000000}" name="Cumulative time [sec]">
      <calculatedColumnFormula>SUM(INDEX(team9_results[Lap times '[sec']], 1):team9_results[[#This Row], [Lap times '[sec']]])</calculatedColumnFormula>
    </tableColumn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intermediate_results" displayName="intermediate_results" ref="A1:AL299" totalsRowShown="0" headerRowCellStyle="Heading 2">
  <autoFilter ref="A1:AL299" xr:uid="{00000000-0009-0000-0100-00000C000000}"/>
  <tableColumns count="38">
    <tableColumn id="1" xr3:uid="{00000000-0010-0000-0B00-000001000000}" name="All cumulative times [sec]"/>
    <tableColumn id="2" xr3:uid="{00000000-0010-0000-0B00-000002000000}" name="Team1 laps [laps]">
      <calculatedColumnFormula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calculatedColumnFormula>
    </tableColumn>
    <tableColumn id="3" xr3:uid="{00000000-0010-0000-0B00-000003000000}" name="Team2 laps [laps]">
      <calculatedColumnFormula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calculatedColumnFormula>
    </tableColumn>
    <tableColumn id="4" xr3:uid="{00000000-0010-0000-0B00-000004000000}" name="Team3 laps [laps]">
      <calculatedColumnFormula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calculatedColumnFormula>
    </tableColumn>
    <tableColumn id="5" xr3:uid="{00000000-0010-0000-0B00-000005000000}" name="Team4 laps [laps]">
      <calculatedColumnFormula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calculatedColumnFormula>
    </tableColumn>
    <tableColumn id="6" xr3:uid="{00000000-0010-0000-0B00-000006000000}" name="Team5 laps [laps]">
      <calculatedColumnFormula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calculatedColumnFormula>
    </tableColumn>
    <tableColumn id="7" xr3:uid="{00000000-0010-0000-0B00-000007000000}" name="Team6 laps [laps]">
      <calculatedColumnFormula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calculatedColumnFormula>
    </tableColumn>
    <tableColumn id="8" xr3:uid="{00000000-0010-0000-0B00-000008000000}" name="Team7 laps [laps]">
      <calculatedColumnFormula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calculatedColumnFormula>
    </tableColumn>
    <tableColumn id="9" xr3:uid="{00000000-0010-0000-0B00-000009000000}" name="Team8 laps [laps]">
      <calculatedColumnFormula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calculatedColumnFormula>
    </tableColumn>
    <tableColumn id="10" xr3:uid="{00000000-0010-0000-0B00-00000A000000}" name="Team9 laps [laps]">
      <calculatedColumnFormula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calculatedColumnFormula>
    </tableColumn>
    <tableColumn id="11" xr3:uid="{00000000-0010-0000-0B00-00000B000000}" name="Team1 distance to winner [laps]">
      <calculatedColumnFormula>intermediate_results[[#This Row], [Team1 laps '[laps']]] - intermediate_results[[#This Row], [Team1 laps '[laps']]]</calculatedColumnFormula>
    </tableColumn>
    <tableColumn id="12" xr3:uid="{00000000-0010-0000-0B00-00000C000000}" name="Team2 distance to winner [laps]">
      <calculatedColumnFormula>intermediate_results[[#This Row], [Team1 laps '[laps']]] - intermediate_results[[#This Row], [Team2 laps '[laps']]]</calculatedColumnFormula>
    </tableColumn>
    <tableColumn id="13" xr3:uid="{00000000-0010-0000-0B00-00000D000000}" name="Team3 distance to winner [laps]">
      <calculatedColumnFormula>intermediate_results[[#This Row], [Team1 laps '[laps']]] - intermediate_results[[#This Row], [Team3 laps '[laps']]]</calculatedColumnFormula>
    </tableColumn>
    <tableColumn id="14" xr3:uid="{00000000-0010-0000-0B00-00000E000000}" name="Team4 distance to winner [laps]">
      <calculatedColumnFormula>intermediate_results[[#This Row], [Team1 laps '[laps']]] - intermediate_results[[#This Row], [Team4 laps '[laps']]]</calculatedColumnFormula>
    </tableColumn>
    <tableColumn id="15" xr3:uid="{00000000-0010-0000-0B00-00000F000000}" name="Team5 distance to winner [laps]">
      <calculatedColumnFormula>intermediate_results[[#This Row], [Team1 laps '[laps']]] - intermediate_results[[#This Row], [Team5 laps '[laps']]]</calculatedColumnFormula>
    </tableColumn>
    <tableColumn id="16" xr3:uid="{00000000-0010-0000-0B00-000010000000}" name="Team6 distance to winner [laps]">
      <calculatedColumnFormula>intermediate_results[[#This Row], [Team1 laps '[laps']]] - intermediate_results[[#This Row], [Team6 laps '[laps']]]</calculatedColumnFormula>
    </tableColumn>
    <tableColumn id="17" xr3:uid="{00000000-0010-0000-0B00-000011000000}" name="Team7 distance to winner [laps]">
      <calculatedColumnFormula>intermediate_results[[#This Row], [Team1 laps '[laps']]] - intermediate_results[[#This Row], [Team7 laps '[laps']]]</calculatedColumnFormula>
    </tableColumn>
    <tableColumn id="18" xr3:uid="{00000000-0010-0000-0B00-000012000000}" name="Team8 distance to winner [laps]">
      <calculatedColumnFormula>intermediate_results[[#This Row], [Team1 laps '[laps']]] - intermediate_results[[#This Row], [Team8 laps '[laps']]]</calculatedColumnFormula>
    </tableColumn>
    <tableColumn id="19" xr3:uid="{00000000-0010-0000-0B00-000013000000}" name="Team9 distance to winner [laps]">
      <calculatedColumnFormula>intermediate_results[[#This Row], [Team1 laps '[laps']]] - intermediate_results[[#This Row], [Team9 laps '[laps']]]</calculatedColumnFormula>
    </tableColumn>
    <tableColumn id="20" xr3:uid="{00000000-0010-0000-0B00-000014000000}" name="Team1 distance to leader [laps]">
      <calculatedColumnFormula>MAX(intermediate_results[[#This Row], [Team1 laps '[laps']]:[Team9 laps '[laps']]]) - intermediate_results[[#This Row], [Team1 laps '[laps']]]</calculatedColumnFormula>
    </tableColumn>
    <tableColumn id="21" xr3:uid="{00000000-0010-0000-0B00-000015000000}" name="Team2 distance to leader [laps]">
      <calculatedColumnFormula>MAX(intermediate_results[[#This Row], [Team1 laps '[laps']]:[Team9 laps '[laps']]]) - intermediate_results[[#This Row], [Team2 laps '[laps']]]</calculatedColumnFormula>
    </tableColumn>
    <tableColumn id="22" xr3:uid="{00000000-0010-0000-0B00-000016000000}" name="Team3 distance to leader [laps]">
      <calculatedColumnFormula>MAX(intermediate_results[[#This Row], [Team1 laps '[laps']]:[Team9 laps '[laps']]]) - intermediate_results[[#This Row], [Team3 laps '[laps']]]</calculatedColumnFormula>
    </tableColumn>
    <tableColumn id="23" xr3:uid="{00000000-0010-0000-0B00-000017000000}" name="Team4 distance to leader [laps]">
      <calculatedColumnFormula>MAX(intermediate_results[[#This Row], [Team1 laps '[laps']]:[Team9 laps '[laps']]]) - intermediate_results[[#This Row], [Team4 laps '[laps']]]</calculatedColumnFormula>
    </tableColumn>
    <tableColumn id="24" xr3:uid="{00000000-0010-0000-0B00-000018000000}" name="Team5 distance to leader [laps]">
      <calculatedColumnFormula>MAX(intermediate_results[[#This Row], [Team1 laps '[laps']]:[Team9 laps '[laps']]]) - intermediate_results[[#This Row], [Team5 laps '[laps']]]</calculatedColumnFormula>
    </tableColumn>
    <tableColumn id="25" xr3:uid="{00000000-0010-0000-0B00-000019000000}" name="Team6 distance to leader [laps]">
      <calculatedColumnFormula>MAX(intermediate_results[[#This Row], [Team1 laps '[laps']]:[Team9 laps '[laps']]]) - intermediate_results[[#This Row], [Team6 laps '[laps']]]</calculatedColumnFormula>
    </tableColumn>
    <tableColumn id="26" xr3:uid="{00000000-0010-0000-0B00-00001A000000}" name="Team7 distance to leader [laps]">
      <calculatedColumnFormula>MAX(intermediate_results[[#This Row], [Team1 laps '[laps']]:[Team9 laps '[laps']]]) - intermediate_results[[#This Row], [Team7 laps '[laps']]]</calculatedColumnFormula>
    </tableColumn>
    <tableColumn id="27" xr3:uid="{00000000-0010-0000-0B00-00001B000000}" name="Team8 distance to leader [laps]">
      <calculatedColumnFormula>MAX(intermediate_results[[#This Row], [Team1 laps '[laps']]:[Team9 laps '[laps']]]) - intermediate_results[[#This Row], [Team8 laps '[laps']]]</calculatedColumnFormula>
    </tableColumn>
    <tableColumn id="28" xr3:uid="{00000000-0010-0000-0B00-00001C000000}" name="Team9 distance to leader [laps]">
      <calculatedColumnFormula>MAX(intermediate_results[[#This Row], [Team1 laps '[laps']]:[Team9 laps '[laps']]]) - intermediate_results[[#This Row], [Team9 laps '[laps']]]</calculatedColumnFormula>
    </tableColumn>
    <tableColumn id="29" xr3:uid="{00000000-0010-0000-0B00-00001D000000}" name="Total running average [sec]">
      <calculatedColumnFormula>9 * intermediate_results[[#This Row], [All cumulative times '[sec']]] / SUM(intermediate_results[[#This Row], [Team1 laps '[laps']]:[Team9 laps '[laps']]])</calculatedColumnFormula>
    </tableColumn>
    <tableColumn id="30" xr3:uid="{00000000-0010-0000-0B00-00001E000000}" name="Team1 running average diff [sec]">
      <calculatedColumnFormula>intermediate_results[[#This Row], [All cumulative times '[sec']]] / intermediate_results[[#This Row], [Team1 laps '[laps']]] - intermediate_results[[#This Row], [Total running average '[sec']]]</calculatedColumnFormula>
    </tableColumn>
    <tableColumn id="31" xr3:uid="{00000000-0010-0000-0B00-00001F000000}" name="Team2 running average diff [sec]">
      <calculatedColumnFormula>intermediate_results[[#This Row], [All cumulative times '[sec']]] / intermediate_results[[#This Row], [Team2 laps '[laps']]] - intermediate_results[[#This Row], [Total running average '[sec']]]</calculatedColumnFormula>
    </tableColumn>
    <tableColumn id="32" xr3:uid="{00000000-0010-0000-0B00-000020000000}" name="Team3 running average diff [sec]">
      <calculatedColumnFormula>intermediate_results[[#This Row], [All cumulative times '[sec']]] / intermediate_results[[#This Row], [Team3 laps '[laps']]] - intermediate_results[[#This Row], [Total running average '[sec']]]</calculatedColumnFormula>
    </tableColumn>
    <tableColumn id="33" xr3:uid="{00000000-0010-0000-0B00-000021000000}" name="Team4 running average diff [sec]">
      <calculatedColumnFormula>intermediate_results[[#This Row], [All cumulative times '[sec']]] / intermediate_results[[#This Row], [Team4 laps '[laps']]] - intermediate_results[[#This Row], [Total running average '[sec']]]</calculatedColumnFormula>
    </tableColumn>
    <tableColumn id="34" xr3:uid="{00000000-0010-0000-0B00-000022000000}" name="Team5 running average diff [sec]">
      <calculatedColumnFormula>intermediate_results[[#This Row], [All cumulative times '[sec']]] / intermediate_results[[#This Row], [Team5 laps '[laps']]] - intermediate_results[[#This Row], [Total running average '[sec']]]</calculatedColumnFormula>
    </tableColumn>
    <tableColumn id="35" xr3:uid="{00000000-0010-0000-0B00-000023000000}" name="Team6 running average diff [sec]">
      <calculatedColumnFormula>intermediate_results[[#This Row], [All cumulative times '[sec']]] / intermediate_results[[#This Row], [Team6 laps '[laps']]] - intermediate_results[[#This Row], [Total running average '[sec']]]</calculatedColumnFormula>
    </tableColumn>
    <tableColumn id="36" xr3:uid="{00000000-0010-0000-0B00-000024000000}" name="Team7 running average diff [sec]">
      <calculatedColumnFormula>intermediate_results[[#This Row], [All cumulative times '[sec']]] / intermediate_results[[#This Row], [Team7 laps '[laps']]] - intermediate_results[[#This Row], [Total running average '[sec']]]</calculatedColumnFormula>
    </tableColumn>
    <tableColumn id="37" xr3:uid="{00000000-0010-0000-0B00-000025000000}" name="Team8 running average diff [sec]">
      <calculatedColumnFormula>intermediate_results[[#This Row], [All cumulative times '[sec']]] / intermediate_results[[#This Row], [Team8 laps '[laps']]] - intermediate_results[[#This Row], [Total running average '[sec']]]</calculatedColumnFormula>
    </tableColumn>
    <tableColumn id="38" xr3:uid="{00000000-0010-0000-0B00-000026000000}" name="Team9 running average diff [sec]">
      <calculatedColumnFormula>intermediate_results[[#This Row], [All cumulative times '[sec']]] / intermediate_results[[#This Row], [Team9 laps '[laps']]] - intermediate_results[[#This Row], [Total running average '[sec']]]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9" Type="http://schemas.openxmlformats.org/officeDocument/2006/relationships/table" Target="../tables/table1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"/>
  <sheetViews>
    <sheetView topLeftCell="A177" workbookViewId="0">
      <selection activeCell="E14" sqref="E14"/>
    </sheetView>
  </sheetViews>
  <sheetFormatPr defaultRowHeight="15" x14ac:dyDescent="0.25"/>
  <cols>
    <col min="1" max="12" width="30.7109375" customWidth="1"/>
  </cols>
  <sheetData>
    <row r="1" spans="1:12" x14ac:dyDescent="0.25">
      <c r="A1" s="2" t="s">
        <v>26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 ht="18" thickBot="1" x14ac:dyDescent="0.35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</row>
    <row r="3" spans="1:12" ht="15.75" thickTop="1" x14ac:dyDescent="0.25">
      <c r="A3" s="1">
        <v>1</v>
      </c>
      <c r="B3" s="1">
        <v>13</v>
      </c>
      <c r="C3" s="1" t="s">
        <v>12</v>
      </c>
      <c r="D3" s="1">
        <f ca="1">COUNT(INDIRECT("team" &amp; race_results[[#This Row], [Position]] &amp; "_results[Lap times '[sec']]"))</f>
        <v>34</v>
      </c>
      <c r="E3" s="1" t="s">
        <v>13</v>
      </c>
      <c r="F3" s="1">
        <f ca="1">MIN(INDIRECT("team" &amp; race_results[[#This Row], [Position]] &amp; "_results[Lap times '[sec']]"))</f>
        <v>51.88</v>
      </c>
      <c r="G3">
        <f t="array" aca="1" ref="G3" ca="1">MAX(IF(INDIRECT("team" &amp; race_results[[#This Row], [Position]] &amp; "_results[Driver]") &lt;&gt; "Pit", INDIRECT("team" &amp; race_results[[#This Row], [Position]] &amp; "_results[Lap times '[sec']]")))</f>
        <v>54.206000000000003</v>
      </c>
      <c r="H3" s="1">
        <f ca="1">SUM(INDIRECT("team" &amp; race_results[[#This Row], [Position]] &amp; "_results[Lap times '[sec']]")) / race_results[[#This Row], [Laps '[laps']]]</f>
        <v>52.678647058823529</v>
      </c>
      <c r="I3">
        <f t="array" aca="1" ref="I3" ca="1">_xlfn.STDEV.S(IF(INDIRECT("team" &amp; race_results[[#This Row], [Position]] &amp; "_results[Driver]") &lt;&gt; "Pit", INDIRECT("team" &amp; race_results[[#This Row], [Position]] &amp; "_results[Lap times '[sec']]")))</f>
        <v>0.56590934504500712</v>
      </c>
      <c r="J3" s="1">
        <f ca="1">SUMIF(INDIRECT("team" &amp; race_results[[#This Row], [Position]] &amp; "_results[Driver]"), "Pit", INDIRECT("team" &amp; race_results[[#This Row], [Position]] &amp; "_results[Lap times '[sec']]"))</f>
        <v>0</v>
      </c>
      <c r="K3" s="1">
        <f ca="1">COUNTIF(INDIRECT("team" &amp; race_results[[#This Row], [Position]] &amp; "_results[Driver]"), "Pit")</f>
        <v>0</v>
      </c>
      <c r="L3" s="1">
        <f ca="1">IF(race_results[[#This Row], [Pit stops]] = 0, 0, race_results[[#This Row], [Pit time '[sec']]] / race_results[[#This Row], [Pit stops]])</f>
        <v>0</v>
      </c>
    </row>
    <row r="4" spans="1:12" x14ac:dyDescent="0.25">
      <c r="A4" s="1">
        <v>2</v>
      </c>
      <c r="B4" s="1">
        <v>18</v>
      </c>
      <c r="C4" s="1" t="s">
        <v>14</v>
      </c>
      <c r="D4" s="1">
        <f ca="1">COUNT(INDIRECT("team" &amp; race_results[[#This Row], [Position]] &amp; "_results[Lap times '[sec']]"))</f>
        <v>34</v>
      </c>
      <c r="E4" s="1" t="s">
        <v>15</v>
      </c>
      <c r="F4" s="1">
        <f ca="1">MIN(INDIRECT("team" &amp; race_results[[#This Row], [Position]] &amp; "_results[Lap times '[sec']]"))</f>
        <v>52.680999999999997</v>
      </c>
      <c r="G4">
        <f t="array" aca="1" ref="G4" ca="1">MAX(IF(INDIRECT("team" &amp; race_results[[#This Row], [Position]] &amp; "_results[Driver]") &lt;&gt; "Pit", INDIRECT("team" &amp; race_results[[#This Row], [Position]] &amp; "_results[Lap times '[sec']]")))</f>
        <v>54.49</v>
      </c>
      <c r="H4" s="1">
        <f ca="1">SUM(INDIRECT("team" &amp; race_results[[#This Row], [Position]] &amp; "_results[Lap times '[sec']]")) / race_results[[#This Row], [Laps '[laps']]]</f>
        <v>53.193617647058815</v>
      </c>
      <c r="I4">
        <f t="array" aca="1" ref="I4" ca="1">_xlfn.STDEV.S(IF(INDIRECT("team" &amp; race_results[[#This Row], [Position]] &amp; "_results[Driver]") &lt;&gt; "Pit", INDIRECT("team" &amp; race_results[[#This Row], [Position]] &amp; "_results[Lap times '[sec']]")))</f>
        <v>0.457424676011908</v>
      </c>
      <c r="J4" s="1">
        <f ca="1">SUMIF(INDIRECT("team" &amp; race_results[[#This Row], [Position]] &amp; "_results[Driver]"), "Pit", INDIRECT("team" &amp; race_results[[#This Row], [Position]] &amp; "_results[Lap times '[sec']]"))</f>
        <v>0</v>
      </c>
      <c r="K4" s="1">
        <f ca="1">COUNTIF(INDIRECT("team" &amp; race_results[[#This Row], [Position]] &amp; "_results[Driver]"), "Pit")</f>
        <v>0</v>
      </c>
      <c r="L4" s="1">
        <f ca="1">IF(race_results[[#This Row], [Pit stops]] = 0, 0, race_results[[#This Row], [Pit time '[sec']]] / race_results[[#This Row], [Pit stops]])</f>
        <v>0</v>
      </c>
    </row>
    <row r="5" spans="1:12" x14ac:dyDescent="0.25">
      <c r="A5" s="1">
        <v>3</v>
      </c>
      <c r="B5" s="1">
        <v>3</v>
      </c>
      <c r="C5" s="1" t="s">
        <v>16</v>
      </c>
      <c r="D5" s="1">
        <f ca="1">COUNT(INDIRECT("team" &amp; race_results[[#This Row], [Position]] &amp; "_results[Lap times '[sec']]"))</f>
        <v>34</v>
      </c>
      <c r="E5" s="1" t="s">
        <v>17</v>
      </c>
      <c r="F5" s="1">
        <f ca="1">MIN(INDIRECT("team" &amp; race_results[[#This Row], [Position]] &amp; "_results[Lap times '[sec']]"))</f>
        <v>52.533000000000001</v>
      </c>
      <c r="G5">
        <f t="array" aca="1" ref="G5" ca="1">MAX(IF(INDIRECT("team" &amp; race_results[[#This Row], [Position]] &amp; "_results[Driver]") &lt;&gt; "Pit", INDIRECT("team" &amp; race_results[[#This Row], [Position]] &amp; "_results[Lap times '[sec']]")))</f>
        <v>55.386000000000003</v>
      </c>
      <c r="H5" s="1">
        <f ca="1">SUM(INDIRECT("team" &amp; race_results[[#This Row], [Position]] &amp; "_results[Lap times '[sec']]")) / race_results[[#This Row], [Laps '[laps']]]</f>
        <v>53.52417647058823</v>
      </c>
      <c r="I5">
        <f t="array" aca="1" ref="I5" ca="1">_xlfn.STDEV.S(IF(INDIRECT("team" &amp; race_results[[#This Row], [Position]] &amp; "_results[Driver]") &lt;&gt; "Pit", INDIRECT("team" &amp; race_results[[#This Row], [Position]] &amp; "_results[Lap times '[sec']]")))</f>
        <v>0.71818270109830851</v>
      </c>
      <c r="J5" s="1">
        <f ca="1">SUMIF(INDIRECT("team" &amp; race_results[[#This Row], [Position]] &amp; "_results[Driver]"), "Pit", INDIRECT("team" &amp; race_results[[#This Row], [Position]] &amp; "_results[Lap times '[sec']]"))</f>
        <v>0</v>
      </c>
      <c r="K5" s="1">
        <f ca="1">COUNTIF(INDIRECT("team" &amp; race_results[[#This Row], [Position]] &amp; "_results[Driver]"), "Pit")</f>
        <v>0</v>
      </c>
      <c r="L5" s="1">
        <f ca="1">IF(race_results[[#This Row], [Pit stops]] = 0, 0, race_results[[#This Row], [Pit time '[sec']]] / race_results[[#This Row], [Pit stops]])</f>
        <v>0</v>
      </c>
    </row>
    <row r="6" spans="1:12" x14ac:dyDescent="0.25">
      <c r="A6" s="1">
        <v>4</v>
      </c>
      <c r="B6" s="1">
        <v>14</v>
      </c>
      <c r="C6" s="1" t="s">
        <v>18</v>
      </c>
      <c r="D6" s="1">
        <f ca="1">COUNT(INDIRECT("team" &amp; race_results[[#This Row], [Position]] &amp; "_results[Lap times '[sec']]"))</f>
        <v>33</v>
      </c>
      <c r="E6" s="1" t="s">
        <v>19</v>
      </c>
      <c r="F6" s="1">
        <f ca="1">MIN(INDIRECT("team" &amp; race_results[[#This Row], [Position]] &amp; "_results[Lap times '[sec']]"))</f>
        <v>52.603999999999999</v>
      </c>
      <c r="G6">
        <f t="array" aca="1" ref="G6" ca="1">MAX(IF(INDIRECT("team" &amp; race_results[[#This Row], [Position]] &amp; "_results[Driver]") &lt;&gt; "Pit", INDIRECT("team" &amp; race_results[[#This Row], [Position]] &amp; "_results[Lap times '[sec']]")))</f>
        <v>56.984000000000002</v>
      </c>
      <c r="H6" s="1">
        <f ca="1">SUM(INDIRECT("team" &amp; race_results[[#This Row], [Position]] &amp; "_results[Lap times '[sec']]")) / race_results[[#This Row], [Laps '[laps']]]</f>
        <v>54.385242424242414</v>
      </c>
      <c r="I6">
        <f t="array" aca="1" ref="I6" ca="1">_xlfn.STDEV.S(IF(INDIRECT("team" &amp; race_results[[#This Row], [Position]] &amp; "_results[Driver]") &lt;&gt; "Pit", INDIRECT("team" &amp; race_results[[#This Row], [Position]] &amp; "_results[Lap times '[sec']]")))</f>
        <v>0.90626044926055349</v>
      </c>
      <c r="J6" s="1">
        <f ca="1">SUMIF(INDIRECT("team" &amp; race_results[[#This Row], [Position]] &amp; "_results[Driver]"), "Pit", INDIRECT("team" &amp; race_results[[#This Row], [Position]] &amp; "_results[Lap times '[sec']]"))</f>
        <v>0</v>
      </c>
      <c r="K6" s="1">
        <f ca="1">COUNTIF(INDIRECT("team" &amp; race_results[[#This Row], [Position]] &amp; "_results[Driver]"), "Pit")</f>
        <v>0</v>
      </c>
      <c r="L6" s="1">
        <f ca="1">IF(race_results[[#This Row], [Pit stops]] = 0, 0, race_results[[#This Row], [Pit time '[sec']]] / race_results[[#This Row], [Pit stops]])</f>
        <v>0</v>
      </c>
    </row>
    <row r="7" spans="1:12" x14ac:dyDescent="0.25">
      <c r="A7" s="1">
        <v>5</v>
      </c>
      <c r="B7" s="1">
        <v>19</v>
      </c>
      <c r="C7" s="1" t="s">
        <v>20</v>
      </c>
      <c r="D7" s="1">
        <f ca="1">COUNT(INDIRECT("team" &amp; race_results[[#This Row], [Position]] &amp; "_results[Lap times '[sec']]"))</f>
        <v>33</v>
      </c>
      <c r="E7" s="1" t="s">
        <v>19</v>
      </c>
      <c r="F7" s="1">
        <f ca="1">MIN(INDIRECT("team" &amp; race_results[[#This Row], [Position]] &amp; "_results[Lap times '[sec']]"))</f>
        <v>53.857999999999997</v>
      </c>
      <c r="G7">
        <f t="array" aca="1" ref="G7" ca="1">MAX(IF(INDIRECT("team" &amp; race_results[[#This Row], [Position]] &amp; "_results[Driver]") &lt;&gt; "Pit", INDIRECT("team" &amp; race_results[[#This Row], [Position]] &amp; "_results[Lap times '[sec']]")))</f>
        <v>56.305</v>
      </c>
      <c r="H7" s="1">
        <f ca="1">SUM(INDIRECT("team" &amp; race_results[[#This Row], [Position]] &amp; "_results[Lap times '[sec']]")) / race_results[[#This Row], [Laps '[laps']]]</f>
        <v>54.831727272727285</v>
      </c>
      <c r="I7">
        <f t="array" aca="1" ref="I7" ca="1">_xlfn.STDEV.S(IF(INDIRECT("team" &amp; race_results[[#This Row], [Position]] &amp; "_results[Driver]") &lt;&gt; "Pit", INDIRECT("team" &amp; race_results[[#This Row], [Position]] &amp; "_results[Lap times '[sec']]")))</f>
        <v>0.6078684722416966</v>
      </c>
      <c r="J7" s="1">
        <f ca="1">SUMIF(INDIRECT("team" &amp; race_results[[#This Row], [Position]] &amp; "_results[Driver]"), "Pit", INDIRECT("team" &amp; race_results[[#This Row], [Position]] &amp; "_results[Lap times '[sec']]"))</f>
        <v>0</v>
      </c>
      <c r="K7" s="1">
        <f ca="1">COUNTIF(INDIRECT("team" &amp; race_results[[#This Row], [Position]] &amp; "_results[Driver]"), "Pit")</f>
        <v>0</v>
      </c>
      <c r="L7" s="1">
        <f ca="1">IF(race_results[[#This Row], [Pit stops]] = 0, 0, race_results[[#This Row], [Pit time '[sec']]] / race_results[[#This Row], [Pit stops]])</f>
        <v>0</v>
      </c>
    </row>
    <row r="8" spans="1:12" x14ac:dyDescent="0.25">
      <c r="A8" s="1">
        <v>6</v>
      </c>
      <c r="B8" s="1">
        <v>5</v>
      </c>
      <c r="C8" s="1" t="s">
        <v>21</v>
      </c>
      <c r="D8" s="1">
        <f ca="1">COUNT(INDIRECT("team" &amp; race_results[[#This Row], [Position]] &amp; "_results[Lap times '[sec']]"))</f>
        <v>33</v>
      </c>
      <c r="E8" s="1" t="s">
        <v>19</v>
      </c>
      <c r="F8" s="1">
        <f ca="1">MIN(INDIRECT("team" &amp; race_results[[#This Row], [Position]] &amp; "_results[Lap times '[sec']]"))</f>
        <v>53.969000000000001</v>
      </c>
      <c r="G8">
        <f t="array" aca="1" ref="G8" ca="1">MAX(IF(INDIRECT("team" &amp; race_results[[#This Row], [Position]] &amp; "_results[Driver]") &lt;&gt; "Pit", INDIRECT("team" &amp; race_results[[#This Row], [Position]] &amp; "_results[Lap times '[sec']]")))</f>
        <v>57.482999999999997</v>
      </c>
      <c r="H8" s="1">
        <f ca="1">SUM(INDIRECT("team" &amp; race_results[[#This Row], [Position]] &amp; "_results[Lap times '[sec']]")) / race_results[[#This Row], [Laps '[laps']]]</f>
        <v>55.346727272727286</v>
      </c>
      <c r="I8">
        <f t="array" aca="1" ref="I8" ca="1">_xlfn.STDEV.S(IF(INDIRECT("team" &amp; race_results[[#This Row], [Position]] &amp; "_results[Driver]") &lt;&gt; "Pit", INDIRECT("team" &amp; race_results[[#This Row], [Position]] &amp; "_results[Lap times '[sec']]")))</f>
        <v>0.71450967771294371</v>
      </c>
      <c r="J8" s="1">
        <f ca="1">SUMIF(INDIRECT("team" &amp; race_results[[#This Row], [Position]] &amp; "_results[Driver]"), "Pit", INDIRECT("team" &amp; race_results[[#This Row], [Position]] &amp; "_results[Lap times '[sec']]"))</f>
        <v>0</v>
      </c>
      <c r="K8" s="1">
        <f ca="1">COUNTIF(INDIRECT("team" &amp; race_results[[#This Row], [Position]] &amp; "_results[Driver]"), "Pit")</f>
        <v>0</v>
      </c>
      <c r="L8" s="1">
        <f ca="1">IF(race_results[[#This Row], [Pit stops]] = 0, 0, race_results[[#This Row], [Pit time '[sec']]] / race_results[[#This Row], [Pit stops]])</f>
        <v>0</v>
      </c>
    </row>
    <row r="9" spans="1:12" x14ac:dyDescent="0.25">
      <c r="A9" s="1">
        <v>7</v>
      </c>
      <c r="B9" s="1">
        <v>12</v>
      </c>
      <c r="C9" s="1" t="s">
        <v>22</v>
      </c>
      <c r="D9" s="1">
        <f ca="1">COUNT(INDIRECT("team" &amp; race_results[[#This Row], [Position]] &amp; "_results[Lap times '[sec']]"))</f>
        <v>33</v>
      </c>
      <c r="E9" s="1" t="s">
        <v>19</v>
      </c>
      <c r="F9" s="1">
        <f ca="1">MIN(INDIRECT("team" &amp; race_results[[#This Row], [Position]] &amp; "_results[Lap times '[sec']]"))</f>
        <v>52.908000000000001</v>
      </c>
      <c r="G9">
        <f t="array" aca="1" ref="G9" ca="1">MAX(IF(INDIRECT("team" &amp; race_results[[#This Row], [Position]] &amp; "_results[Driver]") &lt;&gt; "Pit", INDIRECT("team" &amp; race_results[[#This Row], [Position]] &amp; "_results[Lap times '[sec']]")))</f>
        <v>88.843999999999994</v>
      </c>
      <c r="H9" s="1">
        <f ca="1">SUM(INDIRECT("team" &amp; race_results[[#This Row], [Position]] &amp; "_results[Lap times '[sec']]")) / race_results[[#This Row], [Laps '[laps']]]</f>
        <v>55.41239393939393</v>
      </c>
      <c r="I9">
        <f t="array" aca="1" ref="I9" ca="1">_xlfn.STDEV.S(IF(INDIRECT("team" &amp; race_results[[#This Row], [Position]] &amp; "_results[Driver]") &lt;&gt; "Pit", INDIRECT("team" &amp; race_results[[#This Row], [Position]] &amp; "_results[Lap times '[sec']]")))</f>
        <v>6.0602950110710836</v>
      </c>
      <c r="J9" s="1">
        <f ca="1">SUMIF(INDIRECT("team" &amp; race_results[[#This Row], [Position]] &amp; "_results[Driver]"), "Pit", INDIRECT("team" &amp; race_results[[#This Row], [Position]] &amp; "_results[Lap times '[sec']]"))</f>
        <v>0</v>
      </c>
      <c r="K9" s="1">
        <f ca="1">COUNTIF(INDIRECT("team" &amp; race_results[[#This Row], [Position]] &amp; "_results[Driver]"), "Pit")</f>
        <v>0</v>
      </c>
      <c r="L9" s="1">
        <f ca="1">IF(race_results[[#This Row], [Pit stops]] = 0, 0, race_results[[#This Row], [Pit time '[sec']]] / race_results[[#This Row], [Pit stops]])</f>
        <v>0</v>
      </c>
    </row>
    <row r="10" spans="1:12" x14ac:dyDescent="0.25">
      <c r="A10" s="1">
        <v>8</v>
      </c>
      <c r="B10" s="1">
        <v>8</v>
      </c>
      <c r="C10" s="1" t="s">
        <v>23</v>
      </c>
      <c r="D10" s="1">
        <f ca="1">COUNT(INDIRECT("team" &amp; race_results[[#This Row], [Position]] &amp; "_results[Lap times '[sec']]"))</f>
        <v>32</v>
      </c>
      <c r="E10" s="1" t="s">
        <v>24</v>
      </c>
      <c r="F10" s="1">
        <f ca="1">MIN(INDIRECT("team" &amp; race_results[[#This Row], [Position]] &amp; "_results[Lap times '[sec']]"))</f>
        <v>54.984999999999999</v>
      </c>
      <c r="G10">
        <f t="array" aca="1" ref="G10" ca="1">MAX(IF(INDIRECT("team" &amp; race_results[[#This Row], [Position]] &amp; "_results[Driver]") &lt;&gt; "Pit", INDIRECT("team" &amp; race_results[[#This Row], [Position]] &amp; "_results[Lap times '[sec']]")))</f>
        <v>59.113</v>
      </c>
      <c r="H10" s="1">
        <f ca="1">SUM(INDIRECT("team" &amp; race_results[[#This Row], [Position]] &amp; "_results[Lap times '[sec']]")) / race_results[[#This Row], [Laps '[laps']]]</f>
        <v>56.433468749999989</v>
      </c>
      <c r="I10">
        <f t="array" aca="1" ref="I10" ca="1">_xlfn.STDEV.S(IF(INDIRECT("team" &amp; race_results[[#This Row], [Position]] &amp; "_results[Driver]") &lt;&gt; "Pit", INDIRECT("team" &amp; race_results[[#This Row], [Position]] &amp; "_results[Lap times '[sec']]")))</f>
        <v>1.0474485431775817</v>
      </c>
      <c r="J10" s="1">
        <f ca="1">SUMIF(INDIRECT("team" &amp; race_results[[#This Row], [Position]] &amp; "_results[Driver]"), "Pit", INDIRECT("team" &amp; race_results[[#This Row], [Position]] &amp; "_results[Lap times '[sec']]"))</f>
        <v>0</v>
      </c>
      <c r="K10" s="1">
        <f ca="1">COUNTIF(INDIRECT("team" &amp; race_results[[#This Row], [Position]] &amp; "_results[Driver]"), "Pit")</f>
        <v>0</v>
      </c>
      <c r="L10" s="1">
        <f ca="1">IF(race_results[[#This Row], [Pit stops]] = 0, 0, race_results[[#This Row], [Pit time '[sec']]] / race_results[[#This Row], [Pit stops]])</f>
        <v>0</v>
      </c>
    </row>
    <row r="11" spans="1:12" x14ac:dyDescent="0.25">
      <c r="A11" s="1">
        <v>9</v>
      </c>
      <c r="B11" s="1">
        <v>17</v>
      </c>
      <c r="C11" s="1" t="s">
        <v>25</v>
      </c>
      <c r="D11" s="1">
        <f ca="1">COUNT(INDIRECT("team" &amp; race_results[[#This Row], [Position]] &amp; "_results[Lap times '[sec']]"))</f>
        <v>32</v>
      </c>
      <c r="E11" s="1" t="s">
        <v>24</v>
      </c>
      <c r="F11" s="1">
        <f ca="1">MIN(INDIRECT("team" &amp; race_results[[#This Row], [Position]] &amp; "_results[Lap times '[sec']]"))</f>
        <v>55.383000000000003</v>
      </c>
      <c r="G11">
        <f t="array" aca="1" ref="G11" ca="1">MAX(IF(INDIRECT("team" &amp; race_results[[#This Row], [Position]] &amp; "_results[Driver]") &lt;&gt; "Pit", INDIRECT("team" &amp; race_results[[#This Row], [Position]] &amp; "_results[Lap times '[sec']]")))</f>
        <v>58.514000000000003</v>
      </c>
      <c r="H11" s="1">
        <f ca="1">SUM(INDIRECT("team" &amp; race_results[[#This Row], [Position]] &amp; "_results[Lap times '[sec']]")) / race_results[[#This Row], [Laps '[laps']]]</f>
        <v>56.406874999999992</v>
      </c>
      <c r="I11">
        <f t="array" aca="1" ref="I11" ca="1">_xlfn.STDEV.S(IF(INDIRECT("team" &amp; race_results[[#This Row], [Position]] &amp; "_results[Driver]") &lt;&gt; "Pit", INDIRECT("team" &amp; race_results[[#This Row], [Position]] &amp; "_results[Lap times '[sec']]")))</f>
        <v>0.75559302708577525</v>
      </c>
      <c r="J11" s="1">
        <f ca="1">SUMIF(INDIRECT("team" &amp; race_results[[#This Row], [Position]] &amp; "_results[Driver]"), "Pit", INDIRECT("team" &amp; race_results[[#This Row], [Position]] &amp; "_results[Lap times '[sec']]"))</f>
        <v>0</v>
      </c>
      <c r="K11" s="1">
        <f ca="1">COUNTIF(INDIRECT("team" &amp; race_results[[#This Row], [Position]] &amp; "_results[Driver]"), "Pit")</f>
        <v>0</v>
      </c>
      <c r="L11" s="1">
        <f ca="1">IF(race_results[[#This Row], [Pit stops]] = 0, 0, race_results[[#This Row], [Pit time '[sec']]] / race_results[[#This Row], [Pit stops]])</f>
        <v>0</v>
      </c>
    </row>
    <row r="16" spans="1:12" ht="18" thickBot="1" x14ac:dyDescent="0.35">
      <c r="A16" s="3" t="s">
        <v>28</v>
      </c>
      <c r="B16" s="3" t="s">
        <v>2</v>
      </c>
      <c r="C16" s="3" t="s">
        <v>3</v>
      </c>
      <c r="D16" s="3" t="s">
        <v>29</v>
      </c>
      <c r="E16" s="3" t="s">
        <v>30</v>
      </c>
      <c r="F16" s="3" t="s">
        <v>7</v>
      </c>
      <c r="G16" s="3" t="s">
        <v>31</v>
      </c>
      <c r="H16" s="3" t="s">
        <v>8</v>
      </c>
      <c r="J16" t="s">
        <v>27</v>
      </c>
    </row>
    <row r="17" spans="1:10" ht="15.75" thickTop="1" x14ac:dyDescent="0.25">
      <c r="A17" s="1" t="s">
        <v>12</v>
      </c>
      <c r="B17" s="1" t="s">
        <v>12</v>
      </c>
      <c r="C17" s="1">
        <f ca="1">COUNTIF(INDIRECT("team" &amp; INDEX(race_results[Position], MATCH(driver_results[[#This Row], [Team]], race_results[Team], 0)) &amp; "_results[Driver]"), driver_results[[#This Row], [Driver]])</f>
        <v>34</v>
      </c>
      <c r="D17">
        <f t="array" aca="1" ref="D17" ca="1">MIN(IF(INDIRECT("team"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51.88</v>
      </c>
      <c r="E17">
        <f t="array" aca="1" ref="E17" ca="1">MAX(IF(INDIRECT("team"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54.206000000000003</v>
      </c>
      <c r="F17">
        <f t="array" aca="1" ref="F17" ca="1">AVERAGE(IF(INDIRECT("team"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52.678647058823529</v>
      </c>
      <c r="G17">
        <f t="array" aca="1" ref="G17" ca="1">AVERAGE(SMALL(IF(INDIRECT("team"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'[sec']]")), ROW(INDIRECT("1:"&amp;ROUND((1 - $J$17) * driver_results[[#This Row], [Laps '[laps']]], 0)))))</f>
        <v>52.559870967741936</v>
      </c>
      <c r="H17">
        <f t="array" aca="1" ref="H17" ca="1">_xlfn.STDEV.S(IF(INDIRECT("team"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0.56590934504500712</v>
      </c>
      <c r="J17">
        <v>0.1</v>
      </c>
    </row>
    <row r="18" spans="1:10" x14ac:dyDescent="0.25">
      <c r="A18" s="1" t="s">
        <v>16</v>
      </c>
      <c r="B18" s="1" t="s">
        <v>16</v>
      </c>
      <c r="C18" s="1">
        <f ca="1">COUNTIF(INDIRECT("team" &amp; INDEX(race_results[Position], MATCH(driver_results[[#This Row], [Team]], race_results[Team], 0)) &amp; "_results[Driver]"), driver_results[[#This Row], [Driver]])</f>
        <v>34</v>
      </c>
      <c r="D18">
        <f t="array" aca="1" ref="D18" ca="1">MIN(IF(INDIRECT("team"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52.533000000000001</v>
      </c>
      <c r="E18">
        <f t="array" aca="1" ref="E18" ca="1">MAX(IF(INDIRECT("team"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55.386000000000003</v>
      </c>
      <c r="F18">
        <f t="array" aca="1" ref="F18" ca="1">AVERAGE(IF(INDIRECT("team"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53.52417647058823</v>
      </c>
      <c r="G18">
        <f t="array" aca="1" ref="G18" ca="1">AVERAGE(SMALL(IF(INDIRECT("team"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'[sec']]")), ROW(INDIRECT("1:"&amp;ROUND((1 - $J$17) * driver_results[[#This Row], [Laps '[laps']]], 0)))))</f>
        <v>53.384838709677425</v>
      </c>
      <c r="H18">
        <f t="array" aca="1" ref="H18" ca="1">_xlfn.STDEV.S(IF(INDIRECT("team"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0.71818270109830851</v>
      </c>
    </row>
    <row r="19" spans="1:10" x14ac:dyDescent="0.25">
      <c r="A19" s="1" t="s">
        <v>18</v>
      </c>
      <c r="B19" s="1" t="s">
        <v>18</v>
      </c>
      <c r="C19" s="1">
        <f ca="1">COUNTIF(INDIRECT("team" &amp; INDEX(race_results[Position], MATCH(driver_results[[#This Row], [Team]], race_results[Team], 0)) &amp; "_results[Driver]"), driver_results[[#This Row], [Driver]])</f>
        <v>33</v>
      </c>
      <c r="D19">
        <f t="array" aca="1" ref="D19" ca="1">MIN(IF(INDIRECT("team"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52.603999999999999</v>
      </c>
      <c r="E19">
        <f t="array" aca="1" ref="E19" ca="1">MAX(IF(INDIRECT("team"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56.984000000000002</v>
      </c>
      <c r="F19">
        <f t="array" aca="1" ref="F19" ca="1">AVERAGE(IF(INDIRECT("team"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54.385242424242414</v>
      </c>
      <c r="G19">
        <f t="array" aca="1" ref="G19" ca="1">AVERAGE(SMALL(IF(INDIRECT("team"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'[sec']]")), ROW(INDIRECT("1:"&amp;ROUND((1 - $J$17) * driver_results[[#This Row], [Laps '[laps']]], 0)))))</f>
        <v>54.222299999999997</v>
      </c>
      <c r="H19">
        <f t="array" aca="1" ref="H19" ca="1">_xlfn.STDEV.S(IF(INDIRECT("team"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0.90626044926055349</v>
      </c>
    </row>
    <row r="20" spans="1:10" x14ac:dyDescent="0.25">
      <c r="A20" s="1" t="s">
        <v>14</v>
      </c>
      <c r="B20" s="1" t="s">
        <v>14</v>
      </c>
      <c r="C20" s="1">
        <f ca="1">COUNTIF(INDIRECT("team" &amp; INDEX(race_results[Position], MATCH(driver_results[[#This Row], [Team]], race_results[Team], 0)) &amp; "_results[Driver]"), driver_results[[#This Row], [Driver]])</f>
        <v>34</v>
      </c>
      <c r="D20">
        <f t="array" aca="1" ref="D20" ca="1">MIN(IF(INDIRECT("team"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52.680999999999997</v>
      </c>
      <c r="E20">
        <f t="array" aca="1" ref="E20" ca="1">MAX(IF(INDIRECT("team"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54.49</v>
      </c>
      <c r="F20">
        <f t="array" aca="1" ref="F20" ca="1">AVERAGE(IF(INDIRECT("team"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53.193617647058815</v>
      </c>
      <c r="G20">
        <f t="array" aca="1" ref="G20" ca="1">AVERAGE(SMALL(IF(INDIRECT("team"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'[sec']]")), ROW(INDIRECT("1:"&amp;ROUND((1 - $J$17) * driver_results[[#This Row], [Laps '[laps']]], 0)))))</f>
        <v>53.085322580645162</v>
      </c>
      <c r="H20">
        <f t="array" aca="1" ref="H20" ca="1">_xlfn.STDEV.S(IF(INDIRECT("team"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0.457424676011908</v>
      </c>
    </row>
    <row r="21" spans="1:10" x14ac:dyDescent="0.25">
      <c r="A21" s="1" t="s">
        <v>22</v>
      </c>
      <c r="B21" s="1" t="s">
        <v>22</v>
      </c>
      <c r="C21" s="1">
        <f ca="1">COUNTIF(INDIRECT("team" &amp; INDEX(race_results[Position], MATCH(driver_results[[#This Row], [Team]], race_results[Team], 0)) &amp; "_results[Driver]"), driver_results[[#This Row], [Driver]])</f>
        <v>33</v>
      </c>
      <c r="D21">
        <f t="array" aca="1" ref="D21" ca="1">MIN(IF(INDIRECT("team"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52.908000000000001</v>
      </c>
      <c r="E21">
        <f t="array" aca="1" ref="E21" ca="1">MAX(IF(INDIRECT("team"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88.843999999999994</v>
      </c>
      <c r="F21">
        <f t="array" aca="1" ref="F21" ca="1">AVERAGE(IF(INDIRECT("team"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55.41239393939393</v>
      </c>
      <c r="G21">
        <f t="array" aca="1" ref="G21" ca="1">AVERAGE(SMALL(IF(INDIRECT("team"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'[sec']]")), ROW(INDIRECT("1:"&amp;ROUND((1 - $J$17) * driver_results[[#This Row], [Laps '[laps']]], 0)))))</f>
        <v>54.24603333333333</v>
      </c>
      <c r="H21">
        <f t="array" aca="1" ref="H21" ca="1">_xlfn.STDEV.S(IF(INDIRECT("team"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6.0602950110710836</v>
      </c>
    </row>
    <row r="22" spans="1:10" x14ac:dyDescent="0.25">
      <c r="A22" s="1" t="s">
        <v>20</v>
      </c>
      <c r="B22" s="1" t="s">
        <v>20</v>
      </c>
      <c r="C22" s="1">
        <f ca="1">COUNTIF(INDIRECT("team" &amp; INDEX(race_results[Position], MATCH(driver_results[[#This Row], [Team]], race_results[Team], 0)) &amp; "_results[Driver]"), driver_results[[#This Row], [Driver]])</f>
        <v>33</v>
      </c>
      <c r="D22">
        <f t="array" aca="1" ref="D22" ca="1">MIN(IF(INDIRECT("team"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53.857999999999997</v>
      </c>
      <c r="E22">
        <f t="array" aca="1" ref="E22" ca="1">MAX(IF(INDIRECT("team"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56.305</v>
      </c>
      <c r="F22">
        <f t="array" aca="1" ref="F22" ca="1">AVERAGE(IF(INDIRECT("team"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54.831727272727285</v>
      </c>
      <c r="G22">
        <f t="array" aca="1" ref="G22" ca="1">AVERAGE(SMALL(IF(INDIRECT("team"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'[sec']]")), ROW(INDIRECT("1:"&amp;ROUND((1 - $J$17) * driver_results[[#This Row], [Laps '[laps']]], 0)))))</f>
        <v>54.723700000000015</v>
      </c>
      <c r="H22">
        <f t="array" aca="1" ref="H22" ca="1">_xlfn.STDEV.S(IF(INDIRECT("team"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0.6078684722416966</v>
      </c>
    </row>
    <row r="23" spans="1:10" x14ac:dyDescent="0.25">
      <c r="A23" s="1" t="s">
        <v>21</v>
      </c>
      <c r="B23" s="1" t="s">
        <v>21</v>
      </c>
      <c r="C23" s="1">
        <f ca="1">COUNTIF(INDIRECT("team" &amp; INDEX(race_results[Position], MATCH(driver_results[[#This Row], [Team]], race_results[Team], 0)) &amp; "_results[Driver]"), driver_results[[#This Row], [Driver]])</f>
        <v>33</v>
      </c>
      <c r="D23">
        <f t="array" aca="1" ref="D23" ca="1">MIN(IF(INDIRECT("team"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53.969000000000001</v>
      </c>
      <c r="E23">
        <f t="array" aca="1" ref="E23" ca="1">MAX(IF(INDIRECT("team"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57.482999999999997</v>
      </c>
      <c r="F23">
        <f t="array" aca="1" ref="F23" ca="1">AVERAGE(IF(INDIRECT("team"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55.346727272727286</v>
      </c>
      <c r="G23">
        <f t="array" aca="1" ref="G23" ca="1">AVERAGE(SMALL(IF(INDIRECT("team"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'[sec']]")), ROW(INDIRECT("1:"&amp;ROUND((1 - $J$17) * driver_results[[#This Row], [Laps '[laps']]], 0)))))</f>
        <v>55.20056666666666</v>
      </c>
      <c r="H23">
        <f t="array" aca="1" ref="H23" ca="1">_xlfn.STDEV.S(IF(INDIRECT("team"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0.71450967771294371</v>
      </c>
    </row>
    <row r="24" spans="1:10" x14ac:dyDescent="0.25">
      <c r="A24" s="1" t="s">
        <v>23</v>
      </c>
      <c r="B24" s="1" t="s">
        <v>23</v>
      </c>
      <c r="C24" s="1">
        <f ca="1">COUNTIF(INDIRECT("team" &amp; INDEX(race_results[Position], MATCH(driver_results[[#This Row], [Team]], race_results[Team], 0)) &amp; "_results[Driver]"), driver_results[[#This Row], [Driver]])</f>
        <v>32</v>
      </c>
      <c r="D24">
        <f t="array" aca="1" ref="D24" ca="1">MIN(IF(INDIRECT("team"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54.984999999999999</v>
      </c>
      <c r="E24">
        <f t="array" aca="1" ref="E24" ca="1">MAX(IF(INDIRECT("team"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59.113</v>
      </c>
      <c r="F24">
        <f t="array" aca="1" ref="F24" ca="1">AVERAGE(IF(INDIRECT("team"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56.433468749999989</v>
      </c>
      <c r="G24">
        <f t="array" aca="1" ref="G24" ca="1">AVERAGE(SMALL(IF(INDIRECT("team"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'[sec']]")), ROW(INDIRECT("1:"&amp;ROUND((1 - $J$17) * driver_results[[#This Row], [Laps '[laps']]], 0)))))</f>
        <v>56.210172413793089</v>
      </c>
      <c r="H24">
        <f t="array" aca="1" ref="H24" ca="1">_xlfn.STDEV.S(IF(INDIRECT("team"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1.0474485431775817</v>
      </c>
    </row>
    <row r="25" spans="1:10" x14ac:dyDescent="0.25">
      <c r="A25" s="1" t="s">
        <v>25</v>
      </c>
      <c r="B25" s="1" t="s">
        <v>25</v>
      </c>
      <c r="C25" s="1">
        <f ca="1">COUNTIF(INDIRECT("team" &amp; INDEX(race_results[Position], MATCH(driver_results[[#This Row], [Team]], race_results[Team], 0)) &amp; "_results[Driver]"), driver_results[[#This Row], [Driver]])</f>
        <v>32</v>
      </c>
      <c r="D25">
        <f t="array" aca="1" ref="D25" ca="1">MIN(IF(INDIRECT("team"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55.383000000000003</v>
      </c>
      <c r="E25">
        <f t="array" aca="1" ref="E25" ca="1">MAX(IF(INDIRECT("team"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58.514000000000003</v>
      </c>
      <c r="F25">
        <f t="array" aca="1" ref="F25" ca="1">AVERAGE(IF(INDIRECT("team"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56.406874999999992</v>
      </c>
      <c r="G25">
        <f t="array" aca="1" ref="G25" ca="1">AVERAGE(SMALL(IF(INDIRECT("team"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'[sec']]")), ROW(INDIRECT("1:"&amp;ROUND((1 - $J$17) * driver_results[[#This Row], [Laps '[laps']]], 0)))))</f>
        <v>56.241793103448266</v>
      </c>
      <c r="H25">
        <f t="array" aca="1" ref="H25" ca="1">_xlfn.STDEV.S(IF(INDIRECT("team" &amp; INDEX(race_results[Position], MATCH(driver_results[[#This Row], [Team]], race_results[Team], 0)) &amp; "_results[Driver]") = driver_results[[#This Row], [Driver]], INDIRECT("team" &amp; INDEX(race_results[Position], MATCH(driver_results[[#This Row], [Team]], race_results[Team], 0)) &amp; "_results[Lap times '[sec']]")))</f>
        <v>0.75559302708577525</v>
      </c>
    </row>
  </sheetData>
  <mergeCells count="1">
    <mergeCell ref="A1:L1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36"/>
  <sheetViews>
    <sheetView workbookViewId="0">
      <selection activeCell="AU5" sqref="AU5"/>
    </sheetView>
  </sheetViews>
  <sheetFormatPr defaultRowHeight="15" x14ac:dyDescent="0.25"/>
  <cols>
    <col min="1" max="44" width="30.7109375" customWidth="1"/>
  </cols>
  <sheetData>
    <row r="1" spans="1:44" x14ac:dyDescent="0.25">
      <c r="A1" s="2" t="str">
        <f>INDEX(race_results[Team], MATCH(1, race_results[Position], 0))</f>
        <v>SanderV</v>
      </c>
      <c r="B1" s="2"/>
      <c r="C1" s="2"/>
      <c r="D1" s="2"/>
      <c r="F1" s="2" t="str">
        <f>INDEX(race_results[Team], MATCH(2, race_results[Position], 0))</f>
        <v>InigoM</v>
      </c>
      <c r="G1" s="2"/>
      <c r="H1" s="2"/>
      <c r="I1" s="2"/>
      <c r="K1" s="2" t="str">
        <f>INDEX(race_results[Team], MATCH(3, race_results[Position], 0))</f>
        <v>LodeH</v>
      </c>
      <c r="L1" s="2"/>
      <c r="M1" s="2"/>
      <c r="N1" s="2"/>
      <c r="P1" s="2" t="str">
        <f>INDEX(race_results[Team], MATCH(4, race_results[Position], 0))</f>
        <v>YannickD</v>
      </c>
      <c r="Q1" s="2"/>
      <c r="R1" s="2"/>
      <c r="S1" s="2"/>
      <c r="U1" s="2" t="str">
        <f>INDEX(race_results[Team], MATCH(5, race_results[Position], 0))</f>
        <v>NielsS</v>
      </c>
      <c r="V1" s="2"/>
      <c r="W1" s="2"/>
      <c r="X1" s="2"/>
      <c r="Z1" s="2" t="str">
        <f>INDEX(race_results[Team], MATCH(6, race_results[Position], 0))</f>
        <v>GökhanB</v>
      </c>
      <c r="AA1" s="2"/>
      <c r="AB1" s="2"/>
      <c r="AC1" s="2"/>
      <c r="AE1" s="2" t="str">
        <f>INDEX(race_results[Team], MATCH(7, race_results[Position], 0))</f>
        <v>KyleS</v>
      </c>
      <c r="AF1" s="2"/>
      <c r="AG1" s="2"/>
      <c r="AH1" s="2"/>
      <c r="AJ1" s="2" t="str">
        <f>INDEX(race_results[Team], MATCH(8, race_results[Position], 0))</f>
        <v>HannesD</v>
      </c>
      <c r="AK1" s="2"/>
      <c r="AL1" s="2"/>
      <c r="AM1" s="2"/>
      <c r="AO1" s="2" t="str">
        <f>INDEX(race_results[Team], MATCH(9, race_results[Position], 0))</f>
        <v>DieterV</v>
      </c>
      <c r="AP1" s="2"/>
      <c r="AQ1" s="2"/>
      <c r="AR1" s="2"/>
    </row>
    <row r="2" spans="1:44" ht="18" thickBot="1" x14ac:dyDescent="0.35">
      <c r="A2" s="3" t="s">
        <v>32</v>
      </c>
      <c r="B2" s="3" t="s">
        <v>28</v>
      </c>
      <c r="C2" s="3" t="s">
        <v>33</v>
      </c>
      <c r="D2" s="3" t="s">
        <v>34</v>
      </c>
      <c r="F2" s="3" t="s">
        <v>32</v>
      </c>
      <c r="G2" s="3" t="s">
        <v>28</v>
      </c>
      <c r="H2" s="3" t="s">
        <v>33</v>
      </c>
      <c r="I2" s="3" t="s">
        <v>34</v>
      </c>
      <c r="K2" s="3" t="s">
        <v>32</v>
      </c>
      <c r="L2" s="3" t="s">
        <v>28</v>
      </c>
      <c r="M2" s="3" t="s">
        <v>33</v>
      </c>
      <c r="N2" s="3" t="s">
        <v>34</v>
      </c>
      <c r="P2" s="3" t="s">
        <v>32</v>
      </c>
      <c r="Q2" s="3" t="s">
        <v>28</v>
      </c>
      <c r="R2" s="3" t="s">
        <v>33</v>
      </c>
      <c r="S2" s="3" t="s">
        <v>34</v>
      </c>
      <c r="U2" s="3" t="s">
        <v>32</v>
      </c>
      <c r="V2" s="3" t="s">
        <v>28</v>
      </c>
      <c r="W2" s="3" t="s">
        <v>33</v>
      </c>
      <c r="X2" s="3" t="s">
        <v>34</v>
      </c>
      <c r="Z2" s="3" t="s">
        <v>32</v>
      </c>
      <c r="AA2" s="3" t="s">
        <v>28</v>
      </c>
      <c r="AB2" s="3" t="s">
        <v>33</v>
      </c>
      <c r="AC2" s="3" t="s">
        <v>34</v>
      </c>
      <c r="AE2" s="3" t="s">
        <v>32</v>
      </c>
      <c r="AF2" s="3" t="s">
        <v>28</v>
      </c>
      <c r="AG2" s="3" t="s">
        <v>33</v>
      </c>
      <c r="AH2" s="3" t="s">
        <v>34</v>
      </c>
      <c r="AJ2" s="3" t="s">
        <v>32</v>
      </c>
      <c r="AK2" s="3" t="s">
        <v>28</v>
      </c>
      <c r="AL2" s="3" t="s">
        <v>33</v>
      </c>
      <c r="AM2" s="3" t="s">
        <v>34</v>
      </c>
      <c r="AO2" s="3" t="s">
        <v>32</v>
      </c>
      <c r="AP2" s="3" t="s">
        <v>28</v>
      </c>
      <c r="AQ2" s="3" t="s">
        <v>33</v>
      </c>
      <c r="AR2" s="3" t="s">
        <v>34</v>
      </c>
    </row>
    <row r="3" spans="1:44" ht="15.75" thickTop="1" x14ac:dyDescent="0.25">
      <c r="A3" s="1">
        <v>53.756</v>
      </c>
      <c r="B3" s="1" t="s">
        <v>12</v>
      </c>
      <c r="C3" s="1">
        <f>AVERAGE(INDEX(team1_results[Lap times '[sec']], 1):team1_results[[#This Row], [Lap times '[sec']]])</f>
        <v>53.756</v>
      </c>
      <c r="D3" s="1">
        <f>SUM(INDEX(team1_results[Lap times '[sec']], 1):team1_results[[#This Row], [Lap times '[sec']]])</f>
        <v>53.756</v>
      </c>
      <c r="F3" s="1">
        <v>53.683999999999997</v>
      </c>
      <c r="G3" s="1" t="s">
        <v>14</v>
      </c>
      <c r="H3" s="1">
        <f>AVERAGE(INDEX(team2_results[Lap times '[sec']], 1):team2_results[[#This Row], [Lap times '[sec']]])</f>
        <v>53.683999999999997</v>
      </c>
      <c r="I3" s="1">
        <f>SUM(INDEX(team2_results[Lap times '[sec']], 1):team2_results[[#This Row], [Lap times '[sec']]])</f>
        <v>53.683999999999997</v>
      </c>
      <c r="K3" s="1">
        <v>54.529000000000003</v>
      </c>
      <c r="L3" s="1" t="s">
        <v>16</v>
      </c>
      <c r="M3" s="1">
        <f>AVERAGE(INDEX(team3_results[Lap times '[sec']], 1):team3_results[[#This Row], [Lap times '[sec']]])</f>
        <v>54.529000000000003</v>
      </c>
      <c r="N3" s="1">
        <f>SUM(INDEX(team3_results[Lap times '[sec']], 1):team3_results[[#This Row], [Lap times '[sec']]])</f>
        <v>54.529000000000003</v>
      </c>
      <c r="P3" s="1">
        <v>56.984000000000002</v>
      </c>
      <c r="Q3" s="1" t="s">
        <v>18</v>
      </c>
      <c r="R3" s="1">
        <f>AVERAGE(INDEX(team4_results[Lap times '[sec']], 1):team4_results[[#This Row], [Lap times '[sec']]])</f>
        <v>56.984000000000002</v>
      </c>
      <c r="S3" s="1">
        <f>SUM(INDEX(team4_results[Lap times '[sec']], 1):team4_results[[#This Row], [Lap times '[sec']]])</f>
        <v>56.984000000000002</v>
      </c>
      <c r="U3" s="1">
        <v>55.472999999999999</v>
      </c>
      <c r="V3" s="1" t="s">
        <v>20</v>
      </c>
      <c r="W3" s="1">
        <f>AVERAGE(INDEX(team5_results[Lap times '[sec']], 1):team5_results[[#This Row], [Lap times '[sec']]])</f>
        <v>55.472999999999999</v>
      </c>
      <c r="X3" s="1">
        <f>SUM(INDEX(team5_results[Lap times '[sec']], 1):team5_results[[#This Row], [Lap times '[sec']]])</f>
        <v>55.472999999999999</v>
      </c>
      <c r="Z3" s="1">
        <v>57.482999999999997</v>
      </c>
      <c r="AA3" s="1" t="s">
        <v>21</v>
      </c>
      <c r="AB3" s="1">
        <f>AVERAGE(INDEX(team6_results[Lap times '[sec']], 1):team6_results[[#This Row], [Lap times '[sec']]])</f>
        <v>57.482999999999997</v>
      </c>
      <c r="AC3" s="1">
        <f>SUM(INDEX(team6_results[Lap times '[sec']], 1):team6_results[[#This Row], [Lap times '[sec']]])</f>
        <v>57.482999999999997</v>
      </c>
      <c r="AE3" s="1">
        <v>55.91</v>
      </c>
      <c r="AF3" s="1" t="s">
        <v>22</v>
      </c>
      <c r="AG3" s="1">
        <f>AVERAGE(INDEX(team7_results[Lap times '[sec']], 1):team7_results[[#This Row], [Lap times '[sec']]])</f>
        <v>55.91</v>
      </c>
      <c r="AH3" s="1">
        <f>SUM(INDEX(team7_results[Lap times '[sec']], 1):team7_results[[#This Row], [Lap times '[sec']]])</f>
        <v>55.91</v>
      </c>
      <c r="AJ3" s="1">
        <v>58.719000000000001</v>
      </c>
      <c r="AK3" s="1" t="s">
        <v>23</v>
      </c>
      <c r="AL3" s="1">
        <f>AVERAGE(INDEX(team8_results[Lap times '[sec']], 1):team8_results[[#This Row], [Lap times '[sec']]])</f>
        <v>58.719000000000001</v>
      </c>
      <c r="AM3" s="1">
        <f>SUM(INDEX(team8_results[Lap times '[sec']], 1):team8_results[[#This Row], [Lap times '[sec']]])</f>
        <v>58.719000000000001</v>
      </c>
      <c r="AO3" s="1">
        <v>57.091999999999999</v>
      </c>
      <c r="AP3" s="1" t="s">
        <v>25</v>
      </c>
      <c r="AQ3" s="1">
        <f>AVERAGE(INDEX(team9_results[Lap times '[sec']], 1):team9_results[[#This Row], [Lap times '[sec']]])</f>
        <v>57.091999999999999</v>
      </c>
      <c r="AR3" s="1">
        <f>SUM(INDEX(team9_results[Lap times '[sec']], 1):team9_results[[#This Row], [Lap times '[sec']]])</f>
        <v>57.091999999999999</v>
      </c>
    </row>
    <row r="4" spans="1:44" x14ac:dyDescent="0.25">
      <c r="A4" s="1">
        <v>53.491999999999997</v>
      </c>
      <c r="B4" s="1" t="s">
        <v>12</v>
      </c>
      <c r="C4" s="1">
        <f>AVERAGE(INDEX(team1_results[Lap times '[sec']], 1):team1_results[[#This Row], [Lap times '[sec']]])</f>
        <v>53.623999999999995</v>
      </c>
      <c r="D4" s="1">
        <f>SUM(INDEX(team1_results[Lap times '[sec']], 1):team1_results[[#This Row], [Lap times '[sec']]])</f>
        <v>107.24799999999999</v>
      </c>
      <c r="F4" s="1">
        <v>53.8</v>
      </c>
      <c r="G4" s="1" t="s">
        <v>14</v>
      </c>
      <c r="H4" s="1">
        <f>AVERAGE(INDEX(team2_results[Lap times '[sec']], 1):team2_results[[#This Row], [Lap times '[sec']]])</f>
        <v>53.741999999999997</v>
      </c>
      <c r="I4" s="1">
        <f>SUM(INDEX(team2_results[Lap times '[sec']], 1):team2_results[[#This Row], [Lap times '[sec']]])</f>
        <v>107.48399999999999</v>
      </c>
      <c r="K4" s="1">
        <v>54.976999999999997</v>
      </c>
      <c r="L4" s="1" t="s">
        <v>16</v>
      </c>
      <c r="M4" s="1">
        <f>AVERAGE(INDEX(team3_results[Lap times '[sec']], 1):team3_results[[#This Row], [Lap times '[sec']]])</f>
        <v>54.753</v>
      </c>
      <c r="N4" s="1">
        <f>SUM(INDEX(team3_results[Lap times '[sec']], 1):team3_results[[#This Row], [Lap times '[sec']]])</f>
        <v>109.506</v>
      </c>
      <c r="P4" s="1">
        <v>55.545999999999999</v>
      </c>
      <c r="Q4" s="1" t="s">
        <v>18</v>
      </c>
      <c r="R4" s="1">
        <f>AVERAGE(INDEX(team4_results[Lap times '[sec']], 1):team4_results[[#This Row], [Lap times '[sec']]])</f>
        <v>56.265000000000001</v>
      </c>
      <c r="S4" s="1">
        <f>SUM(INDEX(team4_results[Lap times '[sec']], 1):team4_results[[#This Row], [Lap times '[sec']]])</f>
        <v>112.53</v>
      </c>
      <c r="U4" s="1">
        <v>55.621000000000002</v>
      </c>
      <c r="V4" s="1" t="s">
        <v>20</v>
      </c>
      <c r="W4" s="1">
        <f>AVERAGE(INDEX(team5_results[Lap times '[sec']], 1):team5_results[[#This Row], [Lap times '[sec']]])</f>
        <v>55.546999999999997</v>
      </c>
      <c r="X4" s="1">
        <f>SUM(INDEX(team5_results[Lap times '[sec']], 1):team5_results[[#This Row], [Lap times '[sec']]])</f>
        <v>111.09399999999999</v>
      </c>
      <c r="Z4" s="1">
        <v>55.878999999999998</v>
      </c>
      <c r="AA4" s="1" t="s">
        <v>21</v>
      </c>
      <c r="AB4" s="1">
        <f>AVERAGE(INDEX(team6_results[Lap times '[sec']], 1):team6_results[[#This Row], [Lap times '[sec']]])</f>
        <v>56.680999999999997</v>
      </c>
      <c r="AC4" s="1">
        <f>SUM(INDEX(team6_results[Lap times '[sec']], 1):team6_results[[#This Row], [Lap times '[sec']]])</f>
        <v>113.36199999999999</v>
      </c>
      <c r="AE4" s="1">
        <v>55.616999999999997</v>
      </c>
      <c r="AF4" s="1" t="s">
        <v>22</v>
      </c>
      <c r="AG4" s="1">
        <f>AVERAGE(INDEX(team7_results[Lap times '[sec']], 1):team7_results[[#This Row], [Lap times '[sec']]])</f>
        <v>55.763499999999993</v>
      </c>
      <c r="AH4" s="1">
        <f>SUM(INDEX(team7_results[Lap times '[sec']], 1):team7_results[[#This Row], [Lap times '[sec']]])</f>
        <v>111.52699999999999</v>
      </c>
      <c r="AJ4" s="1">
        <v>56.667999999999999</v>
      </c>
      <c r="AK4" s="1" t="s">
        <v>23</v>
      </c>
      <c r="AL4" s="1">
        <f>AVERAGE(INDEX(team8_results[Lap times '[sec']], 1):team8_results[[#This Row], [Lap times '[sec']]])</f>
        <v>57.6935</v>
      </c>
      <c r="AM4" s="1">
        <f>SUM(INDEX(team8_results[Lap times '[sec']], 1):team8_results[[#This Row], [Lap times '[sec']]])</f>
        <v>115.387</v>
      </c>
      <c r="AO4" s="1">
        <v>56.665999999999997</v>
      </c>
      <c r="AP4" s="1" t="s">
        <v>25</v>
      </c>
      <c r="AQ4" s="1">
        <f>AVERAGE(INDEX(team9_results[Lap times '[sec']], 1):team9_results[[#This Row], [Lap times '[sec']]])</f>
        <v>56.878999999999998</v>
      </c>
      <c r="AR4" s="1">
        <f>SUM(INDEX(team9_results[Lap times '[sec']], 1):team9_results[[#This Row], [Lap times '[sec']]])</f>
        <v>113.758</v>
      </c>
    </row>
    <row r="5" spans="1:44" x14ac:dyDescent="0.25">
      <c r="A5" s="1">
        <v>53.347000000000001</v>
      </c>
      <c r="B5" s="1" t="s">
        <v>12</v>
      </c>
      <c r="C5" s="1">
        <f>AVERAGE(INDEX(team1_results[Lap times '[sec']], 1):team1_results[[#This Row], [Lap times '[sec']]])</f>
        <v>53.531666666666666</v>
      </c>
      <c r="D5" s="1">
        <f>SUM(INDEX(team1_results[Lap times '[sec']], 1):team1_results[[#This Row], [Lap times '[sec']]])</f>
        <v>160.595</v>
      </c>
      <c r="F5" s="1">
        <v>53.213000000000001</v>
      </c>
      <c r="G5" s="1" t="s">
        <v>14</v>
      </c>
      <c r="H5" s="1">
        <f>AVERAGE(INDEX(team2_results[Lap times '[sec']], 1):team2_results[[#This Row], [Lap times '[sec']]])</f>
        <v>53.565666666666665</v>
      </c>
      <c r="I5" s="1">
        <f>SUM(INDEX(team2_results[Lap times '[sec']], 1):team2_results[[#This Row], [Lap times '[sec']]])</f>
        <v>160.697</v>
      </c>
      <c r="K5" s="1">
        <v>54.283999999999999</v>
      </c>
      <c r="L5" s="1" t="s">
        <v>16</v>
      </c>
      <c r="M5" s="1">
        <f>AVERAGE(INDEX(team3_results[Lap times '[sec']], 1):team3_results[[#This Row], [Lap times '[sec']]])</f>
        <v>54.596666666666664</v>
      </c>
      <c r="N5" s="1">
        <f>SUM(INDEX(team3_results[Lap times '[sec']], 1):team3_results[[#This Row], [Lap times '[sec']]])</f>
        <v>163.79</v>
      </c>
      <c r="P5" s="1">
        <v>55.317999999999998</v>
      </c>
      <c r="Q5" s="1" t="s">
        <v>18</v>
      </c>
      <c r="R5" s="1">
        <f>AVERAGE(INDEX(team4_results[Lap times '[sec']], 1):team4_results[[#This Row], [Lap times '[sec']]])</f>
        <v>55.949333333333335</v>
      </c>
      <c r="S5" s="1">
        <f>SUM(INDEX(team4_results[Lap times '[sec']], 1):team4_results[[#This Row], [Lap times '[sec']]])</f>
        <v>167.84800000000001</v>
      </c>
      <c r="U5" s="1">
        <v>55.246000000000002</v>
      </c>
      <c r="V5" s="1" t="s">
        <v>20</v>
      </c>
      <c r="W5" s="1">
        <f>AVERAGE(INDEX(team5_results[Lap times '[sec']], 1):team5_results[[#This Row], [Lap times '[sec']]])</f>
        <v>55.446666666666665</v>
      </c>
      <c r="X5" s="1">
        <f>SUM(INDEX(team5_results[Lap times '[sec']], 1):team5_results[[#This Row], [Lap times '[sec']]])</f>
        <v>166.34</v>
      </c>
      <c r="Z5" s="1">
        <v>55.837000000000003</v>
      </c>
      <c r="AA5" s="1" t="s">
        <v>21</v>
      </c>
      <c r="AB5" s="1">
        <f>AVERAGE(INDEX(team6_results[Lap times '[sec']], 1):team6_results[[#This Row], [Lap times '[sec']]])</f>
        <v>56.399666666666668</v>
      </c>
      <c r="AC5" s="1">
        <f>SUM(INDEX(team6_results[Lap times '[sec']], 1):team6_results[[#This Row], [Lap times '[sec']]])</f>
        <v>169.19900000000001</v>
      </c>
      <c r="AE5" s="1">
        <v>55.344999999999999</v>
      </c>
      <c r="AF5" s="1" t="s">
        <v>22</v>
      </c>
      <c r="AG5" s="1">
        <f>AVERAGE(INDEX(team7_results[Lap times '[sec']], 1):team7_results[[#This Row], [Lap times '[sec']]])</f>
        <v>55.623999999999995</v>
      </c>
      <c r="AH5" s="1">
        <f>SUM(INDEX(team7_results[Lap times '[sec']], 1):team7_results[[#This Row], [Lap times '[sec']]])</f>
        <v>166.87199999999999</v>
      </c>
      <c r="AJ5" s="1">
        <v>56.03</v>
      </c>
      <c r="AK5" s="1" t="s">
        <v>23</v>
      </c>
      <c r="AL5" s="1">
        <f>AVERAGE(INDEX(team8_results[Lap times '[sec']], 1):team8_results[[#This Row], [Lap times '[sec']]])</f>
        <v>57.139000000000003</v>
      </c>
      <c r="AM5" s="1">
        <f>SUM(INDEX(team8_results[Lap times '[sec']], 1):team8_results[[#This Row], [Lap times '[sec']]])</f>
        <v>171.417</v>
      </c>
      <c r="AO5" s="1">
        <v>56.533000000000001</v>
      </c>
      <c r="AP5" s="1" t="s">
        <v>25</v>
      </c>
      <c r="AQ5" s="1">
        <f>AVERAGE(INDEX(team9_results[Lap times '[sec']], 1):team9_results[[#This Row], [Lap times '[sec']]])</f>
        <v>56.763666666666666</v>
      </c>
      <c r="AR5" s="1">
        <f>SUM(INDEX(team9_results[Lap times '[sec']], 1):team9_results[[#This Row], [Lap times '[sec']]])</f>
        <v>170.291</v>
      </c>
    </row>
    <row r="6" spans="1:44" x14ac:dyDescent="0.25">
      <c r="A6" s="1">
        <v>53.463000000000001</v>
      </c>
      <c r="B6" s="1" t="s">
        <v>12</v>
      </c>
      <c r="C6" s="1">
        <f>AVERAGE(INDEX(team1_results[Lap times '[sec']], 1):team1_results[[#This Row], [Lap times '[sec']]])</f>
        <v>53.514499999999998</v>
      </c>
      <c r="D6" s="1">
        <f>SUM(INDEX(team1_results[Lap times '[sec']], 1):team1_results[[#This Row], [Lap times '[sec']]])</f>
        <v>214.05799999999999</v>
      </c>
      <c r="F6" s="1">
        <v>53.613999999999997</v>
      </c>
      <c r="G6" s="1" t="s">
        <v>14</v>
      </c>
      <c r="H6" s="1">
        <f>AVERAGE(INDEX(team2_results[Lap times '[sec']], 1):team2_results[[#This Row], [Lap times '[sec']]])</f>
        <v>53.577750000000002</v>
      </c>
      <c r="I6" s="1">
        <f>SUM(INDEX(team2_results[Lap times '[sec']], 1):team2_results[[#This Row], [Lap times '[sec']]])</f>
        <v>214.31100000000001</v>
      </c>
      <c r="K6" s="1">
        <v>53.786000000000001</v>
      </c>
      <c r="L6" s="1" t="s">
        <v>16</v>
      </c>
      <c r="M6" s="1">
        <f>AVERAGE(INDEX(team3_results[Lap times '[sec']], 1):team3_results[[#This Row], [Lap times '[sec']]])</f>
        <v>54.393999999999998</v>
      </c>
      <c r="N6" s="1">
        <f>SUM(INDEX(team3_results[Lap times '[sec']], 1):team3_results[[#This Row], [Lap times '[sec']]])</f>
        <v>217.57599999999999</v>
      </c>
      <c r="P6" s="1">
        <v>55.148000000000003</v>
      </c>
      <c r="Q6" s="1" t="s">
        <v>18</v>
      </c>
      <c r="R6" s="1">
        <f>AVERAGE(INDEX(team4_results[Lap times '[sec']], 1):team4_results[[#This Row], [Lap times '[sec']]])</f>
        <v>55.749000000000002</v>
      </c>
      <c r="S6" s="1">
        <f>SUM(INDEX(team4_results[Lap times '[sec']], 1):team4_results[[#This Row], [Lap times '[sec']]])</f>
        <v>222.99600000000001</v>
      </c>
      <c r="U6" s="1">
        <v>54.868000000000002</v>
      </c>
      <c r="V6" s="1" t="s">
        <v>20</v>
      </c>
      <c r="W6" s="1">
        <f>AVERAGE(INDEX(team5_results[Lap times '[sec']], 1):team5_results[[#This Row], [Lap times '[sec']]])</f>
        <v>55.302</v>
      </c>
      <c r="X6" s="1">
        <f>SUM(INDEX(team5_results[Lap times '[sec']], 1):team5_results[[#This Row], [Lap times '[sec']]])</f>
        <v>221.208</v>
      </c>
      <c r="Z6" s="1">
        <v>55.593000000000004</v>
      </c>
      <c r="AA6" s="1" t="s">
        <v>21</v>
      </c>
      <c r="AB6" s="1">
        <f>AVERAGE(INDEX(team6_results[Lap times '[sec']], 1):team6_results[[#This Row], [Lap times '[sec']]])</f>
        <v>56.198000000000008</v>
      </c>
      <c r="AC6" s="1">
        <f>SUM(INDEX(team6_results[Lap times '[sec']], 1):team6_results[[#This Row], [Lap times '[sec']]])</f>
        <v>224.79200000000003</v>
      </c>
      <c r="AE6" s="1">
        <v>56.473999999999997</v>
      </c>
      <c r="AF6" s="1" t="s">
        <v>22</v>
      </c>
      <c r="AG6" s="1">
        <f>AVERAGE(INDEX(team7_results[Lap times '[sec']], 1):team7_results[[#This Row], [Lap times '[sec']]])</f>
        <v>55.836499999999994</v>
      </c>
      <c r="AH6" s="1">
        <f>SUM(INDEX(team7_results[Lap times '[sec']], 1):team7_results[[#This Row], [Lap times '[sec']]])</f>
        <v>223.34599999999998</v>
      </c>
      <c r="AJ6" s="1">
        <v>55.97</v>
      </c>
      <c r="AK6" s="1" t="s">
        <v>23</v>
      </c>
      <c r="AL6" s="1">
        <f>AVERAGE(INDEX(team8_results[Lap times '[sec']], 1):team8_results[[#This Row], [Lap times '[sec']]])</f>
        <v>56.84675</v>
      </c>
      <c r="AM6" s="1">
        <f>SUM(INDEX(team8_results[Lap times '[sec']], 1):team8_results[[#This Row], [Lap times '[sec']]])</f>
        <v>227.387</v>
      </c>
      <c r="AO6" s="1">
        <v>56.945999999999998</v>
      </c>
      <c r="AP6" s="1" t="s">
        <v>25</v>
      </c>
      <c r="AQ6" s="1">
        <f>AVERAGE(INDEX(team9_results[Lap times '[sec']], 1):team9_results[[#This Row], [Lap times '[sec']]])</f>
        <v>56.809249999999999</v>
      </c>
      <c r="AR6" s="1">
        <f>SUM(INDEX(team9_results[Lap times '[sec']], 1):team9_results[[#This Row], [Lap times '[sec']]])</f>
        <v>227.23699999999999</v>
      </c>
    </row>
    <row r="7" spans="1:44" x14ac:dyDescent="0.25">
      <c r="A7" s="1">
        <v>53.145000000000003</v>
      </c>
      <c r="B7" s="1" t="s">
        <v>12</v>
      </c>
      <c r="C7" s="1">
        <f>AVERAGE(INDEX(team1_results[Lap times '[sec']], 1):team1_results[[#This Row], [Lap times '[sec']]])</f>
        <v>53.440599999999996</v>
      </c>
      <c r="D7" s="1">
        <f>SUM(INDEX(team1_results[Lap times '[sec']], 1):team1_results[[#This Row], [Lap times '[sec']]])</f>
        <v>267.20299999999997</v>
      </c>
      <c r="F7" s="1">
        <v>52.975000000000001</v>
      </c>
      <c r="G7" s="1" t="s">
        <v>14</v>
      </c>
      <c r="H7" s="1">
        <f>AVERAGE(INDEX(team2_results[Lap times '[sec']], 1):team2_results[[#This Row], [Lap times '[sec']]])</f>
        <v>53.4572</v>
      </c>
      <c r="I7" s="1">
        <f>SUM(INDEX(team2_results[Lap times '[sec']], 1):team2_results[[#This Row], [Lap times '[sec']]])</f>
        <v>267.286</v>
      </c>
      <c r="K7" s="1">
        <v>54.043999999999997</v>
      </c>
      <c r="L7" s="1" t="s">
        <v>16</v>
      </c>
      <c r="M7" s="1">
        <f>AVERAGE(INDEX(team3_results[Lap times '[sec']], 1):team3_results[[#This Row], [Lap times '[sec']]])</f>
        <v>54.323999999999998</v>
      </c>
      <c r="N7" s="1">
        <f>SUM(INDEX(team3_results[Lap times '[sec']], 1):team3_results[[#This Row], [Lap times '[sec']]])</f>
        <v>271.62</v>
      </c>
      <c r="P7" s="1">
        <v>55.119</v>
      </c>
      <c r="Q7" s="1" t="s">
        <v>18</v>
      </c>
      <c r="R7" s="1">
        <f>AVERAGE(INDEX(team4_results[Lap times '[sec']], 1):team4_results[[#This Row], [Lap times '[sec']]])</f>
        <v>55.623000000000005</v>
      </c>
      <c r="S7" s="1">
        <f>SUM(INDEX(team4_results[Lap times '[sec']], 1):team4_results[[#This Row], [Lap times '[sec']]])</f>
        <v>278.11500000000001</v>
      </c>
      <c r="U7" s="1">
        <v>55.036999999999999</v>
      </c>
      <c r="V7" s="1" t="s">
        <v>20</v>
      </c>
      <c r="W7" s="1">
        <f>AVERAGE(INDEX(team5_results[Lap times '[sec']], 1):team5_results[[#This Row], [Lap times '[sec']]])</f>
        <v>55.249000000000002</v>
      </c>
      <c r="X7" s="1">
        <f>SUM(INDEX(team5_results[Lap times '[sec']], 1):team5_results[[#This Row], [Lap times '[sec']]])</f>
        <v>276.245</v>
      </c>
      <c r="Z7" s="1">
        <v>55.639000000000003</v>
      </c>
      <c r="AA7" s="1" t="s">
        <v>21</v>
      </c>
      <c r="AB7" s="1">
        <f>AVERAGE(INDEX(team6_results[Lap times '[sec']], 1):team6_results[[#This Row], [Lap times '[sec']]])</f>
        <v>56.086200000000005</v>
      </c>
      <c r="AC7" s="1">
        <f>SUM(INDEX(team6_results[Lap times '[sec']], 1):team6_results[[#This Row], [Lap times '[sec']]])</f>
        <v>280.43100000000004</v>
      </c>
      <c r="AE7" s="1">
        <v>55.424999999999997</v>
      </c>
      <c r="AF7" s="1" t="s">
        <v>22</v>
      </c>
      <c r="AG7" s="1">
        <f>AVERAGE(INDEX(team7_results[Lap times '[sec']], 1):team7_results[[#This Row], [Lap times '[sec']]])</f>
        <v>55.75419999999999</v>
      </c>
      <c r="AH7" s="1">
        <f>SUM(INDEX(team7_results[Lap times '[sec']], 1):team7_results[[#This Row], [Lap times '[sec']]])</f>
        <v>278.77099999999996</v>
      </c>
      <c r="AJ7" s="1">
        <v>56.59</v>
      </c>
      <c r="AK7" s="1" t="s">
        <v>23</v>
      </c>
      <c r="AL7" s="1">
        <f>AVERAGE(INDEX(team8_results[Lap times '[sec']], 1):team8_results[[#This Row], [Lap times '[sec']]])</f>
        <v>56.795399999999994</v>
      </c>
      <c r="AM7" s="1">
        <f>SUM(INDEX(team8_results[Lap times '[sec']], 1):team8_results[[#This Row], [Lap times '[sec']]])</f>
        <v>283.97699999999998</v>
      </c>
      <c r="AO7" s="1">
        <v>57.131999999999998</v>
      </c>
      <c r="AP7" s="1" t="s">
        <v>25</v>
      </c>
      <c r="AQ7" s="1">
        <f>AVERAGE(INDEX(team9_results[Lap times '[sec']], 1):team9_results[[#This Row], [Lap times '[sec']]])</f>
        <v>56.873799999999996</v>
      </c>
      <c r="AR7" s="1">
        <f>SUM(INDEX(team9_results[Lap times '[sec']], 1):team9_results[[#This Row], [Lap times '[sec']]])</f>
        <v>284.36899999999997</v>
      </c>
    </row>
    <row r="8" spans="1:44" x14ac:dyDescent="0.25">
      <c r="A8" s="1">
        <v>52.737000000000002</v>
      </c>
      <c r="B8" s="1" t="s">
        <v>12</v>
      </c>
      <c r="C8" s="1">
        <f>AVERAGE(INDEX(team1_results[Lap times '[sec']], 1):team1_results[[#This Row], [Lap times '[sec']]])</f>
        <v>53.323333333333331</v>
      </c>
      <c r="D8" s="1">
        <f>SUM(INDEX(team1_results[Lap times '[sec']], 1):team1_results[[#This Row], [Lap times '[sec']]])</f>
        <v>319.94</v>
      </c>
      <c r="F8" s="1">
        <v>53.131</v>
      </c>
      <c r="G8" s="1" t="s">
        <v>14</v>
      </c>
      <c r="H8" s="1">
        <f>AVERAGE(INDEX(team2_results[Lap times '[sec']], 1):team2_results[[#This Row], [Lap times '[sec']]])</f>
        <v>53.402833333333341</v>
      </c>
      <c r="I8" s="1">
        <f>SUM(INDEX(team2_results[Lap times '[sec']], 1):team2_results[[#This Row], [Lap times '[sec']]])</f>
        <v>320.41700000000003</v>
      </c>
      <c r="K8" s="1">
        <v>54.156999999999996</v>
      </c>
      <c r="L8" s="1" t="s">
        <v>16</v>
      </c>
      <c r="M8" s="1">
        <f>AVERAGE(INDEX(team3_results[Lap times '[sec']], 1):team3_results[[#This Row], [Lap times '[sec']]])</f>
        <v>54.296166666666664</v>
      </c>
      <c r="N8" s="1">
        <f>SUM(INDEX(team3_results[Lap times '[sec']], 1):team3_results[[#This Row], [Lap times '[sec']]])</f>
        <v>325.77699999999999</v>
      </c>
      <c r="P8" s="1">
        <v>55.19</v>
      </c>
      <c r="Q8" s="1" t="s">
        <v>18</v>
      </c>
      <c r="R8" s="1">
        <f>AVERAGE(INDEX(team4_results[Lap times '[sec']], 1):team4_results[[#This Row], [Lap times '[sec']]])</f>
        <v>55.550833333333337</v>
      </c>
      <c r="S8" s="1">
        <f>SUM(INDEX(team4_results[Lap times '[sec']], 1):team4_results[[#This Row], [Lap times '[sec']]])</f>
        <v>333.30500000000001</v>
      </c>
      <c r="U8" s="1">
        <v>55.201999999999998</v>
      </c>
      <c r="V8" s="1" t="s">
        <v>20</v>
      </c>
      <c r="W8" s="1">
        <f>AVERAGE(INDEX(team5_results[Lap times '[sec']], 1):team5_results[[#This Row], [Lap times '[sec']]])</f>
        <v>55.241166666666665</v>
      </c>
      <c r="X8" s="1">
        <f>SUM(INDEX(team5_results[Lap times '[sec']], 1):team5_results[[#This Row], [Lap times '[sec']]])</f>
        <v>331.447</v>
      </c>
      <c r="Z8" s="1">
        <v>55.209000000000003</v>
      </c>
      <c r="AA8" s="1" t="s">
        <v>21</v>
      </c>
      <c r="AB8" s="1">
        <f>AVERAGE(INDEX(team6_results[Lap times '[sec']], 1):team6_results[[#This Row], [Lap times '[sec']]])</f>
        <v>55.940000000000005</v>
      </c>
      <c r="AC8" s="1">
        <f>SUM(INDEX(team6_results[Lap times '[sec']], 1):team6_results[[#This Row], [Lap times '[sec']]])</f>
        <v>335.64000000000004</v>
      </c>
      <c r="AE8" s="1">
        <v>55.06</v>
      </c>
      <c r="AF8" s="1" t="s">
        <v>22</v>
      </c>
      <c r="AG8" s="1">
        <f>AVERAGE(INDEX(team7_results[Lap times '[sec']], 1):team7_results[[#This Row], [Lap times '[sec']]])</f>
        <v>55.638499999999993</v>
      </c>
      <c r="AH8" s="1">
        <f>SUM(INDEX(team7_results[Lap times '[sec']], 1):team7_results[[#This Row], [Lap times '[sec']]])</f>
        <v>333.83099999999996</v>
      </c>
      <c r="AJ8" s="1">
        <v>57.115000000000002</v>
      </c>
      <c r="AK8" s="1" t="s">
        <v>23</v>
      </c>
      <c r="AL8" s="1">
        <f>AVERAGE(INDEX(team8_results[Lap times '[sec']], 1):team8_results[[#This Row], [Lap times '[sec']]])</f>
        <v>56.848666666666666</v>
      </c>
      <c r="AM8" s="1">
        <f>SUM(INDEX(team8_results[Lap times '[sec']], 1):team8_results[[#This Row], [Lap times '[sec']]])</f>
        <v>341.09199999999998</v>
      </c>
      <c r="AO8" s="1">
        <v>56.463999999999999</v>
      </c>
      <c r="AP8" s="1" t="s">
        <v>25</v>
      </c>
      <c r="AQ8" s="1">
        <f>AVERAGE(INDEX(team9_results[Lap times '[sec']], 1):team9_results[[#This Row], [Lap times '[sec']]])</f>
        <v>56.805499999999995</v>
      </c>
      <c r="AR8" s="1">
        <f>SUM(INDEX(team9_results[Lap times '[sec']], 1):team9_results[[#This Row], [Lap times '[sec']]])</f>
        <v>340.83299999999997</v>
      </c>
    </row>
    <row r="9" spans="1:44" x14ac:dyDescent="0.25">
      <c r="A9" s="1">
        <v>52.594999999999999</v>
      </c>
      <c r="B9" s="1" t="s">
        <v>12</v>
      </c>
      <c r="C9" s="1">
        <f>AVERAGE(INDEX(team1_results[Lap times '[sec']], 1):team1_results[[#This Row], [Lap times '[sec']]])</f>
        <v>53.219285714285711</v>
      </c>
      <c r="D9" s="1">
        <f>SUM(INDEX(team1_results[Lap times '[sec']], 1):team1_results[[#This Row], [Lap times '[sec']]])</f>
        <v>372.53499999999997</v>
      </c>
      <c r="F9" s="1">
        <v>52.802999999999997</v>
      </c>
      <c r="G9" s="1" t="s">
        <v>14</v>
      </c>
      <c r="H9" s="1">
        <f>AVERAGE(INDEX(team2_results[Lap times '[sec']], 1):team2_results[[#This Row], [Lap times '[sec']]])</f>
        <v>53.317142857142862</v>
      </c>
      <c r="I9" s="1">
        <f>SUM(INDEX(team2_results[Lap times '[sec']], 1):team2_results[[#This Row], [Lap times '[sec']]])</f>
        <v>373.22</v>
      </c>
      <c r="K9" s="1">
        <v>54.279000000000003</v>
      </c>
      <c r="L9" s="1" t="s">
        <v>16</v>
      </c>
      <c r="M9" s="1">
        <f>AVERAGE(INDEX(team3_results[Lap times '[sec']], 1):team3_results[[#This Row], [Lap times '[sec']]])</f>
        <v>54.29371428571428</v>
      </c>
      <c r="N9" s="1">
        <f>SUM(INDEX(team3_results[Lap times '[sec']], 1):team3_results[[#This Row], [Lap times '[sec']]])</f>
        <v>380.05599999999998</v>
      </c>
      <c r="P9" s="1">
        <v>54.887999999999998</v>
      </c>
      <c r="Q9" s="1" t="s">
        <v>18</v>
      </c>
      <c r="R9" s="1">
        <f>AVERAGE(INDEX(team4_results[Lap times '[sec']], 1):team4_results[[#This Row], [Lap times '[sec']]])</f>
        <v>55.456142857142858</v>
      </c>
      <c r="S9" s="1">
        <f>SUM(INDEX(team4_results[Lap times '[sec']], 1):team4_results[[#This Row], [Lap times '[sec']]])</f>
        <v>388.19299999999998</v>
      </c>
      <c r="U9" s="1">
        <v>55.302</v>
      </c>
      <c r="V9" s="1" t="s">
        <v>20</v>
      </c>
      <c r="W9" s="1">
        <f>AVERAGE(INDEX(team5_results[Lap times '[sec']], 1):team5_results[[#This Row], [Lap times '[sec']]])</f>
        <v>55.249857142857145</v>
      </c>
      <c r="X9" s="1">
        <f>SUM(INDEX(team5_results[Lap times '[sec']], 1):team5_results[[#This Row], [Lap times '[sec']]])</f>
        <v>386.74900000000002</v>
      </c>
      <c r="Z9" s="1">
        <v>55.911000000000001</v>
      </c>
      <c r="AA9" s="1" t="s">
        <v>21</v>
      </c>
      <c r="AB9" s="1">
        <f>AVERAGE(INDEX(team6_results[Lap times '[sec']], 1):team6_results[[#This Row], [Lap times '[sec']]])</f>
        <v>55.935857142857152</v>
      </c>
      <c r="AC9" s="1">
        <f>SUM(INDEX(team6_results[Lap times '[sec']], 1):team6_results[[#This Row], [Lap times '[sec']]])</f>
        <v>391.55100000000004</v>
      </c>
      <c r="AE9" s="1">
        <v>54.472000000000001</v>
      </c>
      <c r="AF9" s="1" t="s">
        <v>22</v>
      </c>
      <c r="AG9" s="1">
        <f>AVERAGE(INDEX(team7_results[Lap times '[sec']], 1):team7_results[[#This Row], [Lap times '[sec']]])</f>
        <v>55.471857142857132</v>
      </c>
      <c r="AH9" s="1">
        <f>SUM(INDEX(team7_results[Lap times '[sec']], 1):team7_results[[#This Row], [Lap times '[sec']]])</f>
        <v>388.30299999999994</v>
      </c>
      <c r="AJ9" s="1">
        <v>56.51</v>
      </c>
      <c r="AK9" s="1" t="s">
        <v>23</v>
      </c>
      <c r="AL9" s="1">
        <f>AVERAGE(INDEX(team8_results[Lap times '[sec']], 1):team8_results[[#This Row], [Lap times '[sec']]])</f>
        <v>56.800285714285714</v>
      </c>
      <c r="AM9" s="1">
        <f>SUM(INDEX(team8_results[Lap times '[sec']], 1):team8_results[[#This Row], [Lap times '[sec']]])</f>
        <v>397.60199999999998</v>
      </c>
      <c r="AO9" s="1">
        <v>56.509</v>
      </c>
      <c r="AP9" s="1" t="s">
        <v>25</v>
      </c>
      <c r="AQ9" s="1">
        <f>AVERAGE(INDEX(team9_results[Lap times '[sec']], 1):team9_results[[#This Row], [Lap times '[sec']]])</f>
        <v>56.763142857142853</v>
      </c>
      <c r="AR9" s="1">
        <f>SUM(INDEX(team9_results[Lap times '[sec']], 1):team9_results[[#This Row], [Lap times '[sec']]])</f>
        <v>397.34199999999998</v>
      </c>
    </row>
    <row r="10" spans="1:44" x14ac:dyDescent="0.25">
      <c r="A10" s="1">
        <v>52.540999999999997</v>
      </c>
      <c r="B10" s="1" t="s">
        <v>12</v>
      </c>
      <c r="C10" s="1">
        <f>AVERAGE(INDEX(team1_results[Lap times '[sec']], 1):team1_results[[#This Row], [Lap times '[sec']]])</f>
        <v>53.134499999999996</v>
      </c>
      <c r="D10" s="1">
        <f>SUM(INDEX(team1_results[Lap times '[sec']], 1):team1_results[[#This Row], [Lap times '[sec']]])</f>
        <v>425.07599999999996</v>
      </c>
      <c r="F10" s="1">
        <v>53.042999999999999</v>
      </c>
      <c r="G10" s="1" t="s">
        <v>14</v>
      </c>
      <c r="H10" s="1">
        <f>AVERAGE(INDEX(team2_results[Lap times '[sec']], 1):team2_results[[#This Row], [Lap times '[sec']]])</f>
        <v>53.282875000000004</v>
      </c>
      <c r="I10" s="1">
        <f>SUM(INDEX(team2_results[Lap times '[sec']], 1):team2_results[[#This Row], [Lap times '[sec']]])</f>
        <v>426.26300000000003</v>
      </c>
      <c r="K10" s="1">
        <v>54.174999999999997</v>
      </c>
      <c r="L10" s="1" t="s">
        <v>16</v>
      </c>
      <c r="M10" s="1">
        <f>AVERAGE(INDEX(team3_results[Lap times '[sec']], 1):team3_results[[#This Row], [Lap times '[sec']]])</f>
        <v>54.278874999999999</v>
      </c>
      <c r="N10" s="1">
        <f>SUM(INDEX(team3_results[Lap times '[sec']], 1):team3_results[[#This Row], [Lap times '[sec']]])</f>
        <v>434.23099999999999</v>
      </c>
      <c r="P10" s="1">
        <v>55.514000000000003</v>
      </c>
      <c r="Q10" s="1" t="s">
        <v>18</v>
      </c>
      <c r="R10" s="1">
        <f>AVERAGE(INDEX(team4_results[Lap times '[sec']], 1):team4_results[[#This Row], [Lap times '[sec']]])</f>
        <v>55.463374999999999</v>
      </c>
      <c r="S10" s="1">
        <f>SUM(INDEX(team4_results[Lap times '[sec']], 1):team4_results[[#This Row], [Lap times '[sec']]])</f>
        <v>443.70699999999999</v>
      </c>
      <c r="U10" s="1">
        <v>55.555999999999997</v>
      </c>
      <c r="V10" s="1" t="s">
        <v>20</v>
      </c>
      <c r="W10" s="1">
        <f>AVERAGE(INDEX(team5_results[Lap times '[sec']], 1):team5_results[[#This Row], [Lap times '[sec']]])</f>
        <v>55.288125000000001</v>
      </c>
      <c r="X10" s="1">
        <f>SUM(INDEX(team5_results[Lap times '[sec']], 1):team5_results[[#This Row], [Lap times '[sec']]])</f>
        <v>442.30500000000001</v>
      </c>
      <c r="Z10" s="1">
        <v>55.655000000000001</v>
      </c>
      <c r="AA10" s="1" t="s">
        <v>21</v>
      </c>
      <c r="AB10" s="1">
        <f>AVERAGE(INDEX(team6_results[Lap times '[sec']], 1):team6_results[[#This Row], [Lap times '[sec']]])</f>
        <v>55.900750000000002</v>
      </c>
      <c r="AC10" s="1">
        <f>SUM(INDEX(team6_results[Lap times '[sec']], 1):team6_results[[#This Row], [Lap times '[sec']]])</f>
        <v>447.20600000000002</v>
      </c>
      <c r="AE10" s="1">
        <v>54.573999999999998</v>
      </c>
      <c r="AF10" s="1" t="s">
        <v>22</v>
      </c>
      <c r="AG10" s="1">
        <f>AVERAGE(INDEX(team7_results[Lap times '[sec']], 1):team7_results[[#This Row], [Lap times '[sec']]])</f>
        <v>55.359624999999994</v>
      </c>
      <c r="AH10" s="1">
        <f>SUM(INDEX(team7_results[Lap times '[sec']], 1):team7_results[[#This Row], [Lap times '[sec']]])</f>
        <v>442.87699999999995</v>
      </c>
      <c r="AJ10" s="1">
        <v>56.993000000000002</v>
      </c>
      <c r="AK10" s="1" t="s">
        <v>23</v>
      </c>
      <c r="AL10" s="1">
        <f>AVERAGE(INDEX(team8_results[Lap times '[sec']], 1):team8_results[[#This Row], [Lap times '[sec']]])</f>
        <v>56.824374999999996</v>
      </c>
      <c r="AM10" s="1">
        <f>SUM(INDEX(team8_results[Lap times '[sec']], 1):team8_results[[#This Row], [Lap times '[sec']]])</f>
        <v>454.59499999999997</v>
      </c>
      <c r="AO10" s="1">
        <v>56.478999999999999</v>
      </c>
      <c r="AP10" s="1" t="s">
        <v>25</v>
      </c>
      <c r="AQ10" s="1">
        <f>AVERAGE(INDEX(team9_results[Lap times '[sec']], 1):team9_results[[#This Row], [Lap times '[sec']]])</f>
        <v>56.727624999999996</v>
      </c>
      <c r="AR10" s="1">
        <f>SUM(INDEX(team9_results[Lap times '[sec']], 1):team9_results[[#This Row], [Lap times '[sec']]])</f>
        <v>453.82099999999997</v>
      </c>
    </row>
    <row r="11" spans="1:44" x14ac:dyDescent="0.25">
      <c r="A11" s="1">
        <v>52.59</v>
      </c>
      <c r="B11" s="1" t="s">
        <v>12</v>
      </c>
      <c r="C11" s="1">
        <f>AVERAGE(INDEX(team1_results[Lap times '[sec']], 1):team1_results[[#This Row], [Lap times '[sec']]])</f>
        <v>53.073999999999991</v>
      </c>
      <c r="D11" s="1">
        <f>SUM(INDEX(team1_results[Lap times '[sec']], 1):team1_results[[#This Row], [Lap times '[sec']]])</f>
        <v>477.66599999999994</v>
      </c>
      <c r="F11" s="1">
        <v>53.024999999999999</v>
      </c>
      <c r="G11" s="1" t="s">
        <v>14</v>
      </c>
      <c r="H11" s="1">
        <f>AVERAGE(INDEX(team2_results[Lap times '[sec']], 1):team2_results[[#This Row], [Lap times '[sec']]])</f>
        <v>53.254222222222225</v>
      </c>
      <c r="I11" s="1">
        <f>SUM(INDEX(team2_results[Lap times '[sec']], 1):team2_results[[#This Row], [Lap times '[sec']]])</f>
        <v>479.28800000000001</v>
      </c>
      <c r="K11" s="1">
        <v>53.96</v>
      </c>
      <c r="L11" s="1" t="s">
        <v>16</v>
      </c>
      <c r="M11" s="1">
        <f>AVERAGE(INDEX(team3_results[Lap times '[sec']], 1):team3_results[[#This Row], [Lap times '[sec']]])</f>
        <v>54.243444444444442</v>
      </c>
      <c r="N11" s="1">
        <f>SUM(INDEX(team3_results[Lap times '[sec']], 1):team3_results[[#This Row], [Lap times '[sec']]])</f>
        <v>488.19099999999997</v>
      </c>
      <c r="P11" s="1">
        <v>55.21</v>
      </c>
      <c r="Q11" s="1" t="s">
        <v>18</v>
      </c>
      <c r="R11" s="1">
        <f>AVERAGE(INDEX(team4_results[Lap times '[sec']], 1):team4_results[[#This Row], [Lap times '[sec']]])</f>
        <v>55.435222222222222</v>
      </c>
      <c r="S11" s="1">
        <f>SUM(INDEX(team4_results[Lap times '[sec']], 1):team4_results[[#This Row], [Lap times '[sec']]])</f>
        <v>498.91699999999997</v>
      </c>
      <c r="U11" s="1">
        <v>55.256</v>
      </c>
      <c r="V11" s="1" t="s">
        <v>20</v>
      </c>
      <c r="W11" s="1">
        <f>AVERAGE(INDEX(team5_results[Lap times '[sec']], 1):team5_results[[#This Row], [Lap times '[sec']]])</f>
        <v>55.284555555555556</v>
      </c>
      <c r="X11" s="1">
        <f>SUM(INDEX(team5_results[Lap times '[sec']], 1):team5_results[[#This Row], [Lap times '[sec']]])</f>
        <v>497.56100000000004</v>
      </c>
      <c r="Z11" s="1">
        <v>55.378999999999998</v>
      </c>
      <c r="AA11" s="1" t="s">
        <v>21</v>
      </c>
      <c r="AB11" s="1">
        <f>AVERAGE(INDEX(team6_results[Lap times '[sec']], 1):team6_results[[#This Row], [Lap times '[sec']]])</f>
        <v>55.842777777777783</v>
      </c>
      <c r="AC11" s="1">
        <f>SUM(INDEX(team6_results[Lap times '[sec']], 1):team6_results[[#This Row], [Lap times '[sec']]])</f>
        <v>502.58500000000004</v>
      </c>
      <c r="AE11" s="1">
        <v>54.845999999999997</v>
      </c>
      <c r="AF11" s="1" t="s">
        <v>22</v>
      </c>
      <c r="AG11" s="1">
        <f>AVERAGE(INDEX(team7_results[Lap times '[sec']], 1):team7_results[[#This Row], [Lap times '[sec']]])</f>
        <v>55.30255555555555</v>
      </c>
      <c r="AH11" s="1">
        <f>SUM(INDEX(team7_results[Lap times '[sec']], 1):team7_results[[#This Row], [Lap times '[sec']]])</f>
        <v>497.72299999999996</v>
      </c>
      <c r="AJ11" s="1">
        <v>56.942999999999998</v>
      </c>
      <c r="AK11" s="1" t="s">
        <v>23</v>
      </c>
      <c r="AL11" s="1">
        <f>AVERAGE(INDEX(team8_results[Lap times '[sec']], 1):team8_results[[#This Row], [Lap times '[sec']]])</f>
        <v>56.837555555555554</v>
      </c>
      <c r="AM11" s="1">
        <f>SUM(INDEX(team8_results[Lap times '[sec']], 1):team8_results[[#This Row], [Lap times '[sec']]])</f>
        <v>511.53799999999995</v>
      </c>
      <c r="AO11" s="1">
        <v>56.05</v>
      </c>
      <c r="AP11" s="1" t="s">
        <v>25</v>
      </c>
      <c r="AQ11" s="1">
        <f>AVERAGE(INDEX(team9_results[Lap times '[sec']], 1):team9_results[[#This Row], [Lap times '[sec']]])</f>
        <v>56.652333333333331</v>
      </c>
      <c r="AR11" s="1">
        <f>SUM(INDEX(team9_results[Lap times '[sec']], 1):team9_results[[#This Row], [Lap times '[sec']]])</f>
        <v>509.87099999999998</v>
      </c>
    </row>
    <row r="12" spans="1:44" x14ac:dyDescent="0.25">
      <c r="A12" s="1">
        <v>52.987000000000002</v>
      </c>
      <c r="B12" s="1" t="s">
        <v>12</v>
      </c>
      <c r="C12" s="1">
        <f>AVERAGE(INDEX(team1_results[Lap times '[sec']], 1):team1_results[[#This Row], [Lap times '[sec']]])</f>
        <v>53.065299999999993</v>
      </c>
      <c r="D12" s="1">
        <f>SUM(INDEX(team1_results[Lap times '[sec']], 1):team1_results[[#This Row], [Lap times '[sec']]])</f>
        <v>530.65299999999991</v>
      </c>
      <c r="F12" s="1">
        <v>53.045000000000002</v>
      </c>
      <c r="G12" s="1" t="s">
        <v>14</v>
      </c>
      <c r="H12" s="1">
        <f>AVERAGE(INDEX(team2_results[Lap times '[sec']], 1):team2_results[[#This Row], [Lap times '[sec']]])</f>
        <v>53.2333</v>
      </c>
      <c r="I12" s="1">
        <f>SUM(INDEX(team2_results[Lap times '[sec']], 1):team2_results[[#This Row], [Lap times '[sec']]])</f>
        <v>532.33299999999997</v>
      </c>
      <c r="K12" s="1">
        <v>53.33</v>
      </c>
      <c r="L12" s="1" t="s">
        <v>16</v>
      </c>
      <c r="M12" s="1">
        <f>AVERAGE(INDEX(team3_results[Lap times '[sec']], 1):team3_results[[#This Row], [Lap times '[sec']]])</f>
        <v>54.152099999999997</v>
      </c>
      <c r="N12" s="1">
        <f>SUM(INDEX(team3_results[Lap times '[sec']], 1):team3_results[[#This Row], [Lap times '[sec']]])</f>
        <v>541.52099999999996</v>
      </c>
      <c r="P12" s="1">
        <v>54.466999999999999</v>
      </c>
      <c r="Q12" s="1" t="s">
        <v>18</v>
      </c>
      <c r="R12" s="1">
        <f>AVERAGE(INDEX(team4_results[Lap times '[sec']], 1):team4_results[[#This Row], [Lap times '[sec']]])</f>
        <v>55.3384</v>
      </c>
      <c r="S12" s="1">
        <f>SUM(INDEX(team4_results[Lap times '[sec']], 1):team4_results[[#This Row], [Lap times '[sec']]])</f>
        <v>553.38400000000001</v>
      </c>
      <c r="U12" s="1">
        <v>54.374000000000002</v>
      </c>
      <c r="V12" s="1" t="s">
        <v>20</v>
      </c>
      <c r="W12" s="1">
        <f>AVERAGE(INDEX(team5_results[Lap times '[sec']], 1):team5_results[[#This Row], [Lap times '[sec']]])</f>
        <v>55.193500000000007</v>
      </c>
      <c r="X12" s="1">
        <f>SUM(INDEX(team5_results[Lap times '[sec']], 1):team5_results[[#This Row], [Lap times '[sec']]])</f>
        <v>551.93500000000006</v>
      </c>
      <c r="Z12" s="1">
        <v>55.594999999999999</v>
      </c>
      <c r="AA12" s="1" t="s">
        <v>21</v>
      </c>
      <c r="AB12" s="1">
        <f>AVERAGE(INDEX(team6_results[Lap times '[sec']], 1):team6_results[[#This Row], [Lap times '[sec']]])</f>
        <v>55.818000000000005</v>
      </c>
      <c r="AC12" s="1">
        <f>SUM(INDEX(team6_results[Lap times '[sec']], 1):team6_results[[#This Row], [Lap times '[sec']]])</f>
        <v>558.18000000000006</v>
      </c>
      <c r="AE12" s="1">
        <v>54.991999999999997</v>
      </c>
      <c r="AF12" s="1" t="s">
        <v>22</v>
      </c>
      <c r="AG12" s="1">
        <f>AVERAGE(INDEX(team7_results[Lap times '[sec']], 1):team7_results[[#This Row], [Lap times '[sec']]])</f>
        <v>55.271499999999989</v>
      </c>
      <c r="AH12" s="1">
        <f>SUM(INDEX(team7_results[Lap times '[sec']], 1):team7_results[[#This Row], [Lap times '[sec']]])</f>
        <v>552.71499999999992</v>
      </c>
      <c r="AJ12" s="1">
        <v>57.936999999999998</v>
      </c>
      <c r="AK12" s="1" t="s">
        <v>23</v>
      </c>
      <c r="AL12" s="1">
        <f>AVERAGE(INDEX(team8_results[Lap times '[sec']], 1):team8_results[[#This Row], [Lap times '[sec']]])</f>
        <v>56.947499999999991</v>
      </c>
      <c r="AM12" s="1">
        <f>SUM(INDEX(team8_results[Lap times '[sec']], 1):team8_results[[#This Row], [Lap times '[sec']]])</f>
        <v>569.47499999999991</v>
      </c>
      <c r="AO12" s="1">
        <v>56.366</v>
      </c>
      <c r="AP12" s="1" t="s">
        <v>25</v>
      </c>
      <c r="AQ12" s="1">
        <f>AVERAGE(INDEX(team9_results[Lap times '[sec']], 1):team9_results[[#This Row], [Lap times '[sec']]])</f>
        <v>56.623699999999999</v>
      </c>
      <c r="AR12" s="1">
        <f>SUM(INDEX(team9_results[Lap times '[sec']], 1):team9_results[[#This Row], [Lap times '[sec']]])</f>
        <v>566.23699999999997</v>
      </c>
    </row>
    <row r="13" spans="1:44" x14ac:dyDescent="0.25">
      <c r="A13" s="1">
        <v>53</v>
      </c>
      <c r="B13" s="1" t="s">
        <v>12</v>
      </c>
      <c r="C13" s="1">
        <f>AVERAGE(INDEX(team1_results[Lap times '[sec']], 1):team1_results[[#This Row], [Lap times '[sec']]])</f>
        <v>53.059363636363628</v>
      </c>
      <c r="D13" s="1">
        <f>SUM(INDEX(team1_results[Lap times '[sec']], 1):team1_results[[#This Row], [Lap times '[sec']]])</f>
        <v>583.65299999999991</v>
      </c>
      <c r="F13" s="1">
        <v>53.106000000000002</v>
      </c>
      <c r="G13" s="1" t="s">
        <v>14</v>
      </c>
      <c r="H13" s="1">
        <f>AVERAGE(INDEX(team2_results[Lap times '[sec']], 1):team2_results[[#This Row], [Lap times '[sec']]])</f>
        <v>53.221727272727271</v>
      </c>
      <c r="I13" s="1">
        <f>SUM(INDEX(team2_results[Lap times '[sec']], 1):team2_results[[#This Row], [Lap times '[sec']]])</f>
        <v>585.43899999999996</v>
      </c>
      <c r="K13" s="1">
        <v>53.444000000000003</v>
      </c>
      <c r="L13" s="1" t="s">
        <v>16</v>
      </c>
      <c r="M13" s="1">
        <f>AVERAGE(INDEX(team3_results[Lap times '[sec']], 1):team3_results[[#This Row], [Lap times '[sec']]])</f>
        <v>54.087727272727264</v>
      </c>
      <c r="N13" s="1">
        <f>SUM(INDEX(team3_results[Lap times '[sec']], 1):team3_results[[#This Row], [Lap times '[sec']]])</f>
        <v>594.96499999999992</v>
      </c>
      <c r="P13" s="1">
        <v>54.981999999999999</v>
      </c>
      <c r="Q13" s="1" t="s">
        <v>18</v>
      </c>
      <c r="R13" s="1">
        <f>AVERAGE(INDEX(team4_results[Lap times '[sec']], 1):team4_results[[#This Row], [Lap times '[sec']]])</f>
        <v>55.305999999999997</v>
      </c>
      <c r="S13" s="1">
        <f>SUM(INDEX(team4_results[Lap times '[sec']], 1):team4_results[[#This Row], [Lap times '[sec']]])</f>
        <v>608.36599999999999</v>
      </c>
      <c r="U13" s="1">
        <v>55.036999999999999</v>
      </c>
      <c r="V13" s="1" t="s">
        <v>20</v>
      </c>
      <c r="W13" s="1">
        <f>AVERAGE(INDEX(team5_results[Lap times '[sec']], 1):team5_results[[#This Row], [Lap times '[sec']]])</f>
        <v>55.179272727272739</v>
      </c>
      <c r="X13" s="1">
        <f>SUM(INDEX(team5_results[Lap times '[sec']], 1):team5_results[[#This Row], [Lap times '[sec']]])</f>
        <v>606.97200000000009</v>
      </c>
      <c r="Z13" s="1">
        <v>54.857999999999997</v>
      </c>
      <c r="AA13" s="1" t="s">
        <v>21</v>
      </c>
      <c r="AB13" s="1">
        <f>AVERAGE(INDEX(team6_results[Lap times '[sec']], 1):team6_results[[#This Row], [Lap times '[sec']]])</f>
        <v>55.730727272727272</v>
      </c>
      <c r="AC13" s="1">
        <f>SUM(INDEX(team6_results[Lap times '[sec']], 1):team6_results[[#This Row], [Lap times '[sec']]])</f>
        <v>613.03800000000001</v>
      </c>
      <c r="AE13" s="1">
        <v>54.615000000000002</v>
      </c>
      <c r="AF13" s="1" t="s">
        <v>22</v>
      </c>
      <c r="AG13" s="1">
        <f>AVERAGE(INDEX(team7_results[Lap times '[sec']], 1):team7_results[[#This Row], [Lap times '[sec']]])</f>
        <v>55.211818181818174</v>
      </c>
      <c r="AH13" s="1">
        <f>SUM(INDEX(team7_results[Lap times '[sec']], 1):team7_results[[#This Row], [Lap times '[sec']]])</f>
        <v>607.32999999999993</v>
      </c>
      <c r="AJ13" s="1">
        <v>55.548000000000002</v>
      </c>
      <c r="AK13" s="1" t="s">
        <v>23</v>
      </c>
      <c r="AL13" s="1">
        <f>AVERAGE(INDEX(team8_results[Lap times '[sec']], 1):team8_results[[#This Row], [Lap times '[sec']]])</f>
        <v>56.820272727272716</v>
      </c>
      <c r="AM13" s="1">
        <f>SUM(INDEX(team8_results[Lap times '[sec']], 1):team8_results[[#This Row], [Lap times '[sec']]])</f>
        <v>625.02299999999991</v>
      </c>
      <c r="AO13" s="1">
        <v>55.454000000000001</v>
      </c>
      <c r="AP13" s="1" t="s">
        <v>25</v>
      </c>
      <c r="AQ13" s="1">
        <f>AVERAGE(INDEX(team9_results[Lap times '[sec']], 1):team9_results[[#This Row], [Lap times '[sec']]])</f>
        <v>56.517363636363626</v>
      </c>
      <c r="AR13" s="1">
        <f>SUM(INDEX(team9_results[Lap times '[sec']], 1):team9_results[[#This Row], [Lap times '[sec']]])</f>
        <v>621.69099999999992</v>
      </c>
    </row>
    <row r="14" spans="1:44" x14ac:dyDescent="0.25">
      <c r="A14" s="1">
        <v>52.591000000000001</v>
      </c>
      <c r="B14" s="1" t="s">
        <v>12</v>
      </c>
      <c r="C14" s="1">
        <f>AVERAGE(INDEX(team1_results[Lap times '[sec']], 1):team1_results[[#This Row], [Lap times '[sec']]])</f>
        <v>53.020333333333326</v>
      </c>
      <c r="D14" s="1">
        <f>SUM(INDEX(team1_results[Lap times '[sec']], 1):team1_results[[#This Row], [Lap times '[sec']]])</f>
        <v>636.24399999999991</v>
      </c>
      <c r="F14" s="1">
        <v>53.031999999999996</v>
      </c>
      <c r="G14" s="1" t="s">
        <v>14</v>
      </c>
      <c r="H14" s="1">
        <f>AVERAGE(INDEX(team2_results[Lap times '[sec']], 1):team2_results[[#This Row], [Lap times '[sec']]])</f>
        <v>53.205916666666667</v>
      </c>
      <c r="I14" s="1">
        <f>SUM(INDEX(team2_results[Lap times '[sec']], 1):team2_results[[#This Row], [Lap times '[sec']]])</f>
        <v>638.471</v>
      </c>
      <c r="K14" s="1">
        <v>53.252000000000002</v>
      </c>
      <c r="L14" s="1" t="s">
        <v>16</v>
      </c>
      <c r="M14" s="1">
        <f>AVERAGE(INDEX(team3_results[Lap times '[sec']], 1):team3_results[[#This Row], [Lap times '[sec']]])</f>
        <v>54.018083333333323</v>
      </c>
      <c r="N14" s="1">
        <f>SUM(INDEX(team3_results[Lap times '[sec']], 1):team3_results[[#This Row], [Lap times '[sec']]])</f>
        <v>648.21699999999987</v>
      </c>
      <c r="P14" s="1">
        <v>54.654000000000003</v>
      </c>
      <c r="Q14" s="1" t="s">
        <v>18</v>
      </c>
      <c r="R14" s="1">
        <f>AVERAGE(INDEX(team4_results[Lap times '[sec']], 1):team4_results[[#This Row], [Lap times '[sec']]])</f>
        <v>55.251666666666665</v>
      </c>
      <c r="S14" s="1">
        <f>SUM(INDEX(team4_results[Lap times '[sec']], 1):team4_results[[#This Row], [Lap times '[sec']]])</f>
        <v>663.02</v>
      </c>
      <c r="U14" s="1">
        <v>54.679000000000002</v>
      </c>
      <c r="V14" s="1" t="s">
        <v>20</v>
      </c>
      <c r="W14" s="1">
        <f>AVERAGE(INDEX(team5_results[Lap times '[sec']], 1):team5_results[[#This Row], [Lap times '[sec']]])</f>
        <v>55.137583333333339</v>
      </c>
      <c r="X14" s="1">
        <f>SUM(INDEX(team5_results[Lap times '[sec']], 1):team5_results[[#This Row], [Lap times '[sec']]])</f>
        <v>661.65100000000007</v>
      </c>
      <c r="Z14" s="1">
        <v>55.692</v>
      </c>
      <c r="AA14" s="1" t="s">
        <v>21</v>
      </c>
      <c r="AB14" s="1">
        <f>AVERAGE(INDEX(team6_results[Lap times '[sec']], 1):team6_results[[#This Row], [Lap times '[sec']]])</f>
        <v>55.727499999999999</v>
      </c>
      <c r="AC14" s="1">
        <f>SUM(INDEX(team6_results[Lap times '[sec']], 1):team6_results[[#This Row], [Lap times '[sec']]])</f>
        <v>668.73</v>
      </c>
      <c r="AE14" s="1">
        <v>54.192999999999998</v>
      </c>
      <c r="AF14" s="1" t="s">
        <v>22</v>
      </c>
      <c r="AG14" s="1">
        <f>AVERAGE(INDEX(team7_results[Lap times '[sec']], 1):team7_results[[#This Row], [Lap times '[sec']]])</f>
        <v>55.126916666666659</v>
      </c>
      <c r="AH14" s="1">
        <f>SUM(INDEX(team7_results[Lap times '[sec']], 1):team7_results[[#This Row], [Lap times '[sec']]])</f>
        <v>661.52299999999991</v>
      </c>
      <c r="AJ14" s="1">
        <v>55.448999999999998</v>
      </c>
      <c r="AK14" s="1" t="s">
        <v>23</v>
      </c>
      <c r="AL14" s="1">
        <f>AVERAGE(INDEX(team8_results[Lap times '[sec']], 1):team8_results[[#This Row], [Lap times '[sec']]])</f>
        <v>56.705999999999989</v>
      </c>
      <c r="AM14" s="1">
        <f>SUM(INDEX(team8_results[Lap times '[sec']], 1):team8_results[[#This Row], [Lap times '[sec']]])</f>
        <v>680.47199999999987</v>
      </c>
      <c r="AO14" s="1">
        <v>55.462000000000003</v>
      </c>
      <c r="AP14" s="1" t="s">
        <v>25</v>
      </c>
      <c r="AQ14" s="1">
        <f>AVERAGE(INDEX(team9_results[Lap times '[sec']], 1):team9_results[[#This Row], [Lap times '[sec']]])</f>
        <v>56.429416666666661</v>
      </c>
      <c r="AR14" s="1">
        <f>SUM(INDEX(team9_results[Lap times '[sec']], 1):team9_results[[#This Row], [Lap times '[sec']]])</f>
        <v>677.15299999999991</v>
      </c>
    </row>
    <row r="15" spans="1:44" x14ac:dyDescent="0.25">
      <c r="A15" s="1">
        <v>52.564</v>
      </c>
      <c r="B15" s="1" t="s">
        <v>12</v>
      </c>
      <c r="C15" s="1">
        <f>AVERAGE(INDEX(team1_results[Lap times '[sec']], 1):team1_results[[#This Row], [Lap times '[sec']]])</f>
        <v>52.98523076923076</v>
      </c>
      <c r="D15" s="1">
        <f>SUM(INDEX(team1_results[Lap times '[sec']], 1):team1_results[[#This Row], [Lap times '[sec']]])</f>
        <v>688.80799999999988</v>
      </c>
      <c r="F15" s="1">
        <v>53.000999999999998</v>
      </c>
      <c r="G15" s="1" t="s">
        <v>14</v>
      </c>
      <c r="H15" s="1">
        <f>AVERAGE(INDEX(team2_results[Lap times '[sec']], 1):team2_results[[#This Row], [Lap times '[sec']]])</f>
        <v>53.190153846153848</v>
      </c>
      <c r="I15" s="1">
        <f>SUM(INDEX(team2_results[Lap times '[sec']], 1):team2_results[[#This Row], [Lap times '[sec']]])</f>
        <v>691.47199999999998</v>
      </c>
      <c r="K15" s="1">
        <v>53.292000000000002</v>
      </c>
      <c r="L15" s="1" t="s">
        <v>16</v>
      </c>
      <c r="M15" s="1">
        <f>AVERAGE(INDEX(team3_results[Lap times '[sec']], 1):team3_results[[#This Row], [Lap times '[sec']]])</f>
        <v>53.962230769230764</v>
      </c>
      <c r="N15" s="1">
        <f>SUM(INDEX(team3_results[Lap times '[sec']], 1):team3_results[[#This Row], [Lap times '[sec']]])</f>
        <v>701.5089999999999</v>
      </c>
      <c r="P15" s="1">
        <v>54.646000000000001</v>
      </c>
      <c r="Q15" s="1" t="s">
        <v>18</v>
      </c>
      <c r="R15" s="1">
        <f>AVERAGE(INDEX(team4_results[Lap times '[sec']], 1):team4_results[[#This Row], [Lap times '[sec']]])</f>
        <v>55.205076923076916</v>
      </c>
      <c r="S15" s="1">
        <f>SUM(INDEX(team4_results[Lap times '[sec']], 1):team4_results[[#This Row], [Lap times '[sec']]])</f>
        <v>717.66599999999994</v>
      </c>
      <c r="U15" s="1">
        <v>54.551000000000002</v>
      </c>
      <c r="V15" s="1" t="s">
        <v>20</v>
      </c>
      <c r="W15" s="1">
        <f>AVERAGE(INDEX(team5_results[Lap times '[sec']], 1):team5_results[[#This Row], [Lap times '[sec']]])</f>
        <v>55.092461538461549</v>
      </c>
      <c r="X15" s="1">
        <f>SUM(INDEX(team5_results[Lap times '[sec']], 1):team5_results[[#This Row], [Lap times '[sec']]])</f>
        <v>716.20200000000011</v>
      </c>
      <c r="Z15" s="1">
        <v>55.311</v>
      </c>
      <c r="AA15" s="1" t="s">
        <v>21</v>
      </c>
      <c r="AB15" s="1">
        <f>AVERAGE(INDEX(team6_results[Lap times '[sec']], 1):team6_results[[#This Row], [Lap times '[sec']]])</f>
        <v>55.695461538461544</v>
      </c>
      <c r="AC15" s="1">
        <f>SUM(INDEX(team6_results[Lap times '[sec']], 1):team6_results[[#This Row], [Lap times '[sec']]])</f>
        <v>724.04100000000005</v>
      </c>
      <c r="AE15" s="1">
        <v>54.552999999999997</v>
      </c>
      <c r="AF15" s="1" t="s">
        <v>22</v>
      </c>
      <c r="AG15" s="1">
        <f>AVERAGE(INDEX(team7_results[Lap times '[sec']], 1):team7_results[[#This Row], [Lap times '[sec']]])</f>
        <v>55.082769230769223</v>
      </c>
      <c r="AH15" s="1">
        <f>SUM(INDEX(team7_results[Lap times '[sec']], 1):team7_results[[#This Row], [Lap times '[sec']]])</f>
        <v>716.07599999999991</v>
      </c>
      <c r="AJ15" s="1">
        <v>56.661000000000001</v>
      </c>
      <c r="AK15" s="1" t="s">
        <v>23</v>
      </c>
      <c r="AL15" s="1">
        <f>AVERAGE(INDEX(team8_results[Lap times '[sec']], 1):team8_results[[#This Row], [Lap times '[sec']]])</f>
        <v>56.702538461538445</v>
      </c>
      <c r="AM15" s="1">
        <f>SUM(INDEX(team8_results[Lap times '[sec']], 1):team8_results[[#This Row], [Lap times '[sec']]])</f>
        <v>737.13299999999981</v>
      </c>
      <c r="AO15" s="1">
        <v>56.481999999999999</v>
      </c>
      <c r="AP15" s="1" t="s">
        <v>25</v>
      </c>
      <c r="AQ15" s="1">
        <f>AVERAGE(INDEX(team9_results[Lap times '[sec']], 1):team9_results[[#This Row], [Lap times '[sec']]])</f>
        <v>56.433461538461529</v>
      </c>
      <c r="AR15" s="1">
        <f>SUM(INDEX(team9_results[Lap times '[sec']], 1):team9_results[[#This Row], [Lap times '[sec']]])</f>
        <v>733.63499999999988</v>
      </c>
    </row>
    <row r="16" spans="1:44" x14ac:dyDescent="0.25">
      <c r="A16" s="1">
        <v>52.905000000000001</v>
      </c>
      <c r="B16" s="1" t="s">
        <v>12</v>
      </c>
      <c r="C16" s="1">
        <f>AVERAGE(INDEX(team1_results[Lap times '[sec']], 1):team1_results[[#This Row], [Lap times '[sec']]])</f>
        <v>52.979499999999987</v>
      </c>
      <c r="D16" s="1">
        <f>SUM(INDEX(team1_results[Lap times '[sec']], 1):team1_results[[#This Row], [Lap times '[sec']]])</f>
        <v>741.71299999999985</v>
      </c>
      <c r="F16" s="1">
        <v>52.786999999999999</v>
      </c>
      <c r="G16" s="1" t="s">
        <v>14</v>
      </c>
      <c r="H16" s="1">
        <f>AVERAGE(INDEX(team2_results[Lap times '[sec']], 1):team2_results[[#This Row], [Lap times '[sec']]])</f>
        <v>53.161357142857142</v>
      </c>
      <c r="I16" s="1">
        <f>SUM(INDEX(team2_results[Lap times '[sec']], 1):team2_results[[#This Row], [Lap times '[sec']]])</f>
        <v>744.25900000000001</v>
      </c>
      <c r="K16" s="1">
        <v>52.941000000000003</v>
      </c>
      <c r="L16" s="1" t="s">
        <v>16</v>
      </c>
      <c r="M16" s="1">
        <f>AVERAGE(INDEX(team3_results[Lap times '[sec']], 1):team3_results[[#This Row], [Lap times '[sec']]])</f>
        <v>53.889285714285712</v>
      </c>
      <c r="N16" s="1">
        <f>SUM(INDEX(team3_results[Lap times '[sec']], 1):team3_results[[#This Row], [Lap times '[sec']]])</f>
        <v>754.44999999999993</v>
      </c>
      <c r="P16" s="1">
        <v>54.470999999999997</v>
      </c>
      <c r="Q16" s="1" t="s">
        <v>18</v>
      </c>
      <c r="R16" s="1">
        <f>AVERAGE(INDEX(team4_results[Lap times '[sec']], 1):team4_results[[#This Row], [Lap times '[sec']]])</f>
        <v>55.152642857142851</v>
      </c>
      <c r="S16" s="1">
        <f>SUM(INDEX(team4_results[Lap times '[sec']], 1):team4_results[[#This Row], [Lap times '[sec']]])</f>
        <v>772.13699999999994</v>
      </c>
      <c r="U16" s="1">
        <v>54.561</v>
      </c>
      <c r="V16" s="1" t="s">
        <v>20</v>
      </c>
      <c r="W16" s="1">
        <f>AVERAGE(INDEX(team5_results[Lap times '[sec']], 1):team5_results[[#This Row], [Lap times '[sec']]])</f>
        <v>55.054500000000012</v>
      </c>
      <c r="X16" s="1">
        <f>SUM(INDEX(team5_results[Lap times '[sec']], 1):team5_results[[#This Row], [Lap times '[sec']]])</f>
        <v>770.76300000000015</v>
      </c>
      <c r="Z16" s="1">
        <v>55.143000000000001</v>
      </c>
      <c r="AA16" s="1" t="s">
        <v>21</v>
      </c>
      <c r="AB16" s="1">
        <f>AVERAGE(INDEX(team6_results[Lap times '[sec']], 1):team6_results[[#This Row], [Lap times '[sec']]])</f>
        <v>55.656000000000006</v>
      </c>
      <c r="AC16" s="1">
        <f>SUM(INDEX(team6_results[Lap times '[sec']], 1):team6_results[[#This Row], [Lap times '[sec']]])</f>
        <v>779.18400000000008</v>
      </c>
      <c r="AE16" s="1">
        <v>54.58</v>
      </c>
      <c r="AF16" s="1" t="s">
        <v>22</v>
      </c>
      <c r="AG16" s="1">
        <f>AVERAGE(INDEX(team7_results[Lap times '[sec']], 1):team7_results[[#This Row], [Lap times '[sec']]])</f>
        <v>55.046857142857142</v>
      </c>
      <c r="AH16" s="1">
        <f>SUM(INDEX(team7_results[Lap times '[sec']], 1):team7_results[[#This Row], [Lap times '[sec']]])</f>
        <v>770.65599999999995</v>
      </c>
      <c r="AJ16" s="1">
        <v>57.37</v>
      </c>
      <c r="AK16" s="1" t="s">
        <v>23</v>
      </c>
      <c r="AL16" s="1">
        <f>AVERAGE(INDEX(team8_results[Lap times '[sec']], 1):team8_results[[#This Row], [Lap times '[sec']]])</f>
        <v>56.750214285714272</v>
      </c>
      <c r="AM16" s="1">
        <f>SUM(INDEX(team8_results[Lap times '[sec']], 1):team8_results[[#This Row], [Lap times '[sec']]])</f>
        <v>794.50299999999982</v>
      </c>
      <c r="AO16" s="1">
        <v>55.701000000000001</v>
      </c>
      <c r="AP16" s="1" t="s">
        <v>25</v>
      </c>
      <c r="AQ16" s="1">
        <f>AVERAGE(INDEX(team9_results[Lap times '[sec']], 1):team9_results[[#This Row], [Lap times '[sec']]])</f>
        <v>56.381142857142848</v>
      </c>
      <c r="AR16" s="1">
        <f>SUM(INDEX(team9_results[Lap times '[sec']], 1):team9_results[[#This Row], [Lap times '[sec']]])</f>
        <v>789.3359999999999</v>
      </c>
    </row>
    <row r="17" spans="1:44" x14ac:dyDescent="0.25">
      <c r="A17" s="1">
        <v>52.317999999999998</v>
      </c>
      <c r="B17" s="1" t="s">
        <v>12</v>
      </c>
      <c r="C17" s="1">
        <f>AVERAGE(INDEX(team1_results[Lap times '[sec']], 1):team1_results[[#This Row], [Lap times '[sec']]])</f>
        <v>52.935399999999987</v>
      </c>
      <c r="D17" s="1">
        <f>SUM(INDEX(team1_results[Lap times '[sec']], 1):team1_results[[#This Row], [Lap times '[sec']]])</f>
        <v>794.03099999999984</v>
      </c>
      <c r="F17" s="1">
        <v>53.67</v>
      </c>
      <c r="G17" s="1" t="s">
        <v>14</v>
      </c>
      <c r="H17" s="1">
        <f>AVERAGE(INDEX(team2_results[Lap times '[sec']], 1):team2_results[[#This Row], [Lap times '[sec']]])</f>
        <v>53.195266666666662</v>
      </c>
      <c r="I17" s="1">
        <f>SUM(INDEX(team2_results[Lap times '[sec']], 1):team2_results[[#This Row], [Lap times '[sec']]])</f>
        <v>797.92899999999997</v>
      </c>
      <c r="K17" s="1">
        <v>53.654000000000003</v>
      </c>
      <c r="L17" s="1" t="s">
        <v>16</v>
      </c>
      <c r="M17" s="1">
        <f>AVERAGE(INDEX(team3_results[Lap times '[sec']], 1):team3_results[[#This Row], [Lap times '[sec']]])</f>
        <v>53.873599999999996</v>
      </c>
      <c r="N17" s="1">
        <f>SUM(INDEX(team3_results[Lap times '[sec']], 1):team3_results[[#This Row], [Lap times '[sec']]])</f>
        <v>808.10399999999993</v>
      </c>
      <c r="P17" s="1">
        <v>54.402999999999999</v>
      </c>
      <c r="Q17" s="1" t="s">
        <v>18</v>
      </c>
      <c r="R17" s="1">
        <f>AVERAGE(INDEX(team4_results[Lap times '[sec']], 1):team4_results[[#This Row], [Lap times '[sec']]])</f>
        <v>55.102666666666664</v>
      </c>
      <c r="S17" s="1">
        <f>SUM(INDEX(team4_results[Lap times '[sec']], 1):team4_results[[#This Row], [Lap times '[sec']]])</f>
        <v>826.54</v>
      </c>
      <c r="U17" s="1">
        <v>55.686</v>
      </c>
      <c r="V17" s="1" t="s">
        <v>20</v>
      </c>
      <c r="W17" s="1">
        <f>AVERAGE(INDEX(team5_results[Lap times '[sec']], 1):team5_results[[#This Row], [Lap times '[sec']]])</f>
        <v>55.096600000000009</v>
      </c>
      <c r="X17" s="1">
        <f>SUM(INDEX(team5_results[Lap times '[sec']], 1):team5_results[[#This Row], [Lap times '[sec']]])</f>
        <v>826.44900000000018</v>
      </c>
      <c r="Z17" s="1">
        <v>55.151000000000003</v>
      </c>
      <c r="AA17" s="1" t="s">
        <v>21</v>
      </c>
      <c r="AB17" s="1">
        <f>AVERAGE(INDEX(team6_results[Lap times '[sec']], 1):team6_results[[#This Row], [Lap times '[sec']]])</f>
        <v>55.622333333333337</v>
      </c>
      <c r="AC17" s="1">
        <f>SUM(INDEX(team6_results[Lap times '[sec']], 1):team6_results[[#This Row], [Lap times '[sec']]])</f>
        <v>834.33500000000004</v>
      </c>
      <c r="AE17" s="1">
        <v>55.045000000000002</v>
      </c>
      <c r="AF17" s="1" t="s">
        <v>22</v>
      </c>
      <c r="AG17" s="1">
        <f>AVERAGE(INDEX(team7_results[Lap times '[sec']], 1):team7_results[[#This Row], [Lap times '[sec']]])</f>
        <v>55.046733333333329</v>
      </c>
      <c r="AH17" s="1">
        <f>SUM(INDEX(team7_results[Lap times '[sec']], 1):team7_results[[#This Row], [Lap times '[sec']]])</f>
        <v>825.70099999999991</v>
      </c>
      <c r="AJ17" s="1">
        <v>55.746000000000002</v>
      </c>
      <c r="AK17" s="1" t="s">
        <v>23</v>
      </c>
      <c r="AL17" s="1">
        <f>AVERAGE(INDEX(team8_results[Lap times '[sec']], 1):team8_results[[#This Row], [Lap times '[sec']]])</f>
        <v>56.683266666666654</v>
      </c>
      <c r="AM17" s="1">
        <f>SUM(INDEX(team8_results[Lap times '[sec']], 1):team8_results[[#This Row], [Lap times '[sec']]])</f>
        <v>850.2489999999998</v>
      </c>
      <c r="AO17" s="1">
        <v>56.332999999999998</v>
      </c>
      <c r="AP17" s="1" t="s">
        <v>25</v>
      </c>
      <c r="AQ17" s="1">
        <f>AVERAGE(INDEX(team9_results[Lap times '[sec']], 1):team9_results[[#This Row], [Lap times '[sec']]])</f>
        <v>56.377933333333324</v>
      </c>
      <c r="AR17" s="1">
        <f>SUM(INDEX(team9_results[Lap times '[sec']], 1):team9_results[[#This Row], [Lap times '[sec']]])</f>
        <v>845.66899999999987</v>
      </c>
    </row>
    <row r="18" spans="1:44" x14ac:dyDescent="0.25">
      <c r="A18" s="1">
        <v>52.651000000000003</v>
      </c>
      <c r="B18" s="1" t="s">
        <v>12</v>
      </c>
      <c r="C18" s="1">
        <f>AVERAGE(INDEX(team1_results[Lap times '[sec']], 1):team1_results[[#This Row], [Lap times '[sec']]])</f>
        <v>52.917624999999987</v>
      </c>
      <c r="D18" s="1">
        <f>SUM(INDEX(team1_results[Lap times '[sec']], 1):team1_results[[#This Row], [Lap times '[sec']]])</f>
        <v>846.68199999999979</v>
      </c>
      <c r="F18" s="1">
        <v>53.131</v>
      </c>
      <c r="G18" s="1" t="s">
        <v>14</v>
      </c>
      <c r="H18" s="1">
        <f>AVERAGE(INDEX(team2_results[Lap times '[sec']], 1):team2_results[[#This Row], [Lap times '[sec']]])</f>
        <v>53.191249999999997</v>
      </c>
      <c r="I18" s="1">
        <f>SUM(INDEX(team2_results[Lap times '[sec']], 1):team2_results[[#This Row], [Lap times '[sec']]])</f>
        <v>851.06</v>
      </c>
      <c r="K18" s="1">
        <v>53.902999999999999</v>
      </c>
      <c r="L18" s="1" t="s">
        <v>16</v>
      </c>
      <c r="M18" s="1">
        <f>AVERAGE(INDEX(team3_results[Lap times '[sec']], 1):team3_results[[#This Row], [Lap times '[sec']]])</f>
        <v>53.875437499999997</v>
      </c>
      <c r="N18" s="1">
        <f>SUM(INDEX(team3_results[Lap times '[sec']], 1):team3_results[[#This Row], [Lap times '[sec']]])</f>
        <v>862.00699999999995</v>
      </c>
      <c r="P18" s="1">
        <v>53.793999999999997</v>
      </c>
      <c r="Q18" s="1" t="s">
        <v>18</v>
      </c>
      <c r="R18" s="1">
        <f>AVERAGE(INDEX(team4_results[Lap times '[sec']], 1):team4_results[[#This Row], [Lap times '[sec']]])</f>
        <v>55.020874999999997</v>
      </c>
      <c r="S18" s="1">
        <f>SUM(INDEX(team4_results[Lap times '[sec']], 1):team4_results[[#This Row], [Lap times '[sec']]])</f>
        <v>880.33399999999995</v>
      </c>
      <c r="U18" s="1">
        <v>53.930999999999997</v>
      </c>
      <c r="V18" s="1" t="s">
        <v>20</v>
      </c>
      <c r="W18" s="1">
        <f>AVERAGE(INDEX(team5_results[Lap times '[sec']], 1):team5_results[[#This Row], [Lap times '[sec']]])</f>
        <v>55.023750000000014</v>
      </c>
      <c r="X18" s="1">
        <f>SUM(INDEX(team5_results[Lap times '[sec']], 1):team5_results[[#This Row], [Lap times '[sec']]])</f>
        <v>880.38000000000022</v>
      </c>
      <c r="Z18" s="1">
        <v>54.798000000000002</v>
      </c>
      <c r="AA18" s="1" t="s">
        <v>21</v>
      </c>
      <c r="AB18" s="1">
        <f>AVERAGE(INDEX(team6_results[Lap times '[sec']], 1):team6_results[[#This Row], [Lap times '[sec']]])</f>
        <v>55.570812500000002</v>
      </c>
      <c r="AC18" s="1">
        <f>SUM(INDEX(team6_results[Lap times '[sec']], 1):team6_results[[#This Row], [Lap times '[sec']]])</f>
        <v>889.13300000000004</v>
      </c>
      <c r="AE18" s="1">
        <v>53.805</v>
      </c>
      <c r="AF18" s="1" t="s">
        <v>22</v>
      </c>
      <c r="AG18" s="1">
        <f>AVERAGE(INDEX(team7_results[Lap times '[sec']], 1):team7_results[[#This Row], [Lap times '[sec']]])</f>
        <v>54.969124999999991</v>
      </c>
      <c r="AH18" s="1">
        <f>SUM(INDEX(team7_results[Lap times '[sec']], 1):team7_results[[#This Row], [Lap times '[sec']]])</f>
        <v>879.50599999999986</v>
      </c>
      <c r="AJ18" s="1">
        <v>54.984999999999999</v>
      </c>
      <c r="AK18" s="1" t="s">
        <v>23</v>
      </c>
      <c r="AL18" s="1">
        <f>AVERAGE(INDEX(team8_results[Lap times '[sec']], 1):team8_results[[#This Row], [Lap times '[sec']]])</f>
        <v>56.577124999999988</v>
      </c>
      <c r="AM18" s="1">
        <f>SUM(INDEX(team8_results[Lap times '[sec']], 1):team8_results[[#This Row], [Lap times '[sec']]])</f>
        <v>905.23399999999981</v>
      </c>
      <c r="AO18" s="1">
        <v>56.415999999999997</v>
      </c>
      <c r="AP18" s="1" t="s">
        <v>25</v>
      </c>
      <c r="AQ18" s="1">
        <f>AVERAGE(INDEX(team9_results[Lap times '[sec']], 1):team9_results[[#This Row], [Lap times '[sec']]])</f>
        <v>56.380312499999988</v>
      </c>
      <c r="AR18" s="1">
        <f>SUM(INDEX(team9_results[Lap times '[sec']], 1):team9_results[[#This Row], [Lap times '[sec']]])</f>
        <v>902.08499999999981</v>
      </c>
    </row>
    <row r="19" spans="1:44" x14ac:dyDescent="0.25">
      <c r="A19" s="1">
        <v>52.453000000000003</v>
      </c>
      <c r="B19" s="1" t="s">
        <v>12</v>
      </c>
      <c r="C19" s="1">
        <f>AVERAGE(INDEX(team1_results[Lap times '[sec']], 1):team1_results[[#This Row], [Lap times '[sec']]])</f>
        <v>52.890294117647045</v>
      </c>
      <c r="D19" s="1">
        <f>SUM(INDEX(team1_results[Lap times '[sec']], 1):team1_results[[#This Row], [Lap times '[sec']]])</f>
        <v>899.13499999999976</v>
      </c>
      <c r="F19" s="1">
        <v>52.838000000000001</v>
      </c>
      <c r="G19" s="1" t="s">
        <v>14</v>
      </c>
      <c r="H19" s="1">
        <f>AVERAGE(INDEX(team2_results[Lap times '[sec']], 1):team2_results[[#This Row], [Lap times '[sec']]])</f>
        <v>53.17047058823529</v>
      </c>
      <c r="I19" s="1">
        <f>SUM(INDEX(team2_results[Lap times '[sec']], 1):team2_results[[#This Row], [Lap times '[sec']]])</f>
        <v>903.89799999999991</v>
      </c>
      <c r="K19" s="1">
        <v>52.921999999999997</v>
      </c>
      <c r="L19" s="1" t="s">
        <v>16</v>
      </c>
      <c r="M19" s="1">
        <f>AVERAGE(INDEX(team3_results[Lap times '[sec']], 1):team3_results[[#This Row], [Lap times '[sec']]])</f>
        <v>53.819352941176469</v>
      </c>
      <c r="N19" s="1">
        <f>SUM(INDEX(team3_results[Lap times '[sec']], 1):team3_results[[#This Row], [Lap times '[sec']]])</f>
        <v>914.92899999999997</v>
      </c>
      <c r="P19" s="1">
        <v>53.728000000000002</v>
      </c>
      <c r="Q19" s="1" t="s">
        <v>18</v>
      </c>
      <c r="R19" s="1">
        <f>AVERAGE(INDEX(team4_results[Lap times '[sec']], 1):team4_results[[#This Row], [Lap times '[sec']]])</f>
        <v>54.944823529411757</v>
      </c>
      <c r="S19" s="1">
        <f>SUM(INDEX(team4_results[Lap times '[sec']], 1):team4_results[[#This Row], [Lap times '[sec']]])</f>
        <v>934.0619999999999</v>
      </c>
      <c r="U19" s="1">
        <v>53.857999999999997</v>
      </c>
      <c r="V19" s="1" t="s">
        <v>20</v>
      </c>
      <c r="W19" s="1">
        <f>AVERAGE(INDEX(team5_results[Lap times '[sec']], 1):team5_results[[#This Row], [Lap times '[sec']]])</f>
        <v>54.955176470588242</v>
      </c>
      <c r="X19" s="1">
        <f>SUM(INDEX(team5_results[Lap times '[sec']], 1):team5_results[[#This Row], [Lap times '[sec']]])</f>
        <v>934.23800000000017</v>
      </c>
      <c r="Z19" s="1">
        <v>55.280999999999999</v>
      </c>
      <c r="AA19" s="1" t="s">
        <v>21</v>
      </c>
      <c r="AB19" s="1">
        <f>AVERAGE(INDEX(team6_results[Lap times '[sec']], 1):team6_results[[#This Row], [Lap times '[sec']]])</f>
        <v>55.553764705882351</v>
      </c>
      <c r="AC19" s="1">
        <f>SUM(INDEX(team6_results[Lap times '[sec']], 1):team6_results[[#This Row], [Lap times '[sec']]])</f>
        <v>944.41399999999999</v>
      </c>
      <c r="AE19" s="1">
        <v>53.960999999999999</v>
      </c>
      <c r="AF19" s="1" t="s">
        <v>22</v>
      </c>
      <c r="AG19" s="1">
        <f>AVERAGE(INDEX(team7_results[Lap times '[sec']], 1):team7_results[[#This Row], [Lap times '[sec']]])</f>
        <v>54.90982352941176</v>
      </c>
      <c r="AH19" s="1">
        <f>SUM(INDEX(team7_results[Lap times '[sec']], 1):team7_results[[#This Row], [Lap times '[sec']]])</f>
        <v>933.46699999999987</v>
      </c>
      <c r="AJ19" s="1">
        <v>55.128</v>
      </c>
      <c r="AK19" s="1" t="s">
        <v>23</v>
      </c>
      <c r="AL19" s="1">
        <f>AVERAGE(INDEX(team8_results[Lap times '[sec']], 1):team8_results[[#This Row], [Lap times '[sec']]])</f>
        <v>56.491882352941168</v>
      </c>
      <c r="AM19" s="1">
        <f>SUM(INDEX(team8_results[Lap times '[sec']], 1):team8_results[[#This Row], [Lap times '[sec']]])</f>
        <v>960.36199999999985</v>
      </c>
      <c r="AO19" s="1">
        <v>56.921999999999997</v>
      </c>
      <c r="AP19" s="1" t="s">
        <v>25</v>
      </c>
      <c r="AQ19" s="1">
        <f>AVERAGE(INDEX(team9_results[Lap times '[sec']], 1):team9_results[[#This Row], [Lap times '[sec']]])</f>
        <v>56.412176470588228</v>
      </c>
      <c r="AR19" s="1">
        <f>SUM(INDEX(team9_results[Lap times '[sec']], 1):team9_results[[#This Row], [Lap times '[sec']]])</f>
        <v>959.00699999999983</v>
      </c>
    </row>
    <row r="20" spans="1:44" x14ac:dyDescent="0.25">
      <c r="A20" s="1">
        <v>52.62</v>
      </c>
      <c r="B20" s="1" t="s">
        <v>12</v>
      </c>
      <c r="C20" s="1">
        <f>AVERAGE(INDEX(team1_results[Lap times '[sec']], 1):team1_results[[#This Row], [Lap times '[sec']]])</f>
        <v>52.875277777777768</v>
      </c>
      <c r="D20" s="1">
        <f>SUM(INDEX(team1_results[Lap times '[sec']], 1):team1_results[[#This Row], [Lap times '[sec']]])</f>
        <v>951.75499999999977</v>
      </c>
      <c r="F20" s="1">
        <v>52.680999999999997</v>
      </c>
      <c r="G20" s="1" t="s">
        <v>14</v>
      </c>
      <c r="H20" s="1">
        <f>AVERAGE(INDEX(team2_results[Lap times '[sec']], 1):team2_results[[#This Row], [Lap times '[sec']]])</f>
        <v>53.143277777777776</v>
      </c>
      <c r="I20" s="1">
        <f>SUM(INDEX(team2_results[Lap times '[sec']], 1):team2_results[[#This Row], [Lap times '[sec']]])</f>
        <v>956.57899999999995</v>
      </c>
      <c r="K20" s="1">
        <v>53.347999999999999</v>
      </c>
      <c r="L20" s="1" t="s">
        <v>16</v>
      </c>
      <c r="M20" s="1">
        <f>AVERAGE(INDEX(team3_results[Lap times '[sec']], 1):team3_results[[#This Row], [Lap times '[sec']]])</f>
        <v>53.793166666666664</v>
      </c>
      <c r="N20" s="1">
        <f>SUM(INDEX(team3_results[Lap times '[sec']], 1):team3_results[[#This Row], [Lap times '[sec']]])</f>
        <v>968.27699999999993</v>
      </c>
      <c r="P20" s="1">
        <v>54.220999999999997</v>
      </c>
      <c r="Q20" s="1" t="s">
        <v>18</v>
      </c>
      <c r="R20" s="1">
        <f>AVERAGE(INDEX(team4_results[Lap times '[sec']], 1):team4_results[[#This Row], [Lap times '[sec']]])</f>
        <v>54.904611111111109</v>
      </c>
      <c r="S20" s="1">
        <f>SUM(INDEX(team4_results[Lap times '[sec']], 1):team4_results[[#This Row], [Lap times '[sec']]])</f>
        <v>988.2829999999999</v>
      </c>
      <c r="U20" s="1">
        <v>54.055</v>
      </c>
      <c r="V20" s="1" t="s">
        <v>20</v>
      </c>
      <c r="W20" s="1">
        <f>AVERAGE(INDEX(team5_results[Lap times '[sec']], 1):team5_results[[#This Row], [Lap times '[sec']]])</f>
        <v>54.905166666666673</v>
      </c>
      <c r="X20" s="1">
        <f>SUM(INDEX(team5_results[Lap times '[sec']], 1):team5_results[[#This Row], [Lap times '[sec']]])</f>
        <v>988.29300000000012</v>
      </c>
      <c r="Z20" s="1">
        <v>55.667999999999999</v>
      </c>
      <c r="AA20" s="1" t="s">
        <v>21</v>
      </c>
      <c r="AB20" s="1">
        <f>AVERAGE(INDEX(team6_results[Lap times '[sec']], 1):team6_results[[#This Row], [Lap times '[sec']]])</f>
        <v>55.560111111111112</v>
      </c>
      <c r="AC20" s="1">
        <f>SUM(INDEX(team6_results[Lap times '[sec']], 1):team6_results[[#This Row], [Lap times '[sec']]])</f>
        <v>1000.082</v>
      </c>
      <c r="AE20" s="1">
        <v>53.939</v>
      </c>
      <c r="AF20" s="1" t="s">
        <v>22</v>
      </c>
      <c r="AG20" s="1">
        <f>AVERAGE(INDEX(team7_results[Lap times '[sec']], 1):team7_results[[#This Row], [Lap times '[sec']]])</f>
        <v>54.855888888888877</v>
      </c>
      <c r="AH20" s="1">
        <f>SUM(INDEX(team7_results[Lap times '[sec']], 1):team7_results[[#This Row], [Lap times '[sec']]])</f>
        <v>987.40599999999984</v>
      </c>
      <c r="AJ20" s="1">
        <v>56.65</v>
      </c>
      <c r="AK20" s="1" t="s">
        <v>23</v>
      </c>
      <c r="AL20" s="1">
        <f>AVERAGE(INDEX(team8_results[Lap times '[sec']], 1):team8_results[[#This Row], [Lap times '[sec']]])</f>
        <v>56.50066666666666</v>
      </c>
      <c r="AM20" s="1">
        <f>SUM(INDEX(team8_results[Lap times '[sec']], 1):team8_results[[#This Row], [Lap times '[sec']]])</f>
        <v>1017.0119999999998</v>
      </c>
      <c r="AO20" s="1">
        <v>56.054000000000002</v>
      </c>
      <c r="AP20" s="1" t="s">
        <v>25</v>
      </c>
      <c r="AQ20" s="1">
        <f>AVERAGE(INDEX(team9_results[Lap times '[sec']], 1):team9_results[[#This Row], [Lap times '[sec']]])</f>
        <v>56.392277777777764</v>
      </c>
      <c r="AR20" s="1">
        <f>SUM(INDEX(team9_results[Lap times '[sec']], 1):team9_results[[#This Row], [Lap times '[sec']]])</f>
        <v>1015.0609999999998</v>
      </c>
    </row>
    <row r="21" spans="1:44" x14ac:dyDescent="0.25">
      <c r="A21" s="1">
        <v>52.518000000000001</v>
      </c>
      <c r="B21" s="1" t="s">
        <v>12</v>
      </c>
      <c r="C21" s="1">
        <f>AVERAGE(INDEX(team1_results[Lap times '[sec']], 1):team1_results[[#This Row], [Lap times '[sec']]])</f>
        <v>52.856473684210513</v>
      </c>
      <c r="D21" s="1">
        <f>SUM(INDEX(team1_results[Lap times '[sec']], 1):team1_results[[#This Row], [Lap times '[sec']]])</f>
        <v>1004.2729999999998</v>
      </c>
      <c r="F21" s="1">
        <v>53.402999999999999</v>
      </c>
      <c r="G21" s="1" t="s">
        <v>14</v>
      </c>
      <c r="H21" s="1">
        <f>AVERAGE(INDEX(team2_results[Lap times '[sec']], 1):team2_results[[#This Row], [Lap times '[sec']]])</f>
        <v>53.156947368421051</v>
      </c>
      <c r="I21" s="1">
        <f>SUM(INDEX(team2_results[Lap times '[sec']], 1):team2_results[[#This Row], [Lap times '[sec']]])</f>
        <v>1009.982</v>
      </c>
      <c r="K21" s="1">
        <v>54.503</v>
      </c>
      <c r="L21" s="1" t="s">
        <v>16</v>
      </c>
      <c r="M21" s="1">
        <f>AVERAGE(INDEX(team3_results[Lap times '[sec']], 1):team3_results[[#This Row], [Lap times '[sec']]])</f>
        <v>53.83052631578947</v>
      </c>
      <c r="N21" s="1">
        <f>SUM(INDEX(team3_results[Lap times '[sec']], 1):team3_results[[#This Row], [Lap times '[sec']]])</f>
        <v>1022.78</v>
      </c>
      <c r="P21" s="1">
        <v>53.703000000000003</v>
      </c>
      <c r="Q21" s="1" t="s">
        <v>18</v>
      </c>
      <c r="R21" s="1">
        <f>AVERAGE(INDEX(team4_results[Lap times '[sec']], 1):team4_results[[#This Row], [Lap times '[sec']]])</f>
        <v>54.841368421052628</v>
      </c>
      <c r="S21" s="1">
        <f>SUM(INDEX(team4_results[Lap times '[sec']], 1):team4_results[[#This Row], [Lap times '[sec']]])</f>
        <v>1041.9859999999999</v>
      </c>
      <c r="U21" s="1">
        <v>54.238</v>
      </c>
      <c r="V21" s="1" t="s">
        <v>20</v>
      </c>
      <c r="W21" s="1">
        <f>AVERAGE(INDEX(team5_results[Lap times '[sec']], 1):team5_results[[#This Row], [Lap times '[sec']]])</f>
        <v>54.870052631578957</v>
      </c>
      <c r="X21" s="1">
        <f>SUM(INDEX(team5_results[Lap times '[sec']], 1):team5_results[[#This Row], [Lap times '[sec']]])</f>
        <v>1042.5310000000002</v>
      </c>
      <c r="Z21" s="1">
        <v>55.463999999999999</v>
      </c>
      <c r="AA21" s="1" t="s">
        <v>21</v>
      </c>
      <c r="AB21" s="1">
        <f>AVERAGE(INDEX(team6_results[Lap times '[sec']], 1):team6_results[[#This Row], [Lap times '[sec']]])</f>
        <v>55.555052631578953</v>
      </c>
      <c r="AC21" s="1">
        <f>SUM(INDEX(team6_results[Lap times '[sec']], 1):team6_results[[#This Row], [Lap times '[sec']]])</f>
        <v>1055.546</v>
      </c>
      <c r="AE21" s="1">
        <v>54.351999999999997</v>
      </c>
      <c r="AF21" s="1" t="s">
        <v>22</v>
      </c>
      <c r="AG21" s="1">
        <f>AVERAGE(INDEX(team7_results[Lap times '[sec']], 1):team7_results[[#This Row], [Lap times '[sec']]])</f>
        <v>54.829368421052621</v>
      </c>
      <c r="AH21" s="1">
        <f>SUM(INDEX(team7_results[Lap times '[sec']], 1):team7_results[[#This Row], [Lap times '[sec']]])</f>
        <v>1041.7579999999998</v>
      </c>
      <c r="AJ21" s="1">
        <v>57.143999999999998</v>
      </c>
      <c r="AK21" s="1" t="s">
        <v>23</v>
      </c>
      <c r="AL21" s="1">
        <f>AVERAGE(INDEX(team8_results[Lap times '[sec']], 1):team8_results[[#This Row], [Lap times '[sec']]])</f>
        <v>56.534526315789456</v>
      </c>
      <c r="AM21" s="1">
        <f>SUM(INDEX(team8_results[Lap times '[sec']], 1):team8_results[[#This Row], [Lap times '[sec']]])</f>
        <v>1074.1559999999997</v>
      </c>
      <c r="AO21" s="1">
        <v>57.195999999999998</v>
      </c>
      <c r="AP21" s="1" t="s">
        <v>25</v>
      </c>
      <c r="AQ21" s="1">
        <f>AVERAGE(INDEX(team9_results[Lap times '[sec']], 1):team9_results[[#This Row], [Lap times '[sec']]])</f>
        <v>56.434578947368415</v>
      </c>
      <c r="AR21" s="1">
        <f>SUM(INDEX(team9_results[Lap times '[sec']], 1):team9_results[[#This Row], [Lap times '[sec']]])</f>
        <v>1072.2569999999998</v>
      </c>
    </row>
    <row r="22" spans="1:44" x14ac:dyDescent="0.25">
      <c r="A22" s="1">
        <v>52.304000000000002</v>
      </c>
      <c r="B22" s="1" t="s">
        <v>12</v>
      </c>
      <c r="C22" s="1">
        <f>AVERAGE(INDEX(team1_results[Lap times '[sec']], 1):team1_results[[#This Row], [Lap times '[sec']]])</f>
        <v>52.828849999999989</v>
      </c>
      <c r="D22" s="1">
        <f>SUM(INDEX(team1_results[Lap times '[sec']], 1):team1_results[[#This Row], [Lap times '[sec']]])</f>
        <v>1056.5769999999998</v>
      </c>
      <c r="F22" s="1">
        <v>52.875999999999998</v>
      </c>
      <c r="G22" s="1" t="s">
        <v>14</v>
      </c>
      <c r="H22" s="1">
        <f>AVERAGE(INDEX(team2_results[Lap times '[sec']], 1):team2_results[[#This Row], [Lap times '[sec']]])</f>
        <v>53.142899999999997</v>
      </c>
      <c r="I22" s="1">
        <f>SUM(INDEX(team2_results[Lap times '[sec']], 1):team2_results[[#This Row], [Lap times '[sec']]])</f>
        <v>1062.8579999999999</v>
      </c>
      <c r="K22" s="1">
        <v>55.386000000000003</v>
      </c>
      <c r="L22" s="1" t="s">
        <v>16</v>
      </c>
      <c r="M22" s="1">
        <f>AVERAGE(INDEX(team3_results[Lap times '[sec']], 1):team3_results[[#This Row], [Lap times '[sec']]])</f>
        <v>53.908299999999997</v>
      </c>
      <c r="N22" s="1">
        <f>SUM(INDEX(team3_results[Lap times '[sec']], 1):team3_results[[#This Row], [Lap times '[sec']]])</f>
        <v>1078.1659999999999</v>
      </c>
      <c r="P22" s="1">
        <v>53.893000000000001</v>
      </c>
      <c r="Q22" s="1" t="s">
        <v>18</v>
      </c>
      <c r="R22" s="1">
        <f>AVERAGE(INDEX(team4_results[Lap times '[sec']], 1):team4_results[[#This Row], [Lap times '[sec']]])</f>
        <v>54.793949999999995</v>
      </c>
      <c r="S22" s="1">
        <f>SUM(INDEX(team4_results[Lap times '[sec']], 1):team4_results[[#This Row], [Lap times '[sec']]])</f>
        <v>1095.8789999999999</v>
      </c>
      <c r="U22" s="1">
        <v>55.182000000000002</v>
      </c>
      <c r="V22" s="1" t="s">
        <v>20</v>
      </c>
      <c r="W22" s="1">
        <f>AVERAGE(INDEX(team5_results[Lap times '[sec']], 1):team5_results[[#This Row], [Lap times '[sec']]])</f>
        <v>54.885650000000012</v>
      </c>
      <c r="X22" s="1">
        <f>SUM(INDEX(team5_results[Lap times '[sec']], 1):team5_results[[#This Row], [Lap times '[sec']]])</f>
        <v>1097.7130000000002</v>
      </c>
      <c r="Z22" s="1">
        <v>56.521000000000001</v>
      </c>
      <c r="AA22" s="1" t="s">
        <v>21</v>
      </c>
      <c r="AB22" s="1">
        <f>AVERAGE(INDEX(team6_results[Lap times '[sec']], 1):team6_results[[#This Row], [Lap times '[sec']]])</f>
        <v>55.603349999999999</v>
      </c>
      <c r="AC22" s="1">
        <f>SUM(INDEX(team6_results[Lap times '[sec']], 1):team6_results[[#This Row], [Lap times '[sec']]])</f>
        <v>1112.067</v>
      </c>
      <c r="AE22" s="1">
        <v>53.753999999999998</v>
      </c>
      <c r="AF22" s="1" t="s">
        <v>22</v>
      </c>
      <c r="AG22" s="1">
        <f>AVERAGE(INDEX(team7_results[Lap times '[sec']], 1):team7_results[[#This Row], [Lap times '[sec']]])</f>
        <v>54.775599999999983</v>
      </c>
      <c r="AH22" s="1">
        <f>SUM(INDEX(team7_results[Lap times '[sec']], 1):team7_results[[#This Row], [Lap times '[sec']]])</f>
        <v>1095.5119999999997</v>
      </c>
      <c r="AJ22" s="1">
        <v>55.100999999999999</v>
      </c>
      <c r="AK22" s="1" t="s">
        <v>23</v>
      </c>
      <c r="AL22" s="1">
        <f>AVERAGE(INDEX(team8_results[Lap times '[sec']], 1):team8_results[[#This Row], [Lap times '[sec']]])</f>
        <v>56.462849999999982</v>
      </c>
      <c r="AM22" s="1">
        <f>SUM(INDEX(team8_results[Lap times '[sec']], 1):team8_results[[#This Row], [Lap times '[sec']]])</f>
        <v>1129.2569999999996</v>
      </c>
      <c r="AO22" s="1">
        <v>55.421999999999997</v>
      </c>
      <c r="AP22" s="1" t="s">
        <v>25</v>
      </c>
      <c r="AQ22" s="1">
        <f>AVERAGE(INDEX(team9_results[Lap times '[sec']], 1):team9_results[[#This Row], [Lap times '[sec']]])</f>
        <v>56.383949999999992</v>
      </c>
      <c r="AR22" s="1">
        <f>SUM(INDEX(team9_results[Lap times '[sec']], 1):team9_results[[#This Row], [Lap times '[sec']]])</f>
        <v>1127.6789999999999</v>
      </c>
    </row>
    <row r="23" spans="1:44" x14ac:dyDescent="0.25">
      <c r="A23" s="1">
        <v>52.274000000000001</v>
      </c>
      <c r="B23" s="1" t="s">
        <v>12</v>
      </c>
      <c r="C23" s="1">
        <f>AVERAGE(INDEX(team1_results[Lap times '[sec']], 1):team1_results[[#This Row], [Lap times '[sec']]])</f>
        <v>52.802428571428557</v>
      </c>
      <c r="D23" s="1">
        <f>SUM(INDEX(team1_results[Lap times '[sec']], 1):team1_results[[#This Row], [Lap times '[sec']]])</f>
        <v>1108.8509999999997</v>
      </c>
      <c r="F23" s="1">
        <v>52.893999999999998</v>
      </c>
      <c r="G23" s="1" t="s">
        <v>14</v>
      </c>
      <c r="H23" s="1">
        <f>AVERAGE(INDEX(team2_results[Lap times '[sec']], 1):team2_results[[#This Row], [Lap times '[sec']]])</f>
        <v>53.131047619047614</v>
      </c>
      <c r="I23" s="1">
        <f>SUM(INDEX(team2_results[Lap times '[sec']], 1):team2_results[[#This Row], [Lap times '[sec']]])</f>
        <v>1115.752</v>
      </c>
      <c r="K23" s="1">
        <v>52.981000000000002</v>
      </c>
      <c r="L23" s="1" t="s">
        <v>16</v>
      </c>
      <c r="M23" s="1">
        <f>AVERAGE(INDEX(team3_results[Lap times '[sec']], 1):team3_results[[#This Row], [Lap times '[sec']]])</f>
        <v>53.864142857142852</v>
      </c>
      <c r="N23" s="1">
        <f>SUM(INDEX(team3_results[Lap times '[sec']], 1):team3_results[[#This Row], [Lap times '[sec']]])</f>
        <v>1131.1469999999999</v>
      </c>
      <c r="P23" s="1">
        <v>54.308999999999997</v>
      </c>
      <c r="Q23" s="1" t="s">
        <v>18</v>
      </c>
      <c r="R23" s="1">
        <f>AVERAGE(INDEX(team4_results[Lap times '[sec']], 1):team4_results[[#This Row], [Lap times '[sec']]])</f>
        <v>54.770857142857139</v>
      </c>
      <c r="S23" s="1">
        <f>SUM(INDEX(team4_results[Lap times '[sec']], 1):team4_results[[#This Row], [Lap times '[sec']]])</f>
        <v>1150.1879999999999</v>
      </c>
      <c r="U23" s="1">
        <v>54.728999999999999</v>
      </c>
      <c r="V23" s="1" t="s">
        <v>20</v>
      </c>
      <c r="W23" s="1">
        <f>AVERAGE(INDEX(team5_results[Lap times '[sec']], 1):team5_results[[#This Row], [Lap times '[sec']]])</f>
        <v>54.87819047619049</v>
      </c>
      <c r="X23" s="1">
        <f>SUM(INDEX(team5_results[Lap times '[sec']], 1):team5_results[[#This Row], [Lap times '[sec']]])</f>
        <v>1152.4420000000002</v>
      </c>
      <c r="Z23" s="1">
        <v>55.412999999999997</v>
      </c>
      <c r="AA23" s="1" t="s">
        <v>21</v>
      </c>
      <c r="AB23" s="1">
        <f>AVERAGE(INDEX(team6_results[Lap times '[sec']], 1):team6_results[[#This Row], [Lap times '[sec']]])</f>
        <v>55.594285714285718</v>
      </c>
      <c r="AC23" s="1">
        <f>SUM(INDEX(team6_results[Lap times '[sec']], 1):team6_results[[#This Row], [Lap times '[sec']]])</f>
        <v>1167.48</v>
      </c>
      <c r="AE23" s="1">
        <v>54.475999999999999</v>
      </c>
      <c r="AF23" s="1" t="s">
        <v>22</v>
      </c>
      <c r="AG23" s="1">
        <f>AVERAGE(INDEX(team7_results[Lap times '[sec']], 1):team7_results[[#This Row], [Lap times '[sec']]])</f>
        <v>54.761333333333326</v>
      </c>
      <c r="AH23" s="1">
        <f>SUM(INDEX(team7_results[Lap times '[sec']], 1):team7_results[[#This Row], [Lap times '[sec']]])</f>
        <v>1149.9879999999998</v>
      </c>
      <c r="AJ23" s="1">
        <v>55.514000000000003</v>
      </c>
      <c r="AK23" s="1" t="s">
        <v>23</v>
      </c>
      <c r="AL23" s="1">
        <f>AVERAGE(INDEX(team8_results[Lap times '[sec']], 1):team8_results[[#This Row], [Lap times '[sec']]])</f>
        <v>56.417666666666641</v>
      </c>
      <c r="AM23" s="1">
        <f>SUM(INDEX(team8_results[Lap times '[sec']], 1):team8_results[[#This Row], [Lap times '[sec']]])</f>
        <v>1184.7709999999995</v>
      </c>
      <c r="AO23" s="1">
        <v>55.524999999999999</v>
      </c>
      <c r="AP23" s="1" t="s">
        <v>25</v>
      </c>
      <c r="AQ23" s="1">
        <f>AVERAGE(INDEX(team9_results[Lap times '[sec']], 1):team9_results[[#This Row], [Lap times '[sec']]])</f>
        <v>56.343047619047617</v>
      </c>
      <c r="AR23" s="1">
        <f>SUM(INDEX(team9_results[Lap times '[sec']], 1):team9_results[[#This Row], [Lap times '[sec']]])</f>
        <v>1183.204</v>
      </c>
    </row>
    <row r="24" spans="1:44" x14ac:dyDescent="0.25">
      <c r="A24" s="1">
        <v>52.298000000000002</v>
      </c>
      <c r="B24" s="1" t="s">
        <v>12</v>
      </c>
      <c r="C24" s="1">
        <f>AVERAGE(INDEX(team1_results[Lap times '[sec']], 1):team1_results[[#This Row], [Lap times '[sec']]])</f>
        <v>52.779499999999985</v>
      </c>
      <c r="D24" s="1">
        <f>SUM(INDEX(team1_results[Lap times '[sec']], 1):team1_results[[#This Row], [Lap times '[sec']]])</f>
        <v>1161.1489999999997</v>
      </c>
      <c r="F24" s="1">
        <v>52.814</v>
      </c>
      <c r="G24" s="1" t="s">
        <v>14</v>
      </c>
      <c r="H24" s="1">
        <f>AVERAGE(INDEX(team2_results[Lap times '[sec']], 1):team2_results[[#This Row], [Lap times '[sec']]])</f>
        <v>53.116636363636367</v>
      </c>
      <c r="I24" s="1">
        <f>SUM(INDEX(team2_results[Lap times '[sec']], 1):team2_results[[#This Row], [Lap times '[sec']]])</f>
        <v>1168.566</v>
      </c>
      <c r="K24" s="1">
        <v>52.713999999999999</v>
      </c>
      <c r="L24" s="1" t="s">
        <v>16</v>
      </c>
      <c r="M24" s="1">
        <f>AVERAGE(INDEX(team3_results[Lap times '[sec']], 1):team3_results[[#This Row], [Lap times '[sec']]])</f>
        <v>53.811863636363633</v>
      </c>
      <c r="N24" s="1">
        <f>SUM(INDEX(team3_results[Lap times '[sec']], 1):team3_results[[#This Row], [Lap times '[sec']]])</f>
        <v>1183.8609999999999</v>
      </c>
      <c r="P24" s="1">
        <v>53.942999999999998</v>
      </c>
      <c r="Q24" s="1" t="s">
        <v>18</v>
      </c>
      <c r="R24" s="1">
        <f>AVERAGE(INDEX(team4_results[Lap times '[sec']], 1):team4_results[[#This Row], [Lap times '[sec']]])</f>
        <v>54.73322727272727</v>
      </c>
      <c r="S24" s="1">
        <f>SUM(INDEX(team4_results[Lap times '[sec']], 1):team4_results[[#This Row], [Lap times '[sec']]])</f>
        <v>1204.1309999999999</v>
      </c>
      <c r="U24" s="1">
        <v>54.49</v>
      </c>
      <c r="V24" s="1" t="s">
        <v>20</v>
      </c>
      <c r="W24" s="1">
        <f>AVERAGE(INDEX(team5_results[Lap times '[sec']], 1):team5_results[[#This Row], [Lap times '[sec']]])</f>
        <v>54.860545454545466</v>
      </c>
      <c r="X24" s="1">
        <f>SUM(INDEX(team5_results[Lap times '[sec']], 1):team5_results[[#This Row], [Lap times '[sec']]])</f>
        <v>1206.9320000000002</v>
      </c>
      <c r="Z24" s="1">
        <v>55.293999999999997</v>
      </c>
      <c r="AA24" s="1" t="s">
        <v>21</v>
      </c>
      <c r="AB24" s="1">
        <f>AVERAGE(INDEX(team6_results[Lap times '[sec']], 1):team6_results[[#This Row], [Lap times '[sec']]])</f>
        <v>55.580636363636366</v>
      </c>
      <c r="AC24" s="1">
        <f>SUM(INDEX(team6_results[Lap times '[sec']], 1):team6_results[[#This Row], [Lap times '[sec']]])</f>
        <v>1222.7740000000001</v>
      </c>
      <c r="AE24" s="1">
        <v>53.786999999999999</v>
      </c>
      <c r="AF24" s="1" t="s">
        <v>22</v>
      </c>
      <c r="AG24" s="1">
        <f>AVERAGE(INDEX(team7_results[Lap times '[sec']], 1):team7_results[[#This Row], [Lap times '[sec']]])</f>
        <v>54.717045454545449</v>
      </c>
      <c r="AH24" s="1">
        <f>SUM(INDEX(team7_results[Lap times '[sec']], 1):team7_results[[#This Row], [Lap times '[sec']]])</f>
        <v>1203.7749999999999</v>
      </c>
      <c r="AJ24" s="1">
        <v>57.944000000000003</v>
      </c>
      <c r="AK24" s="1" t="s">
        <v>23</v>
      </c>
      <c r="AL24" s="1">
        <f>AVERAGE(INDEX(team8_results[Lap times '[sec']], 1):team8_results[[#This Row], [Lap times '[sec']]])</f>
        <v>56.487045454545431</v>
      </c>
      <c r="AM24" s="1">
        <f>SUM(INDEX(team8_results[Lap times '[sec']], 1):team8_results[[#This Row], [Lap times '[sec']]])</f>
        <v>1242.7149999999995</v>
      </c>
      <c r="AO24" s="1">
        <v>56.265000000000001</v>
      </c>
      <c r="AP24" s="1" t="s">
        <v>25</v>
      </c>
      <c r="AQ24" s="1">
        <f>AVERAGE(INDEX(team9_results[Lap times '[sec']], 1):team9_results[[#This Row], [Lap times '[sec']]])</f>
        <v>56.339500000000001</v>
      </c>
      <c r="AR24" s="1">
        <f>SUM(INDEX(team9_results[Lap times '[sec']], 1):team9_results[[#This Row], [Lap times '[sec']]])</f>
        <v>1239.4690000000001</v>
      </c>
    </row>
    <row r="25" spans="1:44" x14ac:dyDescent="0.25">
      <c r="A25" s="1">
        <v>51.895000000000003</v>
      </c>
      <c r="B25" s="1" t="s">
        <v>12</v>
      </c>
      <c r="C25" s="1">
        <f>AVERAGE(INDEX(team1_results[Lap times '[sec']], 1):team1_results[[#This Row], [Lap times '[sec']]])</f>
        <v>52.741043478260856</v>
      </c>
      <c r="D25" s="1">
        <f>SUM(INDEX(team1_results[Lap times '[sec']], 1):team1_results[[#This Row], [Lap times '[sec']]])</f>
        <v>1213.0439999999996</v>
      </c>
      <c r="F25" s="1">
        <v>52.84</v>
      </c>
      <c r="G25" s="1" t="s">
        <v>14</v>
      </c>
      <c r="H25" s="1">
        <f>AVERAGE(INDEX(team2_results[Lap times '[sec']], 1):team2_results[[#This Row], [Lap times '[sec']]])</f>
        <v>53.104608695652175</v>
      </c>
      <c r="I25" s="1">
        <f>SUM(INDEX(team2_results[Lap times '[sec']], 1):team2_results[[#This Row], [Lap times '[sec']]])</f>
        <v>1221.4059999999999</v>
      </c>
      <c r="K25" s="1">
        <v>52.795000000000002</v>
      </c>
      <c r="L25" s="1" t="s">
        <v>16</v>
      </c>
      <c r="M25" s="1">
        <f>AVERAGE(INDEX(team3_results[Lap times '[sec']], 1):team3_results[[#This Row], [Lap times '[sec']]])</f>
        <v>53.767652173913042</v>
      </c>
      <c r="N25" s="1">
        <f>SUM(INDEX(team3_results[Lap times '[sec']], 1):team3_results[[#This Row], [Lap times '[sec']]])</f>
        <v>1236.6559999999999</v>
      </c>
      <c r="P25" s="1">
        <v>54.451000000000001</v>
      </c>
      <c r="Q25" s="1" t="s">
        <v>18</v>
      </c>
      <c r="R25" s="1">
        <f>AVERAGE(INDEX(team4_results[Lap times '[sec']], 1):team4_results[[#This Row], [Lap times '[sec']]])</f>
        <v>54.720956521739126</v>
      </c>
      <c r="S25" s="1">
        <f>SUM(INDEX(team4_results[Lap times '[sec']], 1):team4_results[[#This Row], [Lap times '[sec']]])</f>
        <v>1258.5819999999999</v>
      </c>
      <c r="U25" s="1">
        <v>55.744999999999997</v>
      </c>
      <c r="V25" s="1" t="s">
        <v>20</v>
      </c>
      <c r="W25" s="1">
        <f>AVERAGE(INDEX(team5_results[Lap times '[sec']], 1):team5_results[[#This Row], [Lap times '[sec']]])</f>
        <v>54.899000000000008</v>
      </c>
      <c r="X25" s="1">
        <f>SUM(INDEX(team5_results[Lap times '[sec']], 1):team5_results[[#This Row], [Lap times '[sec']]])</f>
        <v>1262.6770000000001</v>
      </c>
      <c r="Z25" s="1">
        <v>55.728999999999999</v>
      </c>
      <c r="AA25" s="1" t="s">
        <v>21</v>
      </c>
      <c r="AB25" s="1">
        <f>AVERAGE(INDEX(team6_results[Lap times '[sec']], 1):team6_results[[#This Row], [Lap times '[sec']]])</f>
        <v>55.587086956521745</v>
      </c>
      <c r="AC25" s="1">
        <f>SUM(INDEX(team6_results[Lap times '[sec']], 1):team6_results[[#This Row], [Lap times '[sec']]])</f>
        <v>1278.5030000000002</v>
      </c>
      <c r="AE25" s="1">
        <v>54.41</v>
      </c>
      <c r="AF25" s="1" t="s">
        <v>22</v>
      </c>
      <c r="AG25" s="1">
        <f>AVERAGE(INDEX(team7_results[Lap times '[sec']], 1):team7_results[[#This Row], [Lap times '[sec']]])</f>
        <v>54.703695652173913</v>
      </c>
      <c r="AH25" s="1">
        <f>SUM(INDEX(team7_results[Lap times '[sec']], 1):team7_results[[#This Row], [Lap times '[sec']]])</f>
        <v>1258.1849999999999</v>
      </c>
      <c r="AJ25" s="1">
        <v>55.481999999999999</v>
      </c>
      <c r="AK25" s="1" t="s">
        <v>23</v>
      </c>
      <c r="AL25" s="1">
        <f>AVERAGE(INDEX(team8_results[Lap times '[sec']], 1):team8_results[[#This Row], [Lap times '[sec']]])</f>
        <v>56.443347826086935</v>
      </c>
      <c r="AM25" s="1">
        <f>SUM(INDEX(team8_results[Lap times '[sec']], 1):team8_results[[#This Row], [Lap times '[sec']]])</f>
        <v>1298.1969999999994</v>
      </c>
      <c r="AO25" s="1">
        <v>55.58</v>
      </c>
      <c r="AP25" s="1" t="s">
        <v>25</v>
      </c>
      <c r="AQ25" s="1">
        <f>AVERAGE(INDEX(team9_results[Lap times '[sec']], 1):team9_results[[#This Row], [Lap times '[sec']]])</f>
        <v>56.306478260869561</v>
      </c>
      <c r="AR25" s="1">
        <f>SUM(INDEX(team9_results[Lap times '[sec']], 1):team9_results[[#This Row], [Lap times '[sec']]])</f>
        <v>1295.049</v>
      </c>
    </row>
    <row r="26" spans="1:44" x14ac:dyDescent="0.25">
      <c r="A26" s="1">
        <v>51.892000000000003</v>
      </c>
      <c r="B26" s="1" t="s">
        <v>12</v>
      </c>
      <c r="C26" s="1">
        <f>AVERAGE(INDEX(team1_results[Lap times '[sec']], 1):team1_results[[#This Row], [Lap times '[sec']]])</f>
        <v>52.705666666666652</v>
      </c>
      <c r="D26" s="1">
        <f>SUM(INDEX(team1_results[Lap times '[sec']], 1):team1_results[[#This Row], [Lap times '[sec']]])</f>
        <v>1264.9359999999997</v>
      </c>
      <c r="F26" s="1">
        <v>52.8</v>
      </c>
      <c r="G26" s="1" t="s">
        <v>14</v>
      </c>
      <c r="H26" s="1">
        <f>AVERAGE(INDEX(team2_results[Lap times '[sec']], 1):team2_results[[#This Row], [Lap times '[sec']]])</f>
        <v>53.091916666666663</v>
      </c>
      <c r="I26" s="1">
        <f>SUM(INDEX(team2_results[Lap times '[sec']], 1):team2_results[[#This Row], [Lap times '[sec']]])</f>
        <v>1274.2059999999999</v>
      </c>
      <c r="K26" s="1">
        <v>53.149000000000001</v>
      </c>
      <c r="L26" s="1" t="s">
        <v>16</v>
      </c>
      <c r="M26" s="1">
        <f>AVERAGE(INDEX(team3_results[Lap times '[sec']], 1):team3_results[[#This Row], [Lap times '[sec']]])</f>
        <v>53.741874999999993</v>
      </c>
      <c r="N26" s="1">
        <f>SUM(INDEX(team3_results[Lap times '[sec']], 1):team3_results[[#This Row], [Lap times '[sec']]])</f>
        <v>1289.8049999999998</v>
      </c>
      <c r="P26" s="1">
        <v>53.494999999999997</v>
      </c>
      <c r="Q26" s="1" t="s">
        <v>18</v>
      </c>
      <c r="R26" s="1">
        <f>AVERAGE(INDEX(team4_results[Lap times '[sec']], 1):team4_results[[#This Row], [Lap times '[sec']]])</f>
        <v>54.66987499999999</v>
      </c>
      <c r="S26" s="1">
        <f>SUM(INDEX(team4_results[Lap times '[sec']], 1):team4_results[[#This Row], [Lap times '[sec']]])</f>
        <v>1312.0769999999998</v>
      </c>
      <c r="U26" s="1">
        <v>54.18</v>
      </c>
      <c r="V26" s="1" t="s">
        <v>20</v>
      </c>
      <c r="W26" s="1">
        <f>AVERAGE(INDEX(team5_results[Lap times '[sec']], 1):team5_results[[#This Row], [Lap times '[sec']]])</f>
        <v>54.869041666666675</v>
      </c>
      <c r="X26" s="1">
        <f>SUM(INDEX(team5_results[Lap times '[sec']], 1):team5_results[[#This Row], [Lap times '[sec']]])</f>
        <v>1316.8570000000002</v>
      </c>
      <c r="Z26" s="1">
        <v>55.575000000000003</v>
      </c>
      <c r="AA26" s="1" t="s">
        <v>21</v>
      </c>
      <c r="AB26" s="1">
        <f>AVERAGE(INDEX(team6_results[Lap times '[sec']], 1):team6_results[[#This Row], [Lap times '[sec']]])</f>
        <v>55.586583333333344</v>
      </c>
      <c r="AC26" s="1">
        <f>SUM(INDEX(team6_results[Lap times '[sec']], 1):team6_results[[#This Row], [Lap times '[sec']]])</f>
        <v>1334.0780000000002</v>
      </c>
      <c r="AE26" s="1">
        <v>53.701000000000001</v>
      </c>
      <c r="AF26" s="1" t="s">
        <v>22</v>
      </c>
      <c r="AG26" s="1">
        <f>AVERAGE(INDEX(team7_results[Lap times '[sec']], 1):team7_results[[#This Row], [Lap times '[sec']]])</f>
        <v>54.661916666666663</v>
      </c>
      <c r="AH26" s="1">
        <f>SUM(INDEX(team7_results[Lap times '[sec']], 1):team7_results[[#This Row], [Lap times '[sec']]])</f>
        <v>1311.886</v>
      </c>
      <c r="AJ26" s="1">
        <v>56.853000000000002</v>
      </c>
      <c r="AK26" s="1" t="s">
        <v>23</v>
      </c>
      <c r="AL26" s="1">
        <f>AVERAGE(INDEX(team8_results[Lap times '[sec']], 1):team8_results[[#This Row], [Lap times '[sec']]])</f>
        <v>56.460416666666646</v>
      </c>
      <c r="AM26" s="1">
        <f>SUM(INDEX(team8_results[Lap times '[sec']], 1):team8_results[[#This Row], [Lap times '[sec']]])</f>
        <v>1355.0499999999995</v>
      </c>
      <c r="AO26" s="1">
        <v>58.514000000000003</v>
      </c>
      <c r="AP26" s="1" t="s">
        <v>25</v>
      </c>
      <c r="AQ26" s="1">
        <f>AVERAGE(INDEX(team9_results[Lap times '[sec']], 1):team9_results[[#This Row], [Lap times '[sec']]])</f>
        <v>56.39845833333333</v>
      </c>
      <c r="AR26" s="1">
        <f>SUM(INDEX(team9_results[Lap times '[sec']], 1):team9_results[[#This Row], [Lap times '[sec']]])</f>
        <v>1353.5629999999999</v>
      </c>
    </row>
    <row r="27" spans="1:44" x14ac:dyDescent="0.25">
      <c r="A27" s="1">
        <v>51.960999999999999</v>
      </c>
      <c r="B27" s="1" t="s">
        <v>12</v>
      </c>
      <c r="C27" s="1">
        <f>AVERAGE(INDEX(team1_results[Lap times '[sec']], 1):team1_results[[#This Row], [Lap times '[sec']]])</f>
        <v>52.675879999999985</v>
      </c>
      <c r="D27" s="1">
        <f>SUM(INDEX(team1_results[Lap times '[sec']], 1):team1_results[[#This Row], [Lap times '[sec']]])</f>
        <v>1316.8969999999997</v>
      </c>
      <c r="F27" s="1">
        <v>52.859000000000002</v>
      </c>
      <c r="G27" s="1" t="s">
        <v>14</v>
      </c>
      <c r="H27" s="1">
        <f>AVERAGE(INDEX(team2_results[Lap times '[sec']], 1):team2_results[[#This Row], [Lap times '[sec']]])</f>
        <v>53.082599999999992</v>
      </c>
      <c r="I27" s="1">
        <f>SUM(INDEX(team2_results[Lap times '[sec']], 1):team2_results[[#This Row], [Lap times '[sec']]])</f>
        <v>1327.0649999999998</v>
      </c>
      <c r="K27" s="1">
        <v>53.523000000000003</v>
      </c>
      <c r="L27" s="1" t="s">
        <v>16</v>
      </c>
      <c r="M27" s="1">
        <f>AVERAGE(INDEX(team3_results[Lap times '[sec']], 1):team3_results[[#This Row], [Lap times '[sec']]])</f>
        <v>53.733119999999992</v>
      </c>
      <c r="N27" s="1">
        <f>SUM(INDEX(team3_results[Lap times '[sec']], 1):team3_results[[#This Row], [Lap times '[sec']]])</f>
        <v>1343.3279999999997</v>
      </c>
      <c r="P27" s="1">
        <v>53.213999999999999</v>
      </c>
      <c r="Q27" s="1" t="s">
        <v>18</v>
      </c>
      <c r="R27" s="1">
        <f>AVERAGE(INDEX(team4_results[Lap times '[sec']], 1):team4_results[[#This Row], [Lap times '[sec']]])</f>
        <v>54.611639999999987</v>
      </c>
      <c r="S27" s="1">
        <f>SUM(INDEX(team4_results[Lap times '[sec']], 1):team4_results[[#This Row], [Lap times '[sec']]])</f>
        <v>1365.2909999999997</v>
      </c>
      <c r="U27" s="1">
        <v>55.064999999999998</v>
      </c>
      <c r="V27" s="1" t="s">
        <v>20</v>
      </c>
      <c r="W27" s="1">
        <f>AVERAGE(INDEX(team5_results[Lap times '[sec']], 1):team5_results[[#This Row], [Lap times '[sec']]])</f>
        <v>54.876880000000007</v>
      </c>
      <c r="X27" s="1">
        <f>SUM(INDEX(team5_results[Lap times '[sec']], 1):team5_results[[#This Row], [Lap times '[sec']]])</f>
        <v>1371.9220000000003</v>
      </c>
      <c r="Z27" s="1">
        <v>56.420999999999999</v>
      </c>
      <c r="AA27" s="1" t="s">
        <v>21</v>
      </c>
      <c r="AB27" s="1">
        <f>AVERAGE(INDEX(team6_results[Lap times '[sec']], 1):team6_results[[#This Row], [Lap times '[sec']]])</f>
        <v>55.619960000000013</v>
      </c>
      <c r="AC27" s="1">
        <f>SUM(INDEX(team6_results[Lap times '[sec']], 1):team6_results[[#This Row], [Lap times '[sec']]])</f>
        <v>1390.4990000000003</v>
      </c>
      <c r="AE27" s="1">
        <v>88.843999999999994</v>
      </c>
      <c r="AF27" s="1" t="s">
        <v>22</v>
      </c>
      <c r="AG27" s="1">
        <f>AVERAGE(INDEX(team7_results[Lap times '[sec']], 1):team7_results[[#This Row], [Lap times '[sec']]])</f>
        <v>56.029200000000003</v>
      </c>
      <c r="AH27" s="1">
        <f>SUM(INDEX(team7_results[Lap times '[sec']], 1):team7_results[[#This Row], [Lap times '[sec']]])</f>
        <v>1400.73</v>
      </c>
      <c r="AJ27" s="1">
        <v>56.277000000000001</v>
      </c>
      <c r="AK27" s="1" t="s">
        <v>23</v>
      </c>
      <c r="AL27" s="1">
        <f>AVERAGE(INDEX(team8_results[Lap times '[sec']], 1):team8_results[[#This Row], [Lap times '[sec']]])</f>
        <v>56.453079999999979</v>
      </c>
      <c r="AM27" s="1">
        <f>SUM(INDEX(team8_results[Lap times '[sec']], 1):team8_results[[#This Row], [Lap times '[sec']]])</f>
        <v>1411.3269999999995</v>
      </c>
      <c r="AO27" s="1">
        <v>55.710999999999999</v>
      </c>
      <c r="AP27" s="1" t="s">
        <v>25</v>
      </c>
      <c r="AQ27" s="1">
        <f>AVERAGE(INDEX(team9_results[Lap times '[sec']], 1):team9_results[[#This Row], [Lap times '[sec']]])</f>
        <v>56.370959999999997</v>
      </c>
      <c r="AR27" s="1">
        <f>SUM(INDEX(team9_results[Lap times '[sec']], 1):team9_results[[#This Row], [Lap times '[sec']]])</f>
        <v>1409.2739999999999</v>
      </c>
    </row>
    <row r="28" spans="1:44" x14ac:dyDescent="0.25">
      <c r="A28" s="1">
        <v>54.206000000000003</v>
      </c>
      <c r="B28" s="1" t="s">
        <v>12</v>
      </c>
      <c r="C28" s="1">
        <f>AVERAGE(INDEX(team1_results[Lap times '[sec']], 1):team1_results[[#This Row], [Lap times '[sec']]])</f>
        <v>52.734730769230751</v>
      </c>
      <c r="D28" s="1">
        <f>SUM(INDEX(team1_results[Lap times '[sec']], 1):team1_results[[#This Row], [Lap times '[sec']]])</f>
        <v>1371.1029999999996</v>
      </c>
      <c r="F28" s="1">
        <v>53.512999999999998</v>
      </c>
      <c r="G28" s="1" t="s">
        <v>14</v>
      </c>
      <c r="H28" s="1">
        <f>AVERAGE(INDEX(team2_results[Lap times '[sec']], 1):team2_results[[#This Row], [Lap times '[sec']]])</f>
        <v>53.09915384615384</v>
      </c>
      <c r="I28" s="1">
        <f>SUM(INDEX(team2_results[Lap times '[sec']], 1):team2_results[[#This Row], [Lap times '[sec']]])</f>
        <v>1380.5779999999997</v>
      </c>
      <c r="K28" s="1">
        <v>53.344000000000001</v>
      </c>
      <c r="L28" s="1" t="s">
        <v>16</v>
      </c>
      <c r="M28" s="1">
        <f>AVERAGE(INDEX(team3_results[Lap times '[sec']], 1):team3_results[[#This Row], [Lap times '[sec']]])</f>
        <v>53.718153846153839</v>
      </c>
      <c r="N28" s="1">
        <f>SUM(INDEX(team3_results[Lap times '[sec']], 1):team3_results[[#This Row], [Lap times '[sec']]])</f>
        <v>1396.6719999999998</v>
      </c>
      <c r="P28" s="1">
        <v>53.279000000000003</v>
      </c>
      <c r="Q28" s="1" t="s">
        <v>18</v>
      </c>
      <c r="R28" s="1">
        <f>AVERAGE(INDEX(team4_results[Lap times '[sec']], 1):team4_results[[#This Row], [Lap times '[sec']]])</f>
        <v>54.560384615384606</v>
      </c>
      <c r="S28" s="1">
        <f>SUM(INDEX(team4_results[Lap times '[sec']], 1):team4_results[[#This Row], [Lap times '[sec']]])</f>
        <v>1418.5699999999997</v>
      </c>
      <c r="U28" s="1">
        <v>54.145000000000003</v>
      </c>
      <c r="V28" s="1" t="s">
        <v>20</v>
      </c>
      <c r="W28" s="1">
        <f>AVERAGE(INDEX(team5_results[Lap times '[sec']], 1):team5_results[[#This Row], [Lap times '[sec']]])</f>
        <v>54.848730769230777</v>
      </c>
      <c r="X28" s="1">
        <f>SUM(INDEX(team5_results[Lap times '[sec']], 1):team5_results[[#This Row], [Lap times '[sec']]])</f>
        <v>1426.0670000000002</v>
      </c>
      <c r="Z28" s="1">
        <v>55.198</v>
      </c>
      <c r="AA28" s="1" t="s">
        <v>21</v>
      </c>
      <c r="AB28" s="1">
        <f>AVERAGE(INDEX(team6_results[Lap times '[sec']], 1):team6_results[[#This Row], [Lap times '[sec']]])</f>
        <v>55.603730769230779</v>
      </c>
      <c r="AC28" s="1">
        <f>SUM(INDEX(team6_results[Lap times '[sec']], 1):team6_results[[#This Row], [Lap times '[sec']]])</f>
        <v>1445.6970000000003</v>
      </c>
      <c r="AE28" s="1">
        <v>53.436</v>
      </c>
      <c r="AF28" s="1" t="s">
        <v>22</v>
      </c>
      <c r="AG28" s="1">
        <f>AVERAGE(INDEX(team7_results[Lap times '[sec']], 1):team7_results[[#This Row], [Lap times '[sec']]])</f>
        <v>55.929461538461538</v>
      </c>
      <c r="AH28" s="1">
        <f>SUM(INDEX(team7_results[Lap times '[sec']], 1):team7_results[[#This Row], [Lap times '[sec']]])</f>
        <v>1454.1659999999999</v>
      </c>
      <c r="AJ28" s="1">
        <v>55.154000000000003</v>
      </c>
      <c r="AK28" s="1" t="s">
        <v>23</v>
      </c>
      <c r="AL28" s="1">
        <f>AVERAGE(INDEX(team8_results[Lap times '[sec']], 1):team8_results[[#This Row], [Lap times '[sec']]])</f>
        <v>56.403115384615369</v>
      </c>
      <c r="AM28" s="1">
        <f>SUM(INDEX(team8_results[Lap times '[sec']], 1):team8_results[[#This Row], [Lap times '[sec']]])</f>
        <v>1466.4809999999995</v>
      </c>
      <c r="AO28" s="1">
        <v>55.383000000000003</v>
      </c>
      <c r="AP28" s="1" t="s">
        <v>25</v>
      </c>
      <c r="AQ28" s="1">
        <f>AVERAGE(INDEX(team9_results[Lap times '[sec']], 1):team9_results[[#This Row], [Lap times '[sec']]])</f>
        <v>56.332961538461532</v>
      </c>
      <c r="AR28" s="1">
        <f>SUM(INDEX(team9_results[Lap times '[sec']], 1):team9_results[[#This Row], [Lap times '[sec']]])</f>
        <v>1464.6569999999999</v>
      </c>
    </row>
    <row r="29" spans="1:44" x14ac:dyDescent="0.25">
      <c r="A29" s="1">
        <v>52.468000000000004</v>
      </c>
      <c r="B29" s="1" t="s">
        <v>12</v>
      </c>
      <c r="C29" s="1">
        <f>AVERAGE(INDEX(team1_results[Lap times '[sec']], 1):team1_results[[#This Row], [Lap times '[sec']]])</f>
        <v>52.724851851851838</v>
      </c>
      <c r="D29" s="1">
        <f>SUM(INDEX(team1_results[Lap times '[sec']], 1):team1_results[[#This Row], [Lap times '[sec']]])</f>
        <v>1423.5709999999997</v>
      </c>
      <c r="F29" s="1">
        <v>52.972999999999999</v>
      </c>
      <c r="G29" s="1" t="s">
        <v>14</v>
      </c>
      <c r="H29" s="1">
        <f>AVERAGE(INDEX(team2_results[Lap times '[sec']], 1):team2_results[[#This Row], [Lap times '[sec']]])</f>
        <v>53.094481481481473</v>
      </c>
      <c r="I29" s="1">
        <f>SUM(INDEX(team2_results[Lap times '[sec']], 1):team2_results[[#This Row], [Lap times '[sec']]])</f>
        <v>1433.5509999999997</v>
      </c>
      <c r="K29" s="1">
        <v>52.853000000000002</v>
      </c>
      <c r="L29" s="1" t="s">
        <v>16</v>
      </c>
      <c r="M29" s="1">
        <f>AVERAGE(INDEX(team3_results[Lap times '[sec']], 1):team3_results[[#This Row], [Lap times '[sec']]])</f>
        <v>53.686111111111103</v>
      </c>
      <c r="N29" s="1">
        <f>SUM(INDEX(team3_results[Lap times '[sec']], 1):team3_results[[#This Row], [Lap times '[sec']]])</f>
        <v>1449.5249999999999</v>
      </c>
      <c r="P29" s="1">
        <v>53.826000000000001</v>
      </c>
      <c r="Q29" s="1" t="s">
        <v>18</v>
      </c>
      <c r="R29" s="1">
        <f>AVERAGE(INDEX(team4_results[Lap times '[sec']], 1):team4_results[[#This Row], [Lap times '[sec']]])</f>
        <v>54.533185185185175</v>
      </c>
      <c r="S29" s="1">
        <f>SUM(INDEX(team4_results[Lap times '[sec']], 1):team4_results[[#This Row], [Lap times '[sec']]])</f>
        <v>1472.3959999999997</v>
      </c>
      <c r="U29" s="1">
        <v>55.036999999999999</v>
      </c>
      <c r="V29" s="1" t="s">
        <v>20</v>
      </c>
      <c r="W29" s="1">
        <f>AVERAGE(INDEX(team5_results[Lap times '[sec']], 1):team5_results[[#This Row], [Lap times '[sec']]])</f>
        <v>54.855703703703711</v>
      </c>
      <c r="X29" s="1">
        <f>SUM(INDEX(team5_results[Lap times '[sec']], 1):team5_results[[#This Row], [Lap times '[sec']]])</f>
        <v>1481.1040000000003</v>
      </c>
      <c r="Z29" s="1">
        <v>54.421999999999997</v>
      </c>
      <c r="AA29" s="1" t="s">
        <v>21</v>
      </c>
      <c r="AB29" s="1">
        <f>AVERAGE(INDEX(team6_results[Lap times '[sec']], 1):team6_results[[#This Row], [Lap times '[sec']]])</f>
        <v>55.559962962962977</v>
      </c>
      <c r="AC29" s="1">
        <f>SUM(INDEX(team6_results[Lap times '[sec']], 1):team6_results[[#This Row], [Lap times '[sec']]])</f>
        <v>1500.1190000000004</v>
      </c>
      <c r="AE29" s="1">
        <v>53.283000000000001</v>
      </c>
      <c r="AF29" s="1" t="s">
        <v>22</v>
      </c>
      <c r="AG29" s="1">
        <f>AVERAGE(INDEX(team7_results[Lap times '[sec']], 1):team7_results[[#This Row], [Lap times '[sec']]])</f>
        <v>55.831444444444436</v>
      </c>
      <c r="AH29" s="1">
        <f>SUM(INDEX(team7_results[Lap times '[sec']], 1):team7_results[[#This Row], [Lap times '[sec']]])</f>
        <v>1507.4489999999998</v>
      </c>
      <c r="AJ29" s="1">
        <v>59.113</v>
      </c>
      <c r="AK29" s="1" t="s">
        <v>23</v>
      </c>
      <c r="AL29" s="1">
        <f>AVERAGE(INDEX(team8_results[Lap times '[sec']], 1):team8_results[[#This Row], [Lap times '[sec']]])</f>
        <v>56.503481481481465</v>
      </c>
      <c r="AM29" s="1">
        <f>SUM(INDEX(team8_results[Lap times '[sec']], 1):team8_results[[#This Row], [Lap times '[sec']]])</f>
        <v>1525.5939999999996</v>
      </c>
      <c r="AO29" s="1">
        <v>56.433</v>
      </c>
      <c r="AP29" s="1" t="s">
        <v>25</v>
      </c>
      <c r="AQ29" s="1">
        <f>AVERAGE(INDEX(team9_results[Lap times '[sec']], 1):team9_results[[#This Row], [Lap times '[sec']]])</f>
        <v>56.336666666666666</v>
      </c>
      <c r="AR29" s="1">
        <f>SUM(INDEX(team9_results[Lap times '[sec']], 1):team9_results[[#This Row], [Lap times '[sec']]])</f>
        <v>1521.09</v>
      </c>
    </row>
    <row r="30" spans="1:44" x14ac:dyDescent="0.25">
      <c r="A30" s="1">
        <v>52.457999999999998</v>
      </c>
      <c r="B30" s="1" t="s">
        <v>12</v>
      </c>
      <c r="C30" s="1">
        <f>AVERAGE(INDEX(team1_results[Lap times '[sec']], 1):team1_results[[#This Row], [Lap times '[sec']]])</f>
        <v>52.715321428571421</v>
      </c>
      <c r="D30" s="1">
        <f>SUM(INDEX(team1_results[Lap times '[sec']], 1):team1_results[[#This Row], [Lap times '[sec']]])</f>
        <v>1476.0289999999998</v>
      </c>
      <c r="F30" s="1">
        <v>52.914000000000001</v>
      </c>
      <c r="G30" s="1" t="s">
        <v>14</v>
      </c>
      <c r="H30" s="1">
        <f>AVERAGE(INDEX(team2_results[Lap times '[sec']], 1):team2_results[[#This Row], [Lap times '[sec']]])</f>
        <v>53.088035714285702</v>
      </c>
      <c r="I30" s="1">
        <f>SUM(INDEX(team2_results[Lap times '[sec']], 1):team2_results[[#This Row], [Lap times '[sec']]])</f>
        <v>1486.4649999999997</v>
      </c>
      <c r="K30" s="1">
        <v>52.987000000000002</v>
      </c>
      <c r="L30" s="1" t="s">
        <v>16</v>
      </c>
      <c r="M30" s="1">
        <f>AVERAGE(INDEX(team3_results[Lap times '[sec']], 1):team3_results[[#This Row], [Lap times '[sec']]])</f>
        <v>53.661142857142856</v>
      </c>
      <c r="N30" s="1">
        <f>SUM(INDEX(team3_results[Lap times '[sec']], 1):team3_results[[#This Row], [Lap times '[sec']]])</f>
        <v>1502.5119999999999</v>
      </c>
      <c r="P30" s="1">
        <v>55.43</v>
      </c>
      <c r="Q30" s="1" t="s">
        <v>18</v>
      </c>
      <c r="R30" s="1">
        <f>AVERAGE(INDEX(team4_results[Lap times '[sec']], 1):team4_results[[#This Row], [Lap times '[sec']]])</f>
        <v>54.565214285714276</v>
      </c>
      <c r="S30" s="1">
        <f>SUM(INDEX(team4_results[Lap times '[sec']], 1):team4_results[[#This Row], [Lap times '[sec']]])</f>
        <v>1527.8259999999998</v>
      </c>
      <c r="U30" s="1">
        <v>54.597999999999999</v>
      </c>
      <c r="V30" s="1" t="s">
        <v>20</v>
      </c>
      <c r="W30" s="1">
        <f>AVERAGE(INDEX(team5_results[Lap times '[sec']], 1):team5_results[[#This Row], [Lap times '[sec']]])</f>
        <v>54.846500000000006</v>
      </c>
      <c r="X30" s="1">
        <f>SUM(INDEX(team5_results[Lap times '[sec']], 1):team5_results[[#This Row], [Lap times '[sec']]])</f>
        <v>1535.7020000000002</v>
      </c>
      <c r="Z30" s="1">
        <v>54.646000000000001</v>
      </c>
      <c r="AA30" s="1" t="s">
        <v>21</v>
      </c>
      <c r="AB30" s="1">
        <f>AVERAGE(INDEX(team6_results[Lap times '[sec']], 1):team6_results[[#This Row], [Lap times '[sec']]])</f>
        <v>55.52732142857144</v>
      </c>
      <c r="AC30" s="1">
        <f>SUM(INDEX(team6_results[Lap times '[sec']], 1):team6_results[[#This Row], [Lap times '[sec']]])</f>
        <v>1554.7650000000003</v>
      </c>
      <c r="AE30" s="1">
        <v>52.944000000000003</v>
      </c>
      <c r="AF30" s="1" t="s">
        <v>22</v>
      </c>
      <c r="AG30" s="1">
        <f>AVERAGE(INDEX(team7_results[Lap times '[sec']], 1):team7_results[[#This Row], [Lap times '[sec']]])</f>
        <v>55.728321428571419</v>
      </c>
      <c r="AH30" s="1">
        <f>SUM(INDEX(team7_results[Lap times '[sec']], 1):team7_results[[#This Row], [Lap times '[sec']]])</f>
        <v>1560.3929999999998</v>
      </c>
      <c r="AJ30" s="1">
        <v>56.463000000000001</v>
      </c>
      <c r="AK30" s="1" t="s">
        <v>23</v>
      </c>
      <c r="AL30" s="1">
        <f>AVERAGE(INDEX(team8_results[Lap times '[sec']], 1):team8_results[[#This Row], [Lap times '[sec']]])</f>
        <v>56.502035714285697</v>
      </c>
      <c r="AM30" s="1">
        <f>SUM(INDEX(team8_results[Lap times '[sec']], 1):team8_results[[#This Row], [Lap times '[sec']]])</f>
        <v>1582.0569999999996</v>
      </c>
      <c r="AO30" s="1">
        <v>57.850999999999999</v>
      </c>
      <c r="AP30" s="1" t="s">
        <v>25</v>
      </c>
      <c r="AQ30" s="1">
        <f>AVERAGE(INDEX(team9_results[Lap times '[sec']], 1):team9_results[[#This Row], [Lap times '[sec']]])</f>
        <v>56.39074999999999</v>
      </c>
      <c r="AR30" s="1">
        <f>SUM(INDEX(team9_results[Lap times '[sec']], 1):team9_results[[#This Row], [Lap times '[sec']]])</f>
        <v>1578.9409999999998</v>
      </c>
    </row>
    <row r="31" spans="1:44" x14ac:dyDescent="0.25">
      <c r="A31" s="1">
        <v>53.756</v>
      </c>
      <c r="B31" s="1" t="s">
        <v>12</v>
      </c>
      <c r="C31" s="1">
        <f>AVERAGE(INDEX(team1_results[Lap times '[sec']], 1):team1_results[[#This Row], [Lap times '[sec']]])</f>
        <v>52.751206896551722</v>
      </c>
      <c r="D31" s="1">
        <f>SUM(INDEX(team1_results[Lap times '[sec']], 1):team1_results[[#This Row], [Lap times '[sec']]])</f>
        <v>1529.7849999999999</v>
      </c>
      <c r="F31" s="1">
        <v>52.988</v>
      </c>
      <c r="G31" s="1" t="s">
        <v>14</v>
      </c>
      <c r="H31" s="1">
        <f>AVERAGE(INDEX(team2_results[Lap times '[sec']], 1):team2_results[[#This Row], [Lap times '[sec']]])</f>
        <v>53.084586206896546</v>
      </c>
      <c r="I31" s="1">
        <f>SUM(INDEX(team2_results[Lap times '[sec']], 1):team2_results[[#This Row], [Lap times '[sec']]])</f>
        <v>1539.4529999999997</v>
      </c>
      <c r="K31" s="1">
        <v>53.048000000000002</v>
      </c>
      <c r="L31" s="1" t="s">
        <v>16</v>
      </c>
      <c r="M31" s="1">
        <f>AVERAGE(INDEX(team3_results[Lap times '[sec']], 1):team3_results[[#This Row], [Lap times '[sec']]])</f>
        <v>53.64</v>
      </c>
      <c r="N31" s="1">
        <f>SUM(INDEX(team3_results[Lap times '[sec']], 1):team3_results[[#This Row], [Lap times '[sec']]])</f>
        <v>1555.56</v>
      </c>
      <c r="P31" s="1">
        <v>53.792999999999999</v>
      </c>
      <c r="Q31" s="1" t="s">
        <v>18</v>
      </c>
      <c r="R31" s="1">
        <f>AVERAGE(INDEX(team4_results[Lap times '[sec']], 1):team4_results[[#This Row], [Lap times '[sec']]])</f>
        <v>54.538586206896539</v>
      </c>
      <c r="S31" s="1">
        <f>SUM(INDEX(team4_results[Lap times '[sec']], 1):team4_results[[#This Row], [Lap times '[sec']]])</f>
        <v>1581.6189999999997</v>
      </c>
      <c r="U31" s="1">
        <v>54.935000000000002</v>
      </c>
      <c r="V31" s="1" t="s">
        <v>20</v>
      </c>
      <c r="W31" s="1">
        <f>AVERAGE(INDEX(team5_results[Lap times '[sec']], 1):team5_results[[#This Row], [Lap times '[sec']]])</f>
        <v>54.849551724137939</v>
      </c>
      <c r="X31" s="1">
        <f>SUM(INDEX(team5_results[Lap times '[sec']], 1):team5_results[[#This Row], [Lap times '[sec']]])</f>
        <v>1590.6370000000002</v>
      </c>
      <c r="Z31" s="1">
        <v>54.521000000000001</v>
      </c>
      <c r="AA31" s="1" t="s">
        <v>21</v>
      </c>
      <c r="AB31" s="1">
        <f>AVERAGE(INDEX(team6_results[Lap times '[sec']], 1):team6_results[[#This Row], [Lap times '[sec']]])</f>
        <v>55.492620689655183</v>
      </c>
      <c r="AC31" s="1">
        <f>SUM(INDEX(team6_results[Lap times '[sec']], 1):team6_results[[#This Row], [Lap times '[sec']]])</f>
        <v>1609.2860000000003</v>
      </c>
      <c r="AE31" s="1">
        <v>52.908000000000001</v>
      </c>
      <c r="AF31" s="1" t="s">
        <v>22</v>
      </c>
      <c r="AG31" s="1">
        <f>AVERAGE(INDEX(team7_results[Lap times '[sec']], 1):team7_results[[#This Row], [Lap times '[sec']]])</f>
        <v>55.63106896551723</v>
      </c>
      <c r="AH31" s="1">
        <f>SUM(INDEX(team7_results[Lap times '[sec']], 1):team7_results[[#This Row], [Lap times '[sec']]])</f>
        <v>1613.3009999999997</v>
      </c>
      <c r="AJ31" s="1">
        <v>55.582999999999998</v>
      </c>
      <c r="AK31" s="1" t="s">
        <v>23</v>
      </c>
      <c r="AL31" s="1">
        <f>AVERAGE(INDEX(team8_results[Lap times '[sec']], 1):team8_results[[#This Row], [Lap times '[sec']]])</f>
        <v>56.470344827586196</v>
      </c>
      <c r="AM31" s="1">
        <f>SUM(INDEX(team8_results[Lap times '[sec']], 1):team8_results[[#This Row], [Lap times '[sec']]])</f>
        <v>1637.6399999999996</v>
      </c>
      <c r="AO31" s="1">
        <v>55.512</v>
      </c>
      <c r="AP31" s="1" t="s">
        <v>25</v>
      </c>
      <c r="AQ31" s="1">
        <f>AVERAGE(INDEX(team9_results[Lap times '[sec']], 1):team9_results[[#This Row], [Lap times '[sec']]])</f>
        <v>56.360448275862062</v>
      </c>
      <c r="AR31" s="1">
        <f>SUM(INDEX(team9_results[Lap times '[sec']], 1):team9_results[[#This Row], [Lap times '[sec']]])</f>
        <v>1634.4529999999997</v>
      </c>
    </row>
    <row r="32" spans="1:44" x14ac:dyDescent="0.25">
      <c r="A32" s="1">
        <v>52.582000000000001</v>
      </c>
      <c r="B32" s="1" t="s">
        <v>12</v>
      </c>
      <c r="C32" s="1">
        <f>AVERAGE(INDEX(team1_results[Lap times '[sec']], 1):team1_results[[#This Row], [Lap times '[sec']]])</f>
        <v>52.745566666666669</v>
      </c>
      <c r="D32" s="1">
        <f>SUM(INDEX(team1_results[Lap times '[sec']], 1):team1_results[[#This Row], [Lap times '[sec']]])</f>
        <v>1582.367</v>
      </c>
      <c r="F32" s="1">
        <v>54.49</v>
      </c>
      <c r="G32" s="1" t="s">
        <v>14</v>
      </c>
      <c r="H32" s="1">
        <f>AVERAGE(INDEX(team2_results[Lap times '[sec']], 1):team2_results[[#This Row], [Lap times '[sec']]])</f>
        <v>53.131433333333327</v>
      </c>
      <c r="I32" s="1">
        <f>SUM(INDEX(team2_results[Lap times '[sec']], 1):team2_results[[#This Row], [Lap times '[sec']]])</f>
        <v>1593.9429999999998</v>
      </c>
      <c r="K32" s="1">
        <v>52.588000000000001</v>
      </c>
      <c r="L32" s="1" t="s">
        <v>16</v>
      </c>
      <c r="M32" s="1">
        <f>AVERAGE(INDEX(team3_results[Lap times '[sec']], 1):team3_results[[#This Row], [Lap times '[sec']]])</f>
        <v>53.604933333333328</v>
      </c>
      <c r="N32" s="1">
        <f>SUM(INDEX(team3_results[Lap times '[sec']], 1):team3_results[[#This Row], [Lap times '[sec']]])</f>
        <v>1608.1479999999999</v>
      </c>
      <c r="P32" s="1">
        <v>53.881999999999998</v>
      </c>
      <c r="Q32" s="1" t="s">
        <v>18</v>
      </c>
      <c r="R32" s="1">
        <f>AVERAGE(INDEX(team4_results[Lap times '[sec']], 1):team4_results[[#This Row], [Lap times '[sec']]])</f>
        <v>54.516699999999993</v>
      </c>
      <c r="S32" s="1">
        <f>SUM(INDEX(team4_results[Lap times '[sec']], 1):team4_results[[#This Row], [Lap times '[sec']]])</f>
        <v>1635.5009999999997</v>
      </c>
      <c r="U32" s="1">
        <v>56.305</v>
      </c>
      <c r="V32" s="1" t="s">
        <v>20</v>
      </c>
      <c r="W32" s="1">
        <f>AVERAGE(INDEX(team5_results[Lap times '[sec']], 1):team5_results[[#This Row], [Lap times '[sec']]])</f>
        <v>54.898066666666672</v>
      </c>
      <c r="X32" s="1">
        <f>SUM(INDEX(team5_results[Lap times '[sec']], 1):team5_results[[#This Row], [Lap times '[sec']]])</f>
        <v>1646.9420000000002</v>
      </c>
      <c r="Z32" s="1">
        <v>53.970999999999997</v>
      </c>
      <c r="AA32" s="1" t="s">
        <v>21</v>
      </c>
      <c r="AB32" s="1">
        <f>AVERAGE(INDEX(team6_results[Lap times '[sec']], 1):team6_results[[#This Row], [Lap times '[sec']]])</f>
        <v>55.441900000000011</v>
      </c>
      <c r="AC32" s="1">
        <f>SUM(INDEX(team6_results[Lap times '[sec']], 1):team6_results[[#This Row], [Lap times '[sec']]])</f>
        <v>1663.2570000000003</v>
      </c>
      <c r="AE32" s="1">
        <v>53.606999999999999</v>
      </c>
      <c r="AF32" s="1" t="s">
        <v>22</v>
      </c>
      <c r="AG32" s="1">
        <f>AVERAGE(INDEX(team7_results[Lap times '[sec']], 1):team7_results[[#This Row], [Lap times '[sec']]])</f>
        <v>55.563599999999987</v>
      </c>
      <c r="AH32" s="1">
        <f>SUM(INDEX(team7_results[Lap times '[sec']], 1):team7_results[[#This Row], [Lap times '[sec']]])</f>
        <v>1666.9079999999997</v>
      </c>
      <c r="AJ32" s="1">
        <v>56</v>
      </c>
      <c r="AK32" s="1" t="s">
        <v>23</v>
      </c>
      <c r="AL32" s="1">
        <f>AVERAGE(INDEX(team8_results[Lap times '[sec']], 1):team8_results[[#This Row], [Lap times '[sec']]])</f>
        <v>56.454666666666654</v>
      </c>
      <c r="AM32" s="1">
        <f>SUM(INDEX(team8_results[Lap times '[sec']], 1):team8_results[[#This Row], [Lap times '[sec']]])</f>
        <v>1693.6399999999996</v>
      </c>
      <c r="AO32" s="1">
        <v>57.643000000000001</v>
      </c>
      <c r="AP32" s="1" t="s">
        <v>25</v>
      </c>
      <c r="AQ32" s="1">
        <f>AVERAGE(INDEX(team9_results[Lap times '[sec']], 1):team9_results[[#This Row], [Lap times '[sec']]])</f>
        <v>56.403199999999991</v>
      </c>
      <c r="AR32" s="1">
        <f>SUM(INDEX(team9_results[Lap times '[sec']], 1):team9_results[[#This Row], [Lap times '[sec']]])</f>
        <v>1692.0959999999998</v>
      </c>
    </row>
    <row r="33" spans="1:44" x14ac:dyDescent="0.25">
      <c r="A33" s="1">
        <v>51.88</v>
      </c>
      <c r="B33" s="1" t="s">
        <v>12</v>
      </c>
      <c r="C33" s="1">
        <f>AVERAGE(INDEX(team1_results[Lap times '[sec']], 1):team1_results[[#This Row], [Lap times '[sec']]])</f>
        <v>52.717645161290328</v>
      </c>
      <c r="D33" s="1">
        <f>SUM(INDEX(team1_results[Lap times '[sec']], 1):team1_results[[#This Row], [Lap times '[sec']]])</f>
        <v>1634.2470000000001</v>
      </c>
      <c r="F33" s="1">
        <v>54.186</v>
      </c>
      <c r="G33" s="1" t="s">
        <v>14</v>
      </c>
      <c r="H33" s="1">
        <f>AVERAGE(INDEX(team2_results[Lap times '[sec']], 1):team2_results[[#This Row], [Lap times '[sec']]])</f>
        <v>53.165451612903219</v>
      </c>
      <c r="I33" s="1">
        <f>SUM(INDEX(team2_results[Lap times '[sec']], 1):team2_results[[#This Row], [Lap times '[sec']]])</f>
        <v>1648.1289999999997</v>
      </c>
      <c r="K33" s="1">
        <v>52.709000000000003</v>
      </c>
      <c r="L33" s="1" t="s">
        <v>16</v>
      </c>
      <c r="M33" s="1">
        <f>AVERAGE(INDEX(team3_results[Lap times '[sec']], 1):team3_results[[#This Row], [Lap times '[sec']]])</f>
        <v>53.576032258064515</v>
      </c>
      <c r="N33" s="1">
        <f>SUM(INDEX(team3_results[Lap times '[sec']], 1):team3_results[[#This Row], [Lap times '[sec']]])</f>
        <v>1660.857</v>
      </c>
      <c r="P33" s="1">
        <v>52.603999999999999</v>
      </c>
      <c r="Q33" s="1" t="s">
        <v>18</v>
      </c>
      <c r="R33" s="1">
        <f>AVERAGE(INDEX(team4_results[Lap times '[sec']], 1):team4_results[[#This Row], [Lap times '[sec']]])</f>
        <v>54.454999999999991</v>
      </c>
      <c r="S33" s="1">
        <f>SUM(INDEX(team4_results[Lap times '[sec']], 1):team4_results[[#This Row], [Lap times '[sec']]])</f>
        <v>1688.1049999999998</v>
      </c>
      <c r="U33" s="1">
        <v>54.191000000000003</v>
      </c>
      <c r="V33" s="1" t="s">
        <v>20</v>
      </c>
      <c r="W33" s="1">
        <f>AVERAGE(INDEX(team5_results[Lap times '[sec']], 1):team5_results[[#This Row], [Lap times '[sec']]])</f>
        <v>54.875258064516139</v>
      </c>
      <c r="X33" s="1">
        <f>SUM(INDEX(team5_results[Lap times '[sec']], 1):team5_results[[#This Row], [Lap times '[sec']]])</f>
        <v>1701.1330000000003</v>
      </c>
      <c r="Z33" s="1">
        <v>54.412999999999997</v>
      </c>
      <c r="AA33" s="1" t="s">
        <v>21</v>
      </c>
      <c r="AB33" s="1">
        <f>AVERAGE(INDEX(team6_results[Lap times '[sec']], 1):team6_results[[#This Row], [Lap times '[sec']]])</f>
        <v>55.408709677419367</v>
      </c>
      <c r="AC33" s="1">
        <f>SUM(INDEX(team6_results[Lap times '[sec']], 1):team6_results[[#This Row], [Lap times '[sec']]])</f>
        <v>1717.6700000000003</v>
      </c>
      <c r="AE33" s="1">
        <v>53.210999999999999</v>
      </c>
      <c r="AF33" s="1" t="s">
        <v>22</v>
      </c>
      <c r="AG33" s="1">
        <f>AVERAGE(INDEX(team7_results[Lap times '[sec']], 1):team7_results[[#This Row], [Lap times '[sec']]])</f>
        <v>55.487709677419346</v>
      </c>
      <c r="AH33" s="1">
        <f>SUM(INDEX(team7_results[Lap times '[sec']], 1):team7_results[[#This Row], [Lap times '[sec']]])</f>
        <v>1720.1189999999997</v>
      </c>
      <c r="AJ33" s="1">
        <v>55.226999999999997</v>
      </c>
      <c r="AK33" s="1" t="s">
        <v>23</v>
      </c>
      <c r="AL33" s="1">
        <f>AVERAGE(INDEX(team8_results[Lap times '[sec']], 1):team8_results[[#This Row], [Lap times '[sec']]])</f>
        <v>56.415064516129021</v>
      </c>
      <c r="AM33" s="1">
        <f>SUM(INDEX(team8_results[Lap times '[sec']], 1):team8_results[[#This Row], [Lap times '[sec']]])</f>
        <v>1748.8669999999997</v>
      </c>
      <c r="AO33" s="1">
        <v>56.378999999999998</v>
      </c>
      <c r="AP33" s="1" t="s">
        <v>25</v>
      </c>
      <c r="AQ33" s="1">
        <f>AVERAGE(INDEX(team9_results[Lap times '[sec']], 1):team9_results[[#This Row], [Lap times '[sec']]])</f>
        <v>56.402419354838699</v>
      </c>
      <c r="AR33" s="1">
        <f>SUM(INDEX(team9_results[Lap times '[sec']], 1):team9_results[[#This Row], [Lap times '[sec']]])</f>
        <v>1748.4749999999997</v>
      </c>
    </row>
    <row r="34" spans="1:44" x14ac:dyDescent="0.25">
      <c r="A34" s="1">
        <v>52.155000000000001</v>
      </c>
      <c r="B34" s="1" t="s">
        <v>12</v>
      </c>
      <c r="C34" s="1">
        <f>AVERAGE(INDEX(team1_results[Lap times '[sec']], 1):team1_results[[#This Row], [Lap times '[sec']]])</f>
        <v>52.700062500000001</v>
      </c>
      <c r="D34" s="1">
        <f>SUM(INDEX(team1_results[Lap times '[sec']], 1):team1_results[[#This Row], [Lap times '[sec']]])</f>
        <v>1686.402</v>
      </c>
      <c r="F34" s="1">
        <v>52.853000000000002</v>
      </c>
      <c r="G34" s="1" t="s">
        <v>14</v>
      </c>
      <c r="H34" s="1">
        <f>AVERAGE(INDEX(team2_results[Lap times '[sec']], 1):team2_results[[#This Row], [Lap times '[sec']]])</f>
        <v>53.155687499999992</v>
      </c>
      <c r="I34" s="1">
        <f>SUM(INDEX(team2_results[Lap times '[sec']], 1):team2_results[[#This Row], [Lap times '[sec']]])</f>
        <v>1700.9819999999997</v>
      </c>
      <c r="K34" s="1">
        <v>52.68</v>
      </c>
      <c r="L34" s="1" t="s">
        <v>16</v>
      </c>
      <c r="M34" s="1">
        <f>AVERAGE(INDEX(team3_results[Lap times '[sec']], 1):team3_results[[#This Row], [Lap times '[sec']]])</f>
        <v>53.548031250000001</v>
      </c>
      <c r="N34" s="1">
        <f>SUM(INDEX(team3_results[Lap times '[sec']], 1):team3_results[[#This Row], [Lap times '[sec']]])</f>
        <v>1713.537</v>
      </c>
      <c r="P34" s="1">
        <v>53.616999999999997</v>
      </c>
      <c r="Q34" s="1" t="s">
        <v>18</v>
      </c>
      <c r="R34" s="1">
        <f>AVERAGE(INDEX(team4_results[Lap times '[sec']], 1):team4_results[[#This Row], [Lap times '[sec']]])</f>
        <v>54.428812499999992</v>
      </c>
      <c r="S34" s="1">
        <f>SUM(INDEX(team4_results[Lap times '[sec']], 1):team4_results[[#This Row], [Lap times '[sec']]])</f>
        <v>1741.7219999999998</v>
      </c>
      <c r="U34" s="1">
        <v>54.101999999999997</v>
      </c>
      <c r="V34" s="1" t="s">
        <v>20</v>
      </c>
      <c r="W34" s="1">
        <f>AVERAGE(INDEX(team5_results[Lap times '[sec']], 1):team5_results[[#This Row], [Lap times '[sec']]])</f>
        <v>54.851093750000011</v>
      </c>
      <c r="X34" s="1">
        <f>SUM(INDEX(team5_results[Lap times '[sec']], 1):team5_results[[#This Row], [Lap times '[sec']]])</f>
        <v>1755.2350000000004</v>
      </c>
      <c r="Z34" s="1">
        <v>53.969000000000001</v>
      </c>
      <c r="AA34" s="1" t="s">
        <v>21</v>
      </c>
      <c r="AB34" s="1">
        <f>AVERAGE(INDEX(team6_results[Lap times '[sec']], 1):team6_results[[#This Row], [Lap times '[sec']]])</f>
        <v>55.363718750000011</v>
      </c>
      <c r="AC34" s="1">
        <f>SUM(INDEX(team6_results[Lap times '[sec']], 1):team6_results[[#This Row], [Lap times '[sec']]])</f>
        <v>1771.6390000000004</v>
      </c>
      <c r="AE34" s="1">
        <v>53.768999999999998</v>
      </c>
      <c r="AF34" s="1" t="s">
        <v>22</v>
      </c>
      <c r="AG34" s="1">
        <f>AVERAGE(INDEX(team7_results[Lap times '[sec']], 1):team7_results[[#This Row], [Lap times '[sec']]])</f>
        <v>55.43399999999999</v>
      </c>
      <c r="AH34" s="1">
        <f>SUM(INDEX(team7_results[Lap times '[sec']], 1):team7_results[[#This Row], [Lap times '[sec']]])</f>
        <v>1773.8879999999997</v>
      </c>
      <c r="AJ34" s="1">
        <v>57.003999999999998</v>
      </c>
      <c r="AK34" s="1" t="s">
        <v>23</v>
      </c>
      <c r="AL34" s="1">
        <f>AVERAGE(INDEX(team8_results[Lap times '[sec']], 1):team8_results[[#This Row], [Lap times '[sec']]])</f>
        <v>56.433468749999989</v>
      </c>
      <c r="AM34" s="1">
        <f>SUM(INDEX(team8_results[Lap times '[sec']], 1):team8_results[[#This Row], [Lap times '[sec']]])</f>
        <v>1805.8709999999996</v>
      </c>
      <c r="AO34" s="1">
        <v>56.545000000000002</v>
      </c>
      <c r="AP34" s="1" t="s">
        <v>25</v>
      </c>
      <c r="AQ34" s="1">
        <f>AVERAGE(INDEX(team9_results[Lap times '[sec']], 1):team9_results[[#This Row], [Lap times '[sec']]])</f>
        <v>56.406874999999992</v>
      </c>
      <c r="AR34" s="1">
        <f>SUM(INDEX(team9_results[Lap times '[sec']], 1):team9_results[[#This Row], [Lap times '[sec']]])</f>
        <v>1805.0199999999998</v>
      </c>
    </row>
    <row r="35" spans="1:44" x14ac:dyDescent="0.25">
      <c r="A35" s="1">
        <v>52.271000000000001</v>
      </c>
      <c r="B35" s="1" t="s">
        <v>12</v>
      </c>
      <c r="C35" s="1">
        <f>AVERAGE(INDEX(team1_results[Lap times '[sec']], 1):team1_results[[#This Row], [Lap times '[sec']]])</f>
        <v>52.687060606060605</v>
      </c>
      <c r="D35" s="1">
        <f>SUM(INDEX(team1_results[Lap times '[sec']], 1):team1_results[[#This Row], [Lap times '[sec']]])</f>
        <v>1738.673</v>
      </c>
      <c r="F35" s="1">
        <v>54.262</v>
      </c>
      <c r="G35" s="1" t="s">
        <v>14</v>
      </c>
      <c r="H35" s="1">
        <f>AVERAGE(INDEX(team2_results[Lap times '[sec']], 1):team2_results[[#This Row], [Lap times '[sec']]])</f>
        <v>53.189212121212108</v>
      </c>
      <c r="I35" s="1">
        <f>SUM(INDEX(team2_results[Lap times '[sec']], 1):team2_results[[#This Row], [Lap times '[sec']]])</f>
        <v>1755.2439999999997</v>
      </c>
      <c r="K35" s="1">
        <v>52.533000000000001</v>
      </c>
      <c r="L35" s="1" t="s">
        <v>16</v>
      </c>
      <c r="M35" s="1">
        <f>AVERAGE(INDEX(team3_results[Lap times '[sec']], 1):team3_results[[#This Row], [Lap times '[sec']]])</f>
        <v>53.517272727272726</v>
      </c>
      <c r="N35" s="1">
        <f>SUM(INDEX(team3_results[Lap times '[sec']], 1):team3_results[[#This Row], [Lap times '[sec']]])</f>
        <v>1766.07</v>
      </c>
      <c r="P35" s="1">
        <v>52.991</v>
      </c>
      <c r="Q35" s="1" t="s">
        <v>18</v>
      </c>
      <c r="R35" s="1">
        <f>AVERAGE(INDEX(team4_results[Lap times '[sec']], 1):team4_results[[#This Row], [Lap times '[sec']]])</f>
        <v>54.385242424242414</v>
      </c>
      <c r="S35" s="1">
        <f>SUM(INDEX(team4_results[Lap times '[sec']], 1):team4_results[[#This Row], [Lap times '[sec']]])</f>
        <v>1794.7129999999997</v>
      </c>
      <c r="U35" s="1">
        <v>54.212000000000003</v>
      </c>
      <c r="V35" s="1" t="s">
        <v>20</v>
      </c>
      <c r="W35" s="1">
        <f>AVERAGE(INDEX(team5_results[Lap times '[sec']], 1):team5_results[[#This Row], [Lap times '[sec']]])</f>
        <v>54.831727272727285</v>
      </c>
      <c r="X35" s="1">
        <f>SUM(INDEX(team5_results[Lap times '[sec']], 1):team5_results[[#This Row], [Lap times '[sec']]])</f>
        <v>1809.4470000000003</v>
      </c>
      <c r="Z35" s="1">
        <v>54.802999999999997</v>
      </c>
      <c r="AA35" s="1" t="s">
        <v>21</v>
      </c>
      <c r="AB35" s="1">
        <f>AVERAGE(INDEX(team6_results[Lap times '[sec']], 1):team6_results[[#This Row], [Lap times '[sec']]])</f>
        <v>55.346727272727286</v>
      </c>
      <c r="AC35" s="1">
        <f>SUM(INDEX(team6_results[Lap times '[sec']], 1):team6_results[[#This Row], [Lap times '[sec']]])</f>
        <v>1826.4420000000005</v>
      </c>
      <c r="AE35" s="1">
        <v>54.720999999999997</v>
      </c>
      <c r="AF35" s="1" t="s">
        <v>22</v>
      </c>
      <c r="AG35" s="1">
        <f>AVERAGE(INDEX(team7_results[Lap times '[sec']], 1):team7_results[[#This Row], [Lap times '[sec']]])</f>
        <v>55.41239393939393</v>
      </c>
      <c r="AH35" s="1">
        <f>SUM(INDEX(team7_results[Lap times '[sec']], 1):team7_results[[#This Row], [Lap times '[sec']]])</f>
        <v>1828.6089999999997</v>
      </c>
    </row>
    <row r="36" spans="1:44" x14ac:dyDescent="0.25">
      <c r="A36" s="1">
        <v>52.401000000000003</v>
      </c>
      <c r="B36" s="1" t="s">
        <v>12</v>
      </c>
      <c r="C36" s="1">
        <f>AVERAGE(INDEX(team1_results[Lap times '[sec']], 1):team1_results[[#This Row], [Lap times '[sec']]])</f>
        <v>52.678647058823529</v>
      </c>
      <c r="D36" s="1">
        <f>SUM(INDEX(team1_results[Lap times '[sec']], 1):team1_results[[#This Row], [Lap times '[sec']]])</f>
        <v>1791.0740000000001</v>
      </c>
      <c r="F36" s="1">
        <v>53.338999999999999</v>
      </c>
      <c r="G36" s="1" t="s">
        <v>14</v>
      </c>
      <c r="H36" s="1">
        <f>AVERAGE(INDEX(team2_results[Lap times '[sec']], 1):team2_results[[#This Row], [Lap times '[sec']]])</f>
        <v>53.193617647058815</v>
      </c>
      <c r="I36" s="1">
        <f>SUM(INDEX(team2_results[Lap times '[sec']], 1):team2_results[[#This Row], [Lap times '[sec']]])</f>
        <v>1808.5829999999996</v>
      </c>
      <c r="K36" s="1">
        <v>53.752000000000002</v>
      </c>
      <c r="L36" s="1" t="s">
        <v>16</v>
      </c>
      <c r="M36" s="1">
        <f>AVERAGE(INDEX(team3_results[Lap times '[sec']], 1):team3_results[[#This Row], [Lap times '[sec']]])</f>
        <v>53.52417647058823</v>
      </c>
      <c r="N36" s="1">
        <f>SUM(INDEX(team3_results[Lap times '[sec']], 1):team3_results[[#This Row], [Lap times '[sec']]])</f>
        <v>1819.8219999999999</v>
      </c>
    </row>
  </sheetData>
  <mergeCells count="9">
    <mergeCell ref="Z1:AC1"/>
    <mergeCell ref="AE1:AH1"/>
    <mergeCell ref="AJ1:AM1"/>
    <mergeCell ref="AO1:AR1"/>
    <mergeCell ref="A1:D1"/>
    <mergeCell ref="F1:I1"/>
    <mergeCell ref="K1:N1"/>
    <mergeCell ref="P1:S1"/>
    <mergeCell ref="U1:X1"/>
  </mergeCells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299"/>
  <sheetViews>
    <sheetView tabSelected="1" workbookViewId="0">
      <selection activeCell="C9" sqref="C9"/>
    </sheetView>
  </sheetViews>
  <sheetFormatPr defaultRowHeight="15" x14ac:dyDescent="0.25"/>
  <cols>
    <col min="1" max="38" width="40.7109375" customWidth="1"/>
  </cols>
  <sheetData>
    <row r="1" spans="1:38" ht="18" thickBot="1" x14ac:dyDescent="0.35">
      <c r="A1" s="3" t="s">
        <v>35</v>
      </c>
      <c r="B1" s="3" t="s">
        <v>36</v>
      </c>
      <c r="C1" s="3" t="s">
        <v>37</v>
      </c>
      <c r="D1" s="3" t="s">
        <v>38</v>
      </c>
      <c r="E1" s="3" t="s">
        <v>39</v>
      </c>
      <c r="F1" s="3" t="s">
        <v>40</v>
      </c>
      <c r="G1" s="3" t="s">
        <v>41</v>
      </c>
      <c r="H1" s="3" t="s">
        <v>42</v>
      </c>
      <c r="I1" s="3" t="s">
        <v>43</v>
      </c>
      <c r="J1" s="3" t="s">
        <v>44</v>
      </c>
      <c r="K1" s="3" t="s">
        <v>45</v>
      </c>
      <c r="L1" s="3" t="s">
        <v>46</v>
      </c>
      <c r="M1" s="3" t="s">
        <v>47</v>
      </c>
      <c r="N1" s="3" t="s">
        <v>48</v>
      </c>
      <c r="O1" s="3" t="s">
        <v>49</v>
      </c>
      <c r="P1" s="3" t="s">
        <v>50</v>
      </c>
      <c r="Q1" s="3" t="s">
        <v>51</v>
      </c>
      <c r="R1" s="3" t="s">
        <v>52</v>
      </c>
      <c r="S1" s="3" t="s">
        <v>53</v>
      </c>
      <c r="T1" s="3" t="s">
        <v>54</v>
      </c>
      <c r="U1" s="3" t="s">
        <v>55</v>
      </c>
      <c r="V1" s="3" t="s">
        <v>56</v>
      </c>
      <c r="W1" s="3" t="s">
        <v>57</v>
      </c>
      <c r="X1" s="3" t="s">
        <v>58</v>
      </c>
      <c r="Y1" s="3" t="s">
        <v>59</v>
      </c>
      <c r="Z1" s="3" t="s">
        <v>60</v>
      </c>
      <c r="AA1" s="3" t="s">
        <v>61</v>
      </c>
      <c r="AB1" s="3" t="s">
        <v>62</v>
      </c>
      <c r="AC1" s="3" t="s">
        <v>63</v>
      </c>
      <c r="AD1" s="3" t="s">
        <v>64</v>
      </c>
      <c r="AE1" s="3" t="s">
        <v>65</v>
      </c>
      <c r="AF1" s="3" t="s">
        <v>66</v>
      </c>
      <c r="AG1" s="3" t="s">
        <v>67</v>
      </c>
      <c r="AH1" s="3" t="s">
        <v>68</v>
      </c>
      <c r="AI1" s="3" t="s">
        <v>69</v>
      </c>
      <c r="AJ1" s="3" t="s">
        <v>70</v>
      </c>
      <c r="AK1" s="3" t="s">
        <v>71</v>
      </c>
      <c r="AL1" s="3" t="s">
        <v>72</v>
      </c>
    </row>
    <row r="2" spans="1:38" ht="15.75" thickTop="1" x14ac:dyDescent="0.25">
      <c r="A2" s="1">
        <v>53.683999999999997</v>
      </c>
      <c r="B2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0.99866061462906464</v>
      </c>
      <c r="C2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</v>
      </c>
      <c r="D2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0.98450365860367872</v>
      </c>
      <c r="E2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0.94208900744068502</v>
      </c>
      <c r="F2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0.96775007661384815</v>
      </c>
      <c r="G2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0.93391089539516037</v>
      </c>
      <c r="H2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0.96018601323555719</v>
      </c>
      <c r="I2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0.91425262691803333</v>
      </c>
      <c r="J2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0.94030687311707417</v>
      </c>
      <c r="K2" s="1">
        <f>intermediate_results[[#This Row], [Team1 laps '[laps']]] - intermediate_results[[#This Row], [Team1 laps '[laps']]]</f>
        <v>0</v>
      </c>
      <c r="L2" s="1">
        <f>intermediate_results[[#This Row], [Team1 laps '[laps']]] - intermediate_results[[#This Row], [Team2 laps '[laps']]]</f>
        <v>-1.3393853709353643E-3</v>
      </c>
      <c r="M2" s="1">
        <f>intermediate_results[[#This Row], [Team1 laps '[laps']]] - intermediate_results[[#This Row], [Team3 laps '[laps']]]</f>
        <v>1.4156956025385914E-2</v>
      </c>
      <c r="N2" s="1">
        <f>intermediate_results[[#This Row], [Team1 laps '[laps']]] - intermediate_results[[#This Row], [Team4 laps '[laps']]]</f>
        <v>5.6571607188379613E-2</v>
      </c>
      <c r="O2" s="1">
        <f>intermediate_results[[#This Row], [Team1 laps '[laps']]] - intermediate_results[[#This Row], [Team5 laps '[laps']]]</f>
        <v>3.0910538015216482E-2</v>
      </c>
      <c r="P2" s="1">
        <f>intermediate_results[[#This Row], [Team1 laps '[laps']]] - intermediate_results[[#This Row], [Team6 laps '[laps']]]</f>
        <v>6.4749719233904268E-2</v>
      </c>
      <c r="Q2" s="1">
        <f>intermediate_results[[#This Row], [Team1 laps '[laps']]] - intermediate_results[[#This Row], [Team7 laps '[laps']]]</f>
        <v>3.8474601393507446E-2</v>
      </c>
      <c r="R2" s="1">
        <f>intermediate_results[[#This Row], [Team1 laps '[laps']]] - intermediate_results[[#This Row], [Team8 laps '[laps']]]</f>
        <v>8.4407987711031307E-2</v>
      </c>
      <c r="S2" s="1">
        <f>intermediate_results[[#This Row], [Team1 laps '[laps']]] - intermediate_results[[#This Row], [Team9 laps '[laps']]]</f>
        <v>5.8353741511990465E-2</v>
      </c>
      <c r="T2" s="1">
        <f>MAX(intermediate_results[[#This Row], [Team1 laps '[laps']]:[Team9 laps '[laps']]]) - intermediate_results[[#This Row], [Team1 laps '[laps']]]</f>
        <v>1.3393853709353643E-3</v>
      </c>
      <c r="U2" s="1">
        <f>MAX(intermediate_results[[#This Row], [Team1 laps '[laps']]:[Team9 laps '[laps']]]) - intermediate_results[[#This Row], [Team2 laps '[laps']]]</f>
        <v>0</v>
      </c>
      <c r="V2" s="1">
        <f>MAX(intermediate_results[[#This Row], [Team1 laps '[laps']]:[Team9 laps '[laps']]]) - intermediate_results[[#This Row], [Team3 laps '[laps']]]</f>
        <v>1.5496341396321278E-2</v>
      </c>
      <c r="W2" s="1">
        <f>MAX(intermediate_results[[#This Row], [Team1 laps '[laps']]:[Team9 laps '[laps']]]) - intermediate_results[[#This Row], [Team4 laps '[laps']]]</f>
        <v>5.7910992559314978E-2</v>
      </c>
      <c r="X2" s="1">
        <f>MAX(intermediate_results[[#This Row], [Team1 laps '[laps']]:[Team9 laps '[laps']]]) - intermediate_results[[#This Row], [Team5 laps '[laps']]]</f>
        <v>3.2249923386151846E-2</v>
      </c>
      <c r="Y2" s="1">
        <f>MAX(intermediate_results[[#This Row], [Team1 laps '[laps']]:[Team9 laps '[laps']]]) - intermediate_results[[#This Row], [Team6 laps '[laps']]]</f>
        <v>6.6089104604839632E-2</v>
      </c>
      <c r="Z2" s="1">
        <f>MAX(intermediate_results[[#This Row], [Team1 laps '[laps']]:[Team9 laps '[laps']]]) - intermediate_results[[#This Row], [Team7 laps '[laps']]]</f>
        <v>3.981398676444281E-2</v>
      </c>
      <c r="AA2" s="1">
        <f>MAX(intermediate_results[[#This Row], [Team1 laps '[laps']]:[Team9 laps '[laps']]]) - intermediate_results[[#This Row], [Team8 laps '[laps']]]</f>
        <v>8.5747373081966671E-2</v>
      </c>
      <c r="AB2" s="1">
        <f>MAX(intermediate_results[[#This Row], [Team1 laps '[laps']]:[Team9 laps '[laps']]]) - intermediate_results[[#This Row], [Team9 laps '[laps']]]</f>
        <v>5.9693126882925829E-2</v>
      </c>
      <c r="AC2" s="1">
        <f>9 * intermediate_results[[#This Row], [All cumulative times '[sec']]] / SUM(intermediate_results[[#This Row], [Team1 laps '[laps']]:[Team9 laps '[laps']]])</f>
        <v>55.910092862434283</v>
      </c>
      <c r="AD2" s="1">
        <f>intermediate_results[[#This Row], [All cumulative times '[sec']]] / intermediate_results[[#This Row], [Team1 laps '[laps']]] - intermediate_results[[#This Row], [Total running average '[sec']]]</f>
        <v>-2.1540928624342826</v>
      </c>
      <c r="AE2" s="1">
        <f>intermediate_results[[#This Row], [All cumulative times '[sec']]] / intermediate_results[[#This Row], [Team2 laps '[laps']]] - intermediate_results[[#This Row], [Total running average '[sec']]]</f>
        <v>-2.2260928624342853</v>
      </c>
      <c r="AF2" s="1">
        <f>intermediate_results[[#This Row], [All cumulative times '[sec']]] / intermediate_results[[#This Row], [Team3 laps '[laps']]] - intermediate_results[[#This Row], [Total running average '[sec']]]</f>
        <v>-1.3810928624342793</v>
      </c>
      <c r="AG2" s="1">
        <f>intermediate_results[[#This Row], [All cumulative times '[sec']]] / intermediate_results[[#This Row], [Team4 laps '[laps']]] - intermediate_results[[#This Row], [Total running average '[sec']]]</f>
        <v>1.073907137565719</v>
      </c>
      <c r="AH2" s="1">
        <f>intermediate_results[[#This Row], [All cumulative times '[sec']]] / intermediate_results[[#This Row], [Team5 laps '[laps']]] - intermediate_results[[#This Row], [Total running average '[sec']]]</f>
        <v>-0.4370928624342838</v>
      </c>
      <c r="AI2" s="1">
        <f>intermediate_results[[#This Row], [All cumulative times '[sec']]] / intermediate_results[[#This Row], [Team6 laps '[laps']]] - intermediate_results[[#This Row], [Total running average '[sec']]]</f>
        <v>1.5729071375657142</v>
      </c>
      <c r="AJ2" s="1">
        <f>intermediate_results[[#This Row], [All cumulative times '[sec']]] / intermediate_results[[#This Row], [Team7 laps '[laps']]] - intermediate_results[[#This Row], [Total running average '[sec']]]</f>
        <v>-9.2862434286189455E-5</v>
      </c>
      <c r="AK2" s="1">
        <f>intermediate_results[[#This Row], [All cumulative times '[sec']]] / intermediate_results[[#This Row], [Team8 laps '[laps']]] - intermediate_results[[#This Row], [Total running average '[sec']]]</f>
        <v>2.8089071375657184</v>
      </c>
      <c r="AL2" s="1">
        <f>intermediate_results[[#This Row], [All cumulative times '[sec']]] / intermediate_results[[#This Row], [Team9 laps '[laps']]] - intermediate_results[[#This Row], [Total running average '[sec']]]</f>
        <v>1.181907137565716</v>
      </c>
    </row>
    <row r="3" spans="1:38" x14ac:dyDescent="0.25">
      <c r="A3" s="1">
        <v>53.756</v>
      </c>
      <c r="B3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</v>
      </c>
      <c r="C3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1.0013382899628254</v>
      </c>
      <c r="D3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0.98582405692383868</v>
      </c>
      <c r="E3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0.94335252000561554</v>
      </c>
      <c r="F3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0.96904800533592916</v>
      </c>
      <c r="G3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0.93516343962562853</v>
      </c>
      <c r="H3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0.9614737971740297</v>
      </c>
      <c r="I3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0.91547880583797403</v>
      </c>
      <c r="J3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0.94156799551600923</v>
      </c>
      <c r="K3" s="1">
        <f>intermediate_results[[#This Row], [Team1 laps '[laps']]] - intermediate_results[[#This Row], [Team1 laps '[laps']]]</f>
        <v>0</v>
      </c>
      <c r="L3" s="1">
        <f>intermediate_results[[#This Row], [Team1 laps '[laps']]] - intermediate_results[[#This Row], [Team2 laps '[laps']]]</f>
        <v>-1.3382899628253675E-3</v>
      </c>
      <c r="M3" s="1">
        <f>intermediate_results[[#This Row], [Team1 laps '[laps']]] - intermediate_results[[#This Row], [Team3 laps '[laps']]]</f>
        <v>1.4175943076161324E-2</v>
      </c>
      <c r="N3" s="1">
        <f>intermediate_results[[#This Row], [Team1 laps '[laps']]] - intermediate_results[[#This Row], [Team4 laps '[laps']]]</f>
        <v>5.6647479994384464E-2</v>
      </c>
      <c r="O3" s="1">
        <f>intermediate_results[[#This Row], [Team1 laps '[laps']]] - intermediate_results[[#This Row], [Team5 laps '[laps']]]</f>
        <v>3.0951994664070837E-2</v>
      </c>
      <c r="P3" s="1">
        <f>intermediate_results[[#This Row], [Team1 laps '[laps']]] - intermediate_results[[#This Row], [Team6 laps '[laps']]]</f>
        <v>6.4836560374371466E-2</v>
      </c>
      <c r="Q3" s="1">
        <f>intermediate_results[[#This Row], [Team1 laps '[laps']]] - intermediate_results[[#This Row], [Team7 laps '[laps']]]</f>
        <v>3.8526202825970302E-2</v>
      </c>
      <c r="R3" s="1">
        <f>intermediate_results[[#This Row], [Team1 laps '[laps']]] - intermediate_results[[#This Row], [Team8 laps '[laps']]]</f>
        <v>8.452119416202597E-2</v>
      </c>
      <c r="S3" s="1">
        <f>intermediate_results[[#This Row], [Team1 laps '[laps']]] - intermediate_results[[#This Row], [Team9 laps '[laps']]]</f>
        <v>5.8432004483990774E-2</v>
      </c>
      <c r="T3" s="1">
        <f>MAX(intermediate_results[[#This Row], [Team1 laps '[laps']]:[Team9 laps '[laps']]]) - intermediate_results[[#This Row], [Team1 laps '[laps']]]</f>
        <v>1.3382899628253675E-3</v>
      </c>
      <c r="U3" s="1">
        <f>MAX(intermediate_results[[#This Row], [Team1 laps '[laps']]:[Team9 laps '[laps']]]) - intermediate_results[[#This Row], [Team2 laps '[laps']]]</f>
        <v>0</v>
      </c>
      <c r="V3" s="1">
        <f>MAX(intermediate_results[[#This Row], [Team1 laps '[laps']]:[Team9 laps '[laps']]]) - intermediate_results[[#This Row], [Team3 laps '[laps']]]</f>
        <v>1.5514233038986691E-2</v>
      </c>
      <c r="W3" s="1">
        <f>MAX(intermediate_results[[#This Row], [Team1 laps '[laps']]:[Team9 laps '[laps']]]) - intermediate_results[[#This Row], [Team4 laps '[laps']]]</f>
        <v>5.7985769957209832E-2</v>
      </c>
      <c r="X3" s="1">
        <f>MAX(intermediate_results[[#This Row], [Team1 laps '[laps']]:[Team9 laps '[laps']]]) - intermediate_results[[#This Row], [Team5 laps '[laps']]]</f>
        <v>3.2290284626896204E-2</v>
      </c>
      <c r="Y3" s="1">
        <f>MAX(intermediate_results[[#This Row], [Team1 laps '[laps']]:[Team9 laps '[laps']]]) - intermediate_results[[#This Row], [Team6 laps '[laps']]]</f>
        <v>6.6174850337196833E-2</v>
      </c>
      <c r="Z3" s="1">
        <f>MAX(intermediate_results[[#This Row], [Team1 laps '[laps']]:[Team9 laps '[laps']]]) - intermediate_results[[#This Row], [Team7 laps '[laps']]]</f>
        <v>3.9864492788795669E-2</v>
      </c>
      <c r="AA3" s="1">
        <f>MAX(intermediate_results[[#This Row], [Team1 laps '[laps']]:[Team9 laps '[laps']]]) - intermediate_results[[#This Row], [Team8 laps '[laps']]]</f>
        <v>8.5859484124851337E-2</v>
      </c>
      <c r="AB3" s="1">
        <f>MAX(intermediate_results[[#This Row], [Team1 laps '[laps']]:[Team9 laps '[laps']]]) - intermediate_results[[#This Row], [Team9 laps '[laps']]]</f>
        <v>5.9770294446816141E-2</v>
      </c>
      <c r="AC3" s="1">
        <f>9 * intermediate_results[[#This Row], [All cumulative times '[sec']]] / SUM(intermediate_results[[#This Row], [Team1 laps '[laps']]:[Team9 laps '[laps']]])</f>
        <v>55.910111546632237</v>
      </c>
      <c r="AD3" s="1">
        <f>intermediate_results[[#This Row], [All cumulative times '[sec']]] / intermediate_results[[#This Row], [Team1 laps '[laps']]] - intermediate_results[[#This Row], [Total running average '[sec']]]</f>
        <v>-2.1541115466322367</v>
      </c>
      <c r="AE3" s="1">
        <f>intermediate_results[[#This Row], [All cumulative times '[sec']]] / intermediate_results[[#This Row], [Team2 laps '[laps']]] - intermediate_results[[#This Row], [Total running average '[sec']]]</f>
        <v>-2.2259565124772038</v>
      </c>
      <c r="AF3" s="1">
        <f>intermediate_results[[#This Row], [All cumulative times '[sec']]] / intermediate_results[[#This Row], [Team3 laps '[laps']]] - intermediate_results[[#This Row], [Total running average '[sec']]]</f>
        <v>-1.3811115466322335</v>
      </c>
      <c r="AG3" s="1">
        <f>intermediate_results[[#This Row], [All cumulative times '[sec']]] / intermediate_results[[#This Row], [Team4 laps '[laps']]] - intermediate_results[[#This Row], [Total running average '[sec']]]</f>
        <v>1.0738884533677648</v>
      </c>
      <c r="AH3" s="1">
        <f>intermediate_results[[#This Row], [All cumulative times '[sec']]] / intermediate_results[[#This Row], [Team5 laps '[laps']]] - intermediate_results[[#This Row], [Total running average '[sec']]]</f>
        <v>-0.43711154663223795</v>
      </c>
      <c r="AI3" s="1">
        <f>intermediate_results[[#This Row], [All cumulative times '[sec']]] / intermediate_results[[#This Row], [Team6 laps '[laps']]] - intermediate_results[[#This Row], [Total running average '[sec']]]</f>
        <v>1.5728884533677601</v>
      </c>
      <c r="AJ3" s="1">
        <f>intermediate_results[[#This Row], [All cumulative times '[sec']]] / intermediate_results[[#This Row], [Team7 laps '[laps']]] - intermediate_results[[#This Row], [Total running average '[sec']]]</f>
        <v>-1.1154663224033357E-4</v>
      </c>
      <c r="AK3" s="1">
        <f>intermediate_results[[#This Row], [All cumulative times '[sec']]] / intermediate_results[[#This Row], [Team8 laps '[laps']]] - intermediate_results[[#This Row], [Total running average '[sec']]]</f>
        <v>2.8088884533677643</v>
      </c>
      <c r="AL3" s="1">
        <f>intermediate_results[[#This Row], [All cumulative times '[sec']]] / intermediate_results[[#This Row], [Team9 laps '[laps']]] - intermediate_results[[#This Row], [Total running average '[sec']]]</f>
        <v>1.1818884533677618</v>
      </c>
    </row>
    <row r="4" spans="1:38" x14ac:dyDescent="0.25">
      <c r="A4" s="1">
        <v>54.529000000000003</v>
      </c>
      <c r="B4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1.0144507589919989</v>
      </c>
      <c r="C4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1.0157063197026024</v>
      </c>
      <c r="D4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</v>
      </c>
      <c r="E4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0.95691773129299451</v>
      </c>
      <c r="F4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0.9829827123104935</v>
      </c>
      <c r="G4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0.94861089365551565</v>
      </c>
      <c r="H4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0.97529958862457533</v>
      </c>
      <c r="I4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0.92864319896456005</v>
      </c>
      <c r="J4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0.95510754571568701</v>
      </c>
      <c r="K4" s="1">
        <f>intermediate_results[[#This Row], [Team1 laps '[laps']]] - intermediate_results[[#This Row], [Team1 laps '[laps']]]</f>
        <v>0</v>
      </c>
      <c r="L4" s="1">
        <f>intermediate_results[[#This Row], [Team1 laps '[laps']]] - intermediate_results[[#This Row], [Team2 laps '[laps']]]</f>
        <v>-1.2555607106035094E-3</v>
      </c>
      <c r="M4" s="1">
        <f>intermediate_results[[#This Row], [Team1 laps '[laps']]] - intermediate_results[[#This Row], [Team3 laps '[laps']]]</f>
        <v>1.445075899199888E-2</v>
      </c>
      <c r="N4" s="1">
        <f>intermediate_results[[#This Row], [Team1 laps '[laps']]] - intermediate_results[[#This Row], [Team4 laps '[laps']]]</f>
        <v>5.7533027699004369E-2</v>
      </c>
      <c r="O4" s="1">
        <f>intermediate_results[[#This Row], [Team1 laps '[laps']]] - intermediate_results[[#This Row], [Team5 laps '[laps']]]</f>
        <v>3.1468046681505379E-2</v>
      </c>
      <c r="P4" s="1">
        <f>intermediate_results[[#This Row], [Team1 laps '[laps']]] - intermediate_results[[#This Row], [Team6 laps '[laps']]]</f>
        <v>6.5839865336483228E-2</v>
      </c>
      <c r="Q4" s="1">
        <f>intermediate_results[[#This Row], [Team1 laps '[laps']]] - intermediate_results[[#This Row], [Team7 laps '[laps']]]</f>
        <v>3.9151170367423549E-2</v>
      </c>
      <c r="R4" s="1">
        <f>intermediate_results[[#This Row], [Team1 laps '[laps']]] - intermediate_results[[#This Row], [Team8 laps '[laps']]]</f>
        <v>8.5807560027438834E-2</v>
      </c>
      <c r="S4" s="1">
        <f>intermediate_results[[#This Row], [Team1 laps '[laps']]] - intermediate_results[[#This Row], [Team9 laps '[laps']]]</f>
        <v>5.9343213276311868E-2</v>
      </c>
      <c r="T4" s="1">
        <f>MAX(intermediate_results[[#This Row], [Team1 laps '[laps']]:[Team9 laps '[laps']]]) - intermediate_results[[#This Row], [Team1 laps '[laps']]]</f>
        <v>1.2555607106035094E-3</v>
      </c>
      <c r="U4" s="1">
        <f>MAX(intermediate_results[[#This Row], [Team1 laps '[laps']]:[Team9 laps '[laps']]]) - intermediate_results[[#This Row], [Team2 laps '[laps']]]</f>
        <v>0</v>
      </c>
      <c r="V4" s="1">
        <f>MAX(intermediate_results[[#This Row], [Team1 laps '[laps']]:[Team9 laps '[laps']]]) - intermediate_results[[#This Row], [Team3 laps '[laps']]]</f>
        <v>1.5706319702602389E-2</v>
      </c>
      <c r="W4" s="1">
        <f>MAX(intermediate_results[[#This Row], [Team1 laps '[laps']]:[Team9 laps '[laps']]]) - intermediate_results[[#This Row], [Team4 laps '[laps']]]</f>
        <v>5.8788588409607878E-2</v>
      </c>
      <c r="X4" s="1">
        <f>MAX(intermediate_results[[#This Row], [Team1 laps '[laps']]:[Team9 laps '[laps']]]) - intermediate_results[[#This Row], [Team5 laps '[laps']]]</f>
        <v>3.2723607392108889E-2</v>
      </c>
      <c r="Y4" s="1">
        <f>MAX(intermediate_results[[#This Row], [Team1 laps '[laps']]:[Team9 laps '[laps']]]) - intermediate_results[[#This Row], [Team6 laps '[laps']]]</f>
        <v>6.7095426047086737E-2</v>
      </c>
      <c r="Z4" s="1">
        <f>MAX(intermediate_results[[#This Row], [Team1 laps '[laps']]:[Team9 laps '[laps']]]) - intermediate_results[[#This Row], [Team7 laps '[laps']]]</f>
        <v>4.0406731078027058E-2</v>
      </c>
      <c r="AA4" s="1">
        <f>MAX(intermediate_results[[#This Row], [Team1 laps '[laps']]:[Team9 laps '[laps']]]) - intermediate_results[[#This Row], [Team8 laps '[laps']]]</f>
        <v>8.7063120738042343E-2</v>
      </c>
      <c r="AB4" s="1">
        <f>MAX(intermediate_results[[#This Row], [Team1 laps '[laps']]:[Team9 laps '[laps']]]) - intermediate_results[[#This Row], [Team9 laps '[laps']]]</f>
        <v>6.0598773986915377E-2</v>
      </c>
      <c r="AC4" s="1">
        <f>9 * intermediate_results[[#This Row], [All cumulative times '[sec']]] / SUM(intermediate_results[[#This Row], [Team1 laps '[laps']]:[Team9 laps '[laps']]])</f>
        <v>55.909856993476943</v>
      </c>
      <c r="AD4" s="1">
        <f>intermediate_results[[#This Row], [All cumulative times '[sec']]] / intermediate_results[[#This Row], [Team1 laps '[laps']]] - intermediate_results[[#This Row], [Total running average '[sec']]]</f>
        <v>-2.1576176495167516</v>
      </c>
      <c r="AE4" s="1">
        <f>intermediate_results[[#This Row], [All cumulative times '[sec']]] / intermediate_results[[#This Row], [Team2 laps '[laps']]] - intermediate_results[[#This Row], [Total running average '[sec']]]</f>
        <v>-2.2240632337551034</v>
      </c>
      <c r="AF4" s="1">
        <f>intermediate_results[[#This Row], [All cumulative times '[sec']]] / intermediate_results[[#This Row], [Team3 laps '[laps']]] - intermediate_results[[#This Row], [Total running average '[sec']]]</f>
        <v>-1.3808569934769395</v>
      </c>
      <c r="AG4" s="1">
        <f>intermediate_results[[#This Row], [All cumulative times '[sec']]] / intermediate_results[[#This Row], [Team4 laps '[laps']]] - intermediate_results[[#This Row], [Total running average '[sec']]]</f>
        <v>1.0741430065230588</v>
      </c>
      <c r="AH4" s="1">
        <f>intermediate_results[[#This Row], [All cumulative times '[sec']]] / intermediate_results[[#This Row], [Team5 laps '[laps']]] - intermediate_results[[#This Row], [Total running average '[sec']]]</f>
        <v>-0.43685699347694396</v>
      </c>
      <c r="AI4" s="1">
        <f>intermediate_results[[#This Row], [All cumulative times '[sec']]] / intermediate_results[[#This Row], [Team6 laps '[laps']]] - intermediate_results[[#This Row], [Total running average '[sec']]]</f>
        <v>1.5731430065230541</v>
      </c>
      <c r="AJ4" s="1">
        <f>intermediate_results[[#This Row], [All cumulative times '[sec']]] / intermediate_results[[#This Row], [Team7 laps '[laps']]] - intermediate_results[[#This Row], [Total running average '[sec']]]</f>
        <v>1.4300652305365702E-4</v>
      </c>
      <c r="AK4" s="1">
        <f>intermediate_results[[#This Row], [All cumulative times '[sec']]] / intermediate_results[[#This Row], [Team8 laps '[laps']]] - intermediate_results[[#This Row], [Total running average '[sec']]]</f>
        <v>2.8091430065230583</v>
      </c>
      <c r="AL4" s="1">
        <f>intermediate_results[[#This Row], [All cumulative times '[sec']]] / intermediate_results[[#This Row], [Team9 laps '[laps']]] - intermediate_results[[#This Row], [Total running average '[sec']]]</f>
        <v>1.1821430065230558</v>
      </c>
    </row>
    <row r="5" spans="1:38" x14ac:dyDescent="0.25">
      <c r="A5" s="1">
        <v>55.472999999999999</v>
      </c>
      <c r="B5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1.0320982576833919</v>
      </c>
      <c r="C5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1.0332527881040892</v>
      </c>
      <c r="D5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1.0171708168870617</v>
      </c>
      <c r="E5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0.97348378492208332</v>
      </c>
      <c r="F5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</v>
      </c>
      <c r="G5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0.96503314023276454</v>
      </c>
      <c r="H5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0.99218386692899307</v>
      </c>
      <c r="I5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0.94471976702600513</v>
      </c>
      <c r="J5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0.9716422616128354</v>
      </c>
      <c r="K5" s="1">
        <f>intermediate_results[[#This Row], [Team1 laps '[laps']]] - intermediate_results[[#This Row], [Team1 laps '[laps']]]</f>
        <v>0</v>
      </c>
      <c r="L5" s="1">
        <f>intermediate_results[[#This Row], [Team1 laps '[laps']]] - intermediate_results[[#This Row], [Team2 laps '[laps']]]</f>
        <v>-1.1545304206972418E-3</v>
      </c>
      <c r="M5" s="1">
        <f>intermediate_results[[#This Row], [Team1 laps '[laps']]] - intermediate_results[[#This Row], [Team3 laps '[laps']]]</f>
        <v>1.4927440796330238E-2</v>
      </c>
      <c r="N5" s="1">
        <f>intermediate_results[[#This Row], [Team1 laps '[laps']]] - intermediate_results[[#This Row], [Team4 laps '[laps']]]</f>
        <v>5.86144727613086E-2</v>
      </c>
      <c r="O5" s="1">
        <f>intermediate_results[[#This Row], [Team1 laps '[laps']]] - intermediate_results[[#This Row], [Team5 laps '[laps']]]</f>
        <v>3.2098257683391918E-2</v>
      </c>
      <c r="P5" s="1">
        <f>intermediate_results[[#This Row], [Team1 laps '[laps']]] - intermediate_results[[#This Row], [Team6 laps '[laps']]]</f>
        <v>6.7065117450627376E-2</v>
      </c>
      <c r="Q5" s="1">
        <f>intermediate_results[[#This Row], [Team1 laps '[laps']]] - intermediate_results[[#This Row], [Team7 laps '[laps']]]</f>
        <v>3.9914390754398843E-2</v>
      </c>
      <c r="R5" s="1">
        <f>intermediate_results[[#This Row], [Team1 laps '[laps']]] - intermediate_results[[#This Row], [Team8 laps '[laps']]]</f>
        <v>8.7378490657386787E-2</v>
      </c>
      <c r="S5" s="1">
        <f>intermediate_results[[#This Row], [Team1 laps '[laps']]] - intermediate_results[[#This Row], [Team9 laps '[laps']]]</f>
        <v>6.0455996070556517E-2</v>
      </c>
      <c r="T5" s="1">
        <f>MAX(intermediate_results[[#This Row], [Team1 laps '[laps']]:[Team9 laps '[laps']]]) - intermediate_results[[#This Row], [Team1 laps '[laps']]]</f>
        <v>1.1545304206972418E-3</v>
      </c>
      <c r="U5" s="1">
        <f>MAX(intermediate_results[[#This Row], [Team1 laps '[laps']]:[Team9 laps '[laps']]]) - intermediate_results[[#This Row], [Team2 laps '[laps']]]</f>
        <v>0</v>
      </c>
      <c r="V5" s="1">
        <f>MAX(intermediate_results[[#This Row], [Team1 laps '[laps']]:[Team9 laps '[laps']]]) - intermediate_results[[#This Row], [Team3 laps '[laps']]]</f>
        <v>1.608197121702748E-2</v>
      </c>
      <c r="W5" s="1">
        <f>MAX(intermediate_results[[#This Row], [Team1 laps '[laps']]:[Team9 laps '[laps']]]) - intermediate_results[[#This Row], [Team4 laps '[laps']]]</f>
        <v>5.9769003182005842E-2</v>
      </c>
      <c r="X5" s="1">
        <f>MAX(intermediate_results[[#This Row], [Team1 laps '[laps']]:[Team9 laps '[laps']]]) - intermediate_results[[#This Row], [Team5 laps '[laps']]]</f>
        <v>3.3252788104089159E-2</v>
      </c>
      <c r="Y5" s="1">
        <f>MAX(intermediate_results[[#This Row], [Team1 laps '[laps']]:[Team9 laps '[laps']]]) - intermediate_results[[#This Row], [Team6 laps '[laps']]]</f>
        <v>6.8219647871324618E-2</v>
      </c>
      <c r="Z5" s="1">
        <f>MAX(intermediate_results[[#This Row], [Team1 laps '[laps']]:[Team9 laps '[laps']]]) - intermediate_results[[#This Row], [Team7 laps '[laps']]]</f>
        <v>4.1068921175096085E-2</v>
      </c>
      <c r="AA5" s="1">
        <f>MAX(intermediate_results[[#This Row], [Team1 laps '[laps']]:[Team9 laps '[laps']]]) - intermediate_results[[#This Row], [Team8 laps '[laps']]]</f>
        <v>8.8533021078084029E-2</v>
      </c>
      <c r="AB5" s="1">
        <f>MAX(intermediate_results[[#This Row], [Team1 laps '[laps']]:[Team9 laps '[laps']]]) - intermediate_results[[#This Row], [Team9 laps '[laps']]]</f>
        <v>6.1610526491253759E-2</v>
      </c>
      <c r="AC5" s="1">
        <f>9 * intermediate_results[[#This Row], [All cumulative times '[sec']]] / SUM(intermediate_results[[#This Row], [Team1 laps '[laps']]:[Team9 laps '[laps']]])</f>
        <v>55.910439029518194</v>
      </c>
      <c r="AD5" s="1">
        <f>intermediate_results[[#This Row], [All cumulative times '[sec']]] / intermediate_results[[#This Row], [Team1 laps '[laps']]] - intermediate_results[[#This Row], [Total running average '[sec']]]</f>
        <v>-2.1626494299963781</v>
      </c>
      <c r="AE5" s="1">
        <f>intermediate_results[[#This Row], [All cumulative times '[sec']]] / intermediate_results[[#This Row], [Team2 laps '[laps']]] - intermediate_results[[#This Row], [Total running average '[sec']]]</f>
        <v>-2.2227058448953372</v>
      </c>
      <c r="AF5" s="1">
        <f>intermediate_results[[#This Row], [All cumulative times '[sec']]] / intermediate_results[[#This Row], [Team3 laps '[laps']]] - intermediate_results[[#This Row], [Total running average '[sec']]]</f>
        <v>-1.3738763607533215</v>
      </c>
      <c r="AG5" s="1">
        <f>intermediate_results[[#This Row], [All cumulative times '[sec']]] / intermediate_results[[#This Row], [Team4 laps '[laps']]] - intermediate_results[[#This Row], [Total running average '[sec']]]</f>
        <v>1.0735609704818074</v>
      </c>
      <c r="AH5" s="1">
        <f>intermediate_results[[#This Row], [All cumulative times '[sec']]] / intermediate_results[[#This Row], [Team5 laps '[laps']]] - intermediate_results[[#This Row], [Total running average '[sec']]]</f>
        <v>-0.43743902951819535</v>
      </c>
      <c r="AI5" s="1">
        <f>intermediate_results[[#This Row], [All cumulative times '[sec']]] / intermediate_results[[#This Row], [Team6 laps '[laps']]] - intermediate_results[[#This Row], [Total running average '[sec']]]</f>
        <v>1.5725609704818027</v>
      </c>
      <c r="AJ5" s="1">
        <f>intermediate_results[[#This Row], [All cumulative times '[sec']]] / intermediate_results[[#This Row], [Team7 laps '[laps']]] - intermediate_results[[#This Row], [Total running average '[sec']]]</f>
        <v>-4.3902951819774216E-4</v>
      </c>
      <c r="AK5" s="1">
        <f>intermediate_results[[#This Row], [All cumulative times '[sec']]] / intermediate_results[[#This Row], [Team8 laps '[laps']]] - intermediate_results[[#This Row], [Total running average '[sec']]]</f>
        <v>2.8085609704818069</v>
      </c>
      <c r="AL5" s="1">
        <f>intermediate_results[[#This Row], [All cumulative times '[sec']]] / intermediate_results[[#This Row], [Team9 laps '[laps']]] - intermediate_results[[#This Row], [Total running average '[sec']]]</f>
        <v>1.1815609704818044</v>
      </c>
    </row>
    <row r="6" spans="1:38" x14ac:dyDescent="0.25">
      <c r="A6" s="1">
        <v>55.91</v>
      </c>
      <c r="B6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1.0402677035818439</v>
      </c>
      <c r="C6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1.0413754646840148</v>
      </c>
      <c r="D6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1.0251195954671952</v>
      </c>
      <c r="E6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0.98115260423978656</v>
      </c>
      <c r="F6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1.0078567447546789</v>
      </c>
      <c r="G6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0.97263538785380022</v>
      </c>
      <c r="H6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</v>
      </c>
      <c r="I6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0.95216199185953432</v>
      </c>
      <c r="J6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0.97929657395081615</v>
      </c>
      <c r="K6" s="1">
        <f>intermediate_results[[#This Row], [Team1 laps '[laps']]] - intermediate_results[[#This Row], [Team1 laps '[laps']]]</f>
        <v>0</v>
      </c>
      <c r="L6" s="1">
        <f>intermediate_results[[#This Row], [Team1 laps '[laps']]] - intermediate_results[[#This Row], [Team2 laps '[laps']]]</f>
        <v>-1.1077611021708123E-3</v>
      </c>
      <c r="M6" s="1">
        <f>intermediate_results[[#This Row], [Team1 laps '[laps']]] - intermediate_results[[#This Row], [Team3 laps '[laps']]]</f>
        <v>1.5148108114648728E-2</v>
      </c>
      <c r="N6" s="1">
        <f>intermediate_results[[#This Row], [Team1 laps '[laps']]] - intermediate_results[[#This Row], [Team4 laps '[laps']]]</f>
        <v>5.9115099342057387E-2</v>
      </c>
      <c r="O6" s="1">
        <f>intermediate_results[[#This Row], [Team1 laps '[laps']]] - intermediate_results[[#This Row], [Team5 laps '[laps']]]</f>
        <v>3.2410958827165048E-2</v>
      </c>
      <c r="P6" s="1">
        <f>intermediate_results[[#This Row], [Team1 laps '[laps']]] - intermediate_results[[#This Row], [Team6 laps '[laps']]]</f>
        <v>6.7632315728043735E-2</v>
      </c>
      <c r="Q6" s="1">
        <f>intermediate_results[[#This Row], [Team1 laps '[laps']]] - intermediate_results[[#This Row], [Team7 laps '[laps']]]</f>
        <v>4.026770358184395E-2</v>
      </c>
      <c r="R6" s="1">
        <f>intermediate_results[[#This Row], [Team1 laps '[laps']]] - intermediate_results[[#This Row], [Team8 laps '[laps']]]</f>
        <v>8.8105711722309632E-2</v>
      </c>
      <c r="S6" s="1">
        <f>intermediate_results[[#This Row], [Team1 laps '[laps']]] - intermediate_results[[#This Row], [Team9 laps '[laps']]]</f>
        <v>6.0971129631027798E-2</v>
      </c>
      <c r="T6" s="1">
        <f>MAX(intermediate_results[[#This Row], [Team1 laps '[laps']]:[Team9 laps '[laps']]]) - intermediate_results[[#This Row], [Team1 laps '[laps']]]</f>
        <v>1.1077611021708123E-3</v>
      </c>
      <c r="U6" s="1">
        <f>MAX(intermediate_results[[#This Row], [Team1 laps '[laps']]:[Team9 laps '[laps']]]) - intermediate_results[[#This Row], [Team2 laps '[laps']]]</f>
        <v>0</v>
      </c>
      <c r="V6" s="1">
        <f>MAX(intermediate_results[[#This Row], [Team1 laps '[laps']]:[Team9 laps '[laps']]]) - intermediate_results[[#This Row], [Team3 laps '[laps']]]</f>
        <v>1.6255869216819541E-2</v>
      </c>
      <c r="W6" s="1">
        <f>MAX(intermediate_results[[#This Row], [Team1 laps '[laps']]:[Team9 laps '[laps']]]) - intermediate_results[[#This Row], [Team4 laps '[laps']]]</f>
        <v>6.0222860444228199E-2</v>
      </c>
      <c r="X6" s="1">
        <f>MAX(intermediate_results[[#This Row], [Team1 laps '[laps']]:[Team9 laps '[laps']]]) - intermediate_results[[#This Row], [Team5 laps '[laps']]]</f>
        <v>3.3518719929335861E-2</v>
      </c>
      <c r="Y6" s="1">
        <f>MAX(intermediate_results[[#This Row], [Team1 laps '[laps']]:[Team9 laps '[laps']]]) - intermediate_results[[#This Row], [Team6 laps '[laps']]]</f>
        <v>6.8740076830214547E-2</v>
      </c>
      <c r="Z6" s="1">
        <f>MAX(intermediate_results[[#This Row], [Team1 laps '[laps']]:[Team9 laps '[laps']]]) - intermediate_results[[#This Row], [Team7 laps '[laps']]]</f>
        <v>4.1375464684014762E-2</v>
      </c>
      <c r="AA6" s="1">
        <f>MAX(intermediate_results[[#This Row], [Team1 laps '[laps']]:[Team9 laps '[laps']]]) - intermediate_results[[#This Row], [Team8 laps '[laps']]]</f>
        <v>8.9213472824480444E-2</v>
      </c>
      <c r="AB6" s="1">
        <f>MAX(intermediate_results[[#This Row], [Team1 laps '[laps']]:[Team9 laps '[laps']]]) - intermediate_results[[#This Row], [Team9 laps '[laps']]]</f>
        <v>6.2078890733198611E-2</v>
      </c>
      <c r="AC6" s="1">
        <f>9 * intermediate_results[[#This Row], [All cumulative times '[sec']]] / SUM(intermediate_results[[#This Row], [Team1 laps '[laps']]:[Team9 laps '[laps']]])</f>
        <v>55.910832037719956</v>
      </c>
      <c r="AD6" s="1">
        <f>intermediate_results[[#This Row], [All cumulative times '[sec']]] / intermediate_results[[#This Row], [Team1 laps '[laps']]] - intermediate_results[[#This Row], [Total running average '[sec']]]</f>
        <v>-2.1650512089092615</v>
      </c>
      <c r="AE6" s="1">
        <f>intermediate_results[[#This Row], [All cumulative times '[sec']]] / intermediate_results[[#This Row], [Team2 laps '[laps']]] - intermediate_results[[#This Row], [Total running average '[sec']]]</f>
        <v>-2.2222231775478889</v>
      </c>
      <c r="AF6" s="1">
        <f>intermediate_results[[#This Row], [All cumulative times '[sec']]] / intermediate_results[[#This Row], [Team3 laps '[laps']]] - intermediate_results[[#This Row], [Total running average '[sec']]]</f>
        <v>-1.3708542173572695</v>
      </c>
      <c r="AG6" s="1">
        <f>intermediate_results[[#This Row], [All cumulative times '[sec']]] / intermediate_results[[#This Row], [Team4 laps '[laps']]] - intermediate_results[[#This Row], [Total running average '[sec']]]</f>
        <v>1.0731679622800456</v>
      </c>
      <c r="AH6" s="1">
        <f>intermediate_results[[#This Row], [All cumulative times '[sec']]] / intermediate_results[[#This Row], [Team5 laps '[laps']]] - intermediate_results[[#This Row], [Total running average '[sec']]]</f>
        <v>-0.4366783040869322</v>
      </c>
      <c r="AI6" s="1">
        <f>intermediate_results[[#This Row], [All cumulative times '[sec']]] / intermediate_results[[#This Row], [Team6 laps '[laps']]] - intermediate_results[[#This Row], [Total running average '[sec']]]</f>
        <v>1.5721679622800409</v>
      </c>
      <c r="AJ6" s="1">
        <f>intermediate_results[[#This Row], [All cumulative times '[sec']]] / intermediate_results[[#This Row], [Team7 laps '[laps']]] - intermediate_results[[#This Row], [Total running average '[sec']]]</f>
        <v>-8.3203771995954412E-4</v>
      </c>
      <c r="AK6" s="1">
        <f>intermediate_results[[#This Row], [All cumulative times '[sec']]] / intermediate_results[[#This Row], [Team8 laps '[laps']]] - intermediate_results[[#This Row], [Total running average '[sec']]]</f>
        <v>2.8081679622800451</v>
      </c>
      <c r="AL6" s="1">
        <f>intermediate_results[[#This Row], [All cumulative times '[sec']]] / intermediate_results[[#This Row], [Team9 laps '[laps']]] - intermediate_results[[#This Row], [Total running average '[sec']]]</f>
        <v>1.1811679622800426</v>
      </c>
    </row>
    <row r="7" spans="1:38" x14ac:dyDescent="0.25">
      <c r="A7" s="1">
        <v>56.984000000000002</v>
      </c>
      <c r="B7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1.0603454722201451</v>
      </c>
      <c r="C7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1.0613382899628254</v>
      </c>
      <c r="D7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1.0446550375611618</v>
      </c>
      <c r="E7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</v>
      </c>
      <c r="F7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1.0271659984538215</v>
      </c>
      <c r="G7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0.99131917262495006</v>
      </c>
      <c r="H7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1.0193106424294731</v>
      </c>
      <c r="I7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0.97045249408198364</v>
      </c>
      <c r="J7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0.99810831640159747</v>
      </c>
      <c r="K7" s="1">
        <f>intermediate_results[[#This Row], [Team1 laps '[laps']]] - intermediate_results[[#This Row], [Team1 laps '[laps']]]</f>
        <v>0</v>
      </c>
      <c r="L7" s="1">
        <f>intermediate_results[[#This Row], [Team1 laps '[laps']]] - intermediate_results[[#This Row], [Team2 laps '[laps']]]</f>
        <v>-9.9281774268034084E-4</v>
      </c>
      <c r="M7" s="1">
        <f>intermediate_results[[#This Row], [Team1 laps '[laps']]] - intermediate_results[[#This Row], [Team3 laps '[laps']]]</f>
        <v>1.5690434658983232E-2</v>
      </c>
      <c r="N7" s="1">
        <f>intermediate_results[[#This Row], [Team1 laps '[laps']]] - intermediate_results[[#This Row], [Team4 laps '[laps']]]</f>
        <v>6.034547222014508E-2</v>
      </c>
      <c r="O7" s="1">
        <f>intermediate_results[[#This Row], [Team1 laps '[laps']]] - intermediate_results[[#This Row], [Team5 laps '[laps']]]</f>
        <v>3.3179473766323575E-2</v>
      </c>
      <c r="P7" s="1">
        <f>intermediate_results[[#This Row], [Team1 laps '[laps']]] - intermediate_results[[#This Row], [Team6 laps '[laps']]]</f>
        <v>6.9026299595195018E-2</v>
      </c>
      <c r="Q7" s="1">
        <f>intermediate_results[[#This Row], [Team1 laps '[laps']]] - intermediate_results[[#This Row], [Team7 laps '[laps']]]</f>
        <v>4.1034829790671967E-2</v>
      </c>
      <c r="R7" s="1">
        <f>intermediate_results[[#This Row], [Team1 laps '[laps']]] - intermediate_results[[#This Row], [Team8 laps '[laps']]]</f>
        <v>8.9892978138161439E-2</v>
      </c>
      <c r="S7" s="1">
        <f>intermediate_results[[#This Row], [Team1 laps '[laps']]] - intermediate_results[[#This Row], [Team9 laps '[laps']]]</f>
        <v>6.2237155818547607E-2</v>
      </c>
      <c r="T7" s="1">
        <f>MAX(intermediate_results[[#This Row], [Team1 laps '[laps']]:[Team9 laps '[laps']]]) - intermediate_results[[#This Row], [Team1 laps '[laps']]]</f>
        <v>9.9281774268034084E-4</v>
      </c>
      <c r="U7" s="1">
        <f>MAX(intermediate_results[[#This Row], [Team1 laps '[laps']]:[Team9 laps '[laps']]]) - intermediate_results[[#This Row], [Team2 laps '[laps']]]</f>
        <v>0</v>
      </c>
      <c r="V7" s="1">
        <f>MAX(intermediate_results[[#This Row], [Team1 laps '[laps']]:[Team9 laps '[laps']]]) - intermediate_results[[#This Row], [Team3 laps '[laps']]]</f>
        <v>1.6683252401663573E-2</v>
      </c>
      <c r="W7" s="1">
        <f>MAX(intermediate_results[[#This Row], [Team1 laps '[laps']]:[Team9 laps '[laps']]]) - intermediate_results[[#This Row], [Team4 laps '[laps']]]</f>
        <v>6.1338289962825421E-2</v>
      </c>
      <c r="X7" s="1">
        <f>MAX(intermediate_results[[#This Row], [Team1 laps '[laps']]:[Team9 laps '[laps']]]) - intermediate_results[[#This Row], [Team5 laps '[laps']]]</f>
        <v>3.4172291509003916E-2</v>
      </c>
      <c r="Y7" s="1">
        <f>MAX(intermediate_results[[#This Row], [Team1 laps '[laps']]:[Team9 laps '[laps']]]) - intermediate_results[[#This Row], [Team6 laps '[laps']]]</f>
        <v>7.0019117337875358E-2</v>
      </c>
      <c r="Z7" s="1">
        <f>MAX(intermediate_results[[#This Row], [Team1 laps '[laps']]:[Team9 laps '[laps']]]) - intermediate_results[[#This Row], [Team7 laps '[laps']]]</f>
        <v>4.2027647533352308E-2</v>
      </c>
      <c r="AA7" s="1">
        <f>MAX(intermediate_results[[#This Row], [Team1 laps '[laps']]:[Team9 laps '[laps']]]) - intermediate_results[[#This Row], [Team8 laps '[laps']]]</f>
        <v>9.088579588084178E-2</v>
      </c>
      <c r="AB7" s="1">
        <f>MAX(intermediate_results[[#This Row], [Team1 laps '[laps']]:[Team9 laps '[laps']]]) - intermediate_results[[#This Row], [Team9 laps '[laps']]]</f>
        <v>6.3229973561227948E-2</v>
      </c>
      <c r="AC7" s="1">
        <f>9 * intermediate_results[[#This Row], [All cumulative times '[sec']]] / SUM(intermediate_results[[#This Row], [Team1 laps '[laps']]:[Team9 laps '[laps']]])</f>
        <v>55.911155479216639</v>
      </c>
      <c r="AD7" s="1">
        <f>intermediate_results[[#This Row], [All cumulative times '[sec']]] / intermediate_results[[#This Row], [Team1 laps '[laps']]] - intermediate_results[[#This Row], [Total running average '[sec']]]</f>
        <v>-2.1701800208245388</v>
      </c>
      <c r="AE7" s="1">
        <f>intermediate_results[[#This Row], [All cumulative times '[sec']]] / intermediate_results[[#This Row], [Team2 laps '[laps']]] - intermediate_results[[#This Row], [Total running average '[sec']]]</f>
        <v>-2.220451451195629</v>
      </c>
      <c r="AF7" s="1">
        <f>intermediate_results[[#This Row], [All cumulative times '[sec']]] / intermediate_results[[#This Row], [Team3 laps '[laps']]] - intermediate_results[[#This Row], [Total running average '[sec']]]</f>
        <v>-1.3630051797320277</v>
      </c>
      <c r="AG7" s="1">
        <f>intermediate_results[[#This Row], [All cumulative times '[sec']]] / intermediate_results[[#This Row], [Team4 laps '[laps']]] - intermediate_results[[#This Row], [Total running average '[sec']]]</f>
        <v>1.072844520783363</v>
      </c>
      <c r="AH7" s="1">
        <f>intermediate_results[[#This Row], [All cumulative times '[sec']]] / intermediate_results[[#This Row], [Team5 laps '[laps']]] - intermediate_results[[#This Row], [Total running average '[sec']]]</f>
        <v>-0.43424124551223997</v>
      </c>
      <c r="AI7" s="1">
        <f>intermediate_results[[#This Row], [All cumulative times '[sec']]] / intermediate_results[[#This Row], [Team6 laps '[laps']]] - intermediate_results[[#This Row], [Total running average '[sec']]]</f>
        <v>1.5718445207833582</v>
      </c>
      <c r="AJ7" s="1">
        <f>intermediate_results[[#This Row], [All cumulative times '[sec']]] / intermediate_results[[#This Row], [Team7 laps '[laps']]] - intermediate_results[[#This Row], [Total running average '[sec']]]</f>
        <v>-6.7063073904307657E-3</v>
      </c>
      <c r="AK7" s="1">
        <f>intermediate_results[[#This Row], [All cumulative times '[sec']]] / intermediate_results[[#This Row], [Team8 laps '[laps']]] - intermediate_results[[#This Row], [Total running average '[sec']]]</f>
        <v>2.8078445207833624</v>
      </c>
      <c r="AL7" s="1">
        <f>intermediate_results[[#This Row], [All cumulative times '[sec']]] / intermediate_results[[#This Row], [Team9 laps '[laps']]] - intermediate_results[[#This Row], [Total running average '[sec']]]</f>
        <v>1.18084452078336</v>
      </c>
    </row>
    <row r="8" spans="1:38" x14ac:dyDescent="0.25">
      <c r="A8" s="1">
        <v>57.091999999999999</v>
      </c>
      <c r="B8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1.0623644657144993</v>
      </c>
      <c r="C8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1.0633457249070632</v>
      </c>
      <c r="D8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1.0466194954253596</v>
      </c>
      <c r="E8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1.0019443344255212</v>
      </c>
      <c r="F8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1.0291077111163049</v>
      </c>
      <c r="G8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0.99319798897065226</v>
      </c>
      <c r="H8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1.0212524947408168</v>
      </c>
      <c r="I8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0.97229176246189475</v>
      </c>
      <c r="J8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</v>
      </c>
      <c r="K8" s="1">
        <f>intermediate_results[[#This Row], [Team1 laps '[laps']]] - intermediate_results[[#This Row], [Team1 laps '[laps']]]</f>
        <v>0</v>
      </c>
      <c r="L8" s="1">
        <f>intermediate_results[[#This Row], [Team1 laps '[laps']]] - intermediate_results[[#This Row], [Team2 laps '[laps']]]</f>
        <v>-9.8125919256397687E-4</v>
      </c>
      <c r="M8" s="1">
        <f>intermediate_results[[#This Row], [Team1 laps '[laps']]] - intermediate_results[[#This Row], [Team3 laps '[laps']]]</f>
        <v>1.5744970289139681E-2</v>
      </c>
      <c r="N8" s="1">
        <f>intermediate_results[[#This Row], [Team1 laps '[laps']]] - intermediate_results[[#This Row], [Team4 laps '[laps']]]</f>
        <v>6.0420131288978052E-2</v>
      </c>
      <c r="O8" s="1">
        <f>intermediate_results[[#This Row], [Team1 laps '[laps']]] - intermediate_results[[#This Row], [Team5 laps '[laps']]]</f>
        <v>3.3256754598194327E-2</v>
      </c>
      <c r="P8" s="1">
        <f>intermediate_results[[#This Row], [Team1 laps '[laps']]] - intermediate_results[[#This Row], [Team6 laps '[laps']]]</f>
        <v>6.9166476743847016E-2</v>
      </c>
      <c r="Q8" s="1">
        <f>intermediate_results[[#This Row], [Team1 laps '[laps']]] - intermediate_results[[#This Row], [Team7 laps '[laps']]]</f>
        <v>4.1111970973682466E-2</v>
      </c>
      <c r="R8" s="1">
        <f>intermediate_results[[#This Row], [Team1 laps '[laps']]] - intermediate_results[[#This Row], [Team8 laps '[laps']]]</f>
        <v>9.0072703252604525E-2</v>
      </c>
      <c r="S8" s="1">
        <f>intermediate_results[[#This Row], [Team1 laps '[laps']]] - intermediate_results[[#This Row], [Team9 laps '[laps']]]</f>
        <v>6.2364465714499273E-2</v>
      </c>
      <c r="T8" s="1">
        <f>MAX(intermediate_results[[#This Row], [Team1 laps '[laps']]:[Team9 laps '[laps']]]) - intermediate_results[[#This Row], [Team1 laps '[laps']]]</f>
        <v>9.8125919256397687E-4</v>
      </c>
      <c r="U8" s="1">
        <f>MAX(intermediate_results[[#This Row], [Team1 laps '[laps']]:[Team9 laps '[laps']]]) - intermediate_results[[#This Row], [Team2 laps '[laps']]]</f>
        <v>0</v>
      </c>
      <c r="V8" s="1">
        <f>MAX(intermediate_results[[#This Row], [Team1 laps '[laps']]:[Team9 laps '[laps']]]) - intermediate_results[[#This Row], [Team3 laps '[laps']]]</f>
        <v>1.6726229481703658E-2</v>
      </c>
      <c r="W8" s="1">
        <f>MAX(intermediate_results[[#This Row], [Team1 laps '[laps']]:[Team9 laps '[laps']]]) - intermediate_results[[#This Row], [Team4 laps '[laps']]]</f>
        <v>6.1401390481542029E-2</v>
      </c>
      <c r="X8" s="1">
        <f>MAX(intermediate_results[[#This Row], [Team1 laps '[laps']]:[Team9 laps '[laps']]]) - intermediate_results[[#This Row], [Team5 laps '[laps']]]</f>
        <v>3.4238013790758304E-2</v>
      </c>
      <c r="Y8" s="1">
        <f>MAX(intermediate_results[[#This Row], [Team1 laps '[laps']]:[Team9 laps '[laps']]]) - intermediate_results[[#This Row], [Team6 laps '[laps']]]</f>
        <v>7.0147735936410993E-2</v>
      </c>
      <c r="Z8" s="1">
        <f>MAX(intermediate_results[[#This Row], [Team1 laps '[laps']]:[Team9 laps '[laps']]]) - intermediate_results[[#This Row], [Team7 laps '[laps']]]</f>
        <v>4.2093230166246443E-2</v>
      </c>
      <c r="AA8" s="1">
        <f>MAX(intermediate_results[[#This Row], [Team1 laps '[laps']]:[Team9 laps '[laps']]]) - intermediate_results[[#This Row], [Team8 laps '[laps']]]</f>
        <v>9.1053962445168501E-2</v>
      </c>
      <c r="AB8" s="1">
        <f>MAX(intermediate_results[[#This Row], [Team1 laps '[laps']]:[Team9 laps '[laps']]]) - intermediate_results[[#This Row], [Team9 laps '[laps']]]</f>
        <v>6.334572490706325E-2</v>
      </c>
      <c r="AC8" s="1">
        <f>9 * intermediate_results[[#This Row], [All cumulative times '[sec']]] / SUM(intermediate_results[[#This Row], [Team1 laps '[laps']]:[Team9 laps '[laps']]])</f>
        <v>55.910888824061573</v>
      </c>
      <c r="AD8" s="1">
        <f>intermediate_results[[#This Row], [All cumulative times '[sec']]] / intermediate_results[[#This Row], [Team1 laps '[laps']]] - intermediate_results[[#This Row], [Total running average '[sec']]]</f>
        <v>-2.1703865364568671</v>
      </c>
      <c r="AE8" s="1">
        <f>intermediate_results[[#This Row], [All cumulative times '[sec']]] / intermediate_results[[#This Row], [Team2 laps '[laps']]] - intermediate_results[[#This Row], [Total running average '[sec']]]</f>
        <v>-2.2199784618744687</v>
      </c>
      <c r="AF8" s="1">
        <f>intermediate_results[[#This Row], [All cumulative times '[sec']]] / intermediate_results[[#This Row], [Team3 laps '[laps']]] - intermediate_results[[#This Row], [Total running average '[sec']]]</f>
        <v>-1.3619335929180139</v>
      </c>
      <c r="AG8" s="1">
        <f>intermediate_results[[#This Row], [All cumulative times '[sec']]] / intermediate_results[[#This Row], [Team4 laps '[laps']]] - intermediate_results[[#This Row], [Total running average '[sec']]]</f>
        <v>1.0703206487525989</v>
      </c>
      <c r="AH8" s="1">
        <f>intermediate_results[[#This Row], [All cumulative times '[sec']]] / intermediate_results[[#This Row], [Team5 laps '[laps']]] - intermediate_results[[#This Row], [Total running average '[sec']]]</f>
        <v>-0.43370273042076235</v>
      </c>
      <c r="AI8" s="1">
        <f>intermediate_results[[#This Row], [All cumulative times '[sec']]] / intermediate_results[[#This Row], [Team6 laps '[laps']]] - intermediate_results[[#This Row], [Total running average '[sec']]]</f>
        <v>1.5721111759384243</v>
      </c>
      <c r="AJ8" s="1">
        <f>intermediate_results[[#This Row], [All cumulative times '[sec']]] / intermediate_results[[#This Row], [Team7 laps '[laps']]] - intermediate_results[[#This Row], [Total running average '[sec']]]</f>
        <v>-6.9862201425010539E-3</v>
      </c>
      <c r="AK8" s="1">
        <f>intermediate_results[[#This Row], [All cumulative times '[sec']]] / intermediate_results[[#This Row], [Team8 laps '[laps']]] - intermediate_results[[#This Row], [Total running average '[sec']]]</f>
        <v>2.8081111759384285</v>
      </c>
      <c r="AL8" s="1">
        <f>intermediate_results[[#This Row], [All cumulative times '[sec']]] / intermediate_results[[#This Row], [Team9 laps '[laps']]] - intermediate_results[[#This Row], [Total running average '[sec']]]</f>
        <v>1.1811111759384261</v>
      </c>
    </row>
    <row r="9" spans="1:38" x14ac:dyDescent="0.25">
      <c r="A9" s="1">
        <v>57.482999999999997</v>
      </c>
      <c r="B9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1.0696739699394302</v>
      </c>
      <c r="C9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1.0706133828996283</v>
      </c>
      <c r="D9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1.0537315604707422</v>
      </c>
      <c r="E9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1.0089835451697691</v>
      </c>
      <c r="F9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1.0361374301073336</v>
      </c>
      <c r="G9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</v>
      </c>
      <c r="H9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1.0282827193124404</v>
      </c>
      <c r="I9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0.97895059520768402</v>
      </c>
      <c r="J9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1.0069000811774256</v>
      </c>
      <c r="K9" s="1">
        <f>intermediate_results[[#This Row], [Team1 laps '[laps']]] - intermediate_results[[#This Row], [Team1 laps '[laps']]]</f>
        <v>0</v>
      </c>
      <c r="L9" s="1">
        <f>intermediate_results[[#This Row], [Team1 laps '[laps']]] - intermediate_results[[#This Row], [Team2 laps '[laps']]]</f>
        <v>-9.3941296019806053E-4</v>
      </c>
      <c r="M9" s="1">
        <f>intermediate_results[[#This Row], [Team1 laps '[laps']]] - intermediate_results[[#This Row], [Team3 laps '[laps']]]</f>
        <v>1.5942409468687968E-2</v>
      </c>
      <c r="N9" s="1">
        <f>intermediate_results[[#This Row], [Team1 laps '[laps']]] - intermediate_results[[#This Row], [Team4 laps '[laps']]]</f>
        <v>6.0690424769661133E-2</v>
      </c>
      <c r="O9" s="1">
        <f>intermediate_results[[#This Row], [Team1 laps '[laps']]] - intermediate_results[[#This Row], [Team5 laps '[laps']]]</f>
        <v>3.353653983209659E-2</v>
      </c>
      <c r="P9" s="1">
        <f>intermediate_results[[#This Row], [Team1 laps '[laps']]] - intermediate_results[[#This Row], [Team6 laps '[laps']]]</f>
        <v>6.9673969939430203E-2</v>
      </c>
      <c r="Q9" s="1">
        <f>intermediate_results[[#This Row], [Team1 laps '[laps']]] - intermediate_results[[#This Row], [Team7 laps '[laps']]]</f>
        <v>4.1391250626989784E-2</v>
      </c>
      <c r="R9" s="1">
        <f>intermediate_results[[#This Row], [Team1 laps '[laps']]] - intermediate_results[[#This Row], [Team8 laps '[laps']]]</f>
        <v>9.0723374731746187E-2</v>
      </c>
      <c r="S9" s="1">
        <f>intermediate_results[[#This Row], [Team1 laps '[laps']]] - intermediate_results[[#This Row], [Team9 laps '[laps']]]</f>
        <v>6.2773888762004626E-2</v>
      </c>
      <c r="T9" s="1">
        <f>MAX(intermediate_results[[#This Row], [Team1 laps '[laps']]:[Team9 laps '[laps']]]) - intermediate_results[[#This Row], [Team1 laps '[laps']]]</f>
        <v>9.3941296019806053E-4</v>
      </c>
      <c r="U9" s="1">
        <f>MAX(intermediate_results[[#This Row], [Team1 laps '[laps']]:[Team9 laps '[laps']]]) - intermediate_results[[#This Row], [Team2 laps '[laps']]]</f>
        <v>0</v>
      </c>
      <c r="V9" s="1">
        <f>MAX(intermediate_results[[#This Row], [Team1 laps '[laps']]:[Team9 laps '[laps']]]) - intermediate_results[[#This Row], [Team3 laps '[laps']]]</f>
        <v>1.6881822428886029E-2</v>
      </c>
      <c r="W9" s="1">
        <f>MAX(intermediate_results[[#This Row], [Team1 laps '[laps']]:[Team9 laps '[laps']]]) - intermediate_results[[#This Row], [Team4 laps '[laps']]]</f>
        <v>6.1629837729859194E-2</v>
      </c>
      <c r="X9" s="1">
        <f>MAX(intermediate_results[[#This Row], [Team1 laps '[laps']]:[Team9 laps '[laps']]]) - intermediate_results[[#This Row], [Team5 laps '[laps']]]</f>
        <v>3.4475952792294651E-2</v>
      </c>
      <c r="Y9" s="1">
        <f>MAX(intermediate_results[[#This Row], [Team1 laps '[laps']]:[Team9 laps '[laps']]]) - intermediate_results[[#This Row], [Team6 laps '[laps']]]</f>
        <v>7.0613382899628263E-2</v>
      </c>
      <c r="Z9" s="1">
        <f>MAX(intermediate_results[[#This Row], [Team1 laps '[laps']]:[Team9 laps '[laps']]]) - intermediate_results[[#This Row], [Team7 laps '[laps']]]</f>
        <v>4.2330663587187844E-2</v>
      </c>
      <c r="AA9" s="1">
        <f>MAX(intermediate_results[[#This Row], [Team1 laps '[laps']]:[Team9 laps '[laps']]]) - intermediate_results[[#This Row], [Team8 laps '[laps']]]</f>
        <v>9.1662787691944247E-2</v>
      </c>
      <c r="AB9" s="1">
        <f>MAX(intermediate_results[[#This Row], [Team1 laps '[laps']]:[Team9 laps '[laps']]]) - intermediate_results[[#This Row], [Team9 laps '[laps']]]</f>
        <v>6.3713301722202687E-2</v>
      </c>
      <c r="AC9" s="1">
        <f>9 * intermediate_results[[#This Row], [All cumulative times '[sec']]] / SUM(intermediate_results[[#This Row], [Team1 laps '[laps']]:[Team9 laps '[laps']]])</f>
        <v>55.909620747789887</v>
      </c>
      <c r="AD9" s="1">
        <f>intermediate_results[[#This Row], [All cumulative times '[sec']]] / intermediate_results[[#This Row], [Team1 laps '[laps']]] - intermediate_results[[#This Row], [Total running average '[sec']]]</f>
        <v>-2.1708165743510008</v>
      </c>
      <c r="AE9" s="1">
        <f>intermediate_results[[#This Row], [All cumulative times '[sec']]] / intermediate_results[[#This Row], [Team2 laps '[laps']]] - intermediate_results[[#This Row], [Total running average '[sec']]]</f>
        <v>-2.2179698510729366</v>
      </c>
      <c r="AF9" s="1">
        <f>intermediate_results[[#This Row], [All cumulative times '[sec']]] / intermediate_results[[#This Row], [Team3 laps '[laps']]] - intermediate_results[[#This Row], [Total running average '[sec']]]</f>
        <v>-1.3577764675254329</v>
      </c>
      <c r="AG9" s="1">
        <f>intermediate_results[[#This Row], [All cumulative times '[sec']]] / intermediate_results[[#This Row], [Team4 laps '[laps']]] - intermediate_results[[#This Row], [Total running average '[sec']]]</f>
        <v>1.0615759334484096</v>
      </c>
      <c r="AH9" s="1">
        <f>intermediate_results[[#This Row], [All cumulative times '[sec']]] / intermediate_results[[#This Row], [Team5 laps '[laps']]] - intermediate_results[[#This Row], [Total running average '[sec']]]</f>
        <v>-0.4314589425114832</v>
      </c>
      <c r="AI9" s="1">
        <f>intermediate_results[[#This Row], [All cumulative times '[sec']]] / intermediate_results[[#This Row], [Team6 laps '[laps']]] - intermediate_results[[#This Row], [Total running average '[sec']]]</f>
        <v>1.5733792522101098</v>
      </c>
      <c r="AJ9" s="1">
        <f>intermediate_results[[#This Row], [All cumulative times '[sec']]] / intermediate_results[[#This Row], [Team7 laps '[laps']]] - intermediate_results[[#This Row], [Total running average '[sec']]]</f>
        <v>-7.6796566900441121E-3</v>
      </c>
      <c r="AK9" s="1">
        <f>intermediate_results[[#This Row], [All cumulative times '[sec']]] / intermediate_results[[#This Row], [Team8 laps '[laps']]] - intermediate_results[[#This Row], [Total running average '[sec']]]</f>
        <v>2.809379252210114</v>
      </c>
      <c r="AL9" s="1">
        <f>intermediate_results[[#This Row], [All cumulative times '[sec']]] / intermediate_results[[#This Row], [Team9 laps '[laps']]] - intermediate_results[[#This Row], [Total running average '[sec']]]</f>
        <v>1.1794599609750307</v>
      </c>
    </row>
    <row r="10" spans="1:38" x14ac:dyDescent="0.25">
      <c r="A10" s="1">
        <v>58.719000000000001</v>
      </c>
      <c r="B10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1.0927802288192627</v>
      </c>
      <c r="C10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1.0935873605947957</v>
      </c>
      <c r="D10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1.0762136893610055</v>
      </c>
      <c r="E10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1.0312353724840673</v>
      </c>
      <c r="F10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1.0583592528002015</v>
      </c>
      <c r="G10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1.0221192218901556</v>
      </c>
      <c r="H10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1.0505061402089291</v>
      </c>
      <c r="I10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</v>
      </c>
      <c r="J10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1.0287121024953234</v>
      </c>
      <c r="K10" s="1">
        <f>intermediate_results[[#This Row], [Team1 laps '[laps']]] - intermediate_results[[#This Row], [Team1 laps '[laps']]]</f>
        <v>0</v>
      </c>
      <c r="L10" s="1">
        <f>intermediate_results[[#This Row], [Team1 laps '[laps']]] - intermediate_results[[#This Row], [Team2 laps '[laps']]]</f>
        <v>-8.0713177553293214E-4</v>
      </c>
      <c r="M10" s="1">
        <f>intermediate_results[[#This Row], [Team1 laps '[laps']]] - intermediate_results[[#This Row], [Team3 laps '[laps']]]</f>
        <v>1.6566539458257257E-2</v>
      </c>
      <c r="N10" s="1">
        <f>intermediate_results[[#This Row], [Team1 laps '[laps']]] - intermediate_results[[#This Row], [Team4 laps '[laps']]]</f>
        <v>6.1544856335195464E-2</v>
      </c>
      <c r="O10" s="1">
        <f>intermediate_results[[#This Row], [Team1 laps '[laps']]] - intermediate_results[[#This Row], [Team5 laps '[laps']]]</f>
        <v>3.4420976019061245E-2</v>
      </c>
      <c r="P10" s="1">
        <f>intermediate_results[[#This Row], [Team1 laps '[laps']]] - intermediate_results[[#This Row], [Team6 laps '[laps']]]</f>
        <v>7.0661006929107151E-2</v>
      </c>
      <c r="Q10" s="1">
        <f>intermediate_results[[#This Row], [Team1 laps '[laps']]] - intermediate_results[[#This Row], [Team7 laps '[laps']]]</f>
        <v>4.227408861033366E-2</v>
      </c>
      <c r="R10" s="1">
        <f>intermediate_results[[#This Row], [Team1 laps '[laps']]] - intermediate_results[[#This Row], [Team8 laps '[laps']]]</f>
        <v>9.2780228819262733E-2</v>
      </c>
      <c r="S10" s="1">
        <f>intermediate_results[[#This Row], [Team1 laps '[laps']]] - intermediate_results[[#This Row], [Team9 laps '[laps']]]</f>
        <v>6.4068126323939323E-2</v>
      </c>
      <c r="T10" s="1">
        <f>MAX(intermediate_results[[#This Row], [Team1 laps '[laps']]:[Team9 laps '[laps']]]) - intermediate_results[[#This Row], [Team1 laps '[laps']]]</f>
        <v>8.0713177553293214E-4</v>
      </c>
      <c r="U10" s="1">
        <f>MAX(intermediate_results[[#This Row], [Team1 laps '[laps']]:[Team9 laps '[laps']]]) - intermediate_results[[#This Row], [Team2 laps '[laps']]]</f>
        <v>0</v>
      </c>
      <c r="V10" s="1">
        <f>MAX(intermediate_results[[#This Row], [Team1 laps '[laps']]:[Team9 laps '[laps']]]) - intermediate_results[[#This Row], [Team3 laps '[laps']]]</f>
        <v>1.7373671233790189E-2</v>
      </c>
      <c r="W10" s="1">
        <f>MAX(intermediate_results[[#This Row], [Team1 laps '[laps']]:[Team9 laps '[laps']]]) - intermediate_results[[#This Row], [Team4 laps '[laps']]]</f>
        <v>6.2351988110728396E-2</v>
      </c>
      <c r="X10" s="1">
        <f>MAX(intermediate_results[[#This Row], [Team1 laps '[laps']]:[Team9 laps '[laps']]]) - intermediate_results[[#This Row], [Team5 laps '[laps']]]</f>
        <v>3.5228107794594177E-2</v>
      </c>
      <c r="Y10" s="1">
        <f>MAX(intermediate_results[[#This Row], [Team1 laps '[laps']]:[Team9 laps '[laps']]]) - intermediate_results[[#This Row], [Team6 laps '[laps']]]</f>
        <v>7.1468138704640083E-2</v>
      </c>
      <c r="Z10" s="1">
        <f>MAX(intermediate_results[[#This Row], [Team1 laps '[laps']]:[Team9 laps '[laps']]]) - intermediate_results[[#This Row], [Team7 laps '[laps']]]</f>
        <v>4.3081220385866592E-2</v>
      </c>
      <c r="AA10" s="1">
        <f>MAX(intermediate_results[[#This Row], [Team1 laps '[laps']]:[Team9 laps '[laps']]]) - intermediate_results[[#This Row], [Team8 laps '[laps']]]</f>
        <v>9.3587360594795665E-2</v>
      </c>
      <c r="AB10" s="1">
        <f>MAX(intermediate_results[[#This Row], [Team1 laps '[laps']]:[Team9 laps '[laps']]]) - intermediate_results[[#This Row], [Team9 laps '[laps']]]</f>
        <v>6.4875258099472255E-2</v>
      </c>
      <c r="AC10" s="1">
        <f>9 * intermediate_results[[#This Row], [All cumulative times '[sec']]] / SUM(intermediate_results[[#This Row], [Team1 laps '[laps']]:[Team9 laps '[laps']]])</f>
        <v>55.902073588039855</v>
      </c>
      <c r="AD10" s="1">
        <f>intermediate_results[[#This Row], [All cumulative times '[sec']]] / intermediate_results[[#This Row], [Team1 laps '[laps']]] - intermediate_results[[#This Row], [Total running average '[sec']]]</f>
        <v>-2.1684879580680843</v>
      </c>
      <c r="AE10" s="1">
        <f>intermediate_results[[#This Row], [All cumulative times '[sec']]] / intermediate_results[[#This Row], [Team2 laps '[laps']]] - intermediate_results[[#This Row], [Total running average '[sec']]]</f>
        <v>-2.2081465038212826</v>
      </c>
      <c r="AF10" s="1">
        <f>intermediate_results[[#This Row], [All cumulative times '[sec']]] / intermediate_results[[#This Row], [Team3 laps '[laps']]] - intermediate_results[[#This Row], [Total running average '[sec']]]</f>
        <v>-1.341347794945726</v>
      </c>
      <c r="AG10" s="1">
        <f>intermediate_results[[#This Row], [All cumulative times '[sec']]] / intermediate_results[[#This Row], [Team4 laps '[laps']]] - intermediate_results[[#This Row], [Total running average '[sec']]]</f>
        <v>1.0383704335379846</v>
      </c>
      <c r="AH10" s="1">
        <f>intermediate_results[[#This Row], [All cumulative times '[sec']]] / intermediate_results[[#This Row], [Team5 laps '[laps']]] - intermediate_results[[#This Row], [Total running average '[sec']]]</f>
        <v>-0.42091268294872464</v>
      </c>
      <c r="AI10" s="1">
        <f>intermediate_results[[#This Row], [All cumulative times '[sec']]] / intermediate_results[[#This Row], [Team6 laps '[laps']]] - intermediate_results[[#This Row], [Total running average '[sec']]]</f>
        <v>1.5462149701322545</v>
      </c>
      <c r="AJ10" s="1">
        <f>intermediate_results[[#This Row], [All cumulative times '[sec']]] / intermediate_results[[#This Row], [Team7 laps '[laps']]] - intermediate_results[[#This Row], [Total running average '[sec']]]</f>
        <v>-6.1604158220163185E-3</v>
      </c>
      <c r="AK10" s="1">
        <f>intermediate_results[[#This Row], [All cumulative times '[sec']]] / intermediate_results[[#This Row], [Team8 laps '[laps']]] - intermediate_results[[#This Row], [Total running average '[sec']]]</f>
        <v>2.8169264119601465</v>
      </c>
      <c r="AL10" s="1">
        <f>intermediate_results[[#This Row], [All cumulative times '[sec']]] / intermediate_results[[#This Row], [Team9 laps '[laps']]] - intermediate_results[[#This Row], [Total running average '[sec']]]</f>
        <v>1.1780364423240002</v>
      </c>
    </row>
    <row r="11" spans="1:38" x14ac:dyDescent="0.25">
      <c r="A11" s="1">
        <v>107.248</v>
      </c>
      <c r="B11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2.0000000000000004</v>
      </c>
      <c r="C11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1.9956133828996285</v>
      </c>
      <c r="D11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1.9589282790985321</v>
      </c>
      <c r="E11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1.9049076441147879</v>
      </c>
      <c r="F11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1.9308534546304454</v>
      </c>
      <c r="G11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1.8905850140482114</v>
      </c>
      <c r="H11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1.9230630922200049</v>
      </c>
      <c r="I11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1.8563739676713489</v>
      </c>
      <c r="J11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1.8851162954858294</v>
      </c>
      <c r="K11" s="1">
        <f>intermediate_results[[#This Row], [Team1 laps '[laps']]] - intermediate_results[[#This Row], [Team1 laps '[laps']]]</f>
        <v>0</v>
      </c>
      <c r="L11" s="1">
        <f>intermediate_results[[#This Row], [Team1 laps '[laps']]] - intermediate_results[[#This Row], [Team2 laps '[laps']]]</f>
        <v>4.3866171003719145E-3</v>
      </c>
      <c r="M11" s="1">
        <f>intermediate_results[[#This Row], [Team1 laps '[laps']]] - intermediate_results[[#This Row], [Team3 laps '[laps']]]</f>
        <v>4.1071720901468378E-2</v>
      </c>
      <c r="N11" s="1">
        <f>intermediate_results[[#This Row], [Team1 laps '[laps']]] - intermediate_results[[#This Row], [Team4 laps '[laps']]]</f>
        <v>9.5092355885212587E-2</v>
      </c>
      <c r="O11" s="1">
        <f>intermediate_results[[#This Row], [Team1 laps '[laps']]] - intermediate_results[[#This Row], [Team5 laps '[laps']]]</f>
        <v>6.9146545369555001E-2</v>
      </c>
      <c r="P11" s="1">
        <f>intermediate_results[[#This Row], [Team1 laps '[laps']]] - intermediate_results[[#This Row], [Team6 laps '[laps']]]</f>
        <v>0.109414985951789</v>
      </c>
      <c r="Q11" s="1">
        <f>intermediate_results[[#This Row], [Team1 laps '[laps']]] - intermediate_results[[#This Row], [Team7 laps '[laps']]]</f>
        <v>7.6936907779995511E-2</v>
      </c>
      <c r="R11" s="1">
        <f>intermediate_results[[#This Row], [Team1 laps '[laps']]] - intermediate_results[[#This Row], [Team8 laps '[laps']]]</f>
        <v>0.14362603232865156</v>
      </c>
      <c r="S11" s="1">
        <f>intermediate_results[[#This Row], [Team1 laps '[laps']]] - intermediate_results[[#This Row], [Team9 laps '[laps']]]</f>
        <v>0.11488370451417107</v>
      </c>
      <c r="T11" s="1">
        <f>MAX(intermediate_results[[#This Row], [Team1 laps '[laps']]:[Team9 laps '[laps']]]) - intermediate_results[[#This Row], [Team1 laps '[laps']]]</f>
        <v>0</v>
      </c>
      <c r="U11" s="1">
        <f>MAX(intermediate_results[[#This Row], [Team1 laps '[laps']]:[Team9 laps '[laps']]]) - intermediate_results[[#This Row], [Team2 laps '[laps']]]</f>
        <v>4.3866171003719145E-3</v>
      </c>
      <c r="V11" s="1">
        <f>MAX(intermediate_results[[#This Row], [Team1 laps '[laps']]:[Team9 laps '[laps']]]) - intermediate_results[[#This Row], [Team3 laps '[laps']]]</f>
        <v>4.1071720901468378E-2</v>
      </c>
      <c r="W11" s="1">
        <f>MAX(intermediate_results[[#This Row], [Team1 laps '[laps']]:[Team9 laps '[laps']]]) - intermediate_results[[#This Row], [Team4 laps '[laps']]]</f>
        <v>9.5092355885212587E-2</v>
      </c>
      <c r="X11" s="1">
        <f>MAX(intermediate_results[[#This Row], [Team1 laps '[laps']]:[Team9 laps '[laps']]]) - intermediate_results[[#This Row], [Team5 laps '[laps']]]</f>
        <v>6.9146545369555001E-2</v>
      </c>
      <c r="Y11" s="1">
        <f>MAX(intermediate_results[[#This Row], [Team1 laps '[laps']]:[Team9 laps '[laps']]]) - intermediate_results[[#This Row], [Team6 laps '[laps']]]</f>
        <v>0.109414985951789</v>
      </c>
      <c r="Z11" s="1">
        <f>MAX(intermediate_results[[#This Row], [Team1 laps '[laps']]:[Team9 laps '[laps']]]) - intermediate_results[[#This Row], [Team7 laps '[laps']]]</f>
        <v>7.6936907779995511E-2</v>
      </c>
      <c r="AA11" s="1">
        <f>MAX(intermediate_results[[#This Row], [Team1 laps '[laps']]:[Team9 laps '[laps']]]) - intermediate_results[[#This Row], [Team8 laps '[laps']]]</f>
        <v>0.14362603232865156</v>
      </c>
      <c r="AB11" s="1">
        <f>MAX(intermediate_results[[#This Row], [Team1 laps '[laps']]:[Team9 laps '[laps']]]) - intermediate_results[[#This Row], [Team9 laps '[laps']]]</f>
        <v>0.11488370451417107</v>
      </c>
      <c r="AC11" s="1">
        <f>9 * intermediate_results[[#This Row], [All cumulative times '[sec']]] / SUM(intermediate_results[[#This Row], [Team1 laps '[laps']]:[Team9 laps '[laps']]])</f>
        <v>55.647590208656027</v>
      </c>
      <c r="AD11" s="1">
        <f>intermediate_results[[#This Row], [All cumulative times '[sec']]] / intermediate_results[[#This Row], [Team1 laps '[laps']]] - intermediate_results[[#This Row], [Total running average '[sec']]]</f>
        <v>-2.0235902086560387</v>
      </c>
      <c r="AE11" s="1">
        <f>intermediate_results[[#This Row], [All cumulative times '[sec']]] / intermediate_results[[#This Row], [Team2 laps '[laps']]] - intermediate_results[[#This Row], [Total running average '[sec']]]</f>
        <v>-1.9057177001801904</v>
      </c>
      <c r="AF11" s="1">
        <f>intermediate_results[[#This Row], [All cumulative times '[sec']]] / intermediate_results[[#This Row], [Team3 laps '[laps']]] - intermediate_results[[#This Row], [Total running average '[sec']]]</f>
        <v>-0.89928668763388941</v>
      </c>
      <c r="AG11" s="1">
        <f>intermediate_results[[#This Row], [All cumulative times '[sec']]] / intermediate_results[[#This Row], [Team4 laps '[laps']]] - intermediate_results[[#This Row], [Total running average '[sec']]]</f>
        <v>0.65330203215297189</v>
      </c>
      <c r="AH11" s="1">
        <f>intermediate_results[[#This Row], [All cumulative times '[sec']]] / intermediate_results[[#This Row], [Team5 laps '[laps']]] - intermediate_results[[#This Row], [Total running average '[sec']]]</f>
        <v>-0.10324025148815963</v>
      </c>
      <c r="AI11" s="1">
        <f>intermediate_results[[#This Row], [All cumulative times '[sec']]] / intermediate_results[[#This Row], [Team6 laps '[laps']]] - intermediate_results[[#This Row], [Total running average '[sec']]]</f>
        <v>1.0798244291842636</v>
      </c>
      <c r="AJ11" s="1">
        <f>intermediate_results[[#This Row], [All cumulative times '[sec']]] / intermediate_results[[#This Row], [Team7 laps '[laps']]] - intermediate_results[[#This Row], [Total running average '[sec']]]</f>
        <v>0.12177088713191608</v>
      </c>
      <c r="AK11" s="1">
        <f>intermediate_results[[#This Row], [All cumulative times '[sec']]] / intermediate_results[[#This Row], [Team8 laps '[laps']]] - intermediate_results[[#This Row], [Total running average '[sec']]]</f>
        <v>2.1252518305656309</v>
      </c>
      <c r="AL11" s="1">
        <f>intermediate_results[[#This Row], [All cumulative times '[sec']]] / intermediate_results[[#This Row], [Team9 laps '[laps']]] - intermediate_results[[#This Row], [Total running average '[sec']]]</f>
        <v>1.2443905443723722</v>
      </c>
    </row>
    <row r="12" spans="1:38" x14ac:dyDescent="0.25">
      <c r="A12" s="1">
        <v>107.48399999999999</v>
      </c>
      <c r="B12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2.0044238663842391</v>
      </c>
      <c r="C12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</v>
      </c>
      <c r="D12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1.9632209833202974</v>
      </c>
      <c r="E12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1.9091563748964822</v>
      </c>
      <c r="F12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1.9350964563743909</v>
      </c>
      <c r="G12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1.8948084253476263</v>
      </c>
      <c r="H12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1.9273063991225703</v>
      </c>
      <c r="I12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1.8605385755629278</v>
      </c>
      <c r="J12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1.8892810503652984</v>
      </c>
      <c r="K12" s="1">
        <f>intermediate_results[[#This Row], [Team1 laps '[laps']]] - intermediate_results[[#This Row], [Team1 laps '[laps']]]</f>
        <v>0</v>
      </c>
      <c r="L12" s="1">
        <f>intermediate_results[[#This Row], [Team1 laps '[laps']]] - intermediate_results[[#This Row], [Team2 laps '[laps']]]</f>
        <v>4.4238663842390835E-3</v>
      </c>
      <c r="M12" s="1">
        <f>intermediate_results[[#This Row], [Team1 laps '[laps']]] - intermediate_results[[#This Row], [Team3 laps '[laps']]]</f>
        <v>4.1202883063941709E-2</v>
      </c>
      <c r="N12" s="1">
        <f>intermediate_results[[#This Row], [Team1 laps '[laps']]] - intermediate_results[[#This Row], [Team4 laps '[laps']]]</f>
        <v>9.5267491487756928E-2</v>
      </c>
      <c r="O12" s="1">
        <f>intermediate_results[[#This Row], [Team1 laps '[laps']]] - intermediate_results[[#This Row], [Team5 laps '[laps']]]</f>
        <v>6.9327410009848212E-2</v>
      </c>
      <c r="P12" s="1">
        <f>intermediate_results[[#This Row], [Team1 laps '[laps']]] - intermediate_results[[#This Row], [Team6 laps '[laps']]]</f>
        <v>0.1096154410366128</v>
      </c>
      <c r="Q12" s="1">
        <f>intermediate_results[[#This Row], [Team1 laps '[laps']]] - intermediate_results[[#This Row], [Team7 laps '[laps']]]</f>
        <v>7.7117467261668793E-2</v>
      </c>
      <c r="R12" s="1">
        <f>intermediate_results[[#This Row], [Team1 laps '[laps']]] - intermediate_results[[#This Row], [Team8 laps '[laps']]]</f>
        <v>0.1438852908213113</v>
      </c>
      <c r="S12" s="1">
        <f>intermediate_results[[#This Row], [Team1 laps '[laps']]] - intermediate_results[[#This Row], [Team9 laps '[laps']]]</f>
        <v>0.11514281601894072</v>
      </c>
      <c r="T12" s="1">
        <f>MAX(intermediate_results[[#This Row], [Team1 laps '[laps']]:[Team9 laps '[laps']]]) - intermediate_results[[#This Row], [Team1 laps '[laps']]]</f>
        <v>0</v>
      </c>
      <c r="U12" s="1">
        <f>MAX(intermediate_results[[#This Row], [Team1 laps '[laps']]:[Team9 laps '[laps']]]) - intermediate_results[[#This Row], [Team2 laps '[laps']]]</f>
        <v>4.4238663842390835E-3</v>
      </c>
      <c r="V12" s="1">
        <f>MAX(intermediate_results[[#This Row], [Team1 laps '[laps']]:[Team9 laps '[laps']]]) - intermediate_results[[#This Row], [Team3 laps '[laps']]]</f>
        <v>4.1202883063941709E-2</v>
      </c>
      <c r="W12" s="1">
        <f>MAX(intermediate_results[[#This Row], [Team1 laps '[laps']]:[Team9 laps '[laps']]]) - intermediate_results[[#This Row], [Team4 laps '[laps']]]</f>
        <v>9.5267491487756928E-2</v>
      </c>
      <c r="X12" s="1">
        <f>MAX(intermediate_results[[#This Row], [Team1 laps '[laps']]:[Team9 laps '[laps']]]) - intermediate_results[[#This Row], [Team5 laps '[laps']]]</f>
        <v>6.9327410009848212E-2</v>
      </c>
      <c r="Y12" s="1">
        <f>MAX(intermediate_results[[#This Row], [Team1 laps '[laps']]:[Team9 laps '[laps']]]) - intermediate_results[[#This Row], [Team6 laps '[laps']]]</f>
        <v>0.1096154410366128</v>
      </c>
      <c r="Z12" s="1">
        <f>MAX(intermediate_results[[#This Row], [Team1 laps '[laps']]:[Team9 laps '[laps']]]) - intermediate_results[[#This Row], [Team7 laps '[laps']]]</f>
        <v>7.7117467261668793E-2</v>
      </c>
      <c r="AA12" s="1">
        <f>MAX(intermediate_results[[#This Row], [Team1 laps '[laps']]:[Team9 laps '[laps']]]) - intermediate_results[[#This Row], [Team8 laps '[laps']]]</f>
        <v>0.1438852908213113</v>
      </c>
      <c r="AB12" s="1">
        <f>MAX(intermediate_results[[#This Row], [Team1 laps '[laps']]:[Team9 laps '[laps']]]) - intermediate_results[[#This Row], [Team9 laps '[laps']]]</f>
        <v>0.11514281601894072</v>
      </c>
      <c r="AC12" s="1">
        <f>9 * intermediate_results[[#This Row], [All cumulative times '[sec']]] / SUM(intermediate_results[[#This Row], [Team1 laps '[laps']]:[Team9 laps '[laps']]])</f>
        <v>55.646878817596502</v>
      </c>
      <c r="AD12" s="1">
        <f>intermediate_results[[#This Row], [All cumulative times '[sec']]] / intermediate_results[[#This Row], [Team1 laps '[laps']]] - intermediate_results[[#This Row], [Total running average '[sec']]]</f>
        <v>-2.023490170818242</v>
      </c>
      <c r="AE12" s="1">
        <f>intermediate_results[[#This Row], [All cumulative times '[sec']]] / intermediate_results[[#This Row], [Team2 laps '[laps']]] - intermediate_results[[#This Row], [Total running average '[sec']]]</f>
        <v>-1.9048788175965043</v>
      </c>
      <c r="AF12" s="1">
        <f>intermediate_results[[#This Row], [All cumulative times '[sec']]] / intermediate_results[[#This Row], [Team3 laps '[laps']]] - intermediate_results[[#This Row], [Total running average '[sec']]]</f>
        <v>-0.89807523756462615</v>
      </c>
      <c r="AG12" s="1">
        <f>intermediate_results[[#This Row], [All cumulative times '[sec']]] / intermediate_results[[#This Row], [Team4 laps '[laps']]] - intermediate_results[[#This Row], [Total running average '[sec']]]</f>
        <v>0.65233344877846378</v>
      </c>
      <c r="AH12" s="1">
        <f>intermediate_results[[#This Row], [All cumulative times '[sec']]] / intermediate_results[[#This Row], [Team5 laps '[laps']]] - intermediate_results[[#This Row], [Total running average '[sec']]]</f>
        <v>-0.10236079321713731</v>
      </c>
      <c r="AI12" s="1">
        <f>intermediate_results[[#This Row], [All cumulative times '[sec']]] / intermediate_results[[#This Row], [Team6 laps '[laps']]] - intermediate_results[[#This Row], [Total running average '[sec']]]</f>
        <v>1.0786447562606867</v>
      </c>
      <c r="AJ12" s="1">
        <f>intermediate_results[[#This Row], [All cumulative times '[sec']]] / intermediate_results[[#This Row], [Team7 laps '[laps']]] - intermediate_results[[#This Row], [Total running average '[sec']]]</f>
        <v>0.12214682821331735</v>
      </c>
      <c r="AK12" s="1">
        <f>intermediate_results[[#This Row], [All cumulative times '[sec']]] / intermediate_results[[#This Row], [Team8 laps '[laps']]] - intermediate_results[[#This Row], [Total running average '[sec']]]</f>
        <v>2.1234901560644985</v>
      </c>
      <c r="AL12" s="1">
        <f>intermediate_results[[#This Row], [All cumulative times '[sec']]] / intermediate_results[[#This Row], [Team9 laps '[laps']]] - intermediate_results[[#This Row], [Total running average '[sec']]]</f>
        <v>1.2446037806212829</v>
      </c>
    </row>
    <row r="13" spans="1:38" x14ac:dyDescent="0.25">
      <c r="A13" s="1">
        <v>109.506</v>
      </c>
      <c r="B13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2.0423266537949654</v>
      </c>
      <c r="C13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2.0379982335143669</v>
      </c>
      <c r="D13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</v>
      </c>
      <c r="E13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1.9455586360854067</v>
      </c>
      <c r="F13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1.9714496323331114</v>
      </c>
      <c r="G13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1.9309937543621039</v>
      </c>
      <c r="H13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1.9636621896182822</v>
      </c>
      <c r="I13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1.8962200889390837</v>
      </c>
      <c r="J13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1.9249638231038013</v>
      </c>
      <c r="K13" s="1">
        <f>intermediate_results[[#This Row], [Team1 laps '[laps']]] - intermediate_results[[#This Row], [Team1 laps '[laps']]]</f>
        <v>0</v>
      </c>
      <c r="L13" s="1">
        <f>intermediate_results[[#This Row], [Team1 laps '[laps']]] - intermediate_results[[#This Row], [Team2 laps '[laps']]]</f>
        <v>4.3284202805984329E-3</v>
      </c>
      <c r="M13" s="1">
        <f>intermediate_results[[#This Row], [Team1 laps '[laps']]] - intermediate_results[[#This Row], [Team3 laps '[laps']]]</f>
        <v>4.2326653794965363E-2</v>
      </c>
      <c r="N13" s="1">
        <f>intermediate_results[[#This Row], [Team1 laps '[laps']]] - intermediate_results[[#This Row], [Team4 laps '[laps']]]</f>
        <v>9.6768017709558674E-2</v>
      </c>
      <c r="O13" s="1">
        <f>intermediate_results[[#This Row], [Team1 laps '[laps']]] - intermediate_results[[#This Row], [Team5 laps '[laps']]]</f>
        <v>7.0877021461853928E-2</v>
      </c>
      <c r="P13" s="1">
        <f>intermediate_results[[#This Row], [Team1 laps '[laps']]] - intermediate_results[[#This Row], [Team6 laps '[laps']]]</f>
        <v>0.11133289943286151</v>
      </c>
      <c r="Q13" s="1">
        <f>intermediate_results[[#This Row], [Team1 laps '[laps']]] - intermediate_results[[#This Row], [Team7 laps '[laps']]]</f>
        <v>7.8664464176683158E-2</v>
      </c>
      <c r="R13" s="1">
        <f>intermediate_results[[#This Row], [Team1 laps '[laps']]] - intermediate_results[[#This Row], [Team8 laps '[laps']]]</f>
        <v>0.14610656485588169</v>
      </c>
      <c r="S13" s="1">
        <f>intermediate_results[[#This Row], [Team1 laps '[laps']]] - intermediate_results[[#This Row], [Team9 laps '[laps']]]</f>
        <v>0.11736283069116404</v>
      </c>
      <c r="T13" s="1">
        <f>MAX(intermediate_results[[#This Row], [Team1 laps '[laps']]:[Team9 laps '[laps']]]) - intermediate_results[[#This Row], [Team1 laps '[laps']]]</f>
        <v>0</v>
      </c>
      <c r="U13" s="1">
        <f>MAX(intermediate_results[[#This Row], [Team1 laps '[laps']]:[Team9 laps '[laps']]]) - intermediate_results[[#This Row], [Team2 laps '[laps']]]</f>
        <v>4.3284202805984329E-3</v>
      </c>
      <c r="V13" s="1">
        <f>MAX(intermediate_results[[#This Row], [Team1 laps '[laps']]:[Team9 laps '[laps']]]) - intermediate_results[[#This Row], [Team3 laps '[laps']]]</f>
        <v>4.2326653794965363E-2</v>
      </c>
      <c r="W13" s="1">
        <f>MAX(intermediate_results[[#This Row], [Team1 laps '[laps']]:[Team9 laps '[laps']]]) - intermediate_results[[#This Row], [Team4 laps '[laps']]]</f>
        <v>9.6768017709558674E-2</v>
      </c>
      <c r="X13" s="1">
        <f>MAX(intermediate_results[[#This Row], [Team1 laps '[laps']]:[Team9 laps '[laps']]]) - intermediate_results[[#This Row], [Team5 laps '[laps']]]</f>
        <v>7.0877021461853928E-2</v>
      </c>
      <c r="Y13" s="1">
        <f>MAX(intermediate_results[[#This Row], [Team1 laps '[laps']]:[Team9 laps '[laps']]]) - intermediate_results[[#This Row], [Team6 laps '[laps']]]</f>
        <v>0.11133289943286151</v>
      </c>
      <c r="Z13" s="1">
        <f>MAX(intermediate_results[[#This Row], [Team1 laps '[laps']]:[Team9 laps '[laps']]]) - intermediate_results[[#This Row], [Team7 laps '[laps']]]</f>
        <v>7.8664464176683158E-2</v>
      </c>
      <c r="AA13" s="1">
        <f>MAX(intermediate_results[[#This Row], [Team1 laps '[laps']]:[Team9 laps '[laps']]]) - intermediate_results[[#This Row], [Team8 laps '[laps']]]</f>
        <v>0.14610656485588169</v>
      </c>
      <c r="AB13" s="1">
        <f>MAX(intermediate_results[[#This Row], [Team1 laps '[laps']]:[Team9 laps '[laps']]]) - intermediate_results[[#This Row], [Team9 laps '[laps']]]</f>
        <v>0.11736283069116404</v>
      </c>
      <c r="AC13" s="1">
        <f>9 * intermediate_results[[#This Row], [All cumulative times '[sec']]] / SUM(intermediate_results[[#This Row], [Team1 laps '[laps']]:[Team9 laps '[laps']]])</f>
        <v>55.639607841360338</v>
      </c>
      <c r="AD13" s="1">
        <f>intermediate_results[[#This Row], [All cumulative times '[sec']]] / intermediate_results[[#This Row], [Team1 laps '[laps']]] - intermediate_results[[#This Row], [Total running average '[sec']]]</f>
        <v>-2.0213485895797447</v>
      </c>
      <c r="AE13" s="1">
        <f>intermediate_results[[#This Row], [All cumulative times '[sec']]] / intermediate_results[[#This Row], [Team2 laps '[laps']]] - intermediate_results[[#This Row], [Total running average '[sec']]]</f>
        <v>-1.9074709831425807</v>
      </c>
      <c r="AF13" s="1">
        <f>intermediate_results[[#This Row], [All cumulative times '[sec']]] / intermediate_results[[#This Row], [Team3 laps '[laps']]] - intermediate_results[[#This Row], [Total running average '[sec']]]</f>
        <v>-0.88660784136033755</v>
      </c>
      <c r="AG13" s="1">
        <f>intermediate_results[[#This Row], [All cumulative times '[sec']]] / intermediate_results[[#This Row], [Team4 laps '[laps']]] - intermediate_results[[#This Row], [Total running average '[sec']]]</f>
        <v>0.64551149091193594</v>
      </c>
      <c r="AH13" s="1">
        <f>intermediate_results[[#This Row], [All cumulative times '[sec']]] / intermediate_results[[#This Row], [Team5 laps '[laps']]] - intermediate_results[[#This Row], [Total running average '[sec']]]</f>
        <v>-9.3679503132818809E-2</v>
      </c>
      <c r="AI13" s="1">
        <f>intermediate_results[[#This Row], [All cumulative times '[sec']]] / intermediate_results[[#This Row], [Team6 laps '[laps']]] - intermediate_results[[#This Row], [Total running average '[sec']]]</f>
        <v>1.0700525356484292</v>
      </c>
      <c r="AJ13" s="1">
        <f>intermediate_results[[#This Row], [All cumulative times '[sec']]] / intermediate_results[[#This Row], [Team7 laps '[laps']]] - intermediate_results[[#This Row], [Total running average '[sec']]]</f>
        <v>0.12660315916157572</v>
      </c>
      <c r="AK13" s="1">
        <f>intermediate_results[[#This Row], [All cumulative times '[sec']]] / intermediate_results[[#This Row], [Team8 laps '[laps']]] - intermediate_results[[#This Row], [Total running average '[sec']]]</f>
        <v>2.1100176576857805</v>
      </c>
      <c r="AL13" s="1">
        <f>intermediate_results[[#This Row], [All cumulative times '[sec']]] / intermediate_results[[#This Row], [Team9 laps '[laps']]] - intermediate_results[[#This Row], [Total running average '[sec']]]</f>
        <v>1.2476950189256897</v>
      </c>
    </row>
    <row r="14" spans="1:38" x14ac:dyDescent="0.25">
      <c r="A14" s="1">
        <v>111.09399999999999</v>
      </c>
      <c r="B14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2.0720940259058618</v>
      </c>
      <c r="C14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2.0678405652754028</v>
      </c>
      <c r="D14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2.0292535553754329</v>
      </c>
      <c r="E14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1.974147553379181</v>
      </c>
      <c r="F14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</v>
      </c>
      <c r="G14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1.9594123015802001</v>
      </c>
      <c r="H14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1.9922146106406315</v>
      </c>
      <c r="I14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1.9242429589892001</v>
      </c>
      <c r="J14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1.9529876822080259</v>
      </c>
      <c r="K14" s="1">
        <f>intermediate_results[[#This Row], [Team1 laps '[laps']]] - intermediate_results[[#This Row], [Team1 laps '[laps']]]</f>
        <v>0</v>
      </c>
      <c r="L14" s="1">
        <f>intermediate_results[[#This Row], [Team1 laps '[laps']]] - intermediate_results[[#This Row], [Team2 laps '[laps']]]</f>
        <v>4.2534606304589495E-3</v>
      </c>
      <c r="M14" s="1">
        <f>intermediate_results[[#This Row], [Team1 laps '[laps']]] - intermediate_results[[#This Row], [Team3 laps '[laps']]]</f>
        <v>4.2840470530428831E-2</v>
      </c>
      <c r="N14" s="1">
        <f>intermediate_results[[#This Row], [Team1 laps '[laps']]] - intermediate_results[[#This Row], [Team4 laps '[laps']]]</f>
        <v>9.7946472526680761E-2</v>
      </c>
      <c r="O14" s="1">
        <f>intermediate_results[[#This Row], [Team1 laps '[laps']]] - intermediate_results[[#This Row], [Team5 laps '[laps']]]</f>
        <v>7.2094025905861781E-2</v>
      </c>
      <c r="P14" s="1">
        <f>intermediate_results[[#This Row], [Team1 laps '[laps']]] - intermediate_results[[#This Row], [Team6 laps '[laps']]]</f>
        <v>0.1126817243256617</v>
      </c>
      <c r="Q14" s="1">
        <f>intermediate_results[[#This Row], [Team1 laps '[laps']]] - intermediate_results[[#This Row], [Team7 laps '[laps']]]</f>
        <v>7.9879415265230236E-2</v>
      </c>
      <c r="R14" s="1">
        <f>intermediate_results[[#This Row], [Team1 laps '[laps']]] - intermediate_results[[#This Row], [Team8 laps '[laps']]]</f>
        <v>0.14785106691666172</v>
      </c>
      <c r="S14" s="1">
        <f>intermediate_results[[#This Row], [Team1 laps '[laps']]] - intermediate_results[[#This Row], [Team9 laps '[laps']]]</f>
        <v>0.1191063436978359</v>
      </c>
      <c r="T14" s="1">
        <f>MAX(intermediate_results[[#This Row], [Team1 laps '[laps']]:[Team9 laps '[laps']]]) - intermediate_results[[#This Row], [Team1 laps '[laps']]]</f>
        <v>0</v>
      </c>
      <c r="U14" s="1">
        <f>MAX(intermediate_results[[#This Row], [Team1 laps '[laps']]:[Team9 laps '[laps']]]) - intermediate_results[[#This Row], [Team2 laps '[laps']]]</f>
        <v>4.2534606304589495E-3</v>
      </c>
      <c r="V14" s="1">
        <f>MAX(intermediate_results[[#This Row], [Team1 laps '[laps']]:[Team9 laps '[laps']]]) - intermediate_results[[#This Row], [Team3 laps '[laps']]]</f>
        <v>4.2840470530428831E-2</v>
      </c>
      <c r="W14" s="1">
        <f>MAX(intermediate_results[[#This Row], [Team1 laps '[laps']]:[Team9 laps '[laps']]]) - intermediate_results[[#This Row], [Team4 laps '[laps']]]</f>
        <v>9.7946472526680761E-2</v>
      </c>
      <c r="X14" s="1">
        <f>MAX(intermediate_results[[#This Row], [Team1 laps '[laps']]:[Team9 laps '[laps']]]) - intermediate_results[[#This Row], [Team5 laps '[laps']]]</f>
        <v>7.2094025905861781E-2</v>
      </c>
      <c r="Y14" s="1">
        <f>MAX(intermediate_results[[#This Row], [Team1 laps '[laps']]:[Team9 laps '[laps']]]) - intermediate_results[[#This Row], [Team6 laps '[laps']]]</f>
        <v>0.1126817243256617</v>
      </c>
      <c r="Z14" s="1">
        <f>MAX(intermediate_results[[#This Row], [Team1 laps '[laps']]:[Team9 laps '[laps']]]) - intermediate_results[[#This Row], [Team7 laps '[laps']]]</f>
        <v>7.9879415265230236E-2</v>
      </c>
      <c r="AA14" s="1">
        <f>MAX(intermediate_results[[#This Row], [Team1 laps '[laps']]:[Team9 laps '[laps']]]) - intermediate_results[[#This Row], [Team8 laps '[laps']]]</f>
        <v>0.14785106691666172</v>
      </c>
      <c r="AB14" s="1">
        <f>MAX(intermediate_results[[#This Row], [Team1 laps '[laps']]:[Team9 laps '[laps']]]) - intermediate_results[[#This Row], [Team9 laps '[laps']]]</f>
        <v>0.1191063436978359</v>
      </c>
      <c r="AC14" s="1">
        <f>9 * intermediate_results[[#This Row], [All cumulative times '[sec']]] / SUM(intermediate_results[[#This Row], [Team1 laps '[laps']]:[Team9 laps '[laps']]])</f>
        <v>55.632942841487122</v>
      </c>
      <c r="AD14" s="1">
        <f>intermediate_results[[#This Row], [All cumulative times '[sec']]] / intermediate_results[[#This Row], [Team1 laps '[laps']]] - intermediate_results[[#This Row], [Total running average '[sec']]]</f>
        <v>-2.0185804568299943</v>
      </c>
      <c r="AE14" s="1">
        <f>intermediate_results[[#This Row], [All cumulative times '[sec']]] / intermediate_results[[#This Row], [Team2 laps '[laps']]] - intermediate_results[[#This Row], [Total running average '[sec']]]</f>
        <v>-1.9082979798054964</v>
      </c>
      <c r="AF14" s="1">
        <f>intermediate_results[[#This Row], [All cumulative times '[sec']]] / intermediate_results[[#This Row], [Team3 laps '[laps']]] - intermediate_results[[#This Row], [Total running average '[sec']]]</f>
        <v>-0.88670390761153328</v>
      </c>
      <c r="AG14" s="1">
        <f>intermediate_results[[#This Row], [All cumulative times '[sec']]] / intermediate_results[[#This Row], [Team4 laps '[laps']]] - intermediate_results[[#This Row], [Total running average '[sec']]]</f>
        <v>0.64147282204246636</v>
      </c>
      <c r="AH14" s="1">
        <f>intermediate_results[[#This Row], [All cumulative times '[sec']]] / intermediate_results[[#This Row], [Team5 laps '[laps']]] - intermediate_results[[#This Row], [Total running average '[sec']]]</f>
        <v>-8.594284148712461E-2</v>
      </c>
      <c r="AI14" s="1">
        <f>intermediate_results[[#This Row], [All cumulative times '[sec']]] / intermediate_results[[#This Row], [Team6 laps '[laps']]] - intermediate_results[[#This Row], [Total running average '[sec']]]</f>
        <v>1.0646699633352341</v>
      </c>
      <c r="AJ14" s="1">
        <f>intermediate_results[[#This Row], [All cumulative times '[sec']]] / intermediate_results[[#This Row], [Team7 laps '[laps']]] - intermediate_results[[#This Row], [Total running average '[sec']]]</f>
        <v>0.13112966688373717</v>
      </c>
      <c r="AK14" s="1">
        <f>intermediate_results[[#This Row], [All cumulative times '[sec']]] / intermediate_results[[#This Row], [Team8 laps '[laps']]] - intermediate_results[[#This Row], [Total running average '[sec']]]</f>
        <v>2.1009308780547116</v>
      </c>
      <c r="AL14" s="1">
        <f>intermediate_results[[#This Row], [All cumulative times '[sec']]] / intermediate_results[[#This Row], [Team9 laps '[laps']]] - intermediate_results[[#This Row], [Total running average '[sec']]]</f>
        <v>1.2511844943281076</v>
      </c>
    </row>
    <row r="15" spans="1:38" x14ac:dyDescent="0.25">
      <c r="A15" s="1">
        <v>111.527</v>
      </c>
      <c r="B15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2.0802106960091478</v>
      </c>
      <c r="C15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2.0759776746283802</v>
      </c>
      <c r="D15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2.0372301230565175</v>
      </c>
      <c r="E15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1.9819428941777986</v>
      </c>
      <c r="F15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2.0078376715056296</v>
      </c>
      <c r="G15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1.9671611875659909</v>
      </c>
      <c r="H15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2.0000000000000004</v>
      </c>
      <c r="I15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1.9318839556716312</v>
      </c>
      <c r="J15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1.9606289485758657</v>
      </c>
      <c r="K15" s="1">
        <f>intermediate_results[[#This Row], [Team1 laps '[laps']]] - intermediate_results[[#This Row], [Team1 laps '[laps']]]</f>
        <v>0</v>
      </c>
      <c r="L15" s="1">
        <f>intermediate_results[[#This Row], [Team1 laps '[laps']]] - intermediate_results[[#This Row], [Team2 laps '[laps']]]</f>
        <v>4.2330213807675321E-3</v>
      </c>
      <c r="M15" s="1">
        <f>intermediate_results[[#This Row], [Team1 laps '[laps']]] - intermediate_results[[#This Row], [Team3 laps '[laps']]]</f>
        <v>4.2980572952630247E-2</v>
      </c>
      <c r="N15" s="1">
        <f>intermediate_results[[#This Row], [Team1 laps '[laps']]] - intermediate_results[[#This Row], [Team4 laps '[laps']]]</f>
        <v>9.82678018313492E-2</v>
      </c>
      <c r="O15" s="1">
        <f>intermediate_results[[#This Row], [Team1 laps '[laps']]] - intermediate_results[[#This Row], [Team5 laps '[laps']]]</f>
        <v>7.2373024503518124E-2</v>
      </c>
      <c r="P15" s="1">
        <f>intermediate_results[[#This Row], [Team1 laps '[laps']]] - intermediate_results[[#This Row], [Team6 laps '[laps']]]</f>
        <v>0.11304950844315687</v>
      </c>
      <c r="Q15" s="1">
        <f>intermediate_results[[#This Row], [Team1 laps '[laps']]] - intermediate_results[[#This Row], [Team7 laps '[laps']]]</f>
        <v>8.021069600914732E-2</v>
      </c>
      <c r="R15" s="1">
        <f>intermediate_results[[#This Row], [Team1 laps '[laps']]] - intermediate_results[[#This Row], [Team8 laps '[laps']]]</f>
        <v>0.14832674033751658</v>
      </c>
      <c r="S15" s="1">
        <f>intermediate_results[[#This Row], [Team1 laps '[laps']]] - intermediate_results[[#This Row], [Team9 laps '[laps']]]</f>
        <v>0.11958174743328209</v>
      </c>
      <c r="T15" s="1">
        <f>MAX(intermediate_results[[#This Row], [Team1 laps '[laps']]:[Team9 laps '[laps']]]) - intermediate_results[[#This Row], [Team1 laps '[laps']]]</f>
        <v>0</v>
      </c>
      <c r="U15" s="1">
        <f>MAX(intermediate_results[[#This Row], [Team1 laps '[laps']]:[Team9 laps '[laps']]]) - intermediate_results[[#This Row], [Team2 laps '[laps']]]</f>
        <v>4.2330213807675321E-3</v>
      </c>
      <c r="V15" s="1">
        <f>MAX(intermediate_results[[#This Row], [Team1 laps '[laps']]:[Team9 laps '[laps']]]) - intermediate_results[[#This Row], [Team3 laps '[laps']]]</f>
        <v>4.2980572952630247E-2</v>
      </c>
      <c r="W15" s="1">
        <f>MAX(intermediate_results[[#This Row], [Team1 laps '[laps']]:[Team9 laps '[laps']]]) - intermediate_results[[#This Row], [Team4 laps '[laps']]]</f>
        <v>9.82678018313492E-2</v>
      </c>
      <c r="X15" s="1">
        <f>MAX(intermediate_results[[#This Row], [Team1 laps '[laps']]:[Team9 laps '[laps']]]) - intermediate_results[[#This Row], [Team5 laps '[laps']]]</f>
        <v>7.2373024503518124E-2</v>
      </c>
      <c r="Y15" s="1">
        <f>MAX(intermediate_results[[#This Row], [Team1 laps '[laps']]:[Team9 laps '[laps']]]) - intermediate_results[[#This Row], [Team6 laps '[laps']]]</f>
        <v>0.11304950844315687</v>
      </c>
      <c r="Z15" s="1">
        <f>MAX(intermediate_results[[#This Row], [Team1 laps '[laps']]:[Team9 laps '[laps']]]) - intermediate_results[[#This Row], [Team7 laps '[laps']]]</f>
        <v>8.021069600914732E-2</v>
      </c>
      <c r="AA15" s="1">
        <f>MAX(intermediate_results[[#This Row], [Team1 laps '[laps']]:[Team9 laps '[laps']]]) - intermediate_results[[#This Row], [Team8 laps '[laps']]]</f>
        <v>0.14832674033751658</v>
      </c>
      <c r="AB15" s="1">
        <f>MAX(intermediate_results[[#This Row], [Team1 laps '[laps']]:[Team9 laps '[laps']]]) - intermediate_results[[#This Row], [Team9 laps '[laps']]]</f>
        <v>0.11958174743328209</v>
      </c>
      <c r="AC15" s="1">
        <f>9 * intermediate_results[[#This Row], [All cumulative times '[sec']]] / SUM(intermediate_results[[#This Row], [Team1 laps '[laps']]:[Team9 laps '[laps']]])</f>
        <v>55.630995772629802</v>
      </c>
      <c r="AD15" s="1">
        <f>intermediate_results[[#This Row], [All cumulative times '[sec']]] / intermediate_results[[#This Row], [Team1 laps '[laps']]] - intermediate_results[[#This Row], [Total running average '[sec']]]</f>
        <v>-2.0176765958931213</v>
      </c>
      <c r="AE15" s="1">
        <f>intermediate_results[[#This Row], [All cumulative times '[sec']]] / intermediate_results[[#This Row], [Team2 laps '[laps']]] - intermediate_results[[#This Row], [Total running average '[sec']]]</f>
        <v>-1.9083563805831645</v>
      </c>
      <c r="AF15" s="1">
        <f>intermediate_results[[#This Row], [All cumulative times '[sec']]] / intermediate_results[[#This Row], [Team3 laps '[laps']]] - intermediate_results[[#This Row], [Total running average '[sec']]]</f>
        <v>-0.88656668836282648</v>
      </c>
      <c r="AG15" s="1">
        <f>intermediate_results[[#This Row], [All cumulative times '[sec']]] / intermediate_results[[#This Row], [Team4 laps '[laps']]] - intermediate_results[[#This Row], [Total running average '[sec']]]</f>
        <v>0.64055490000779258</v>
      </c>
      <c r="AH15" s="1">
        <f>intermediate_results[[#This Row], [All cumulative times '[sec']]] / intermediate_results[[#This Row], [Team5 laps '[laps']]] - intermediate_results[[#This Row], [Total running average '[sec']]]</f>
        <v>-8.5170737696294907E-2</v>
      </c>
      <c r="AI15" s="1">
        <f>intermediate_results[[#This Row], [All cumulative times '[sec']]] / intermediate_results[[#This Row], [Team6 laps '[laps']]] - intermediate_results[[#This Row], [Total running average '[sec']]]</f>
        <v>1.0633924172849518</v>
      </c>
      <c r="AJ15" s="1">
        <f>intermediate_results[[#This Row], [All cumulative times '[sec']]] / intermediate_results[[#This Row], [Team7 laps '[laps']]] - intermediate_results[[#This Row], [Total running average '[sec']]]</f>
        <v>0.13250422737018397</v>
      </c>
      <c r="AK15" s="1">
        <f>intermediate_results[[#This Row], [All cumulative times '[sec']]] / intermediate_results[[#This Row], [Team8 laps '[laps']]] - intermediate_results[[#This Row], [Total running average '[sec']]]</f>
        <v>2.0986621980669753</v>
      </c>
      <c r="AL15" s="1">
        <f>intermediate_results[[#This Row], [All cumulative times '[sec']]] / intermediate_results[[#This Row], [Team9 laps '[laps']]] - intermediate_results[[#This Row], [Total running average '[sec']]]</f>
        <v>1.2522814435968712</v>
      </c>
    </row>
    <row r="16" spans="1:38" x14ac:dyDescent="0.25">
      <c r="A16" s="1">
        <v>112.53</v>
      </c>
      <c r="B16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2.0990121281421636</v>
      </c>
      <c r="C16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2.0948264521827373</v>
      </c>
      <c r="D16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2.0557070223270211</v>
      </c>
      <c r="E16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</v>
      </c>
      <c r="F16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2.0259928320602398</v>
      </c>
      <c r="G16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1.9851106855885039</v>
      </c>
      <c r="H16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2.0181226849760594</v>
      </c>
      <c r="I16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1.9495835392108423</v>
      </c>
      <c r="J16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1.9783291568136097</v>
      </c>
      <c r="K16" s="1">
        <f>intermediate_results[[#This Row], [Team1 laps '[laps']]] - intermediate_results[[#This Row], [Team1 laps '[laps']]]</f>
        <v>0</v>
      </c>
      <c r="L16" s="1">
        <f>intermediate_results[[#This Row], [Team1 laps '[laps']]] - intermediate_results[[#This Row], [Team2 laps '[laps']]]</f>
        <v>4.185675959426316E-3</v>
      </c>
      <c r="M16" s="1">
        <f>intermediate_results[[#This Row], [Team1 laps '[laps']]] - intermediate_results[[#This Row], [Team3 laps '[laps']]]</f>
        <v>4.3305105815142575E-2</v>
      </c>
      <c r="N16" s="1">
        <f>intermediate_results[[#This Row], [Team1 laps '[laps']]] - intermediate_results[[#This Row], [Team4 laps '[laps']]]</f>
        <v>9.9012128142163647E-2</v>
      </c>
      <c r="O16" s="1">
        <f>intermediate_results[[#This Row], [Team1 laps '[laps']]] - intermediate_results[[#This Row], [Team5 laps '[laps']]]</f>
        <v>7.3019296081923812E-2</v>
      </c>
      <c r="P16" s="1">
        <f>intermediate_results[[#This Row], [Team1 laps '[laps']]] - intermediate_results[[#This Row], [Team6 laps '[laps']]]</f>
        <v>0.11390144255365975</v>
      </c>
      <c r="Q16" s="1">
        <f>intermediate_results[[#This Row], [Team1 laps '[laps']]] - intermediate_results[[#This Row], [Team7 laps '[laps']]]</f>
        <v>8.0889443166104247E-2</v>
      </c>
      <c r="R16" s="1">
        <f>intermediate_results[[#This Row], [Team1 laps '[laps']]] - intermediate_results[[#This Row], [Team8 laps '[laps']]]</f>
        <v>0.14942858893132138</v>
      </c>
      <c r="S16" s="1">
        <f>intermediate_results[[#This Row], [Team1 laps '[laps']]] - intermediate_results[[#This Row], [Team9 laps '[laps']]]</f>
        <v>0.12068297132855399</v>
      </c>
      <c r="T16" s="1">
        <f>MAX(intermediate_results[[#This Row], [Team1 laps '[laps']]:[Team9 laps '[laps']]]) - intermediate_results[[#This Row], [Team1 laps '[laps']]]</f>
        <v>0</v>
      </c>
      <c r="U16" s="1">
        <f>MAX(intermediate_results[[#This Row], [Team1 laps '[laps']]:[Team9 laps '[laps']]]) - intermediate_results[[#This Row], [Team2 laps '[laps']]]</f>
        <v>4.185675959426316E-3</v>
      </c>
      <c r="V16" s="1">
        <f>MAX(intermediate_results[[#This Row], [Team1 laps '[laps']]:[Team9 laps '[laps']]]) - intermediate_results[[#This Row], [Team3 laps '[laps']]]</f>
        <v>4.3305105815142575E-2</v>
      </c>
      <c r="W16" s="1">
        <f>MAX(intermediate_results[[#This Row], [Team1 laps '[laps']]:[Team9 laps '[laps']]]) - intermediate_results[[#This Row], [Team4 laps '[laps']]]</f>
        <v>9.9012128142163647E-2</v>
      </c>
      <c r="X16" s="1">
        <f>MAX(intermediate_results[[#This Row], [Team1 laps '[laps']]:[Team9 laps '[laps']]]) - intermediate_results[[#This Row], [Team5 laps '[laps']]]</f>
        <v>7.3019296081923812E-2</v>
      </c>
      <c r="Y16" s="1">
        <f>MAX(intermediate_results[[#This Row], [Team1 laps '[laps']]:[Team9 laps '[laps']]]) - intermediate_results[[#This Row], [Team6 laps '[laps']]]</f>
        <v>0.11390144255365975</v>
      </c>
      <c r="Z16" s="1">
        <f>MAX(intermediate_results[[#This Row], [Team1 laps '[laps']]:[Team9 laps '[laps']]]) - intermediate_results[[#This Row], [Team7 laps '[laps']]]</f>
        <v>8.0889443166104247E-2</v>
      </c>
      <c r="AA16" s="1">
        <f>MAX(intermediate_results[[#This Row], [Team1 laps '[laps']]:[Team9 laps '[laps']]]) - intermediate_results[[#This Row], [Team8 laps '[laps']]]</f>
        <v>0.14942858893132138</v>
      </c>
      <c r="AB16" s="1">
        <f>MAX(intermediate_results[[#This Row], [Team1 laps '[laps']]:[Team9 laps '[laps']]]) - intermediate_results[[#This Row], [Team9 laps '[laps']]]</f>
        <v>0.12068297132855399</v>
      </c>
      <c r="AC16" s="1">
        <f>9 * intermediate_results[[#This Row], [All cumulative times '[sec']]] / SUM(intermediate_results[[#This Row], [Team1 laps '[laps']]:[Team9 laps '[laps']]])</f>
        <v>55.62627286300372</v>
      </c>
      <c r="AD16" s="1">
        <f>intermediate_results[[#This Row], [All cumulative times '[sec']]] / intermediate_results[[#This Row], [Team1 laps '[laps']]] - intermediate_results[[#This Row], [Total running average '[sec']]]</f>
        <v>-2.015339180786107</v>
      </c>
      <c r="AE16" s="1">
        <f>intermediate_results[[#This Row], [All cumulative times '[sec']]] / intermediate_results[[#This Row], [Team2 laps '[laps']]] - intermediate_results[[#This Row], [Total running average '[sec']]]</f>
        <v>-1.9082190916530664</v>
      </c>
      <c r="AF16" s="1">
        <f>intermediate_results[[#This Row], [All cumulative times '[sec']]] / intermediate_results[[#This Row], [Team3 laps '[laps']]] - intermediate_results[[#This Row], [Total running average '[sec']]]</f>
        <v>-0.88598216116130146</v>
      </c>
      <c r="AG16" s="1">
        <f>intermediate_results[[#This Row], [All cumulative times '[sec']]] / intermediate_results[[#This Row], [Team4 laps '[laps']]] - intermediate_results[[#This Row], [Total running average '[sec']]]</f>
        <v>0.63872713699628036</v>
      </c>
      <c r="AH16" s="1">
        <f>intermediate_results[[#This Row], [All cumulative times '[sec']]] / intermediate_results[[#This Row], [Team5 laps '[laps']]] - intermediate_results[[#This Row], [Total running average '[sec']]]</f>
        <v>-8.31345955460705E-2</v>
      </c>
      <c r="AI16" s="1">
        <f>intermediate_results[[#This Row], [All cumulative times '[sec']]] / intermediate_results[[#This Row], [Team6 laps '[laps']]] - intermediate_results[[#This Row], [Total running average '[sec']]]</f>
        <v>1.0607425346487673</v>
      </c>
      <c r="AJ16" s="1">
        <f>intermediate_results[[#This Row], [All cumulative times '[sec']]] / intermediate_results[[#This Row], [Team7 laps '[laps']]] - intermediate_results[[#This Row], [Total running average '[sec']]]</f>
        <v>0.13346901876147399</v>
      </c>
      <c r="AK16" s="1">
        <f>intermediate_results[[#This Row], [All cumulative times '[sec']]] / intermediate_results[[#This Row], [Team8 laps '[laps']]] - intermediate_results[[#This Row], [Total running average '[sec']]]</f>
        <v>2.0937466882232059</v>
      </c>
      <c r="AL16" s="1">
        <f>intermediate_results[[#This Row], [All cumulative times '[sec']]] / intermediate_results[[#This Row], [Team9 laps '[laps']]] - intermediate_results[[#This Row], [Total running average '[sec']]]</f>
        <v>1.2550603632861481</v>
      </c>
    </row>
    <row r="17" spans="1:38" x14ac:dyDescent="0.25">
      <c r="A17" s="1">
        <v>113.36199999999999</v>
      </c>
      <c r="B17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2.1146081316662606</v>
      </c>
      <c r="C17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2.1104617292766803</v>
      </c>
      <c r="D17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2.0710338221206985</v>
      </c>
      <c r="E17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2.0150403123757186</v>
      </c>
      <c r="F17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2.0410527459001555</v>
      </c>
      <c r="G17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</v>
      </c>
      <c r="H17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2.0331556599512153</v>
      </c>
      <c r="I17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1.964265546693019</v>
      </c>
      <c r="J17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1.9930116824903821</v>
      </c>
      <c r="K17" s="1">
        <f>intermediate_results[[#This Row], [Team1 laps '[laps']]] - intermediate_results[[#This Row], [Team1 laps '[laps']]]</f>
        <v>0</v>
      </c>
      <c r="L17" s="1">
        <f>intermediate_results[[#This Row], [Team1 laps '[laps']]] - intermediate_results[[#This Row], [Team2 laps '[laps']]]</f>
        <v>4.1464023895803059E-3</v>
      </c>
      <c r="M17" s="1">
        <f>intermediate_results[[#This Row], [Team1 laps '[laps']]] - intermediate_results[[#This Row], [Team3 laps '[laps']]]</f>
        <v>4.3574309545562073E-2</v>
      </c>
      <c r="N17" s="1">
        <f>intermediate_results[[#This Row], [Team1 laps '[laps']]] - intermediate_results[[#This Row], [Team4 laps '[laps']]]</f>
        <v>9.9567819290542037E-2</v>
      </c>
      <c r="O17" s="1">
        <f>intermediate_results[[#This Row], [Team1 laps '[laps']]] - intermediate_results[[#This Row], [Team5 laps '[laps']]]</f>
        <v>7.3555385766105097E-2</v>
      </c>
      <c r="P17" s="1">
        <f>intermediate_results[[#This Row], [Team1 laps '[laps']]] - intermediate_results[[#This Row], [Team6 laps '[laps']]]</f>
        <v>0.1146081316662606</v>
      </c>
      <c r="Q17" s="1">
        <f>intermediate_results[[#This Row], [Team1 laps '[laps']]] - intermediate_results[[#This Row], [Team7 laps '[laps']]]</f>
        <v>8.1452471715045327E-2</v>
      </c>
      <c r="R17" s="1">
        <f>intermediate_results[[#This Row], [Team1 laps '[laps']]] - intermediate_results[[#This Row], [Team8 laps '[laps']]]</f>
        <v>0.1503425849732416</v>
      </c>
      <c r="S17" s="1">
        <f>intermediate_results[[#This Row], [Team1 laps '[laps']]] - intermediate_results[[#This Row], [Team9 laps '[laps']]]</f>
        <v>0.12159644917587853</v>
      </c>
      <c r="T17" s="1">
        <f>MAX(intermediate_results[[#This Row], [Team1 laps '[laps']]:[Team9 laps '[laps']]]) - intermediate_results[[#This Row], [Team1 laps '[laps']]]</f>
        <v>0</v>
      </c>
      <c r="U17" s="1">
        <f>MAX(intermediate_results[[#This Row], [Team1 laps '[laps']]:[Team9 laps '[laps']]]) - intermediate_results[[#This Row], [Team2 laps '[laps']]]</f>
        <v>4.1464023895803059E-3</v>
      </c>
      <c r="V17" s="1">
        <f>MAX(intermediate_results[[#This Row], [Team1 laps '[laps']]:[Team9 laps '[laps']]]) - intermediate_results[[#This Row], [Team3 laps '[laps']]]</f>
        <v>4.3574309545562073E-2</v>
      </c>
      <c r="W17" s="1">
        <f>MAX(intermediate_results[[#This Row], [Team1 laps '[laps']]:[Team9 laps '[laps']]]) - intermediate_results[[#This Row], [Team4 laps '[laps']]]</f>
        <v>9.9567819290542037E-2</v>
      </c>
      <c r="X17" s="1">
        <f>MAX(intermediate_results[[#This Row], [Team1 laps '[laps']]:[Team9 laps '[laps']]]) - intermediate_results[[#This Row], [Team5 laps '[laps']]]</f>
        <v>7.3555385766105097E-2</v>
      </c>
      <c r="Y17" s="1">
        <f>MAX(intermediate_results[[#This Row], [Team1 laps '[laps']]:[Team9 laps '[laps']]]) - intermediate_results[[#This Row], [Team6 laps '[laps']]]</f>
        <v>0.1146081316662606</v>
      </c>
      <c r="Z17" s="1">
        <f>MAX(intermediate_results[[#This Row], [Team1 laps '[laps']]:[Team9 laps '[laps']]]) - intermediate_results[[#This Row], [Team7 laps '[laps']]]</f>
        <v>8.1452471715045327E-2</v>
      </c>
      <c r="AA17" s="1">
        <f>MAX(intermediate_results[[#This Row], [Team1 laps '[laps']]:[Team9 laps '[laps']]]) - intermediate_results[[#This Row], [Team8 laps '[laps']]]</f>
        <v>0.1503425849732416</v>
      </c>
      <c r="AB17" s="1">
        <f>MAX(intermediate_results[[#This Row], [Team1 laps '[laps']]:[Team9 laps '[laps']]]) - intermediate_results[[#This Row], [Team9 laps '[laps']]]</f>
        <v>0.12159644917587853</v>
      </c>
      <c r="AC17" s="1">
        <f>9 * intermediate_results[[#This Row], [All cumulative times '[sec']]] / SUM(intermediate_results[[#This Row], [Team1 laps '[laps']]:[Team9 laps '[laps']]])</f>
        <v>55.6222319565871</v>
      </c>
      <c r="AD17" s="1">
        <f>intermediate_results[[#This Row], [All cumulative times '[sec']]] / intermediate_results[[#This Row], [Team1 laps '[laps']]] - intermediate_results[[#This Row], [Total running average '[sec']]]</f>
        <v>-2.0132448812023824</v>
      </c>
      <c r="AE17" s="1">
        <f>intermediate_results[[#This Row], [All cumulative times '[sec']]] / intermediate_results[[#This Row], [Team2 laps '[laps']]] - intermediate_results[[#This Row], [Total running average '[sec']]]</f>
        <v>-1.9079198572852007</v>
      </c>
      <c r="AF17" s="1">
        <f>intermediate_results[[#This Row], [All cumulative times '[sec']]] / intermediate_results[[#This Row], [Team3 laps '[laps']]] - intermediate_results[[#This Row], [Total running average '[sec']]]</f>
        <v>-0.88531805919864581</v>
      </c>
      <c r="AG17" s="1">
        <f>intermediate_results[[#This Row], [All cumulative times '[sec']]] / intermediate_results[[#This Row], [Team4 laps '[laps']]] - intermediate_results[[#This Row], [Total running average '[sec']]]</f>
        <v>0.63569961121711316</v>
      </c>
      <c r="AH17" s="1">
        <f>intermediate_results[[#This Row], [All cumulative times '[sec']]] / intermediate_results[[#This Row], [Team5 laps '[laps']]] - intermediate_results[[#This Row], [Total running average '[sec']]]</f>
        <v>-8.1286124731832388E-2</v>
      </c>
      <c r="AI17" s="1">
        <f>intermediate_results[[#This Row], [All cumulative times '[sec']]] / intermediate_results[[#This Row], [Team6 laps '[laps']]] - intermediate_results[[#This Row], [Total running average '[sec']]]</f>
        <v>1.058768043412897</v>
      </c>
      <c r="AJ17" s="1">
        <f>intermediate_results[[#This Row], [All cumulative times '[sec']]] / intermediate_results[[#This Row], [Team7 laps '[laps']]] - intermediate_results[[#This Row], [Total running average '[sec']]]</f>
        <v>0.13444336000920742</v>
      </c>
      <c r="AK17" s="1">
        <f>intermediate_results[[#This Row], [All cumulative times '[sec']]] / intermediate_results[[#This Row], [Team8 laps '[laps']]] - intermediate_results[[#This Row], [Total running average '[sec']]]</f>
        <v>2.0899242184539943</v>
      </c>
      <c r="AL17" s="1">
        <f>intermediate_results[[#This Row], [All cumulative times '[sec']]] / intermediate_results[[#This Row], [Team9 laps '[laps']]] - intermediate_results[[#This Row], [Total running average '[sec']]]</f>
        <v>1.2575149088942368</v>
      </c>
    </row>
    <row r="18" spans="1:38" x14ac:dyDescent="0.25">
      <c r="A18" s="1">
        <v>113.758</v>
      </c>
      <c r="B18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2.1220312294974413</v>
      </c>
      <c r="C18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2.1179035198165863</v>
      </c>
      <c r="D18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2.0783287893301892</v>
      </c>
      <c r="E18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2.0221989225930077</v>
      </c>
      <c r="F18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2.0482206856605005</v>
      </c>
      <c r="G18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2.0070920715654497</v>
      </c>
      <c r="H18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2.040310777848044</v>
      </c>
      <c r="I18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1.9712536175619397</v>
      </c>
      <c r="J18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</v>
      </c>
      <c r="K18" s="1">
        <f>intermediate_results[[#This Row], [Team1 laps '[laps']]] - intermediate_results[[#This Row], [Team1 laps '[laps']]]</f>
        <v>0</v>
      </c>
      <c r="L18" s="1">
        <f>intermediate_results[[#This Row], [Team1 laps '[laps']]] - intermediate_results[[#This Row], [Team2 laps '[laps']]]</f>
        <v>4.1277096808549629E-3</v>
      </c>
      <c r="M18" s="1">
        <f>intermediate_results[[#This Row], [Team1 laps '[laps']]] - intermediate_results[[#This Row], [Team3 laps '[laps']]]</f>
        <v>4.370244016725211E-2</v>
      </c>
      <c r="N18" s="1">
        <f>intermediate_results[[#This Row], [Team1 laps '[laps']]] - intermediate_results[[#This Row], [Team4 laps '[laps']]]</f>
        <v>9.9832306904433565E-2</v>
      </c>
      <c r="O18" s="1">
        <f>intermediate_results[[#This Row], [Team1 laps '[laps']]] - intermediate_results[[#This Row], [Team5 laps '[laps']]]</f>
        <v>7.3810543836940745E-2</v>
      </c>
      <c r="P18" s="1">
        <f>intermediate_results[[#This Row], [Team1 laps '[laps']]] - intermediate_results[[#This Row], [Team6 laps '[laps']]]</f>
        <v>0.11493915793199161</v>
      </c>
      <c r="Q18" s="1">
        <f>intermediate_results[[#This Row], [Team1 laps '[laps']]] - intermediate_results[[#This Row], [Team7 laps '[laps']]]</f>
        <v>8.172045164939723E-2</v>
      </c>
      <c r="R18" s="1">
        <f>intermediate_results[[#This Row], [Team1 laps '[laps']]] - intermediate_results[[#This Row], [Team8 laps '[laps']]]</f>
        <v>0.15077761193550154</v>
      </c>
      <c r="S18" s="1">
        <f>intermediate_results[[#This Row], [Team1 laps '[laps']]] - intermediate_results[[#This Row], [Team9 laps '[laps']]]</f>
        <v>0.12203122949744127</v>
      </c>
      <c r="T18" s="1">
        <f>MAX(intermediate_results[[#This Row], [Team1 laps '[laps']]:[Team9 laps '[laps']]]) - intermediate_results[[#This Row], [Team1 laps '[laps']]]</f>
        <v>0</v>
      </c>
      <c r="U18" s="1">
        <f>MAX(intermediate_results[[#This Row], [Team1 laps '[laps']]:[Team9 laps '[laps']]]) - intermediate_results[[#This Row], [Team2 laps '[laps']]]</f>
        <v>4.1277096808549629E-3</v>
      </c>
      <c r="V18" s="1">
        <f>MAX(intermediate_results[[#This Row], [Team1 laps '[laps']]:[Team9 laps '[laps']]]) - intermediate_results[[#This Row], [Team3 laps '[laps']]]</f>
        <v>4.370244016725211E-2</v>
      </c>
      <c r="W18" s="1">
        <f>MAX(intermediate_results[[#This Row], [Team1 laps '[laps']]:[Team9 laps '[laps']]]) - intermediate_results[[#This Row], [Team4 laps '[laps']]]</f>
        <v>9.9832306904433565E-2</v>
      </c>
      <c r="X18" s="1">
        <f>MAX(intermediate_results[[#This Row], [Team1 laps '[laps']]:[Team9 laps '[laps']]]) - intermediate_results[[#This Row], [Team5 laps '[laps']]]</f>
        <v>7.3810543836940745E-2</v>
      </c>
      <c r="Y18" s="1">
        <f>MAX(intermediate_results[[#This Row], [Team1 laps '[laps']]:[Team9 laps '[laps']]]) - intermediate_results[[#This Row], [Team6 laps '[laps']]]</f>
        <v>0.11493915793199161</v>
      </c>
      <c r="Z18" s="1">
        <f>MAX(intermediate_results[[#This Row], [Team1 laps '[laps']]:[Team9 laps '[laps']]]) - intermediate_results[[#This Row], [Team7 laps '[laps']]]</f>
        <v>8.172045164939723E-2</v>
      </c>
      <c r="AA18" s="1">
        <f>MAX(intermediate_results[[#This Row], [Team1 laps '[laps']]:[Team9 laps '[laps']]]) - intermediate_results[[#This Row], [Team8 laps '[laps']]]</f>
        <v>0.15077761193550154</v>
      </c>
      <c r="AB18" s="1">
        <f>MAX(intermediate_results[[#This Row], [Team1 laps '[laps']]:[Team9 laps '[laps']]]) - intermediate_results[[#This Row], [Team9 laps '[laps']]]</f>
        <v>0.12203122949744127</v>
      </c>
      <c r="AC18" s="1">
        <f>9 * intermediate_results[[#This Row], [All cumulative times '[sec']]] / SUM(intermediate_results[[#This Row], [Team1 laps '[laps']]:[Team9 laps '[laps']]])</f>
        <v>55.620313498663897</v>
      </c>
      <c r="AD18" s="1">
        <f>intermediate_results[[#This Row], [All cumulative times '[sec']]] / intermediate_results[[#This Row], [Team1 laps '[laps']]] - intermediate_results[[#This Row], [Total running average '[sec']]]</f>
        <v>-2.0122428827846051</v>
      </c>
      <c r="AE18" s="1">
        <f>intermediate_results[[#This Row], [All cumulative times '[sec']]] / intermediate_results[[#This Row], [Team2 laps '[laps']]] - intermediate_results[[#This Row], [Total running average '[sec']]]</f>
        <v>-1.9077628864190075</v>
      </c>
      <c r="AF18" s="1">
        <f>intermediate_results[[#This Row], [All cumulative times '[sec']]] / intermediate_results[[#This Row], [Team3 laps '[laps']]] - intermediate_results[[#This Row], [Total running average '[sec']]]</f>
        <v>-0.88498933628133614</v>
      </c>
      <c r="AG18" s="1">
        <f>intermediate_results[[#This Row], [All cumulative times '[sec']]] / intermediate_results[[#This Row], [Team4 laps '[laps']]] - intermediate_results[[#This Row], [Total running average '[sec']]]</f>
        <v>0.63429069929075865</v>
      </c>
      <c r="AH18" s="1">
        <f>intermediate_results[[#This Row], [All cumulative times '[sec']]] / intermediate_results[[#This Row], [Team5 laps '[laps']]] - intermediate_results[[#This Row], [Total running average '[sec']]]</f>
        <v>-8.0399857319214618E-2</v>
      </c>
      <c r="AI18" s="1">
        <f>intermediate_results[[#This Row], [All cumulative times '[sec']]] / intermediate_results[[#This Row], [Team6 laps '[laps']]] - intermediate_results[[#This Row], [Total running average '[sec']]]</f>
        <v>1.0577042224032809</v>
      </c>
      <c r="AJ18" s="1">
        <f>intermediate_results[[#This Row], [All cumulative times '[sec']]] / intermediate_results[[#This Row], [Team7 laps '[laps']]] - intermediate_results[[#This Row], [Total running average '[sec']]]</f>
        <v>0.13491812344359033</v>
      </c>
      <c r="AK18" s="1">
        <f>intermediate_results[[#This Row], [All cumulative times '[sec']]] / intermediate_results[[#This Row], [Team8 laps '[laps']]] - intermediate_results[[#This Row], [Total running average '[sec']]]</f>
        <v>2.088141155028346</v>
      </c>
      <c r="AL18" s="1">
        <f>intermediate_results[[#This Row], [All cumulative times '[sec']]] / intermediate_results[[#This Row], [Team9 laps '[laps']]] - intermediate_results[[#This Row], [Total running average '[sec']]]</f>
        <v>1.2586865013361006</v>
      </c>
    </row>
    <row r="19" spans="1:38" x14ac:dyDescent="0.25">
      <c r="A19" s="1">
        <v>115.387</v>
      </c>
      <c r="B19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2.1525671546666167</v>
      </c>
      <c r="C19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2.1485163399921072</v>
      </c>
      <c r="D19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2.1083376317146856</v>
      </c>
      <c r="E19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2.051646841895947</v>
      </c>
      <c r="F19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2.0777069833110091</v>
      </c>
      <c r="G19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2.0362662750505938</v>
      </c>
      <c r="H19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2.0697443310145456</v>
      </c>
      <c r="I19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</v>
      </c>
      <c r="J19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2.0288150283904978</v>
      </c>
      <c r="K19" s="1">
        <f>intermediate_results[[#This Row], [Team1 laps '[laps']]] - intermediate_results[[#This Row], [Team1 laps '[laps']]]</f>
        <v>0</v>
      </c>
      <c r="L19" s="1">
        <f>intermediate_results[[#This Row], [Team1 laps '[laps']]] - intermediate_results[[#This Row], [Team2 laps '[laps']]]</f>
        <v>4.0508146745095175E-3</v>
      </c>
      <c r="M19" s="1">
        <f>intermediate_results[[#This Row], [Team1 laps '[laps']]] - intermediate_results[[#This Row], [Team3 laps '[laps']]]</f>
        <v>4.4229522951931166E-2</v>
      </c>
      <c r="N19" s="1">
        <f>intermediate_results[[#This Row], [Team1 laps '[laps']]] - intermediate_results[[#This Row], [Team4 laps '[laps']]]</f>
        <v>0.10092031277066971</v>
      </c>
      <c r="O19" s="1">
        <f>intermediate_results[[#This Row], [Team1 laps '[laps']]] - intermediate_results[[#This Row], [Team5 laps '[laps']]]</f>
        <v>7.486017135560763E-2</v>
      </c>
      <c r="P19" s="1">
        <f>intermediate_results[[#This Row], [Team1 laps '[laps']]] - intermediate_results[[#This Row], [Team6 laps '[laps']]]</f>
        <v>0.11630087961602298</v>
      </c>
      <c r="Q19" s="1">
        <f>intermediate_results[[#This Row], [Team1 laps '[laps']]] - intermediate_results[[#This Row], [Team7 laps '[laps']]]</f>
        <v>8.2822823652071165E-2</v>
      </c>
      <c r="R19" s="1">
        <f>intermediate_results[[#This Row], [Team1 laps '[laps']]] - intermediate_results[[#This Row], [Team8 laps '[laps']]]</f>
        <v>0.15256715466661674</v>
      </c>
      <c r="S19" s="1">
        <f>intermediate_results[[#This Row], [Team1 laps '[laps']]] - intermediate_results[[#This Row], [Team9 laps '[laps']]]</f>
        <v>0.12375212627611898</v>
      </c>
      <c r="T19" s="1">
        <f>MAX(intermediate_results[[#This Row], [Team1 laps '[laps']]:[Team9 laps '[laps']]]) - intermediate_results[[#This Row], [Team1 laps '[laps']]]</f>
        <v>0</v>
      </c>
      <c r="U19" s="1">
        <f>MAX(intermediate_results[[#This Row], [Team1 laps '[laps']]:[Team9 laps '[laps']]]) - intermediate_results[[#This Row], [Team2 laps '[laps']]]</f>
        <v>4.0508146745095175E-3</v>
      </c>
      <c r="V19" s="1">
        <f>MAX(intermediate_results[[#This Row], [Team1 laps '[laps']]:[Team9 laps '[laps']]]) - intermediate_results[[#This Row], [Team3 laps '[laps']]]</f>
        <v>4.4229522951931166E-2</v>
      </c>
      <c r="W19" s="1">
        <f>MAX(intermediate_results[[#This Row], [Team1 laps '[laps']]:[Team9 laps '[laps']]]) - intermediate_results[[#This Row], [Team4 laps '[laps']]]</f>
        <v>0.10092031277066971</v>
      </c>
      <c r="X19" s="1">
        <f>MAX(intermediate_results[[#This Row], [Team1 laps '[laps']]:[Team9 laps '[laps']]]) - intermediate_results[[#This Row], [Team5 laps '[laps']]]</f>
        <v>7.486017135560763E-2</v>
      </c>
      <c r="Y19" s="1">
        <f>MAX(intermediate_results[[#This Row], [Team1 laps '[laps']]:[Team9 laps '[laps']]]) - intermediate_results[[#This Row], [Team6 laps '[laps']]]</f>
        <v>0.11630087961602298</v>
      </c>
      <c r="Z19" s="1">
        <f>MAX(intermediate_results[[#This Row], [Team1 laps '[laps']]:[Team9 laps '[laps']]]) - intermediate_results[[#This Row], [Team7 laps '[laps']]]</f>
        <v>8.2822823652071165E-2</v>
      </c>
      <c r="AA19" s="1">
        <f>MAX(intermediate_results[[#This Row], [Team1 laps '[laps']]:[Team9 laps '[laps']]]) - intermediate_results[[#This Row], [Team8 laps '[laps']]]</f>
        <v>0.15256715466661674</v>
      </c>
      <c r="AB19" s="1">
        <f>MAX(intermediate_results[[#This Row], [Team1 laps '[laps']]:[Team9 laps '[laps']]]) - intermediate_results[[#This Row], [Team9 laps '[laps']]]</f>
        <v>0.12375212627611898</v>
      </c>
      <c r="AC19" s="1">
        <f>9 * intermediate_results[[#This Row], [All cumulative times '[sec']]] / SUM(intermediate_results[[#This Row], [Team1 laps '[laps']]:[Team9 laps '[laps']]])</f>
        <v>55.612360091742069</v>
      </c>
      <c r="AD19" s="1">
        <f>intermediate_results[[#This Row], [All cumulative times '[sec']]] / intermediate_results[[#This Row], [Team1 laps '[laps']]] - intermediate_results[[#This Row], [Total running average '[sec']]]</f>
        <v>-2.0079929760174977</v>
      </c>
      <c r="AE19" s="1">
        <f>intermediate_results[[#This Row], [All cumulative times '[sec']]] / intermediate_results[[#This Row], [Team2 laps '[laps']]] - intermediate_results[[#This Row], [Total running average '[sec']]]</f>
        <v>-1.9069272531796742</v>
      </c>
      <c r="AF19" s="1">
        <f>intermediate_results[[#This Row], [All cumulative times '[sec']]] / intermediate_results[[#This Row], [Team3 laps '[laps']]] - intermediate_results[[#This Row], [Total running average '[sec']]]</f>
        <v>-0.88345981301529264</v>
      </c>
      <c r="AG19" s="1">
        <f>intermediate_results[[#This Row], [All cumulative times '[sec']]] / intermediate_results[[#This Row], [Team4 laps '[laps']]] - intermediate_results[[#This Row], [Total running average '[sec']]]</f>
        <v>0.62880073756017651</v>
      </c>
      <c r="AH19" s="1">
        <f>intermediate_results[[#This Row], [All cumulative times '[sec']]] / intermediate_results[[#This Row], [Team5 laps '[laps']]] - intermediate_results[[#This Row], [Total running average '[sec']]]</f>
        <v>-7.6617599256124436E-2</v>
      </c>
      <c r="AI19" s="1">
        <f>intermediate_results[[#This Row], [All cumulative times '[sec']]] / intermediate_results[[#This Row], [Team6 laps '[laps']]] - intermediate_results[[#This Row], [Total running average '[sec']]]</f>
        <v>1.0536081137830422</v>
      </c>
      <c r="AJ19" s="1">
        <f>intermediate_results[[#This Row], [All cumulative times '[sec']]] / intermediate_results[[#This Row], [Team7 laps '[laps']]] - intermediate_results[[#This Row], [Total running average '[sec']]]</f>
        <v>0.13703768215577838</v>
      </c>
      <c r="AK19" s="1">
        <f>intermediate_results[[#This Row], [All cumulative times '[sec']]] / intermediate_results[[#This Row], [Team8 laps '[laps']]] - intermediate_results[[#This Row], [Total running average '[sec']]]</f>
        <v>2.0811399082579314</v>
      </c>
      <c r="AL19" s="1">
        <f>intermediate_results[[#This Row], [All cumulative times '[sec']]] / intermediate_results[[#This Row], [Team9 laps '[laps']]] - intermediate_results[[#This Row], [Total running average '[sec']]]</f>
        <v>1.261725709731401</v>
      </c>
    </row>
    <row r="20" spans="1:38" x14ac:dyDescent="0.25">
      <c r="A20" s="1">
        <v>160.595</v>
      </c>
      <c r="B20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</v>
      </c>
      <c r="C20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2.9980831751639636</v>
      </c>
      <c r="D20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2.9411428781961537</v>
      </c>
      <c r="E20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2.8688853537727321</v>
      </c>
      <c r="F20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2.8960105709010606</v>
      </c>
      <c r="G20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2.8459086268961444</v>
      </c>
      <c r="H20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2.886584153943446</v>
      </c>
      <c r="I20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2.8068534713546311</v>
      </c>
      <c r="J20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2.8284895547733182</v>
      </c>
      <c r="K20" s="1">
        <f>intermediate_results[[#This Row], [Team1 laps '[laps']]] - intermediate_results[[#This Row], [Team1 laps '[laps']]]</f>
        <v>0</v>
      </c>
      <c r="L20" s="1">
        <f>intermediate_results[[#This Row], [Team1 laps '[laps']]] - intermediate_results[[#This Row], [Team2 laps '[laps']]]</f>
        <v>1.9168248360363904E-3</v>
      </c>
      <c r="M20" s="1">
        <f>intermediate_results[[#This Row], [Team1 laps '[laps']]] - intermediate_results[[#This Row], [Team3 laps '[laps']]]</f>
        <v>5.885712180384628E-2</v>
      </c>
      <c r="N20" s="1">
        <f>intermediate_results[[#This Row], [Team1 laps '[laps']]] - intermediate_results[[#This Row], [Team4 laps '[laps']]]</f>
        <v>0.13111464622726787</v>
      </c>
      <c r="O20" s="1">
        <f>intermediate_results[[#This Row], [Team1 laps '[laps']]] - intermediate_results[[#This Row], [Team5 laps '[laps']]]</f>
        <v>0.10398942909893938</v>
      </c>
      <c r="P20" s="1">
        <f>intermediate_results[[#This Row], [Team1 laps '[laps']]] - intermediate_results[[#This Row], [Team6 laps '[laps']]]</f>
        <v>0.15409137310385557</v>
      </c>
      <c r="Q20" s="1">
        <f>intermediate_results[[#This Row], [Team1 laps '[laps']]] - intermediate_results[[#This Row], [Team7 laps '[laps']]]</f>
        <v>0.11341584605655397</v>
      </c>
      <c r="R20" s="1">
        <f>intermediate_results[[#This Row], [Team1 laps '[laps']]] - intermediate_results[[#This Row], [Team8 laps '[laps']]]</f>
        <v>0.19314652864536885</v>
      </c>
      <c r="S20" s="1">
        <f>intermediate_results[[#This Row], [Team1 laps '[laps']]] - intermediate_results[[#This Row], [Team9 laps '[laps']]]</f>
        <v>0.1715104452266818</v>
      </c>
      <c r="T20" s="1">
        <f>MAX(intermediate_results[[#This Row], [Team1 laps '[laps']]:[Team9 laps '[laps']]]) - intermediate_results[[#This Row], [Team1 laps '[laps']]]</f>
        <v>0</v>
      </c>
      <c r="U20" s="1">
        <f>MAX(intermediate_results[[#This Row], [Team1 laps '[laps']]:[Team9 laps '[laps']]]) - intermediate_results[[#This Row], [Team2 laps '[laps']]]</f>
        <v>1.9168248360363904E-3</v>
      </c>
      <c r="V20" s="1">
        <f>MAX(intermediate_results[[#This Row], [Team1 laps '[laps']]:[Team9 laps '[laps']]]) - intermediate_results[[#This Row], [Team3 laps '[laps']]]</f>
        <v>5.885712180384628E-2</v>
      </c>
      <c r="W20" s="1">
        <f>MAX(intermediate_results[[#This Row], [Team1 laps '[laps']]:[Team9 laps '[laps']]]) - intermediate_results[[#This Row], [Team4 laps '[laps']]]</f>
        <v>0.13111464622726787</v>
      </c>
      <c r="X20" s="1">
        <f>MAX(intermediate_results[[#This Row], [Team1 laps '[laps']]:[Team9 laps '[laps']]]) - intermediate_results[[#This Row], [Team5 laps '[laps']]]</f>
        <v>0.10398942909893938</v>
      </c>
      <c r="Y20" s="1">
        <f>MAX(intermediate_results[[#This Row], [Team1 laps '[laps']]:[Team9 laps '[laps']]]) - intermediate_results[[#This Row], [Team6 laps '[laps']]]</f>
        <v>0.15409137310385557</v>
      </c>
      <c r="Z20" s="1">
        <f>MAX(intermediate_results[[#This Row], [Team1 laps '[laps']]:[Team9 laps '[laps']]]) - intermediate_results[[#This Row], [Team7 laps '[laps']]]</f>
        <v>0.11341584605655397</v>
      </c>
      <c r="AA20" s="1">
        <f>MAX(intermediate_results[[#This Row], [Team1 laps '[laps']]:[Team9 laps '[laps']]]) - intermediate_results[[#This Row], [Team8 laps '[laps']]]</f>
        <v>0.19314652864536885</v>
      </c>
      <c r="AB20" s="1">
        <f>MAX(intermediate_results[[#This Row], [Team1 laps '[laps']]:[Team9 laps '[laps']]]) - intermediate_results[[#This Row], [Team9 laps '[laps']]]</f>
        <v>0.1715104452266818</v>
      </c>
      <c r="AC20" s="1">
        <f>9 * intermediate_results[[#This Row], [All cumulative times '[sec']]] / SUM(intermediate_results[[#This Row], [Team1 laps '[laps']]:[Team9 laps '[laps']]])</f>
        <v>55.437148675941657</v>
      </c>
      <c r="AD20" s="1">
        <f>intermediate_results[[#This Row], [All cumulative times '[sec']]] / intermediate_results[[#This Row], [Team1 laps '[laps']]] - intermediate_results[[#This Row], [Total running average '[sec']]]</f>
        <v>-1.9054820092749907</v>
      </c>
      <c r="AE20" s="1">
        <f>intermediate_results[[#This Row], [All cumulative times '[sec']]] / intermediate_results[[#This Row], [Team2 laps '[laps']]] - intermediate_results[[#This Row], [Total running average '[sec']]]</f>
        <v>-1.8712565317995455</v>
      </c>
      <c r="AF20" s="1">
        <f>intermediate_results[[#This Row], [All cumulative times '[sec']]] / intermediate_results[[#This Row], [Team3 laps '[laps']]] - intermediate_results[[#This Row], [Total running average '[sec']]]</f>
        <v>-0.83422503338292842</v>
      </c>
      <c r="AG20" s="1">
        <f>intermediate_results[[#This Row], [All cumulative times '[sec']]] / intermediate_results[[#This Row], [Team4 laps '[laps']]] - intermediate_results[[#This Row], [Total running average '[sec']]]</f>
        <v>0.54103803995805322</v>
      </c>
      <c r="AH20" s="1">
        <f>intermediate_results[[#This Row], [All cumulative times '[sec']]] / intermediate_results[[#This Row], [Team5 laps '[laps']]] - intermediate_results[[#This Row], [Total running average '[sec']]]</f>
        <v>1.6723493465754302E-2</v>
      </c>
      <c r="AI20" s="1">
        <f>intermediate_results[[#This Row], [All cumulative times '[sec']]] / intermediate_results[[#This Row], [Team6 laps '[laps']]] - intermediate_results[[#This Row], [Total running average '[sec']]]</f>
        <v>0.99298350829188564</v>
      </c>
      <c r="AJ20" s="1">
        <f>intermediate_results[[#This Row], [All cumulative times '[sec']]] / intermediate_results[[#This Row], [Team7 laps '[laps']]] - intermediate_results[[#This Row], [Total running average '[sec']]]</f>
        <v>0.19781342298296067</v>
      </c>
      <c r="AK20" s="1">
        <f>intermediate_results[[#This Row], [All cumulative times '[sec']]] / intermediate_results[[#This Row], [Team8 laps '[laps']]] - intermediate_results[[#This Row], [Total running average '[sec']]]</f>
        <v>1.7781643565888032</v>
      </c>
      <c r="AL20" s="1">
        <f>intermediate_results[[#This Row], [All cumulative times '[sec']]] / intermediate_results[[#This Row], [Team9 laps '[laps']]] - intermediate_results[[#This Row], [Total running average '[sec']]]</f>
        <v>1.3405048702707347</v>
      </c>
    </row>
    <row r="21" spans="1:38" x14ac:dyDescent="0.25">
      <c r="A21" s="1">
        <v>160.697</v>
      </c>
      <c r="B21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3.0019078615116999</v>
      </c>
      <c r="C21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</v>
      </c>
      <c r="D21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2.9430218849016283</v>
      </c>
      <c r="E21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2.8707292382226401</v>
      </c>
      <c r="F21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2.8978568584150892</v>
      </c>
      <c r="G21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2.8477353726023962</v>
      </c>
      <c r="H21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2.8884271388562657</v>
      </c>
      <c r="I21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2.8086739246832053</v>
      </c>
      <c r="J21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2.8302938106946387</v>
      </c>
      <c r="K21" s="1">
        <f>intermediate_results[[#This Row], [Team1 laps '[laps']]] - intermediate_results[[#This Row], [Team1 laps '[laps']]]</f>
        <v>0</v>
      </c>
      <c r="L21" s="1">
        <f>intermediate_results[[#This Row], [Team1 laps '[laps']]] - intermediate_results[[#This Row], [Team2 laps '[laps']]]</f>
        <v>1.9078615116998598E-3</v>
      </c>
      <c r="M21" s="1">
        <f>intermediate_results[[#This Row], [Team1 laps '[laps']]] - intermediate_results[[#This Row], [Team3 laps '[laps']]]</f>
        <v>5.8885976610071555E-2</v>
      </c>
      <c r="N21" s="1">
        <f>intermediate_results[[#This Row], [Team1 laps '[laps']]] - intermediate_results[[#This Row], [Team4 laps '[laps']]]</f>
        <v>0.13117862328905971</v>
      </c>
      <c r="O21" s="1">
        <f>intermediate_results[[#This Row], [Team1 laps '[laps']]] - intermediate_results[[#This Row], [Team5 laps '[laps']]]</f>
        <v>0.10405100309661064</v>
      </c>
      <c r="P21" s="1">
        <f>intermediate_results[[#This Row], [Team1 laps '[laps']]] - intermediate_results[[#This Row], [Team6 laps '[laps']]]</f>
        <v>0.15417248890930368</v>
      </c>
      <c r="Q21" s="1">
        <f>intermediate_results[[#This Row], [Team1 laps '[laps']]] - intermediate_results[[#This Row], [Team7 laps '[laps']]]</f>
        <v>0.11348072265543419</v>
      </c>
      <c r="R21" s="1">
        <f>intermediate_results[[#This Row], [Team1 laps '[laps']]] - intermediate_results[[#This Row], [Team8 laps '[laps']]]</f>
        <v>0.19323393682849455</v>
      </c>
      <c r="S21" s="1">
        <f>intermediate_results[[#This Row], [Team1 laps '[laps']]] - intermediate_results[[#This Row], [Team9 laps '[laps']]]</f>
        <v>0.17161405081706116</v>
      </c>
      <c r="T21" s="1">
        <f>MAX(intermediate_results[[#This Row], [Team1 laps '[laps']]:[Team9 laps '[laps']]]) - intermediate_results[[#This Row], [Team1 laps '[laps']]]</f>
        <v>0</v>
      </c>
      <c r="U21" s="1">
        <f>MAX(intermediate_results[[#This Row], [Team1 laps '[laps']]:[Team9 laps '[laps']]]) - intermediate_results[[#This Row], [Team2 laps '[laps']]]</f>
        <v>1.9078615116998598E-3</v>
      </c>
      <c r="V21" s="1">
        <f>MAX(intermediate_results[[#This Row], [Team1 laps '[laps']]:[Team9 laps '[laps']]]) - intermediate_results[[#This Row], [Team3 laps '[laps']]]</f>
        <v>5.8885976610071555E-2</v>
      </c>
      <c r="W21" s="1">
        <f>MAX(intermediate_results[[#This Row], [Team1 laps '[laps']]:[Team9 laps '[laps']]]) - intermediate_results[[#This Row], [Team4 laps '[laps']]]</f>
        <v>0.13117862328905971</v>
      </c>
      <c r="X21" s="1">
        <f>MAX(intermediate_results[[#This Row], [Team1 laps '[laps']]:[Team9 laps '[laps']]]) - intermediate_results[[#This Row], [Team5 laps '[laps']]]</f>
        <v>0.10405100309661064</v>
      </c>
      <c r="Y21" s="1">
        <f>MAX(intermediate_results[[#This Row], [Team1 laps '[laps']]:[Team9 laps '[laps']]]) - intermediate_results[[#This Row], [Team6 laps '[laps']]]</f>
        <v>0.15417248890930368</v>
      </c>
      <c r="Z21" s="1">
        <f>MAX(intermediate_results[[#This Row], [Team1 laps '[laps']]:[Team9 laps '[laps']]]) - intermediate_results[[#This Row], [Team7 laps '[laps']]]</f>
        <v>0.11348072265543419</v>
      </c>
      <c r="AA21" s="1">
        <f>MAX(intermediate_results[[#This Row], [Team1 laps '[laps']]:[Team9 laps '[laps']]]) - intermediate_results[[#This Row], [Team8 laps '[laps']]]</f>
        <v>0.19323393682849455</v>
      </c>
      <c r="AB21" s="1">
        <f>MAX(intermediate_results[[#This Row], [Team1 laps '[laps']]:[Team9 laps '[laps']]]) - intermediate_results[[#This Row], [Team9 laps '[laps']]]</f>
        <v>0.17161405081706116</v>
      </c>
      <c r="AC21" s="1">
        <f>9 * intermediate_results[[#This Row], [All cumulative times '[sec']]] / SUM(intermediate_results[[#This Row], [Team1 laps '[laps']]:[Team9 laps '[laps']]])</f>
        <v>55.436874532197436</v>
      </c>
      <c r="AD21" s="1">
        <f>intermediate_results[[#This Row], [All cumulative times '[sec']]] / intermediate_results[[#This Row], [Team1 laps '[laps']]] - intermediate_results[[#This Row], [Total running average '[sec']]]</f>
        <v>-1.9052515066072147</v>
      </c>
      <c r="AE21" s="1">
        <f>intermediate_results[[#This Row], [All cumulative times '[sec']]] / intermediate_results[[#This Row], [Team2 laps '[laps']]] - intermediate_results[[#This Row], [Total running average '[sec']]]</f>
        <v>-1.8712078655307707</v>
      </c>
      <c r="AF21" s="1">
        <f>intermediate_results[[#This Row], [All cumulative times '[sec']]] / intermediate_results[[#This Row], [Team3 laps '[laps']]] - intermediate_results[[#This Row], [Total running average '[sec']]]</f>
        <v>-0.83415451016424669</v>
      </c>
      <c r="AG21" s="1">
        <f>intermediate_results[[#This Row], [All cumulative times '[sec']]] / intermediate_results[[#This Row], [Team4 laps '[laps']]] - intermediate_results[[#This Row], [Total running average '[sec']]]</f>
        <v>0.54088814231123195</v>
      </c>
      <c r="AH21" s="1">
        <f>intermediate_results[[#This Row], [All cumulative times '[sec']]] / intermediate_results[[#This Row], [Team5 laps '[laps']]] - intermediate_results[[#This Row], [Total running average '[sec']]]</f>
        <v>1.6865197338148619E-2</v>
      </c>
      <c r="AI21" s="1">
        <f>intermediate_results[[#This Row], [All cumulative times '[sec']]] / intermediate_results[[#This Row], [Team6 laps '[laps']]] - intermediate_results[[#This Row], [Total running average '[sec']]]</f>
        <v>0.99287717368085282</v>
      </c>
      <c r="AJ21" s="1">
        <f>intermediate_results[[#This Row], [All cumulative times '[sec']]] / intermediate_results[[#This Row], [Team7 laps '[laps']]] - intermediate_results[[#This Row], [Total running average '[sec']]]</f>
        <v>0.19790255400297951</v>
      </c>
      <c r="AK21" s="1">
        <f>intermediate_results[[#This Row], [All cumulative times '[sec']]] / intermediate_results[[#This Row], [Team8 laps '[laps']]] - intermediate_results[[#This Row], [Total running average '[sec']]]</f>
        <v>1.7776702349119304</v>
      </c>
      <c r="AL21" s="1">
        <f>intermediate_results[[#This Row], [All cumulative times '[sec']]] / intermediate_results[[#This Row], [Team9 laps '[laps']]] - intermediate_results[[#This Row], [Total running average '[sec']]]</f>
        <v>1.3406230522530507</v>
      </c>
    </row>
    <row r="22" spans="1:38" x14ac:dyDescent="0.25">
      <c r="A22" s="1">
        <v>163.79</v>
      </c>
      <c r="B22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3.0597609561752988</v>
      </c>
      <c r="C22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3.0576901555563842</v>
      </c>
      <c r="D22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</v>
      </c>
      <c r="E22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2.9266423225713147</v>
      </c>
      <c r="F22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2.9538428121492957</v>
      </c>
      <c r="G22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2.9031287497537477</v>
      </c>
      <c r="H22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2.9443129460655886</v>
      </c>
      <c r="I22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2.8638764947349631</v>
      </c>
      <c r="J22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2.8850052181911447</v>
      </c>
      <c r="K22" s="1">
        <f>intermediate_results[[#This Row], [Team1 laps '[laps']]] - intermediate_results[[#This Row], [Team1 laps '[laps']]]</f>
        <v>0</v>
      </c>
      <c r="L22" s="1">
        <f>intermediate_results[[#This Row], [Team1 laps '[laps']]] - intermediate_results[[#This Row], [Team2 laps '[laps']]]</f>
        <v>2.0708006189145145E-3</v>
      </c>
      <c r="M22" s="1">
        <f>intermediate_results[[#This Row], [Team1 laps '[laps']]] - intermediate_results[[#This Row], [Team3 laps '[laps']]]</f>
        <v>5.9760956175298752E-2</v>
      </c>
      <c r="N22" s="1">
        <f>intermediate_results[[#This Row], [Team1 laps '[laps']]] - intermediate_results[[#This Row], [Team4 laps '[laps']]]</f>
        <v>0.13311863360398402</v>
      </c>
      <c r="O22" s="1">
        <f>intermediate_results[[#This Row], [Team1 laps '[laps']]] - intermediate_results[[#This Row], [Team5 laps '[laps']]]</f>
        <v>0.10591814402600308</v>
      </c>
      <c r="P22" s="1">
        <f>intermediate_results[[#This Row], [Team1 laps '[laps']]] - intermediate_results[[#This Row], [Team6 laps '[laps']]]</f>
        <v>0.15663220642155107</v>
      </c>
      <c r="Q22" s="1">
        <f>intermediate_results[[#This Row], [Team1 laps '[laps']]] - intermediate_results[[#This Row], [Team7 laps '[laps']]]</f>
        <v>0.11544801010971018</v>
      </c>
      <c r="R22" s="1">
        <f>intermediate_results[[#This Row], [Team1 laps '[laps']]] - intermediate_results[[#This Row], [Team8 laps '[laps']]]</f>
        <v>0.19588446144033567</v>
      </c>
      <c r="S22" s="1">
        <f>intermediate_results[[#This Row], [Team1 laps '[laps']]] - intermediate_results[[#This Row], [Team9 laps '[laps']]]</f>
        <v>0.174755737984154</v>
      </c>
      <c r="T22" s="1">
        <f>MAX(intermediate_results[[#This Row], [Team1 laps '[laps']]:[Team9 laps '[laps']]]) - intermediate_results[[#This Row], [Team1 laps '[laps']]]</f>
        <v>0</v>
      </c>
      <c r="U22" s="1">
        <f>MAX(intermediate_results[[#This Row], [Team1 laps '[laps']]:[Team9 laps '[laps']]]) - intermediate_results[[#This Row], [Team2 laps '[laps']]]</f>
        <v>2.0708006189145145E-3</v>
      </c>
      <c r="V22" s="1">
        <f>MAX(intermediate_results[[#This Row], [Team1 laps '[laps']]:[Team9 laps '[laps']]]) - intermediate_results[[#This Row], [Team3 laps '[laps']]]</f>
        <v>5.9760956175298752E-2</v>
      </c>
      <c r="W22" s="1">
        <f>MAX(intermediate_results[[#This Row], [Team1 laps '[laps']]:[Team9 laps '[laps']]]) - intermediate_results[[#This Row], [Team4 laps '[laps']]]</f>
        <v>0.13311863360398402</v>
      </c>
      <c r="X22" s="1">
        <f>MAX(intermediate_results[[#This Row], [Team1 laps '[laps']]:[Team9 laps '[laps']]]) - intermediate_results[[#This Row], [Team5 laps '[laps']]]</f>
        <v>0.10591814402600308</v>
      </c>
      <c r="Y22" s="1">
        <f>MAX(intermediate_results[[#This Row], [Team1 laps '[laps']]:[Team9 laps '[laps']]]) - intermediate_results[[#This Row], [Team6 laps '[laps']]]</f>
        <v>0.15663220642155107</v>
      </c>
      <c r="Z22" s="1">
        <f>MAX(intermediate_results[[#This Row], [Team1 laps '[laps']]:[Team9 laps '[laps']]]) - intermediate_results[[#This Row], [Team7 laps '[laps']]]</f>
        <v>0.11544801010971018</v>
      </c>
      <c r="AA22" s="1">
        <f>MAX(intermediate_results[[#This Row], [Team1 laps '[laps']]:[Team9 laps '[laps']]]) - intermediate_results[[#This Row], [Team8 laps '[laps']]]</f>
        <v>0.19588446144033567</v>
      </c>
      <c r="AB22" s="1">
        <f>MAX(intermediate_results[[#This Row], [Team1 laps '[laps']]:[Team9 laps '[laps']]]) - intermediate_results[[#This Row], [Team9 laps '[laps']]]</f>
        <v>0.174755737984154</v>
      </c>
      <c r="AC22" s="1">
        <f>9 * intermediate_results[[#This Row], [All cumulative times '[sec']]] / SUM(intermediate_results[[#This Row], [Team1 laps '[laps']]:[Team9 laps '[laps']]])</f>
        <v>55.429631022343258</v>
      </c>
      <c r="AD22" s="1">
        <f>intermediate_results[[#This Row], [All cumulative times '[sec']]] / intermediate_results[[#This Row], [Team1 laps '[laps']]] - intermediate_results[[#This Row], [Total running average '[sec']]]</f>
        <v>-1.8993055015099287</v>
      </c>
      <c r="AE22" s="1">
        <f>intermediate_results[[#This Row], [All cumulative times '[sec']]] / intermediate_results[[#This Row], [Team2 laps '[laps']]] - intermediate_results[[#This Row], [Total running average '[sec']]]</f>
        <v>-1.8630524393682961</v>
      </c>
      <c r="AF22" s="1">
        <f>intermediate_results[[#This Row], [All cumulative times '[sec']]] / intermediate_results[[#This Row], [Team3 laps '[laps']]] - intermediate_results[[#This Row], [Total running average '[sec']]]</f>
        <v>-0.83296435567659444</v>
      </c>
      <c r="AG22" s="1">
        <f>intermediate_results[[#This Row], [All cumulative times '[sec']]] / intermediate_results[[#This Row], [Team4 laps '[laps']]] - intermediate_results[[#This Row], [Total running average '[sec']]]</f>
        <v>0.53552698032512325</v>
      </c>
      <c r="AH22" s="1">
        <f>intermediate_results[[#This Row], [All cumulative times '[sec']]] / intermediate_results[[#This Row], [Team5 laps '[laps']]] - intermediate_results[[#This Row], [Total running average '[sec']]]</f>
        <v>2.017129155237285E-2</v>
      </c>
      <c r="AI22" s="1">
        <f>intermediate_results[[#This Row], [All cumulative times '[sec']]] / intermediate_results[[#This Row], [Team6 laps '[laps']]] - intermediate_results[[#This Row], [Total running average '[sec']]]</f>
        <v>0.98881063784600087</v>
      </c>
      <c r="AJ22" s="1">
        <f>intermediate_results[[#This Row], [All cumulative times '[sec']]] / intermediate_results[[#This Row], [Team7 laps '[laps']]] - intermediate_results[[#This Row], [Total running average '[sec']]]</f>
        <v>0.19964582435486733</v>
      </c>
      <c r="AK22" s="1">
        <f>intermediate_results[[#This Row], [All cumulative times '[sec']]] / intermediate_results[[#This Row], [Team8 laps '[laps']]] - intermediate_results[[#This Row], [Total running average '[sec']]]</f>
        <v>1.762081085743965</v>
      </c>
      <c r="AL22" s="1">
        <f>intermediate_results[[#This Row], [All cumulative times '[sec']]] / intermediate_results[[#This Row], [Team9 laps '[laps']]] - intermediate_results[[#This Row], [Total running average '[sec']]]</f>
        <v>1.3432298956324402</v>
      </c>
    </row>
    <row r="23" spans="1:38" x14ac:dyDescent="0.25">
      <c r="A23" s="1">
        <v>166.34</v>
      </c>
      <c r="B23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3.1074574939677908</v>
      </c>
      <c r="C23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3.1052523594583503</v>
      </c>
      <c r="D23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3.0474101067192207</v>
      </c>
      <c r="E23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2.9727394338190103</v>
      </c>
      <c r="F23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</v>
      </c>
      <c r="G23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2.948797392410051</v>
      </c>
      <c r="H23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2.9903875688860788</v>
      </c>
      <c r="I23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2.9093878279493128</v>
      </c>
      <c r="J23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2.9301116162241523</v>
      </c>
      <c r="K23" s="1">
        <f>intermediate_results[[#This Row], [Team1 laps '[laps']]] - intermediate_results[[#This Row], [Team1 laps '[laps']]]</f>
        <v>0</v>
      </c>
      <c r="L23" s="1">
        <f>intermediate_results[[#This Row], [Team1 laps '[laps']]] - intermediate_results[[#This Row], [Team2 laps '[laps']]]</f>
        <v>2.2051345094404873E-3</v>
      </c>
      <c r="M23" s="1">
        <f>intermediate_results[[#This Row], [Team1 laps '[laps']]] - intermediate_results[[#This Row], [Team3 laps '[laps']]]</f>
        <v>6.0047387248570061E-2</v>
      </c>
      <c r="N23" s="1">
        <f>intermediate_results[[#This Row], [Team1 laps '[laps']]] - intermediate_results[[#This Row], [Team4 laps '[laps']]]</f>
        <v>0.13471806014878052</v>
      </c>
      <c r="O23" s="1">
        <f>intermediate_results[[#This Row], [Team1 laps '[laps']]] - intermediate_results[[#This Row], [Team5 laps '[laps']]]</f>
        <v>0.10745749396779081</v>
      </c>
      <c r="P23" s="1">
        <f>intermediate_results[[#This Row], [Team1 laps '[laps']]] - intermediate_results[[#This Row], [Team6 laps '[laps']]]</f>
        <v>0.1586601015577398</v>
      </c>
      <c r="Q23" s="1">
        <f>intermediate_results[[#This Row], [Team1 laps '[laps']]] - intermediate_results[[#This Row], [Team7 laps '[laps']]]</f>
        <v>0.11706992508171199</v>
      </c>
      <c r="R23" s="1">
        <f>intermediate_results[[#This Row], [Team1 laps '[laps']]] - intermediate_results[[#This Row], [Team8 laps '[laps']]]</f>
        <v>0.19806966601847797</v>
      </c>
      <c r="S23" s="1">
        <f>intermediate_results[[#This Row], [Team1 laps '[laps']]] - intermediate_results[[#This Row], [Team9 laps '[laps']]]</f>
        <v>0.17734587774363852</v>
      </c>
      <c r="T23" s="1">
        <f>MAX(intermediate_results[[#This Row], [Team1 laps '[laps']]:[Team9 laps '[laps']]]) - intermediate_results[[#This Row], [Team1 laps '[laps']]]</f>
        <v>0</v>
      </c>
      <c r="U23" s="1">
        <f>MAX(intermediate_results[[#This Row], [Team1 laps '[laps']]:[Team9 laps '[laps']]]) - intermediate_results[[#This Row], [Team2 laps '[laps']]]</f>
        <v>2.2051345094404873E-3</v>
      </c>
      <c r="V23" s="1">
        <f>MAX(intermediate_results[[#This Row], [Team1 laps '[laps']]:[Team9 laps '[laps']]]) - intermediate_results[[#This Row], [Team3 laps '[laps']]]</f>
        <v>6.0047387248570061E-2</v>
      </c>
      <c r="W23" s="1">
        <f>MAX(intermediate_results[[#This Row], [Team1 laps '[laps']]:[Team9 laps '[laps']]]) - intermediate_results[[#This Row], [Team4 laps '[laps']]]</f>
        <v>0.13471806014878052</v>
      </c>
      <c r="X23" s="1">
        <f>MAX(intermediate_results[[#This Row], [Team1 laps '[laps']]:[Team9 laps '[laps']]]) - intermediate_results[[#This Row], [Team5 laps '[laps']]]</f>
        <v>0.10745749396779081</v>
      </c>
      <c r="Y23" s="1">
        <f>MAX(intermediate_results[[#This Row], [Team1 laps '[laps']]:[Team9 laps '[laps']]]) - intermediate_results[[#This Row], [Team6 laps '[laps']]]</f>
        <v>0.1586601015577398</v>
      </c>
      <c r="Z23" s="1">
        <f>MAX(intermediate_results[[#This Row], [Team1 laps '[laps']]:[Team9 laps '[laps']]]) - intermediate_results[[#This Row], [Team7 laps '[laps']]]</f>
        <v>0.11706992508171199</v>
      </c>
      <c r="AA23" s="1">
        <f>MAX(intermediate_results[[#This Row], [Team1 laps '[laps']]:[Team9 laps '[laps']]]) - intermediate_results[[#This Row], [Team8 laps '[laps']]]</f>
        <v>0.19806966601847797</v>
      </c>
      <c r="AB23" s="1">
        <f>MAX(intermediate_results[[#This Row], [Team1 laps '[laps']]:[Team9 laps '[laps']]]) - intermediate_results[[#This Row], [Team9 laps '[laps']]]</f>
        <v>0.17734587774363852</v>
      </c>
      <c r="AC23" s="1">
        <f>9 * intermediate_results[[#This Row], [All cumulative times '[sec']]] / SUM(intermediate_results[[#This Row], [Team1 laps '[laps']]:[Team9 laps '[laps']]])</f>
        <v>55.422970679349739</v>
      </c>
      <c r="AD23" s="1">
        <f>intermediate_results[[#This Row], [All cumulative times '[sec']]] / intermediate_results[[#This Row], [Team1 laps '[laps']]] - intermediate_results[[#This Row], [Total running average '[sec']]]</f>
        <v>-1.8936785416777369</v>
      </c>
      <c r="AE23" s="1">
        <f>intermediate_results[[#This Row], [All cumulative times '[sec']]] / intermediate_results[[#This Row], [Team2 laps '[laps']]] - intermediate_results[[#This Row], [Total running average '[sec']]]</f>
        <v>-1.855665756984358</v>
      </c>
      <c r="AF23" s="1">
        <f>intermediate_results[[#This Row], [All cumulative times '[sec']]] / intermediate_results[[#This Row], [Team3 laps '[laps']]] - intermediate_results[[#This Row], [Total running average '[sec']]]</f>
        <v>-0.83891596572990323</v>
      </c>
      <c r="AG23" s="1">
        <f>intermediate_results[[#This Row], [All cumulative times '[sec']]] / intermediate_results[[#This Row], [Team4 laps '[laps']]] - intermediate_results[[#This Row], [Total running average '[sec']]]</f>
        <v>0.5321520965158939</v>
      </c>
      <c r="AH23" s="1">
        <f>intermediate_results[[#This Row], [All cumulative times '[sec']]] / intermediate_results[[#This Row], [Team5 laps '[laps']]] - intermediate_results[[#This Row], [Total running average '[sec']]]</f>
        <v>2.3695987316926903E-2</v>
      </c>
      <c r="AI23" s="1">
        <f>intermediate_results[[#This Row], [All cumulative times '[sec']]] / intermediate_results[[#This Row], [Team6 laps '[laps']]] - intermediate_results[[#This Row], [Total running average '[sec']]]</f>
        <v>0.98646607210180548</v>
      </c>
      <c r="AJ23" s="1">
        <f>intermediate_results[[#This Row], [All cumulative times '[sec']]] / intermediate_results[[#This Row], [Team7 laps '[laps']]] - intermediate_results[[#This Row], [Total running average '[sec']]]</f>
        <v>0.20192615031496786</v>
      </c>
      <c r="AK23" s="1">
        <f>intermediate_results[[#This Row], [All cumulative times '[sec']]] / intermediate_results[[#This Row], [Team8 laps '[laps']]] - intermediate_results[[#This Row], [Total running average '[sec']]]</f>
        <v>1.7505688543070903</v>
      </c>
      <c r="AL23" s="1">
        <f>intermediate_results[[#This Row], [All cumulative times '[sec']]] / intermediate_results[[#This Row], [Team9 laps '[laps']]] - intermediate_results[[#This Row], [Total running average '[sec']]]</f>
        <v>1.3461977983861857</v>
      </c>
    </row>
    <row r="24" spans="1:38" x14ac:dyDescent="0.25">
      <c r="A24" s="1">
        <v>166.87200000000001</v>
      </c>
      <c r="B24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3.1174083010680285</v>
      </c>
      <c r="C24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3.1151751408214277</v>
      </c>
      <c r="D24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3.0573011564347605</v>
      </c>
      <c r="E24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2.9823565566361765</v>
      </c>
      <c r="F24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3.0096959976671287</v>
      </c>
      <c r="G24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2.9583251249171698</v>
      </c>
      <c r="H24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3.0000000000000004</v>
      </c>
      <c r="I24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2.9188827413885421</v>
      </c>
      <c r="J24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2.9395220490686857</v>
      </c>
      <c r="K24" s="1">
        <f>intermediate_results[[#This Row], [Team1 laps '[laps']]] - intermediate_results[[#This Row], [Team1 laps '[laps']]]</f>
        <v>0</v>
      </c>
      <c r="L24" s="1">
        <f>intermediate_results[[#This Row], [Team1 laps '[laps']]] - intermediate_results[[#This Row], [Team2 laps '[laps']]]</f>
        <v>2.2331602466008071E-3</v>
      </c>
      <c r="M24" s="1">
        <f>intermediate_results[[#This Row], [Team1 laps '[laps']]] - intermediate_results[[#This Row], [Team3 laps '[laps']]]</f>
        <v>6.0107144633267939E-2</v>
      </c>
      <c r="N24" s="1">
        <f>intermediate_results[[#This Row], [Team1 laps '[laps']]] - intermediate_results[[#This Row], [Team4 laps '[laps']]]</f>
        <v>0.13505174443185197</v>
      </c>
      <c r="O24" s="1">
        <f>intermediate_results[[#This Row], [Team1 laps '[laps']]] - intermediate_results[[#This Row], [Team5 laps '[laps']]]</f>
        <v>0.10771230340089977</v>
      </c>
      <c r="P24" s="1">
        <f>intermediate_results[[#This Row], [Team1 laps '[laps']]] - intermediate_results[[#This Row], [Team6 laps '[laps']]]</f>
        <v>0.15908317615085865</v>
      </c>
      <c r="Q24" s="1">
        <f>intermediate_results[[#This Row], [Team1 laps '[laps']]] - intermediate_results[[#This Row], [Team7 laps '[laps']]]</f>
        <v>0.11740830106802802</v>
      </c>
      <c r="R24" s="1">
        <f>intermediate_results[[#This Row], [Team1 laps '[laps']]] - intermediate_results[[#This Row], [Team8 laps '[laps']]]</f>
        <v>0.19852555967948637</v>
      </c>
      <c r="S24" s="1">
        <f>intermediate_results[[#This Row], [Team1 laps '[laps']]] - intermediate_results[[#This Row], [Team9 laps '[laps']]]</f>
        <v>0.17788625199934271</v>
      </c>
      <c r="T24" s="1">
        <f>MAX(intermediate_results[[#This Row], [Team1 laps '[laps']]:[Team9 laps '[laps']]]) - intermediate_results[[#This Row], [Team1 laps '[laps']]]</f>
        <v>0</v>
      </c>
      <c r="U24" s="1">
        <f>MAX(intermediate_results[[#This Row], [Team1 laps '[laps']]:[Team9 laps '[laps']]]) - intermediate_results[[#This Row], [Team2 laps '[laps']]]</f>
        <v>2.2331602466008071E-3</v>
      </c>
      <c r="V24" s="1">
        <f>MAX(intermediate_results[[#This Row], [Team1 laps '[laps']]:[Team9 laps '[laps']]]) - intermediate_results[[#This Row], [Team3 laps '[laps']]]</f>
        <v>6.0107144633267939E-2</v>
      </c>
      <c r="W24" s="1">
        <f>MAX(intermediate_results[[#This Row], [Team1 laps '[laps']]:[Team9 laps '[laps']]]) - intermediate_results[[#This Row], [Team4 laps '[laps']]]</f>
        <v>0.13505174443185197</v>
      </c>
      <c r="X24" s="1">
        <f>MAX(intermediate_results[[#This Row], [Team1 laps '[laps']]:[Team9 laps '[laps']]]) - intermediate_results[[#This Row], [Team5 laps '[laps']]]</f>
        <v>0.10771230340089977</v>
      </c>
      <c r="Y24" s="1">
        <f>MAX(intermediate_results[[#This Row], [Team1 laps '[laps']]:[Team9 laps '[laps']]]) - intermediate_results[[#This Row], [Team6 laps '[laps']]]</f>
        <v>0.15908317615085865</v>
      </c>
      <c r="Z24" s="1">
        <f>MAX(intermediate_results[[#This Row], [Team1 laps '[laps']]:[Team9 laps '[laps']]]) - intermediate_results[[#This Row], [Team7 laps '[laps']]]</f>
        <v>0.11740830106802802</v>
      </c>
      <c r="AA24" s="1">
        <f>MAX(intermediate_results[[#This Row], [Team1 laps '[laps']]:[Team9 laps '[laps']]]) - intermediate_results[[#This Row], [Team8 laps '[laps']]]</f>
        <v>0.19852555967948637</v>
      </c>
      <c r="AB24" s="1">
        <f>MAX(intermediate_results[[#This Row], [Team1 laps '[laps']]:[Team9 laps '[laps']]]) - intermediate_results[[#This Row], [Team9 laps '[laps']]]</f>
        <v>0.17788625199934271</v>
      </c>
      <c r="AC24" s="1">
        <f>9 * intermediate_results[[#This Row], [All cumulative times '[sec']]] / SUM(intermediate_results[[#This Row], [Team1 laps '[laps']]:[Team9 laps '[laps']]])</f>
        <v>55.421471330351181</v>
      </c>
      <c r="AD24" s="1">
        <f>intermediate_results[[#This Row], [All cumulative times '[sec']]] / intermediate_results[[#This Row], [Team1 laps '[laps']]] - intermediate_results[[#This Row], [Total running average '[sec']]]</f>
        <v>-1.892390798029048</v>
      </c>
      <c r="AE24" s="1">
        <f>intermediate_results[[#This Row], [All cumulative times '[sec']]] / intermediate_results[[#This Row], [Team2 laps '[laps']]] - intermediate_results[[#This Row], [Total running average '[sec']]]</f>
        <v>-1.8540176699453568</v>
      </c>
      <c r="AF24" s="1">
        <f>intermediate_results[[#This Row], [All cumulative times '[sec']]] / intermediate_results[[#This Row], [Team3 laps '[laps']]] - intermediate_results[[#This Row], [Total running average '[sec']]]</f>
        <v>-0.839998501355808</v>
      </c>
      <c r="AG24" s="1">
        <f>intermediate_results[[#This Row], [All cumulative times '[sec']]] / intermediate_results[[#This Row], [Team4 laps '[laps']]] - intermediate_results[[#This Row], [Total running average '[sec']]]</f>
        <v>0.53159693329609325</v>
      </c>
      <c r="AH24" s="1">
        <f>intermediate_results[[#This Row], [All cumulative times '[sec']]] / intermediate_results[[#This Row], [Team5 laps '[laps']]] - intermediate_results[[#This Row], [Total running average '[sec']]]</f>
        <v>2.3331111272689498E-2</v>
      </c>
      <c r="AI24" s="1">
        <f>intermediate_results[[#This Row], [All cumulative times '[sec']]] / intermediate_results[[#This Row], [Team6 laps '[laps']]] - intermediate_results[[#This Row], [Total running average '[sec']]]</f>
        <v>0.9861218021556013</v>
      </c>
      <c r="AJ24" s="1">
        <f>intermediate_results[[#This Row], [All cumulative times '[sec']]] / intermediate_results[[#This Row], [Team7 laps '[laps']]] - intermediate_results[[#This Row], [Total running average '[sec']]]</f>
        <v>0.20252866964881377</v>
      </c>
      <c r="AK24" s="1">
        <f>intermediate_results[[#This Row], [All cumulative times '[sec']]] / intermediate_results[[#This Row], [Team8 laps '[laps']]] - intermediate_results[[#This Row], [Total running average '[sec']]]</f>
        <v>1.7483483523049657</v>
      </c>
      <c r="AL24" s="1">
        <f>intermediate_results[[#This Row], [All cumulative times '[sec']]] / intermediate_results[[#This Row], [Team9 laps '[laps']]] - intermediate_results[[#This Row], [Total running average '[sec']]]</f>
        <v>1.346941089916001</v>
      </c>
    </row>
    <row r="25" spans="1:38" x14ac:dyDescent="0.25">
      <c r="A25" s="1">
        <v>167.84800000000001</v>
      </c>
      <c r="B25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3.1356639171015472</v>
      </c>
      <c r="C25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3.1333793412168465</v>
      </c>
      <c r="D25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3.0754471423790584</v>
      </c>
      <c r="E25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</v>
      </c>
      <c r="F25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3.0274841437632136</v>
      </c>
      <c r="G25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2.9758045740279746</v>
      </c>
      <c r="H25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3.0172822891950282</v>
      </c>
      <c r="I25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2.9363019810815638</v>
      </c>
      <c r="J25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2.9567863018060252</v>
      </c>
      <c r="K25" s="1">
        <f>intermediate_results[[#This Row], [Team1 laps '[laps']]] - intermediate_results[[#This Row], [Team1 laps '[laps']]]</f>
        <v>0</v>
      </c>
      <c r="L25" s="1">
        <f>intermediate_results[[#This Row], [Team1 laps '[laps']]] - intermediate_results[[#This Row], [Team2 laps '[laps']]]</f>
        <v>2.284575884700768E-3</v>
      </c>
      <c r="M25" s="1">
        <f>intermediate_results[[#This Row], [Team1 laps '[laps']]] - intermediate_results[[#This Row], [Team3 laps '[laps']]]</f>
        <v>6.0216774722488875E-2</v>
      </c>
      <c r="N25" s="1">
        <f>intermediate_results[[#This Row], [Team1 laps '[laps']]] - intermediate_results[[#This Row], [Team4 laps '[laps']]]</f>
        <v>0.13566391710154724</v>
      </c>
      <c r="O25" s="1">
        <f>intermediate_results[[#This Row], [Team1 laps '[laps']]] - intermediate_results[[#This Row], [Team5 laps '[laps']]]</f>
        <v>0.10817977333833362</v>
      </c>
      <c r="P25" s="1">
        <f>intermediate_results[[#This Row], [Team1 laps '[laps']]] - intermediate_results[[#This Row], [Team6 laps '[laps']]]</f>
        <v>0.15985934307357264</v>
      </c>
      <c r="Q25" s="1">
        <f>intermediate_results[[#This Row], [Team1 laps '[laps']]] - intermediate_results[[#This Row], [Team7 laps '[laps']]]</f>
        <v>0.11838162790651907</v>
      </c>
      <c r="R25" s="1">
        <f>intermediate_results[[#This Row], [Team1 laps '[laps']]] - intermediate_results[[#This Row], [Team8 laps '[laps']]]</f>
        <v>0.19936193601998342</v>
      </c>
      <c r="S25" s="1">
        <f>intermediate_results[[#This Row], [Team1 laps '[laps']]] - intermediate_results[[#This Row], [Team9 laps '[laps']]]</f>
        <v>0.17887761529552204</v>
      </c>
      <c r="T25" s="1">
        <f>MAX(intermediate_results[[#This Row], [Team1 laps '[laps']]:[Team9 laps '[laps']]]) - intermediate_results[[#This Row], [Team1 laps '[laps']]]</f>
        <v>0</v>
      </c>
      <c r="U25" s="1">
        <f>MAX(intermediate_results[[#This Row], [Team1 laps '[laps']]:[Team9 laps '[laps']]]) - intermediate_results[[#This Row], [Team2 laps '[laps']]]</f>
        <v>2.284575884700768E-3</v>
      </c>
      <c r="V25" s="1">
        <f>MAX(intermediate_results[[#This Row], [Team1 laps '[laps']]:[Team9 laps '[laps']]]) - intermediate_results[[#This Row], [Team3 laps '[laps']]]</f>
        <v>6.0216774722488875E-2</v>
      </c>
      <c r="W25" s="1">
        <f>MAX(intermediate_results[[#This Row], [Team1 laps '[laps']]:[Team9 laps '[laps']]]) - intermediate_results[[#This Row], [Team4 laps '[laps']]]</f>
        <v>0.13566391710154724</v>
      </c>
      <c r="X25" s="1">
        <f>MAX(intermediate_results[[#This Row], [Team1 laps '[laps']]:[Team9 laps '[laps']]]) - intermediate_results[[#This Row], [Team5 laps '[laps']]]</f>
        <v>0.10817977333833362</v>
      </c>
      <c r="Y25" s="1">
        <f>MAX(intermediate_results[[#This Row], [Team1 laps '[laps']]:[Team9 laps '[laps']]]) - intermediate_results[[#This Row], [Team6 laps '[laps']]]</f>
        <v>0.15985934307357264</v>
      </c>
      <c r="Z25" s="1">
        <f>MAX(intermediate_results[[#This Row], [Team1 laps '[laps']]:[Team9 laps '[laps']]]) - intermediate_results[[#This Row], [Team7 laps '[laps']]]</f>
        <v>0.11838162790651907</v>
      </c>
      <c r="AA25" s="1">
        <f>MAX(intermediate_results[[#This Row], [Team1 laps '[laps']]:[Team9 laps '[laps']]]) - intermediate_results[[#This Row], [Team8 laps '[laps']]]</f>
        <v>0.19936193601998342</v>
      </c>
      <c r="AB25" s="1">
        <f>MAX(intermediate_results[[#This Row], [Team1 laps '[laps']]:[Team9 laps '[laps']]]) - intermediate_results[[#This Row], [Team9 laps '[laps']]]</f>
        <v>0.17887761529552204</v>
      </c>
      <c r="AC25" s="1">
        <f>9 * intermediate_results[[#This Row], [All cumulative times '[sec']]] / SUM(intermediate_results[[#This Row], [Team1 laps '[laps']]:[Team9 laps '[laps']]])</f>
        <v>55.419462331389859</v>
      </c>
      <c r="AD25" s="1">
        <f>intermediate_results[[#This Row], [All cumulative times '[sec']]] / intermediate_results[[#This Row], [Team1 laps '[laps']]] - intermediate_results[[#This Row], [Total running average '[sec']]]</f>
        <v>-1.8907665153055859</v>
      </c>
      <c r="AE25" s="1">
        <f>intermediate_results[[#This Row], [All cumulative times '[sec']]] / intermediate_results[[#This Row], [Team2 laps '[laps']]] - intermediate_results[[#This Row], [Total running average '[sec']]]</f>
        <v>-1.8517382476482709</v>
      </c>
      <c r="AF25" s="1">
        <f>intermediate_results[[#This Row], [All cumulative times '[sec']]] / intermediate_results[[#This Row], [Team3 laps '[laps']]] - intermediate_results[[#This Row], [Total running average '[sec']]]</f>
        <v>-0.84268301137245771</v>
      </c>
      <c r="AG25" s="1">
        <f>intermediate_results[[#This Row], [All cumulative times '[sec']]] / intermediate_results[[#This Row], [Team4 laps '[laps']]] - intermediate_results[[#This Row], [Total running average '[sec']]]</f>
        <v>0.52987100194347647</v>
      </c>
      <c r="AH25" s="1">
        <f>intermediate_results[[#This Row], [All cumulative times '[sec']]] / intermediate_results[[#This Row], [Team5 laps '[laps']]] - intermediate_results[[#This Row], [Total running average '[sec']]]</f>
        <v>2.1951076431371064E-2</v>
      </c>
      <c r="AI25" s="1">
        <f>intermediate_results[[#This Row], [All cumulative times '[sec']]] / intermediate_results[[#This Row], [Team6 laps '[laps']]] - intermediate_results[[#This Row], [Total running average '[sec']]]</f>
        <v>0.98477921892309439</v>
      </c>
      <c r="AJ25" s="1">
        <f>intermediate_results[[#This Row], [All cumulative times '[sec']]] / intermediate_results[[#This Row], [Team7 laps '[laps']]] - intermediate_results[[#This Row], [Total running average '[sec']]]</f>
        <v>0.20940627035429316</v>
      </c>
      <c r="AK25" s="1">
        <f>intermediate_results[[#This Row], [All cumulative times '[sec']]] / intermediate_results[[#This Row], [Team8 laps '[laps']]] - intermediate_results[[#This Row], [Total running average '[sec']]]</f>
        <v>1.7435955153287921</v>
      </c>
      <c r="AL25" s="1">
        <f>intermediate_results[[#This Row], [All cumulative times '[sec']]] / intermediate_results[[#This Row], [Team9 laps '[laps']]] - intermediate_results[[#This Row], [Total running average '[sec']]]</f>
        <v>1.3475755493921611</v>
      </c>
    </row>
    <row r="26" spans="1:38" x14ac:dyDescent="0.25">
      <c r="A26" s="1">
        <v>169.19900000000001</v>
      </c>
      <c r="B26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3.1609337298692557</v>
      </c>
      <c r="C26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3.1585779833625547</v>
      </c>
      <c r="D26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3.1005652028408885</v>
      </c>
      <c r="E26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3.0244977152389931</v>
      </c>
      <c r="F26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3.0521068746810527</v>
      </c>
      <c r="G26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</v>
      </c>
      <c r="H26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3.041204802209867</v>
      </c>
      <c r="I26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2.9604140638943424</v>
      </c>
      <c r="J26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2.9806838483717479</v>
      </c>
      <c r="K26" s="1">
        <f>intermediate_results[[#This Row], [Team1 laps '[laps']]] - intermediate_results[[#This Row], [Team1 laps '[laps']]]</f>
        <v>0</v>
      </c>
      <c r="L26" s="1">
        <f>intermediate_results[[#This Row], [Team1 laps '[laps']]] - intermediate_results[[#This Row], [Team2 laps '[laps']]]</f>
        <v>2.3557465067010064E-3</v>
      </c>
      <c r="M26" s="1">
        <f>intermediate_results[[#This Row], [Team1 laps '[laps']]] - intermediate_results[[#This Row], [Team3 laps '[laps']]]</f>
        <v>6.0368527028367147E-2</v>
      </c>
      <c r="N26" s="1">
        <f>intermediate_results[[#This Row], [Team1 laps '[laps']]] - intermediate_results[[#This Row], [Team4 laps '[laps']]]</f>
        <v>0.13643601463026256</v>
      </c>
      <c r="O26" s="1">
        <f>intermediate_results[[#This Row], [Team1 laps '[laps']]] - intermediate_results[[#This Row], [Team5 laps '[laps']]]</f>
        <v>0.10882685518820301</v>
      </c>
      <c r="P26" s="1">
        <f>intermediate_results[[#This Row], [Team1 laps '[laps']]] - intermediate_results[[#This Row], [Team6 laps '[laps']]]</f>
        <v>0.16093372986925569</v>
      </c>
      <c r="Q26" s="1">
        <f>intermediate_results[[#This Row], [Team1 laps '[laps']]] - intermediate_results[[#This Row], [Team7 laps '[laps']]]</f>
        <v>0.1197289276593887</v>
      </c>
      <c r="R26" s="1">
        <f>intermediate_results[[#This Row], [Team1 laps '[laps']]] - intermediate_results[[#This Row], [Team8 laps '[laps']]]</f>
        <v>0.20051966597491333</v>
      </c>
      <c r="S26" s="1">
        <f>intermediate_results[[#This Row], [Team1 laps '[laps']]] - intermediate_results[[#This Row], [Team9 laps '[laps']]]</f>
        <v>0.18024988149750776</v>
      </c>
      <c r="T26" s="1">
        <f>MAX(intermediate_results[[#This Row], [Team1 laps '[laps']]:[Team9 laps '[laps']]]) - intermediate_results[[#This Row], [Team1 laps '[laps']]]</f>
        <v>0</v>
      </c>
      <c r="U26" s="1">
        <f>MAX(intermediate_results[[#This Row], [Team1 laps '[laps']]:[Team9 laps '[laps']]]) - intermediate_results[[#This Row], [Team2 laps '[laps']]]</f>
        <v>2.3557465067010064E-3</v>
      </c>
      <c r="V26" s="1">
        <f>MAX(intermediate_results[[#This Row], [Team1 laps '[laps']]:[Team9 laps '[laps']]]) - intermediate_results[[#This Row], [Team3 laps '[laps']]]</f>
        <v>6.0368527028367147E-2</v>
      </c>
      <c r="W26" s="1">
        <f>MAX(intermediate_results[[#This Row], [Team1 laps '[laps']]:[Team9 laps '[laps']]]) - intermediate_results[[#This Row], [Team4 laps '[laps']]]</f>
        <v>0.13643601463026256</v>
      </c>
      <c r="X26" s="1">
        <f>MAX(intermediate_results[[#This Row], [Team1 laps '[laps']]:[Team9 laps '[laps']]]) - intermediate_results[[#This Row], [Team5 laps '[laps']]]</f>
        <v>0.10882685518820301</v>
      </c>
      <c r="Y26" s="1">
        <f>MAX(intermediate_results[[#This Row], [Team1 laps '[laps']]:[Team9 laps '[laps']]]) - intermediate_results[[#This Row], [Team6 laps '[laps']]]</f>
        <v>0.16093372986925569</v>
      </c>
      <c r="Z26" s="1">
        <f>MAX(intermediate_results[[#This Row], [Team1 laps '[laps']]:[Team9 laps '[laps']]]) - intermediate_results[[#This Row], [Team7 laps '[laps']]]</f>
        <v>0.1197289276593887</v>
      </c>
      <c r="AA26" s="1">
        <f>MAX(intermediate_results[[#This Row], [Team1 laps '[laps']]:[Team9 laps '[laps']]]) - intermediate_results[[#This Row], [Team8 laps '[laps']]]</f>
        <v>0.20051966597491333</v>
      </c>
      <c r="AB26" s="1">
        <f>MAX(intermediate_results[[#This Row], [Team1 laps '[laps']]:[Team9 laps '[laps']]]) - intermediate_results[[#This Row], [Team9 laps '[laps']]]</f>
        <v>0.18024988149750776</v>
      </c>
      <c r="AC26" s="1">
        <f>9 * intermediate_results[[#This Row], [All cumulative times '[sec']]] / SUM(intermediate_results[[#This Row], [Team1 laps '[laps']]:[Team9 laps '[laps']]])</f>
        <v>55.416568086446766</v>
      </c>
      <c r="AD26" s="1">
        <f>intermediate_results[[#This Row], [All cumulative times '[sec']]] / intermediate_results[[#This Row], [Team1 laps '[laps']]] - intermediate_results[[#This Row], [Total running average '[sec']]]</f>
        <v>-1.8883974699123556</v>
      </c>
      <c r="AE26" s="1">
        <f>intermediate_results[[#This Row], [All cumulative times '[sec']]] / intermediate_results[[#This Row], [Team2 laps '[laps']]] - intermediate_results[[#This Row], [Total running average '[sec']]]</f>
        <v>-1.8484748206682298</v>
      </c>
      <c r="AF26" s="1">
        <f>intermediate_results[[#This Row], [All cumulative times '[sec']]] / intermediate_results[[#This Row], [Team3 laps '[laps']]] - intermediate_results[[#This Row], [Total running average '[sec']]]</f>
        <v>-0.84619496706464048</v>
      </c>
      <c r="AG26" s="1">
        <f>intermediate_results[[#This Row], [All cumulative times '[sec']]] / intermediate_results[[#This Row], [Team4 laps '[laps']]] - intermediate_results[[#This Row], [Total running average '[sec']]]</f>
        <v>0.5262746366564528</v>
      </c>
      <c r="AH26" s="1">
        <f>intermediate_results[[#This Row], [All cumulative times '[sec']]] / intermediate_results[[#This Row], [Team5 laps '[laps']]] - intermediate_results[[#This Row], [Total running average '[sec']]]</f>
        <v>2.021933525235653E-2</v>
      </c>
      <c r="AI26" s="1">
        <f>intermediate_results[[#This Row], [All cumulative times '[sec']]] / intermediate_results[[#This Row], [Team6 laps '[laps']]] - intermediate_results[[#This Row], [Total running average '[sec']]]</f>
        <v>0.98309858021990237</v>
      </c>
      <c r="AJ26" s="1">
        <f>intermediate_results[[#This Row], [All cumulative times '[sec']]] / intermediate_results[[#This Row], [Team7 laps '[laps']]] - intermediate_results[[#This Row], [Total running average '[sec']]]</f>
        <v>0.2189484289332313</v>
      </c>
      <c r="AK26" s="1">
        <f>intermediate_results[[#This Row], [All cumulative times '[sec']]] / intermediate_results[[#This Row], [Team8 laps '[laps']]] - intermediate_results[[#This Row], [Total running average '[sec']]]</f>
        <v>1.7372611915507292</v>
      </c>
      <c r="AL26" s="1">
        <f>intermediate_results[[#This Row], [All cumulative times '[sec']]] / intermediate_results[[#This Row], [Team9 laps '[laps']]] - intermediate_results[[#This Row], [Total running average '[sec']]]</f>
        <v>1.3485934023934547</v>
      </c>
    </row>
    <row r="27" spans="1:38" x14ac:dyDescent="0.25">
      <c r="A27" s="1">
        <v>170.291</v>
      </c>
      <c r="B27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3.1813590707592168</v>
      </c>
      <c r="C27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3.1789457977393965</v>
      </c>
      <c r="D27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3.1208678838359427</v>
      </c>
      <c r="E27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3.044298977297454</v>
      </c>
      <c r="F27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3.0720091856820004</v>
      </c>
      <c r="G27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3.0196427607792344</v>
      </c>
      <c r="H27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3.0605411339731559</v>
      </c>
      <c r="I27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2.9799036230590756</v>
      </c>
      <c r="J27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</v>
      </c>
      <c r="K27" s="1">
        <f>intermediate_results[[#This Row], [Team1 laps '[laps']]] - intermediate_results[[#This Row], [Team1 laps '[laps']]]</f>
        <v>0</v>
      </c>
      <c r="L27" s="1">
        <f>intermediate_results[[#This Row], [Team1 laps '[laps']]] - intermediate_results[[#This Row], [Team2 laps '[laps']]]</f>
        <v>2.4132730198203056E-3</v>
      </c>
      <c r="M27" s="1">
        <f>intermediate_results[[#This Row], [Team1 laps '[laps']]] - intermediate_results[[#This Row], [Team3 laps '[laps']]]</f>
        <v>6.0491186923274043E-2</v>
      </c>
      <c r="N27" s="1">
        <f>intermediate_results[[#This Row], [Team1 laps '[laps']]] - intermediate_results[[#This Row], [Team4 laps '[laps']]]</f>
        <v>0.13706009346176273</v>
      </c>
      <c r="O27" s="1">
        <f>intermediate_results[[#This Row], [Team1 laps '[laps']]] - intermediate_results[[#This Row], [Team5 laps '[laps']]]</f>
        <v>0.10934988507721632</v>
      </c>
      <c r="P27" s="1">
        <f>intermediate_results[[#This Row], [Team1 laps '[laps']]] - intermediate_results[[#This Row], [Team6 laps '[laps']]]</f>
        <v>0.16171630997998232</v>
      </c>
      <c r="Q27" s="1">
        <f>intermediate_results[[#This Row], [Team1 laps '[laps']]] - intermediate_results[[#This Row], [Team7 laps '[laps']]]</f>
        <v>0.1208179367860609</v>
      </c>
      <c r="R27" s="1">
        <f>intermediate_results[[#This Row], [Team1 laps '[laps']]] - intermediate_results[[#This Row], [Team8 laps '[laps']]]</f>
        <v>0.20145544770014112</v>
      </c>
      <c r="S27" s="1">
        <f>intermediate_results[[#This Row], [Team1 laps '[laps']]] - intermediate_results[[#This Row], [Team9 laps '[laps']]]</f>
        <v>0.18135907075921676</v>
      </c>
      <c r="T27" s="1">
        <f>MAX(intermediate_results[[#This Row], [Team1 laps '[laps']]:[Team9 laps '[laps']]]) - intermediate_results[[#This Row], [Team1 laps '[laps']]]</f>
        <v>0</v>
      </c>
      <c r="U27" s="1">
        <f>MAX(intermediate_results[[#This Row], [Team1 laps '[laps']]:[Team9 laps '[laps']]]) - intermediate_results[[#This Row], [Team2 laps '[laps']]]</f>
        <v>2.4132730198203056E-3</v>
      </c>
      <c r="V27" s="1">
        <f>MAX(intermediate_results[[#This Row], [Team1 laps '[laps']]:[Team9 laps '[laps']]]) - intermediate_results[[#This Row], [Team3 laps '[laps']]]</f>
        <v>6.0491186923274043E-2</v>
      </c>
      <c r="W27" s="1">
        <f>MAX(intermediate_results[[#This Row], [Team1 laps '[laps']]:[Team9 laps '[laps']]]) - intermediate_results[[#This Row], [Team4 laps '[laps']]]</f>
        <v>0.13706009346176273</v>
      </c>
      <c r="X27" s="1">
        <f>MAX(intermediate_results[[#This Row], [Team1 laps '[laps']]:[Team9 laps '[laps']]]) - intermediate_results[[#This Row], [Team5 laps '[laps']]]</f>
        <v>0.10934988507721632</v>
      </c>
      <c r="Y27" s="1">
        <f>MAX(intermediate_results[[#This Row], [Team1 laps '[laps']]:[Team9 laps '[laps']]]) - intermediate_results[[#This Row], [Team6 laps '[laps']]]</f>
        <v>0.16171630997998232</v>
      </c>
      <c r="Z27" s="1">
        <f>MAX(intermediate_results[[#This Row], [Team1 laps '[laps']]:[Team9 laps '[laps']]]) - intermediate_results[[#This Row], [Team7 laps '[laps']]]</f>
        <v>0.1208179367860609</v>
      </c>
      <c r="AA27" s="1">
        <f>MAX(intermediate_results[[#This Row], [Team1 laps '[laps']]:[Team9 laps '[laps']]]) - intermediate_results[[#This Row], [Team8 laps '[laps']]]</f>
        <v>0.20145544770014112</v>
      </c>
      <c r="AB27" s="1">
        <f>MAX(intermediate_results[[#This Row], [Team1 laps '[laps']]:[Team9 laps '[laps']]]) - intermediate_results[[#This Row], [Team9 laps '[laps']]]</f>
        <v>0.18135907075921676</v>
      </c>
      <c r="AC27" s="1">
        <f>9 * intermediate_results[[#This Row], [All cumulative times '[sec']]] / SUM(intermediate_results[[#This Row], [Team1 laps '[laps']]:[Team9 laps '[laps']]])</f>
        <v>55.414090494100769</v>
      </c>
      <c r="AD27" s="1">
        <f>intermediate_results[[#This Row], [All cumulative times '[sec']]] / intermediate_results[[#This Row], [Team1 laps '[laps']]] - intermediate_results[[#This Row], [Total running average '[sec']]]</f>
        <v>-1.8863382937303683</v>
      </c>
      <c r="AE27" s="1">
        <f>intermediate_results[[#This Row], [All cumulative times '[sec']]] / intermediate_results[[#This Row], [Team2 laps '[laps']]] - intermediate_results[[#This Row], [Total running average '[sec']]]</f>
        <v>-1.8457030994188983</v>
      </c>
      <c r="AF27" s="1">
        <f>intermediate_results[[#This Row], [All cumulative times '[sec']]] / intermediate_results[[#This Row], [Team3 laps '[laps']]] - intermediate_results[[#This Row], [Total running average '[sec']]]</f>
        <v>-0.84882008262447783</v>
      </c>
      <c r="AG27" s="1">
        <f>intermediate_results[[#This Row], [All cumulative times '[sec']]] / intermediate_results[[#This Row], [Team4 laps '[laps']]] - intermediate_results[[#This Row], [Total running average '[sec']]]</f>
        <v>0.5235822738919893</v>
      </c>
      <c r="AH27" s="1">
        <f>intermediate_results[[#This Row], [All cumulative times '[sec']]] / intermediate_results[[#This Row], [Team5 laps '[laps']]] - intermediate_results[[#This Row], [Total running average '[sec']]]</f>
        <v>1.9011982835543506E-2</v>
      </c>
      <c r="AI27" s="1">
        <f>intermediate_results[[#This Row], [All cumulative times '[sec']]] / intermediate_results[[#This Row], [Team6 laps '[laps']]] - intermediate_results[[#This Row], [Total running average '[sec']]]</f>
        <v>0.98032881000774807</v>
      </c>
      <c r="AJ27" s="1">
        <f>intermediate_results[[#This Row], [All cumulative times '[sec']]] / intermediate_results[[#This Row], [Team7 laps '[laps']]] - intermediate_results[[#This Row], [Total running average '[sec']]]</f>
        <v>0.22672351414958314</v>
      </c>
      <c r="AK27" s="1">
        <f>intermediate_results[[#This Row], [All cumulative times '[sec']]] / intermediate_results[[#This Row], [Team8 laps '[laps']]] - intermediate_results[[#This Row], [Total running average '[sec']]]</f>
        <v>1.7323885672537713</v>
      </c>
      <c r="AL27" s="1">
        <f>intermediate_results[[#This Row], [All cumulative times '[sec']]] / intermediate_results[[#This Row], [Team9 laps '[laps']]] - intermediate_results[[#This Row], [Total running average '[sec']]]</f>
        <v>1.3495761725658966</v>
      </c>
    </row>
    <row r="28" spans="1:38" x14ac:dyDescent="0.25">
      <c r="A28" s="1">
        <v>171.417</v>
      </c>
      <c r="B28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3.2024203654864114</v>
      </c>
      <c r="C28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3.1999477748349312</v>
      </c>
      <c r="D28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3.1418026995872532</v>
      </c>
      <c r="E28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3.0647167621672589</v>
      </c>
      <c r="F28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3.0925311657067871</v>
      </c>
      <c r="G28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3.0398971093482992</v>
      </c>
      <c r="H28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3.0804795126961082</v>
      </c>
      <c r="I28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</v>
      </c>
      <c r="J28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3.0197731183928633</v>
      </c>
      <c r="K28" s="1">
        <f>intermediate_results[[#This Row], [Team1 laps '[laps']]] - intermediate_results[[#This Row], [Team1 laps '[laps']]]</f>
        <v>0</v>
      </c>
      <c r="L28" s="1">
        <f>intermediate_results[[#This Row], [Team1 laps '[laps']]] - intermediate_results[[#This Row], [Team2 laps '[laps']]]</f>
        <v>2.4725906514801999E-3</v>
      </c>
      <c r="M28" s="1">
        <f>intermediate_results[[#This Row], [Team1 laps '[laps']]] - intermediate_results[[#This Row], [Team3 laps '[laps']]]</f>
        <v>6.061766589915818E-2</v>
      </c>
      <c r="N28" s="1">
        <f>intermediate_results[[#This Row], [Team1 laps '[laps']]] - intermediate_results[[#This Row], [Team4 laps '[laps']]]</f>
        <v>0.13770360331915255</v>
      </c>
      <c r="O28" s="1">
        <f>intermediate_results[[#This Row], [Team1 laps '[laps']]] - intermediate_results[[#This Row], [Team5 laps '[laps']]]</f>
        <v>0.1098891997796243</v>
      </c>
      <c r="P28" s="1">
        <f>intermediate_results[[#This Row], [Team1 laps '[laps']]] - intermediate_results[[#This Row], [Team6 laps '[laps']]]</f>
        <v>0.16252325613811225</v>
      </c>
      <c r="Q28" s="1">
        <f>intermediate_results[[#This Row], [Team1 laps '[laps']]] - intermediate_results[[#This Row], [Team7 laps '[laps']]]</f>
        <v>0.1219408527903032</v>
      </c>
      <c r="R28" s="1">
        <f>intermediate_results[[#This Row], [Team1 laps '[laps']]] - intermediate_results[[#This Row], [Team8 laps '[laps']]]</f>
        <v>0.2024203654864114</v>
      </c>
      <c r="S28" s="1">
        <f>intermediate_results[[#This Row], [Team1 laps '[laps']]] - intermediate_results[[#This Row], [Team9 laps '[laps']]]</f>
        <v>0.18264724709354807</v>
      </c>
      <c r="T28" s="1">
        <f>MAX(intermediate_results[[#This Row], [Team1 laps '[laps']]:[Team9 laps '[laps']]]) - intermediate_results[[#This Row], [Team1 laps '[laps']]]</f>
        <v>0</v>
      </c>
      <c r="U28" s="1">
        <f>MAX(intermediate_results[[#This Row], [Team1 laps '[laps']]:[Team9 laps '[laps']]]) - intermediate_results[[#This Row], [Team2 laps '[laps']]]</f>
        <v>2.4725906514801999E-3</v>
      </c>
      <c r="V28" s="1">
        <f>MAX(intermediate_results[[#This Row], [Team1 laps '[laps']]:[Team9 laps '[laps']]]) - intermediate_results[[#This Row], [Team3 laps '[laps']]]</f>
        <v>6.061766589915818E-2</v>
      </c>
      <c r="W28" s="1">
        <f>MAX(intermediate_results[[#This Row], [Team1 laps '[laps']]:[Team9 laps '[laps']]]) - intermediate_results[[#This Row], [Team4 laps '[laps']]]</f>
        <v>0.13770360331915255</v>
      </c>
      <c r="X28" s="1">
        <f>MAX(intermediate_results[[#This Row], [Team1 laps '[laps']]:[Team9 laps '[laps']]]) - intermediate_results[[#This Row], [Team5 laps '[laps']]]</f>
        <v>0.1098891997796243</v>
      </c>
      <c r="Y28" s="1">
        <f>MAX(intermediate_results[[#This Row], [Team1 laps '[laps']]:[Team9 laps '[laps']]]) - intermediate_results[[#This Row], [Team6 laps '[laps']]]</f>
        <v>0.16252325613811225</v>
      </c>
      <c r="Z28" s="1">
        <f>MAX(intermediate_results[[#This Row], [Team1 laps '[laps']]:[Team9 laps '[laps']]]) - intermediate_results[[#This Row], [Team7 laps '[laps']]]</f>
        <v>0.1219408527903032</v>
      </c>
      <c r="AA28" s="1">
        <f>MAX(intermediate_results[[#This Row], [Team1 laps '[laps']]:[Team9 laps '[laps']]]) - intermediate_results[[#This Row], [Team8 laps '[laps']]]</f>
        <v>0.2024203654864114</v>
      </c>
      <c r="AB28" s="1">
        <f>MAX(intermediate_results[[#This Row], [Team1 laps '[laps']]:[Team9 laps '[laps']]]) - intermediate_results[[#This Row], [Team9 laps '[laps']]]</f>
        <v>0.18264724709354807</v>
      </c>
      <c r="AC28" s="1">
        <f>9 * intermediate_results[[#This Row], [All cumulative times '[sec']]] / SUM(intermediate_results[[#This Row], [Team1 laps '[laps']]:[Team9 laps '[laps']]])</f>
        <v>55.411856539063862</v>
      </c>
      <c r="AD28" s="1">
        <f>intermediate_results[[#This Row], [All cumulative times '[sec']]] / intermediate_results[[#This Row], [Team1 laps '[laps']]] - intermediate_results[[#This Row], [Total running average '[sec']]]</f>
        <v>-1.884530193209919</v>
      </c>
      <c r="AE28" s="1">
        <f>intermediate_results[[#This Row], [All cumulative times '[sec']]] / intermediate_results[[#This Row], [Team2 laps '[laps']]] - intermediate_results[[#This Row], [Total running average '[sec']]]</f>
        <v>-1.8431697785924257</v>
      </c>
      <c r="AF28" s="1">
        <f>intermediate_results[[#This Row], [All cumulative times '[sec']]] / intermediate_results[[#This Row], [Team3 laps '[laps']]] - intermediate_results[[#This Row], [Total running average '[sec']]]</f>
        <v>-0.8517786504938698</v>
      </c>
      <c r="AG28" s="1">
        <f>intermediate_results[[#This Row], [All cumulative times '[sec']]] / intermediate_results[[#This Row], [Team4 laps '[laps']]] - intermediate_results[[#This Row], [Total running average '[sec']]]</f>
        <v>0.52055526357854376</v>
      </c>
      <c r="AH28" s="1">
        <f>intermediate_results[[#This Row], [All cumulative times '[sec']]] / intermediate_results[[#This Row], [Team5 laps '[laps']]] - intermediate_results[[#This Row], [Total running average '[sec']]]</f>
        <v>1.7495928212973411E-2</v>
      </c>
      <c r="AI28" s="1">
        <f>intermediate_results[[#This Row], [All cumulative times '[sec']]] / intermediate_results[[#This Row], [Team6 laps '[laps']]] - intermediate_results[[#This Row], [Total running average '[sec']]]</f>
        <v>0.9772230363132195</v>
      </c>
      <c r="AJ28" s="1">
        <f>intermediate_results[[#This Row], [All cumulative times '[sec']]] / intermediate_results[[#This Row], [Team7 laps '[laps']]] - intermediate_results[[#This Row], [Total running average '[sec']]]</f>
        <v>0.23435025877710558</v>
      </c>
      <c r="AK28" s="1">
        <f>intermediate_results[[#This Row], [All cumulative times '[sec']]] / intermediate_results[[#This Row], [Team8 laps '[laps']]] - intermediate_results[[#This Row], [Total running average '[sec']]]</f>
        <v>1.7271434609361407</v>
      </c>
      <c r="AL28" s="1">
        <f>intermediate_results[[#This Row], [All cumulative times '[sec']]] / intermediate_results[[#This Row], [Team9 laps '[laps']]] - intermediate_results[[#This Row], [Total running average '[sec']]]</f>
        <v>1.3530040247750819</v>
      </c>
    </row>
    <row r="29" spans="1:38" x14ac:dyDescent="0.25">
      <c r="A29" s="1">
        <v>214.05799999999999</v>
      </c>
      <c r="B29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4</v>
      </c>
      <c r="C29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3.9952810832991381</v>
      </c>
      <c r="D29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3.9345926449261892</v>
      </c>
      <c r="E29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3.8379270327119746</v>
      </c>
      <c r="F29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3.8696872493985564</v>
      </c>
      <c r="G29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3.8069181371755434</v>
      </c>
      <c r="H29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3.8355349364309239</v>
      </c>
      <c r="I29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3.7618545649455064</v>
      </c>
      <c r="J29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3.7685702244231378</v>
      </c>
      <c r="K29" s="1">
        <f>intermediate_results[[#This Row], [Team1 laps '[laps']]] - intermediate_results[[#This Row], [Team1 laps '[laps']]]</f>
        <v>0</v>
      </c>
      <c r="L29" s="1">
        <f>intermediate_results[[#This Row], [Team1 laps '[laps']]] - intermediate_results[[#This Row], [Team2 laps '[laps']]]</f>
        <v>4.718916700861886E-3</v>
      </c>
      <c r="M29" s="1">
        <f>intermediate_results[[#This Row], [Team1 laps '[laps']]] - intermediate_results[[#This Row], [Team3 laps '[laps']]]</f>
        <v>6.5407355073810791E-2</v>
      </c>
      <c r="N29" s="1">
        <f>intermediate_results[[#This Row], [Team1 laps '[laps']]] - intermediate_results[[#This Row], [Team4 laps '[laps']]]</f>
        <v>0.16207296728802545</v>
      </c>
      <c r="O29" s="1">
        <f>intermediate_results[[#This Row], [Team1 laps '[laps']]] - intermediate_results[[#This Row], [Team5 laps '[laps']]]</f>
        <v>0.13031275060144365</v>
      </c>
      <c r="P29" s="1">
        <f>intermediate_results[[#This Row], [Team1 laps '[laps']]] - intermediate_results[[#This Row], [Team6 laps '[laps']]]</f>
        <v>0.19308186282445661</v>
      </c>
      <c r="Q29" s="1">
        <f>intermediate_results[[#This Row], [Team1 laps '[laps']]] - intermediate_results[[#This Row], [Team7 laps '[laps']]]</f>
        <v>0.16446506356907609</v>
      </c>
      <c r="R29" s="1">
        <f>intermediate_results[[#This Row], [Team1 laps '[laps']]] - intermediate_results[[#This Row], [Team8 laps '[laps']]]</f>
        <v>0.23814543505449359</v>
      </c>
      <c r="S29" s="1">
        <f>intermediate_results[[#This Row], [Team1 laps '[laps']]] - intermediate_results[[#This Row], [Team9 laps '[laps']]]</f>
        <v>0.23142977557686217</v>
      </c>
      <c r="T29" s="1">
        <f>MAX(intermediate_results[[#This Row], [Team1 laps '[laps']]:[Team9 laps '[laps']]]) - intermediate_results[[#This Row], [Team1 laps '[laps']]]</f>
        <v>0</v>
      </c>
      <c r="U29" s="1">
        <f>MAX(intermediate_results[[#This Row], [Team1 laps '[laps']]:[Team9 laps '[laps']]]) - intermediate_results[[#This Row], [Team2 laps '[laps']]]</f>
        <v>4.718916700861886E-3</v>
      </c>
      <c r="V29" s="1">
        <f>MAX(intermediate_results[[#This Row], [Team1 laps '[laps']]:[Team9 laps '[laps']]]) - intermediate_results[[#This Row], [Team3 laps '[laps']]]</f>
        <v>6.5407355073810791E-2</v>
      </c>
      <c r="W29" s="1">
        <f>MAX(intermediate_results[[#This Row], [Team1 laps '[laps']]:[Team9 laps '[laps']]]) - intermediate_results[[#This Row], [Team4 laps '[laps']]]</f>
        <v>0.16207296728802545</v>
      </c>
      <c r="X29" s="1">
        <f>MAX(intermediate_results[[#This Row], [Team1 laps '[laps']]:[Team9 laps '[laps']]]) - intermediate_results[[#This Row], [Team5 laps '[laps']]]</f>
        <v>0.13031275060144365</v>
      </c>
      <c r="Y29" s="1">
        <f>MAX(intermediate_results[[#This Row], [Team1 laps '[laps']]:[Team9 laps '[laps']]]) - intermediate_results[[#This Row], [Team6 laps '[laps']]]</f>
        <v>0.19308186282445661</v>
      </c>
      <c r="Z29" s="1">
        <f>MAX(intermediate_results[[#This Row], [Team1 laps '[laps']]:[Team9 laps '[laps']]]) - intermediate_results[[#This Row], [Team7 laps '[laps']]]</f>
        <v>0.16446506356907609</v>
      </c>
      <c r="AA29" s="1">
        <f>MAX(intermediate_results[[#This Row], [Team1 laps '[laps']]:[Team9 laps '[laps']]]) - intermediate_results[[#This Row], [Team8 laps '[laps']]]</f>
        <v>0.23814543505449359</v>
      </c>
      <c r="AB29" s="1">
        <f>MAX(intermediate_results[[#This Row], [Team1 laps '[laps']]:[Team9 laps '[laps']]]) - intermediate_results[[#This Row], [Team9 laps '[laps']]]</f>
        <v>0.23142977557686217</v>
      </c>
      <c r="AC29" s="1">
        <f>9 * intermediate_results[[#This Row], [All cumulative times '[sec']]] / SUM(intermediate_results[[#This Row], [Team1 laps '[laps']]:[Team9 laps '[laps']]])</f>
        <v>55.343342469062065</v>
      </c>
      <c r="AD29" s="1">
        <f>intermediate_results[[#This Row], [All cumulative times '[sec']]] / intermediate_results[[#This Row], [Team1 laps '[laps']]] - intermediate_results[[#This Row], [Total running average '[sec']]]</f>
        <v>-1.8288424690620673</v>
      </c>
      <c r="AE29" s="1">
        <f>intermediate_results[[#This Row], [All cumulative times '[sec']]] / intermediate_results[[#This Row], [Team2 laps '[laps']]] - intermediate_results[[#This Row], [Total running average '[sec']]]</f>
        <v>-1.7656352847555894</v>
      </c>
      <c r="AF29" s="1">
        <f>intermediate_results[[#This Row], [All cumulative times '[sec']]] / intermediate_results[[#This Row], [Team3 laps '[laps']]] - intermediate_results[[#This Row], [Total running average '[sec']]]</f>
        <v>-0.93923527996432199</v>
      </c>
      <c r="AG29" s="1">
        <f>intermediate_results[[#This Row], [All cumulative times '[sec']]] / intermediate_results[[#This Row], [Team4 laps '[laps']]] - intermediate_results[[#This Row], [Total running average '[sec']]]</f>
        <v>0.43103733949341461</v>
      </c>
      <c r="AH29" s="1">
        <f>intermediate_results[[#This Row], [All cumulative times '[sec']]] / intermediate_results[[#This Row], [Team5 laps '[laps']]] - intermediate_results[[#This Row], [Total running average '[sec']]]</f>
        <v>-2.672740326577383E-2</v>
      </c>
      <c r="AI29" s="1">
        <f>intermediate_results[[#This Row], [All cumulative times '[sec']]] / intermediate_results[[#This Row], [Team6 laps '[laps']]] - intermediate_results[[#This Row], [Total running average '[sec']]]</f>
        <v>0.8853423323441092</v>
      </c>
      <c r="AJ29" s="1">
        <f>intermediate_results[[#This Row], [All cumulative times '[sec']]] / intermediate_results[[#This Row], [Team7 laps '[laps']]] - intermediate_results[[#This Row], [Total running average '[sec']]]</f>
        <v>0.46582197546445059</v>
      </c>
      <c r="AK29" s="1">
        <f>intermediate_results[[#This Row], [All cumulative times '[sec']]] / intermediate_results[[#This Row], [Team8 laps '[laps']]] - intermediate_results[[#This Row], [Total running average '[sec']]]</f>
        <v>1.558910476780035</v>
      </c>
      <c r="AL29" s="1">
        <f>intermediate_results[[#This Row], [All cumulative times '[sec']]] / intermediate_results[[#This Row], [Team9 laps '[laps']]] - intermediate_results[[#This Row], [Total running average '[sec']]]</f>
        <v>1.4575096452875513</v>
      </c>
    </row>
    <row r="30" spans="1:38" x14ac:dyDescent="0.25">
      <c r="A30" s="1">
        <v>214.31100000000001</v>
      </c>
      <c r="B30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4.0047605607300785</v>
      </c>
      <c r="C30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4</v>
      </c>
      <c r="D30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3.9392964712006844</v>
      </c>
      <c r="E30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3.842514687749329</v>
      </c>
      <c r="F30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3.8742983159583</v>
      </c>
      <c r="G30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3.8114690698469231</v>
      </c>
      <c r="H30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3.8400148741013567</v>
      </c>
      <c r="I30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3.7663748436662496</v>
      </c>
      <c r="J30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3.7730130298879643</v>
      </c>
      <c r="K30" s="1">
        <f>intermediate_results[[#This Row], [Team1 laps '[laps']]] - intermediate_results[[#This Row], [Team1 laps '[laps']]]</f>
        <v>0</v>
      </c>
      <c r="L30" s="1">
        <f>intermediate_results[[#This Row], [Team1 laps '[laps']]] - intermediate_results[[#This Row], [Team2 laps '[laps']]]</f>
        <v>4.7605607300784669E-3</v>
      </c>
      <c r="M30" s="1">
        <f>intermediate_results[[#This Row], [Team1 laps '[laps']]] - intermediate_results[[#This Row], [Team3 laps '[laps']]]</f>
        <v>6.5464089529394087E-2</v>
      </c>
      <c r="N30" s="1">
        <f>intermediate_results[[#This Row], [Team1 laps '[laps']]] - intermediate_results[[#This Row], [Team4 laps '[laps']]]</f>
        <v>0.16224587298074944</v>
      </c>
      <c r="O30" s="1">
        <f>intermediate_results[[#This Row], [Team1 laps '[laps']]] - intermediate_results[[#This Row], [Team5 laps '[laps']]]</f>
        <v>0.13046224477177848</v>
      </c>
      <c r="P30" s="1">
        <f>intermediate_results[[#This Row], [Team1 laps '[laps']]] - intermediate_results[[#This Row], [Team6 laps '[laps']]]</f>
        <v>0.19329149088315534</v>
      </c>
      <c r="Q30" s="1">
        <f>intermediate_results[[#This Row], [Team1 laps '[laps']]] - intermediate_results[[#This Row], [Team7 laps '[laps']]]</f>
        <v>0.1647456866287218</v>
      </c>
      <c r="R30" s="1">
        <f>intermediate_results[[#This Row], [Team1 laps '[laps']]] - intermediate_results[[#This Row], [Team8 laps '[laps']]]</f>
        <v>0.23838571706382883</v>
      </c>
      <c r="S30" s="1">
        <f>intermediate_results[[#This Row], [Team1 laps '[laps']]] - intermediate_results[[#This Row], [Team9 laps '[laps']]]</f>
        <v>0.23174753084211419</v>
      </c>
      <c r="T30" s="1">
        <f>MAX(intermediate_results[[#This Row], [Team1 laps '[laps']]:[Team9 laps '[laps']]]) - intermediate_results[[#This Row], [Team1 laps '[laps']]]</f>
        <v>0</v>
      </c>
      <c r="U30" s="1">
        <f>MAX(intermediate_results[[#This Row], [Team1 laps '[laps']]:[Team9 laps '[laps']]]) - intermediate_results[[#This Row], [Team2 laps '[laps']]]</f>
        <v>4.7605607300784669E-3</v>
      </c>
      <c r="V30" s="1">
        <f>MAX(intermediate_results[[#This Row], [Team1 laps '[laps']]:[Team9 laps '[laps']]]) - intermediate_results[[#This Row], [Team3 laps '[laps']]]</f>
        <v>6.5464089529394087E-2</v>
      </c>
      <c r="W30" s="1">
        <f>MAX(intermediate_results[[#This Row], [Team1 laps '[laps']]:[Team9 laps '[laps']]]) - intermediate_results[[#This Row], [Team4 laps '[laps']]]</f>
        <v>0.16224587298074944</v>
      </c>
      <c r="X30" s="1">
        <f>MAX(intermediate_results[[#This Row], [Team1 laps '[laps']]:[Team9 laps '[laps']]]) - intermediate_results[[#This Row], [Team5 laps '[laps']]]</f>
        <v>0.13046224477177848</v>
      </c>
      <c r="Y30" s="1">
        <f>MAX(intermediate_results[[#This Row], [Team1 laps '[laps']]:[Team9 laps '[laps']]]) - intermediate_results[[#This Row], [Team6 laps '[laps']]]</f>
        <v>0.19329149088315534</v>
      </c>
      <c r="Z30" s="1">
        <f>MAX(intermediate_results[[#This Row], [Team1 laps '[laps']]:[Team9 laps '[laps']]]) - intermediate_results[[#This Row], [Team7 laps '[laps']]]</f>
        <v>0.1647456866287218</v>
      </c>
      <c r="AA30" s="1">
        <f>MAX(intermediate_results[[#This Row], [Team1 laps '[laps']]:[Team9 laps '[laps']]]) - intermediate_results[[#This Row], [Team8 laps '[laps']]]</f>
        <v>0.23838571706382883</v>
      </c>
      <c r="AB30" s="1">
        <f>MAX(intermediate_results[[#This Row], [Team1 laps '[laps']]:[Team9 laps '[laps']]]) - intermediate_results[[#This Row], [Team9 laps '[laps']]]</f>
        <v>0.23174753084211419</v>
      </c>
      <c r="AC30" s="1">
        <f>9 * intermediate_results[[#This Row], [All cumulative times '[sec']]] / SUM(intermediate_results[[#This Row], [Team1 laps '[laps']]:[Team9 laps '[laps']]])</f>
        <v>55.342972759514282</v>
      </c>
      <c r="AD30" s="1">
        <f>intermediate_results[[#This Row], [All cumulative times '[sec']]] / intermediate_results[[#This Row], [Team1 laps '[laps']]] - intermediate_results[[#This Row], [Total running average '[sec']]]</f>
        <v>-1.8289119935616398</v>
      </c>
      <c r="AE30" s="1">
        <f>intermediate_results[[#This Row], [All cumulative times '[sec']]] / intermediate_results[[#This Row], [Team2 laps '[laps']]] - intermediate_results[[#This Row], [Total running average '[sec']]]</f>
        <v>-1.7652227595142804</v>
      </c>
      <c r="AF30" s="1">
        <f>intermediate_results[[#This Row], [All cumulative times '[sec']]] / intermediate_results[[#This Row], [Team3 laps '[laps']]] - intermediate_results[[#This Row], [Total running average '[sec']]]</f>
        <v>-0.9396036384593387</v>
      </c>
      <c r="AG30" s="1">
        <f>intermediate_results[[#This Row], [All cumulative times '[sec']]] / intermediate_results[[#This Row], [Team4 laps '[laps']]] - intermediate_results[[#This Row], [Total running average '[sec']]]</f>
        <v>0.43065920167624228</v>
      </c>
      <c r="AH30" s="1">
        <f>intermediate_results[[#This Row], [All cumulative times '[sec']]] / intermediate_results[[#This Row], [Team5 laps '[laps']]] - intermediate_results[[#This Row], [Total running average '[sec']]]</f>
        <v>-2.6891621092545392E-2</v>
      </c>
      <c r="AI30" s="1">
        <f>intermediate_results[[#This Row], [All cumulative times '[sec']]] / intermediate_results[[#This Row], [Team6 laps '[laps']]] - intermediate_results[[#This Row], [Total running average '[sec']]]</f>
        <v>0.88495302780089702</v>
      </c>
      <c r="AJ30" s="1">
        <f>intermediate_results[[#This Row], [All cumulative times '[sec']]] / intermediate_results[[#This Row], [Team7 laps '[laps']]] - intermediate_results[[#This Row], [Total running average '[sec']]]</f>
        <v>0.46696731269786795</v>
      </c>
      <c r="AK30" s="1">
        <f>intermediate_results[[#This Row], [All cumulative times '[sec']]] / intermediate_results[[#This Row], [Team8 laps '[laps']]] - intermediate_results[[#This Row], [Total running average '[sec']]]</f>
        <v>1.5581613271254469</v>
      </c>
      <c r="AL30" s="1">
        <f>intermediate_results[[#This Row], [All cumulative times '[sec']]] / intermediate_results[[#This Row], [Team9 laps '[laps']]] - intermediate_results[[#This Row], [Total running average '[sec']]]</f>
        <v>1.4580502696491635</v>
      </c>
    </row>
    <row r="31" spans="1:38" x14ac:dyDescent="0.25">
      <c r="A31" s="1">
        <v>217.57599999999999</v>
      </c>
      <c r="B31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4.0661962555273305</v>
      </c>
      <c r="C31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4.0616328456819248</v>
      </c>
      <c r="D31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4</v>
      </c>
      <c r="E31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3.9017190106622177</v>
      </c>
      <c r="F31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3.9338047678063717</v>
      </c>
      <c r="G31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3.870199485546741</v>
      </c>
      <c r="H31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3.8978290894925101</v>
      </c>
      <c r="I31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3.824709665892442</v>
      </c>
      <c r="J31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3.8303480490289044</v>
      </c>
      <c r="K31" s="1">
        <f>intermediate_results[[#This Row], [Team1 laps '[laps']]] - intermediate_results[[#This Row], [Team1 laps '[laps']]]</f>
        <v>0</v>
      </c>
      <c r="L31" s="1">
        <f>intermediate_results[[#This Row], [Team1 laps '[laps']]] - intermediate_results[[#This Row], [Team2 laps '[laps']]]</f>
        <v>4.5634098454057082E-3</v>
      </c>
      <c r="M31" s="1">
        <f>intermediate_results[[#This Row], [Team1 laps '[laps']]] - intermediate_results[[#This Row], [Team3 laps '[laps']]]</f>
        <v>6.619625552733055E-2</v>
      </c>
      <c r="N31" s="1">
        <f>intermediate_results[[#This Row], [Team1 laps '[laps']]] - intermediate_results[[#This Row], [Team4 laps '[laps']]]</f>
        <v>0.16447724486511284</v>
      </c>
      <c r="O31" s="1">
        <f>intermediate_results[[#This Row], [Team1 laps '[laps']]] - intermediate_results[[#This Row], [Team5 laps '[laps']]]</f>
        <v>0.13239148772095888</v>
      </c>
      <c r="P31" s="1">
        <f>intermediate_results[[#This Row], [Team1 laps '[laps']]] - intermediate_results[[#This Row], [Team6 laps '[laps']]]</f>
        <v>0.19599676998058957</v>
      </c>
      <c r="Q31" s="1">
        <f>intermediate_results[[#This Row], [Team1 laps '[laps']]] - intermediate_results[[#This Row], [Team7 laps '[laps']]]</f>
        <v>0.16836716603482049</v>
      </c>
      <c r="R31" s="1">
        <f>intermediate_results[[#This Row], [Team1 laps '[laps']]] - intermediate_results[[#This Row], [Team8 laps '[laps']]]</f>
        <v>0.24148658963488856</v>
      </c>
      <c r="S31" s="1">
        <f>intermediate_results[[#This Row], [Team1 laps '[laps']]] - intermediate_results[[#This Row], [Team9 laps '[laps']]]</f>
        <v>0.23584820649842619</v>
      </c>
      <c r="T31" s="1">
        <f>MAX(intermediate_results[[#This Row], [Team1 laps '[laps']]:[Team9 laps '[laps']]]) - intermediate_results[[#This Row], [Team1 laps '[laps']]]</f>
        <v>0</v>
      </c>
      <c r="U31" s="1">
        <f>MAX(intermediate_results[[#This Row], [Team1 laps '[laps']]:[Team9 laps '[laps']]]) - intermediate_results[[#This Row], [Team2 laps '[laps']]]</f>
        <v>4.5634098454057082E-3</v>
      </c>
      <c r="V31" s="1">
        <f>MAX(intermediate_results[[#This Row], [Team1 laps '[laps']]:[Team9 laps '[laps']]]) - intermediate_results[[#This Row], [Team3 laps '[laps']]]</f>
        <v>6.619625552733055E-2</v>
      </c>
      <c r="W31" s="1">
        <f>MAX(intermediate_results[[#This Row], [Team1 laps '[laps']]:[Team9 laps '[laps']]]) - intermediate_results[[#This Row], [Team4 laps '[laps']]]</f>
        <v>0.16447724486511284</v>
      </c>
      <c r="X31" s="1">
        <f>MAX(intermediate_results[[#This Row], [Team1 laps '[laps']]:[Team9 laps '[laps']]]) - intermediate_results[[#This Row], [Team5 laps '[laps']]]</f>
        <v>0.13239148772095888</v>
      </c>
      <c r="Y31" s="1">
        <f>MAX(intermediate_results[[#This Row], [Team1 laps '[laps']]:[Team9 laps '[laps']]]) - intermediate_results[[#This Row], [Team6 laps '[laps']]]</f>
        <v>0.19599676998058957</v>
      </c>
      <c r="Z31" s="1">
        <f>MAX(intermediate_results[[#This Row], [Team1 laps '[laps']]:[Team9 laps '[laps']]]) - intermediate_results[[#This Row], [Team7 laps '[laps']]]</f>
        <v>0.16836716603482049</v>
      </c>
      <c r="AA31" s="1">
        <f>MAX(intermediate_results[[#This Row], [Team1 laps '[laps']]:[Team9 laps '[laps']]]) - intermediate_results[[#This Row], [Team8 laps '[laps']]]</f>
        <v>0.24148658963488856</v>
      </c>
      <c r="AB31" s="1">
        <f>MAX(intermediate_results[[#This Row], [Team1 laps '[laps']]:[Team9 laps '[laps']]]) - intermediate_results[[#This Row], [Team9 laps '[laps']]]</f>
        <v>0.23584820649842619</v>
      </c>
      <c r="AC31" s="1">
        <f>9 * intermediate_results[[#This Row], [All cumulative times '[sec']]] / SUM(intermediate_results[[#This Row], [Team1 laps '[laps']]:[Team9 laps '[laps']]])</f>
        <v>55.337130436116936</v>
      </c>
      <c r="AD31" s="1">
        <f>intermediate_results[[#This Row], [All cumulative times '[sec']]] / intermediate_results[[#This Row], [Team1 laps '[laps']]] - intermediate_results[[#This Row], [Total running average '[sec']]]</f>
        <v>-1.8286457671241649</v>
      </c>
      <c r="AE31" s="1">
        <f>intermediate_results[[#This Row], [All cumulative times '[sec']]] / intermediate_results[[#This Row], [Team2 laps '[laps']]] - intermediate_results[[#This Row], [Total running average '[sec']]]</f>
        <v>-1.7685268063444326</v>
      </c>
      <c r="AF31" s="1">
        <f>intermediate_results[[#This Row], [All cumulative times '[sec']]] / intermediate_results[[#This Row], [Team3 laps '[laps']]] - intermediate_results[[#This Row], [Total running average '[sec']]]</f>
        <v>-0.94313043611693814</v>
      </c>
      <c r="AG31" s="1">
        <f>intermediate_results[[#This Row], [All cumulative times '[sec']]] / intermediate_results[[#This Row], [Team4 laps '[laps']]] - intermediate_results[[#This Row], [Total running average '[sec']]]</f>
        <v>0.42700824363694068</v>
      </c>
      <c r="AH31" s="1">
        <f>intermediate_results[[#This Row], [All cumulative times '[sec']]] / intermediate_results[[#This Row], [Team5 laps '[laps']]] - intermediate_results[[#This Row], [Total running average '[sec']]]</f>
        <v>-2.7827396828577378E-2</v>
      </c>
      <c r="AI31" s="1">
        <f>intermediate_results[[#This Row], [All cumulative times '[sec']]] / intermediate_results[[#This Row], [Team6 laps '[laps']]] - intermediate_results[[#This Row], [Total running average '[sec']]]</f>
        <v>0.88116032965302082</v>
      </c>
      <c r="AJ31" s="1">
        <f>intermediate_results[[#This Row], [All cumulative times '[sec']]] / intermediate_results[[#This Row], [Team7 laps '[laps']]] - intermediate_results[[#This Row], [Total running average '[sec']]]</f>
        <v>0.48265924797308202</v>
      </c>
      <c r="AK31" s="1">
        <f>intermediate_results[[#This Row], [All cumulative times '[sec']]] / intermediate_results[[#This Row], [Team8 laps '[laps']]] - intermediate_results[[#This Row], [Total running average '[sec']]]</f>
        <v>1.5498019081272147</v>
      </c>
      <c r="AL31" s="1">
        <f>intermediate_results[[#This Row], [All cumulative times '[sec']]] / intermediate_results[[#This Row], [Team9 laps '[laps']]] - intermediate_results[[#This Row], [Total running average '[sec']]]</f>
        <v>1.4660626980321467</v>
      </c>
    </row>
    <row r="32" spans="1:38" x14ac:dyDescent="0.25">
      <c r="A32" s="1">
        <v>221.208</v>
      </c>
      <c r="B32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4.1345375858500333</v>
      </c>
      <c r="C32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4.1301934874941004</v>
      </c>
      <c r="D32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4.0672045000370067</v>
      </c>
      <c r="E32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3.9675781533328496</v>
      </c>
      <c r="F32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4</v>
      </c>
      <c r="G32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3.9355314518014852</v>
      </c>
      <c r="H32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3.9621418705953184</v>
      </c>
      <c r="I32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3.8896015722708595</v>
      </c>
      <c r="J32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3.8941277701682298</v>
      </c>
      <c r="K32" s="1">
        <f>intermediate_results[[#This Row], [Team1 laps '[laps']]] - intermediate_results[[#This Row], [Team1 laps '[laps']]]</f>
        <v>0</v>
      </c>
      <c r="L32" s="1">
        <f>intermediate_results[[#This Row], [Team1 laps '[laps']]] - intermediate_results[[#This Row], [Team2 laps '[laps']]]</f>
        <v>4.3440983559328572E-3</v>
      </c>
      <c r="M32" s="1">
        <f>intermediate_results[[#This Row], [Team1 laps '[laps']]] - intermediate_results[[#This Row], [Team3 laps '[laps']]]</f>
        <v>6.733308581302655E-2</v>
      </c>
      <c r="N32" s="1">
        <f>intermediate_results[[#This Row], [Team1 laps '[laps']]] - intermediate_results[[#This Row], [Team4 laps '[laps']]]</f>
        <v>0.1669594325171837</v>
      </c>
      <c r="O32" s="1">
        <f>intermediate_results[[#This Row], [Team1 laps '[laps']]] - intermediate_results[[#This Row], [Team5 laps '[laps']]]</f>
        <v>0.13453758585003328</v>
      </c>
      <c r="P32" s="1">
        <f>intermediate_results[[#This Row], [Team1 laps '[laps']]] - intermediate_results[[#This Row], [Team6 laps '[laps']]]</f>
        <v>0.19900613404854806</v>
      </c>
      <c r="Q32" s="1">
        <f>intermediate_results[[#This Row], [Team1 laps '[laps']]] - intermediate_results[[#This Row], [Team7 laps '[laps']]]</f>
        <v>0.17239571525471487</v>
      </c>
      <c r="R32" s="1">
        <f>intermediate_results[[#This Row], [Team1 laps '[laps']]] - intermediate_results[[#This Row], [Team8 laps '[laps']]]</f>
        <v>0.24493601357917383</v>
      </c>
      <c r="S32" s="1">
        <f>intermediate_results[[#This Row], [Team1 laps '[laps']]] - intermediate_results[[#This Row], [Team9 laps '[laps']]]</f>
        <v>0.24040981568180353</v>
      </c>
      <c r="T32" s="1">
        <f>MAX(intermediate_results[[#This Row], [Team1 laps '[laps']]:[Team9 laps '[laps']]]) - intermediate_results[[#This Row], [Team1 laps '[laps']]]</f>
        <v>0</v>
      </c>
      <c r="U32" s="1">
        <f>MAX(intermediate_results[[#This Row], [Team1 laps '[laps']]:[Team9 laps '[laps']]]) - intermediate_results[[#This Row], [Team2 laps '[laps']]]</f>
        <v>4.3440983559328572E-3</v>
      </c>
      <c r="V32" s="1">
        <f>MAX(intermediate_results[[#This Row], [Team1 laps '[laps']]:[Team9 laps '[laps']]]) - intermediate_results[[#This Row], [Team3 laps '[laps']]]</f>
        <v>6.733308581302655E-2</v>
      </c>
      <c r="W32" s="1">
        <f>MAX(intermediate_results[[#This Row], [Team1 laps '[laps']]:[Team9 laps '[laps']]]) - intermediate_results[[#This Row], [Team4 laps '[laps']]]</f>
        <v>0.1669594325171837</v>
      </c>
      <c r="X32" s="1">
        <f>MAX(intermediate_results[[#This Row], [Team1 laps '[laps']]:[Team9 laps '[laps']]]) - intermediate_results[[#This Row], [Team5 laps '[laps']]]</f>
        <v>0.13453758585003328</v>
      </c>
      <c r="Y32" s="1">
        <f>MAX(intermediate_results[[#This Row], [Team1 laps '[laps']]:[Team9 laps '[laps']]]) - intermediate_results[[#This Row], [Team6 laps '[laps']]]</f>
        <v>0.19900613404854806</v>
      </c>
      <c r="Z32" s="1">
        <f>MAX(intermediate_results[[#This Row], [Team1 laps '[laps']]:[Team9 laps '[laps']]]) - intermediate_results[[#This Row], [Team7 laps '[laps']]]</f>
        <v>0.17239571525471487</v>
      </c>
      <c r="AA32" s="1">
        <f>MAX(intermediate_results[[#This Row], [Team1 laps '[laps']]:[Team9 laps '[laps']]]) - intermediate_results[[#This Row], [Team8 laps '[laps']]]</f>
        <v>0.24493601357917383</v>
      </c>
      <c r="AB32" s="1">
        <f>MAX(intermediate_results[[#This Row], [Team1 laps '[laps']]:[Team9 laps '[laps']]]) - intermediate_results[[#This Row], [Team9 laps '[laps']]]</f>
        <v>0.24040981568180353</v>
      </c>
      <c r="AC32" s="1">
        <f>9 * intermediate_results[[#This Row], [All cumulative times '[sec']]] / SUM(intermediate_results[[#This Row], [Team1 laps '[laps']]:[Team9 laps '[laps']]])</f>
        <v>55.331331151631154</v>
      </c>
      <c r="AD32" s="1">
        <f>intermediate_results[[#This Row], [All cumulative times '[sec']]] / intermediate_results[[#This Row], [Team1 laps '[laps']]] - intermediate_results[[#This Row], [Total running average '[sec']]]</f>
        <v>-1.8288546577523093</v>
      </c>
      <c r="AE32" s="1">
        <f>intermediate_results[[#This Row], [All cumulative times '[sec']]] / intermediate_results[[#This Row], [Team2 laps '[laps']]] - intermediate_results[[#This Row], [Total running average '[sec']]]</f>
        <v>-1.7725812601792512</v>
      </c>
      <c r="AF32" s="1">
        <f>intermediate_results[[#This Row], [All cumulative times '[sec']]] / intermediate_results[[#This Row], [Team3 laps '[laps']]] - intermediate_results[[#This Row], [Total running average '[sec']]]</f>
        <v>-0.94311438063100894</v>
      </c>
      <c r="AG32" s="1">
        <f>intermediate_results[[#This Row], [All cumulative times '[sec']]] / intermediate_results[[#This Row], [Team4 laps '[laps']]] - intermediate_results[[#This Row], [Total running average '[sec']]]</f>
        <v>0.42258003829225288</v>
      </c>
      <c r="AH32" s="1">
        <f>intermediate_results[[#This Row], [All cumulative times '[sec']]] / intermediate_results[[#This Row], [Team5 laps '[laps']]] - intermediate_results[[#This Row], [Total running average '[sec']]]</f>
        <v>-2.9331151631154739E-2</v>
      </c>
      <c r="AI32" s="1">
        <f>intermediate_results[[#This Row], [All cumulative times '[sec']]] / intermediate_results[[#This Row], [Team6 laps '[laps']]] - intermediate_results[[#This Row], [Total running average '[sec']]]</f>
        <v>0.87657944675633104</v>
      </c>
      <c r="AJ32" s="1">
        <f>intermediate_results[[#This Row], [All cumulative times '[sec']]] / intermediate_results[[#This Row], [Team7 laps '[laps']]] - intermediate_results[[#This Row], [Total running average '[sec']]]</f>
        <v>0.49907755777811502</v>
      </c>
      <c r="AK32" s="1">
        <f>intermediate_results[[#This Row], [All cumulative times '[sec']]] / intermediate_results[[#This Row], [Team8 laps '[laps']]] - intermediate_results[[#This Row], [Total running average '[sec']]]</f>
        <v>1.5403036134824646</v>
      </c>
      <c r="AL32" s="1">
        <f>intermediate_results[[#This Row], [All cumulative times '[sec']]] / intermediate_results[[#This Row], [Team9 laps '[laps']]] - intermediate_results[[#This Row], [Total running average '[sec']]]</f>
        <v>1.4742009355822105</v>
      </c>
    </row>
    <row r="33" spans="1:38" x14ac:dyDescent="0.25">
      <c r="A33" s="1">
        <v>222.99600000000001</v>
      </c>
      <c r="B33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4.1681813905353282</v>
      </c>
      <c r="C33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4.163945257196791</v>
      </c>
      <c r="D33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4.1002886536895868</v>
      </c>
      <c r="E33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4</v>
      </c>
      <c r="F33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4.032487235859513</v>
      </c>
      <c r="G33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3.9676937743960572</v>
      </c>
      <c r="H33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3.9938024577681768</v>
      </c>
      <c r="I33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3.9215472574593533</v>
      </c>
      <c r="J33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3.9255259368524569</v>
      </c>
      <c r="K33" s="1">
        <f>intermediate_results[[#This Row], [Team1 laps '[laps']]] - intermediate_results[[#This Row], [Team1 laps '[laps']]]</f>
        <v>0</v>
      </c>
      <c r="L33" s="1">
        <f>intermediate_results[[#This Row], [Team1 laps '[laps']]] - intermediate_results[[#This Row], [Team2 laps '[laps']]]</f>
        <v>4.2361333385372291E-3</v>
      </c>
      <c r="M33" s="1">
        <f>intermediate_results[[#This Row], [Team1 laps '[laps']]] - intermediate_results[[#This Row], [Team3 laps '[laps']]]</f>
        <v>6.7892736845741375E-2</v>
      </c>
      <c r="N33" s="1">
        <f>intermediate_results[[#This Row], [Team1 laps '[laps']]] - intermediate_results[[#This Row], [Team4 laps '[laps']]]</f>
        <v>0.16818139053532821</v>
      </c>
      <c r="O33" s="1">
        <f>intermediate_results[[#This Row], [Team1 laps '[laps']]] - intermediate_results[[#This Row], [Team5 laps '[laps']]]</f>
        <v>0.13569415467581525</v>
      </c>
      <c r="P33" s="1">
        <f>intermediate_results[[#This Row], [Team1 laps '[laps']]] - intermediate_results[[#This Row], [Team6 laps '[laps']]]</f>
        <v>0.20048761613927102</v>
      </c>
      <c r="Q33" s="1">
        <f>intermediate_results[[#This Row], [Team1 laps '[laps']]] - intermediate_results[[#This Row], [Team7 laps '[laps']]]</f>
        <v>0.17437893276715144</v>
      </c>
      <c r="R33" s="1">
        <f>intermediate_results[[#This Row], [Team1 laps '[laps']]] - intermediate_results[[#This Row], [Team8 laps '[laps']]]</f>
        <v>0.24663413307597493</v>
      </c>
      <c r="S33" s="1">
        <f>intermediate_results[[#This Row], [Team1 laps '[laps']]] - intermediate_results[[#This Row], [Team9 laps '[laps']]]</f>
        <v>0.24265545368287134</v>
      </c>
      <c r="T33" s="1">
        <f>MAX(intermediate_results[[#This Row], [Team1 laps '[laps']]:[Team9 laps '[laps']]]) - intermediate_results[[#This Row], [Team1 laps '[laps']]]</f>
        <v>0</v>
      </c>
      <c r="U33" s="1">
        <f>MAX(intermediate_results[[#This Row], [Team1 laps '[laps']]:[Team9 laps '[laps']]]) - intermediate_results[[#This Row], [Team2 laps '[laps']]]</f>
        <v>4.2361333385372291E-3</v>
      </c>
      <c r="V33" s="1">
        <f>MAX(intermediate_results[[#This Row], [Team1 laps '[laps']]:[Team9 laps '[laps']]]) - intermediate_results[[#This Row], [Team3 laps '[laps']]]</f>
        <v>6.7892736845741375E-2</v>
      </c>
      <c r="W33" s="1">
        <f>MAX(intermediate_results[[#This Row], [Team1 laps '[laps']]:[Team9 laps '[laps']]]) - intermediate_results[[#This Row], [Team4 laps '[laps']]]</f>
        <v>0.16818139053532821</v>
      </c>
      <c r="X33" s="1">
        <f>MAX(intermediate_results[[#This Row], [Team1 laps '[laps']]:[Team9 laps '[laps']]]) - intermediate_results[[#This Row], [Team5 laps '[laps']]]</f>
        <v>0.13569415467581525</v>
      </c>
      <c r="Y33" s="1">
        <f>MAX(intermediate_results[[#This Row], [Team1 laps '[laps']]:[Team9 laps '[laps']]]) - intermediate_results[[#This Row], [Team6 laps '[laps']]]</f>
        <v>0.20048761613927102</v>
      </c>
      <c r="Z33" s="1">
        <f>MAX(intermediate_results[[#This Row], [Team1 laps '[laps']]:[Team9 laps '[laps']]]) - intermediate_results[[#This Row], [Team7 laps '[laps']]]</f>
        <v>0.17437893276715144</v>
      </c>
      <c r="AA33" s="1">
        <f>MAX(intermediate_results[[#This Row], [Team1 laps '[laps']]:[Team9 laps '[laps']]]) - intermediate_results[[#This Row], [Team8 laps '[laps']]]</f>
        <v>0.24663413307597493</v>
      </c>
      <c r="AB33" s="1">
        <f>MAX(intermediate_results[[#This Row], [Team1 laps '[laps']]:[Team9 laps '[laps']]]) - intermediate_results[[#This Row], [Team9 laps '[laps']]]</f>
        <v>0.24265545368287134</v>
      </c>
      <c r="AC33" s="1">
        <f>9 * intermediate_results[[#This Row], [All cumulative times '[sec']]] / SUM(intermediate_results[[#This Row], [Team1 laps '[laps']]:[Team9 laps '[laps']]])</f>
        <v>55.328698670071162</v>
      </c>
      <c r="AD33" s="1">
        <f>intermediate_results[[#This Row], [All cumulative times '[sec']]] / intermediate_results[[#This Row], [Team1 laps '[laps']]] - intermediate_results[[#This Row], [Total running average '[sec']]]</f>
        <v>-1.8291075758937154</v>
      </c>
      <c r="AE33" s="1">
        <f>intermediate_results[[#This Row], [All cumulative times '[sec']]] / intermediate_results[[#This Row], [Team2 laps '[laps']]] - intermediate_results[[#This Row], [Total running average '[sec']]]</f>
        <v>-1.7746804911378717</v>
      </c>
      <c r="AF33" s="1">
        <f>intermediate_results[[#This Row], [All cumulative times '[sec']]] / intermediate_results[[#This Row], [Team3 laps '[laps']]] - intermediate_results[[#This Row], [Total running average '[sec']]]</f>
        <v>-0.94325929390914354</v>
      </c>
      <c r="AG33" s="1">
        <f>intermediate_results[[#This Row], [All cumulative times '[sec']]] / intermediate_results[[#This Row], [Team4 laps '[laps']]] - intermediate_results[[#This Row], [Total running average '[sec']]]</f>
        <v>0.42030132992884006</v>
      </c>
      <c r="AH33" s="1">
        <f>intermediate_results[[#This Row], [All cumulative times '[sec']]] / intermediate_results[[#This Row], [Team5 laps '[laps']]] - intermediate_results[[#This Row], [Total running average '[sec']]]</f>
        <v>-2.8833609873629484E-2</v>
      </c>
      <c r="AI33" s="1">
        <f>intermediate_results[[#This Row], [All cumulative times '[sec']]] / intermediate_results[[#This Row], [Team6 laps '[laps']]] - intermediate_results[[#This Row], [Total running average '[sec']]]</f>
        <v>0.87422743249666013</v>
      </c>
      <c r="AJ33" s="1">
        <f>intermediate_results[[#This Row], [All cumulative times '[sec']]] / intermediate_results[[#This Row], [Team7 laps '[laps']]] - intermediate_results[[#This Row], [Total running average '[sec']]]</f>
        <v>0.50681206388111377</v>
      </c>
      <c r="AK33" s="1">
        <f>intermediate_results[[#This Row], [All cumulative times '[sec']]] / intermediate_results[[#This Row], [Team8 laps '[laps']]] - intermediate_results[[#This Row], [Total running average '[sec']]]</f>
        <v>1.5355912032254508</v>
      </c>
      <c r="AL33" s="1">
        <f>intermediate_results[[#This Row], [All cumulative times '[sec']]] / intermediate_results[[#This Row], [Team9 laps '[laps']]] - intermediate_results[[#This Row], [Total running average '[sec']]]</f>
        <v>1.4779569442849123</v>
      </c>
    </row>
    <row r="34" spans="1:38" x14ac:dyDescent="0.25">
      <c r="A34" s="1">
        <v>223.346</v>
      </c>
      <c r="B34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4.1747671464860288</v>
      </c>
      <c r="C34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4.1705521472392642</v>
      </c>
      <c r="D34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4.1067648582636371</v>
      </c>
      <c r="E34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4.0063498974945118</v>
      </c>
      <c r="F34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4.0388465941094172</v>
      </c>
      <c r="G34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3.973989531056068</v>
      </c>
      <c r="H34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4.0000000000000009</v>
      </c>
      <c r="I34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3.9278006074682867</v>
      </c>
      <c r="J34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3.9316721104203984</v>
      </c>
      <c r="K34" s="1">
        <f>intermediate_results[[#This Row], [Team1 laps '[laps']]] - intermediate_results[[#This Row], [Team1 laps '[laps']]]</f>
        <v>0</v>
      </c>
      <c r="L34" s="1">
        <f>intermediate_results[[#This Row], [Team1 laps '[laps']]] - intermediate_results[[#This Row], [Team2 laps '[laps']]]</f>
        <v>4.2149992467646058E-3</v>
      </c>
      <c r="M34" s="1">
        <f>intermediate_results[[#This Row], [Team1 laps '[laps']]] - intermediate_results[[#This Row], [Team3 laps '[laps']]]</f>
        <v>6.8002288222391627E-2</v>
      </c>
      <c r="N34" s="1">
        <f>intermediate_results[[#This Row], [Team1 laps '[laps']]] - intermediate_results[[#This Row], [Team4 laps '[laps']]]</f>
        <v>0.168417248991517</v>
      </c>
      <c r="O34" s="1">
        <f>intermediate_results[[#This Row], [Team1 laps '[laps']]] - intermediate_results[[#This Row], [Team5 laps '[laps']]]</f>
        <v>0.1359205523766116</v>
      </c>
      <c r="P34" s="1">
        <f>intermediate_results[[#This Row], [Team1 laps '[laps']]] - intermediate_results[[#This Row], [Team6 laps '[laps']]]</f>
        <v>0.20077761542996075</v>
      </c>
      <c r="Q34" s="1">
        <f>intermediate_results[[#This Row], [Team1 laps '[laps']]] - intermediate_results[[#This Row], [Team7 laps '[laps']]]</f>
        <v>0.17476714648602787</v>
      </c>
      <c r="R34" s="1">
        <f>intermediate_results[[#This Row], [Team1 laps '[laps']]] - intermediate_results[[#This Row], [Team8 laps '[laps']]]</f>
        <v>0.24696653901774202</v>
      </c>
      <c r="S34" s="1">
        <f>intermediate_results[[#This Row], [Team1 laps '[laps']]] - intermediate_results[[#This Row], [Team9 laps '[laps']]]</f>
        <v>0.24309503606563032</v>
      </c>
      <c r="T34" s="1">
        <f>MAX(intermediate_results[[#This Row], [Team1 laps '[laps']]:[Team9 laps '[laps']]]) - intermediate_results[[#This Row], [Team1 laps '[laps']]]</f>
        <v>0</v>
      </c>
      <c r="U34" s="1">
        <f>MAX(intermediate_results[[#This Row], [Team1 laps '[laps']]:[Team9 laps '[laps']]]) - intermediate_results[[#This Row], [Team2 laps '[laps']]]</f>
        <v>4.2149992467646058E-3</v>
      </c>
      <c r="V34" s="1">
        <f>MAX(intermediate_results[[#This Row], [Team1 laps '[laps']]:[Team9 laps '[laps']]]) - intermediate_results[[#This Row], [Team3 laps '[laps']]]</f>
        <v>6.8002288222391627E-2</v>
      </c>
      <c r="W34" s="1">
        <f>MAX(intermediate_results[[#This Row], [Team1 laps '[laps']]:[Team9 laps '[laps']]]) - intermediate_results[[#This Row], [Team4 laps '[laps']]]</f>
        <v>0.168417248991517</v>
      </c>
      <c r="X34" s="1">
        <f>MAX(intermediate_results[[#This Row], [Team1 laps '[laps']]:[Team9 laps '[laps']]]) - intermediate_results[[#This Row], [Team5 laps '[laps']]]</f>
        <v>0.1359205523766116</v>
      </c>
      <c r="Y34" s="1">
        <f>MAX(intermediate_results[[#This Row], [Team1 laps '[laps']]:[Team9 laps '[laps']]]) - intermediate_results[[#This Row], [Team6 laps '[laps']]]</f>
        <v>0.20077761542996075</v>
      </c>
      <c r="Z34" s="1">
        <f>MAX(intermediate_results[[#This Row], [Team1 laps '[laps']]:[Team9 laps '[laps']]]) - intermediate_results[[#This Row], [Team7 laps '[laps']]]</f>
        <v>0.17476714648602787</v>
      </c>
      <c r="AA34" s="1">
        <f>MAX(intermediate_results[[#This Row], [Team1 laps '[laps']]:[Team9 laps '[laps']]]) - intermediate_results[[#This Row], [Team8 laps '[laps']]]</f>
        <v>0.24696653901774202</v>
      </c>
      <c r="AB34" s="1">
        <f>MAX(intermediate_results[[#This Row], [Team1 laps '[laps']]:[Team9 laps '[laps']]]) - intermediate_results[[#This Row], [Team9 laps '[laps']]]</f>
        <v>0.24309503606563032</v>
      </c>
      <c r="AC34" s="1">
        <f>9 * intermediate_results[[#This Row], [All cumulative times '[sec']]] / SUM(intermediate_results[[#This Row], [Team1 laps '[laps']]:[Team9 laps '[laps']]])</f>
        <v>55.328183239899566</v>
      </c>
      <c r="AD34" s="1">
        <f>intermediate_results[[#This Row], [All cumulative times '[sec']]] / intermediate_results[[#This Row], [Team1 laps '[laps']]] - intermediate_results[[#This Row], [Total running average '[sec']]]</f>
        <v>-1.8291515183353937</v>
      </c>
      <c r="AE34" s="1">
        <f>intermediate_results[[#This Row], [All cumulative times '[sec']]] / intermediate_results[[#This Row], [Team2 laps '[laps']]] - intermediate_results[[#This Row], [Total running average '[sec']]]</f>
        <v>-1.7750823278666203</v>
      </c>
      <c r="AF34" s="1">
        <f>intermediate_results[[#This Row], [All cumulative times '[sec']]] / intermediate_results[[#This Row], [Team3 laps '[laps']]] - intermediate_results[[#This Row], [Total running average '[sec']]]</f>
        <v>-0.94328230003131353</v>
      </c>
      <c r="AG34" s="1">
        <f>intermediate_results[[#This Row], [All cumulative times '[sec']]] / intermediate_results[[#This Row], [Team4 laps '[laps']]] - intermediate_results[[#This Row], [Total running average '[sec']]]</f>
        <v>0.41981823637587468</v>
      </c>
      <c r="AH34" s="1">
        <f>intermediate_results[[#This Row], [All cumulative times '[sec']]] / intermediate_results[[#This Row], [Team5 laps '[laps']]] - intermediate_results[[#This Row], [Total running average '[sec']]]</f>
        <v>-2.8732073384354351E-2</v>
      </c>
      <c r="AI34" s="1">
        <f>intermediate_results[[#This Row], [All cumulative times '[sec']]] / intermediate_results[[#This Row], [Team6 laps '[laps']]] - intermediate_results[[#This Row], [Total running average '[sec']]]</f>
        <v>0.87377659280460307</v>
      </c>
      <c r="AJ34" s="1">
        <f>intermediate_results[[#This Row], [All cumulative times '[sec']]] / intermediate_results[[#This Row], [Team7 laps '[laps']]] - intermediate_results[[#This Row], [Total running average '[sec']]]</f>
        <v>0.50831676010042059</v>
      </c>
      <c r="AK34" s="1">
        <f>intermediate_results[[#This Row], [All cumulative times '[sec']]] / intermediate_results[[#This Row], [Team8 laps '[laps']]] - intermediate_results[[#This Row], [Total running average '[sec']]]</f>
        <v>1.5346828575626645</v>
      </c>
      <c r="AL34" s="1">
        <f>intermediate_results[[#This Row], [All cumulative times '[sec']]] / intermediate_results[[#This Row], [Team9 laps '[laps']]] - intermediate_results[[#This Row], [Total running average '[sec']]]</f>
        <v>1.4786902041116363</v>
      </c>
    </row>
    <row r="35" spans="1:38" x14ac:dyDescent="0.25">
      <c r="A35" s="1">
        <v>224.792</v>
      </c>
      <c r="B35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4.2019757267852107</v>
      </c>
      <c r="C35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4.1978480415290234</v>
      </c>
      <c r="D35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4.133520834875287</v>
      </c>
      <c r="E35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4.0325840454289805</v>
      </c>
      <c r="F35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4.0651198284790233</v>
      </c>
      <c r="G35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4</v>
      </c>
      <c r="H35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4.0260893098782145</v>
      </c>
      <c r="I35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3.9536358763623367</v>
      </c>
      <c r="J35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3.9570645875039512</v>
      </c>
      <c r="K35" s="1">
        <f>intermediate_results[[#This Row], [Team1 laps '[laps']]] - intermediate_results[[#This Row], [Team1 laps '[laps']]]</f>
        <v>0</v>
      </c>
      <c r="L35" s="1">
        <f>intermediate_results[[#This Row], [Team1 laps '[laps']]] - intermediate_results[[#This Row], [Team2 laps '[laps']]]</f>
        <v>4.1276852561873412E-3</v>
      </c>
      <c r="M35" s="1">
        <f>intermediate_results[[#This Row], [Team1 laps '[laps']]] - intermediate_results[[#This Row], [Team3 laps '[laps']]]</f>
        <v>6.845489190992371E-2</v>
      </c>
      <c r="N35" s="1">
        <f>intermediate_results[[#This Row], [Team1 laps '[laps']]] - intermediate_results[[#This Row], [Team4 laps '[laps']]]</f>
        <v>0.16939168135623017</v>
      </c>
      <c r="O35" s="1">
        <f>intermediate_results[[#This Row], [Team1 laps '[laps']]] - intermediate_results[[#This Row], [Team5 laps '[laps']]]</f>
        <v>0.13685589830618738</v>
      </c>
      <c r="P35" s="1">
        <f>intermediate_results[[#This Row], [Team1 laps '[laps']]] - intermediate_results[[#This Row], [Team6 laps '[laps']]]</f>
        <v>0.2019757267852107</v>
      </c>
      <c r="Q35" s="1">
        <f>intermediate_results[[#This Row], [Team1 laps '[laps']]] - intermediate_results[[#This Row], [Team7 laps '[laps']]]</f>
        <v>0.17588641690699625</v>
      </c>
      <c r="R35" s="1">
        <f>intermediate_results[[#This Row], [Team1 laps '[laps']]] - intermediate_results[[#This Row], [Team8 laps '[laps']]]</f>
        <v>0.24833985042287399</v>
      </c>
      <c r="S35" s="1">
        <f>intermediate_results[[#This Row], [Team1 laps '[laps']]] - intermediate_results[[#This Row], [Team9 laps '[laps']]]</f>
        <v>0.24491113928125952</v>
      </c>
      <c r="T35" s="1">
        <f>MAX(intermediate_results[[#This Row], [Team1 laps '[laps']]:[Team9 laps '[laps']]]) - intermediate_results[[#This Row], [Team1 laps '[laps']]]</f>
        <v>0</v>
      </c>
      <c r="U35" s="1">
        <f>MAX(intermediate_results[[#This Row], [Team1 laps '[laps']]:[Team9 laps '[laps']]]) - intermediate_results[[#This Row], [Team2 laps '[laps']]]</f>
        <v>4.1276852561873412E-3</v>
      </c>
      <c r="V35" s="1">
        <f>MAX(intermediate_results[[#This Row], [Team1 laps '[laps']]:[Team9 laps '[laps']]]) - intermediate_results[[#This Row], [Team3 laps '[laps']]]</f>
        <v>6.845489190992371E-2</v>
      </c>
      <c r="W35" s="1">
        <f>MAX(intermediate_results[[#This Row], [Team1 laps '[laps']]:[Team9 laps '[laps']]]) - intermediate_results[[#This Row], [Team4 laps '[laps']]]</f>
        <v>0.16939168135623017</v>
      </c>
      <c r="X35" s="1">
        <f>MAX(intermediate_results[[#This Row], [Team1 laps '[laps']]:[Team9 laps '[laps']]]) - intermediate_results[[#This Row], [Team5 laps '[laps']]]</f>
        <v>0.13685589830618738</v>
      </c>
      <c r="Y35" s="1">
        <f>MAX(intermediate_results[[#This Row], [Team1 laps '[laps']]:[Team9 laps '[laps']]]) - intermediate_results[[#This Row], [Team6 laps '[laps']]]</f>
        <v>0.2019757267852107</v>
      </c>
      <c r="Z35" s="1">
        <f>MAX(intermediate_results[[#This Row], [Team1 laps '[laps']]:[Team9 laps '[laps']]]) - intermediate_results[[#This Row], [Team7 laps '[laps']]]</f>
        <v>0.17588641690699625</v>
      </c>
      <c r="AA35" s="1">
        <f>MAX(intermediate_results[[#This Row], [Team1 laps '[laps']]:[Team9 laps '[laps']]]) - intermediate_results[[#This Row], [Team8 laps '[laps']]]</f>
        <v>0.24833985042287399</v>
      </c>
      <c r="AB35" s="1">
        <f>MAX(intermediate_results[[#This Row], [Team1 laps '[laps']]:[Team9 laps '[laps']]]) - intermediate_results[[#This Row], [Team9 laps '[laps']]]</f>
        <v>0.24491113928125952</v>
      </c>
      <c r="AC35" s="1">
        <f>9 * intermediate_results[[#This Row], [All cumulative times '[sec']]] / SUM(intermediate_results[[#This Row], [Team1 laps '[laps']]:[Team9 laps '[laps']]])</f>
        <v>55.325337694891353</v>
      </c>
      <c r="AD35" s="1">
        <f>intermediate_results[[#This Row], [All cumulative times '[sec']]] / intermediate_results[[#This Row], [Team1 laps '[laps']]] - intermediate_results[[#This Row], [Total running average '[sec']]]</f>
        <v>-1.8285983950713742</v>
      </c>
      <c r="AE35" s="1">
        <f>intermediate_results[[#This Row], [All cumulative times '[sec']]] / intermediate_results[[#This Row], [Team2 laps '[laps']]] - intermediate_results[[#This Row], [Total running average '[sec']]]</f>
        <v>-1.7759957996754849</v>
      </c>
      <c r="AF35" s="1">
        <f>intermediate_results[[#This Row], [All cumulative times '[sec']]] / intermediate_results[[#This Row], [Team3 laps '[laps']]] - intermediate_results[[#This Row], [Total running average '[sec']]]</f>
        <v>-0.94264338175570117</v>
      </c>
      <c r="AG35" s="1">
        <f>intermediate_results[[#This Row], [All cumulative times '[sec']]] / intermediate_results[[#This Row], [Team4 laps '[laps']]] - intermediate_results[[#This Row], [Total running average '[sec']]]</f>
        <v>0.41857178538506901</v>
      </c>
      <c r="AH35" s="1">
        <f>intermediate_results[[#This Row], [All cumulative times '[sec']]] / intermediate_results[[#This Row], [Team5 laps '[laps']]] - intermediate_results[[#This Row], [Total running average '[sec']]]</f>
        <v>-2.7582773825081119E-2</v>
      </c>
      <c r="AI35" s="1">
        <f>intermediate_results[[#This Row], [All cumulative times '[sec']]] / intermediate_results[[#This Row], [Team6 laps '[laps']]] - intermediate_results[[#This Row], [Total running average '[sec']]]</f>
        <v>0.87266230510864773</v>
      </c>
      <c r="AJ35" s="1">
        <f>intermediate_results[[#This Row], [All cumulative times '[sec']]] / intermediate_results[[#This Row], [Team7 laps '[laps']]] - intermediate_results[[#This Row], [Total running average '[sec']]]</f>
        <v>0.50849575943898628</v>
      </c>
      <c r="AK35" s="1">
        <f>intermediate_results[[#This Row], [All cumulative times '[sec']]] / intermediate_results[[#This Row], [Team8 laps '[laps']]] - intermediate_results[[#This Row], [Total running average '[sec']]]</f>
        <v>1.5316939159272778</v>
      </c>
      <c r="AL35" s="1">
        <f>intermediate_results[[#This Row], [All cumulative times '[sec']]] / intermediate_results[[#This Row], [Team9 laps '[laps']]] - intermediate_results[[#This Row], [Total running average '[sec']]]</f>
        <v>1.4824285240055062</v>
      </c>
    </row>
    <row r="36" spans="1:38" x14ac:dyDescent="0.25">
      <c r="A36" s="1">
        <v>227.23699999999999</v>
      </c>
      <c r="B36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4.2479819362122493</v>
      </c>
      <c r="C36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4.2440018876828693</v>
      </c>
      <c r="D36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4.1787617496854415</v>
      </c>
      <c r="E36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4.0769426150692132</v>
      </c>
      <c r="F36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4.1095444882533565</v>
      </c>
      <c r="G36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4.0439439961178305</v>
      </c>
      <c r="H36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4.0702029769959411</v>
      </c>
      <c r="I36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3.9973199928533143</v>
      </c>
      <c r="J36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4</v>
      </c>
      <c r="K36" s="1">
        <f>intermediate_results[[#This Row], [Team1 laps '[laps']]] - intermediate_results[[#This Row], [Team1 laps '[laps']]]</f>
        <v>0</v>
      </c>
      <c r="L36" s="1">
        <f>intermediate_results[[#This Row], [Team1 laps '[laps']]] - intermediate_results[[#This Row], [Team2 laps '[laps']]]</f>
        <v>3.9800485293799426E-3</v>
      </c>
      <c r="M36" s="1">
        <f>intermediate_results[[#This Row], [Team1 laps '[laps']]] - intermediate_results[[#This Row], [Team3 laps '[laps']]]</f>
        <v>6.9220186526807836E-2</v>
      </c>
      <c r="N36" s="1">
        <f>intermediate_results[[#This Row], [Team1 laps '[laps']]] - intermediate_results[[#This Row], [Team4 laps '[laps']]]</f>
        <v>0.1710393211430361</v>
      </c>
      <c r="O36" s="1">
        <f>intermediate_results[[#This Row], [Team1 laps '[laps']]] - intermediate_results[[#This Row], [Team5 laps '[laps']]]</f>
        <v>0.13843744795889279</v>
      </c>
      <c r="P36" s="1">
        <f>intermediate_results[[#This Row], [Team1 laps '[laps']]] - intermediate_results[[#This Row], [Team6 laps '[laps']]]</f>
        <v>0.20403794009441878</v>
      </c>
      <c r="Q36" s="1">
        <f>intermediate_results[[#This Row], [Team1 laps '[laps']]] - intermediate_results[[#This Row], [Team7 laps '[laps']]]</f>
        <v>0.17777895921630815</v>
      </c>
      <c r="R36" s="1">
        <f>intermediate_results[[#This Row], [Team1 laps '[laps']]] - intermediate_results[[#This Row], [Team8 laps '[laps']]]</f>
        <v>0.25066194335893499</v>
      </c>
      <c r="S36" s="1">
        <f>intermediate_results[[#This Row], [Team1 laps '[laps']]] - intermediate_results[[#This Row], [Team9 laps '[laps']]]</f>
        <v>0.24798193621224929</v>
      </c>
      <c r="T36" s="1">
        <f>MAX(intermediate_results[[#This Row], [Team1 laps '[laps']]:[Team9 laps '[laps']]]) - intermediate_results[[#This Row], [Team1 laps '[laps']]]</f>
        <v>0</v>
      </c>
      <c r="U36" s="1">
        <f>MAX(intermediate_results[[#This Row], [Team1 laps '[laps']]:[Team9 laps '[laps']]]) - intermediate_results[[#This Row], [Team2 laps '[laps']]]</f>
        <v>3.9800485293799426E-3</v>
      </c>
      <c r="V36" s="1">
        <f>MAX(intermediate_results[[#This Row], [Team1 laps '[laps']]:[Team9 laps '[laps']]]) - intermediate_results[[#This Row], [Team3 laps '[laps']]]</f>
        <v>6.9220186526807836E-2</v>
      </c>
      <c r="W36" s="1">
        <f>MAX(intermediate_results[[#This Row], [Team1 laps '[laps']]:[Team9 laps '[laps']]]) - intermediate_results[[#This Row], [Team4 laps '[laps']]]</f>
        <v>0.1710393211430361</v>
      </c>
      <c r="X36" s="1">
        <f>MAX(intermediate_results[[#This Row], [Team1 laps '[laps']]:[Team9 laps '[laps']]]) - intermediate_results[[#This Row], [Team5 laps '[laps']]]</f>
        <v>0.13843744795889279</v>
      </c>
      <c r="Y36" s="1">
        <f>MAX(intermediate_results[[#This Row], [Team1 laps '[laps']]:[Team9 laps '[laps']]]) - intermediate_results[[#This Row], [Team6 laps '[laps']]]</f>
        <v>0.20403794009441878</v>
      </c>
      <c r="Z36" s="1">
        <f>MAX(intermediate_results[[#This Row], [Team1 laps '[laps']]:[Team9 laps '[laps']]]) - intermediate_results[[#This Row], [Team7 laps '[laps']]]</f>
        <v>0.17777895921630815</v>
      </c>
      <c r="AA36" s="1">
        <f>MAX(intermediate_results[[#This Row], [Team1 laps '[laps']]:[Team9 laps '[laps']]]) - intermediate_results[[#This Row], [Team8 laps '[laps']]]</f>
        <v>0.25066194335893499</v>
      </c>
      <c r="AB36" s="1">
        <f>MAX(intermediate_results[[#This Row], [Team1 laps '[laps']]:[Team9 laps '[laps']]]) - intermediate_results[[#This Row], [Team9 laps '[laps']]]</f>
        <v>0.24798193621224929</v>
      </c>
      <c r="AC36" s="1">
        <f>9 * intermediate_results[[#This Row], [All cumulative times '[sec']]] / SUM(intermediate_results[[#This Row], [Team1 laps '[laps']]:[Team9 laps '[laps']]])</f>
        <v>55.320663690004153</v>
      </c>
      <c r="AD36" s="1">
        <f>intermediate_results[[#This Row], [All cumulative times '[sec']]] / intermediate_results[[#This Row], [Team1 laps '[laps']]] - intermediate_results[[#This Row], [Total running average '[sec']]]</f>
        <v>-1.8277337735888608</v>
      </c>
      <c r="AE36" s="1">
        <f>intermediate_results[[#This Row], [All cumulative times '[sec']]] / intermediate_results[[#This Row], [Team2 laps '[laps']]] - intermediate_results[[#This Row], [Total running average '[sec']]]</f>
        <v>-1.7775678069657133</v>
      </c>
      <c r="AF36" s="1">
        <f>intermediate_results[[#This Row], [All cumulative times '[sec']]] / intermediate_results[[#This Row], [Team3 laps '[laps']]] - intermediate_results[[#This Row], [Total running average '[sec']]]</f>
        <v>-0.94163621443549061</v>
      </c>
      <c r="AG36" s="1">
        <f>intermediate_results[[#This Row], [All cumulative times '[sec']]] / intermediate_results[[#This Row], [Team4 laps '[laps']]] - intermediate_results[[#This Row], [Total running average '[sec']]]</f>
        <v>0.41644655532665098</v>
      </c>
      <c r="AH36" s="1">
        <f>intermediate_results[[#This Row], [All cumulative times '[sec']]] / intermediate_results[[#This Row], [Team5 laps '[laps']]] - intermediate_results[[#This Row], [Total running average '[sec']]]</f>
        <v>-2.5727560335795374E-2</v>
      </c>
      <c r="AI36" s="1">
        <f>intermediate_results[[#This Row], [All cumulative times '[sec']]] / intermediate_results[[#This Row], [Team6 laps '[laps']]] - intermediate_results[[#This Row], [Total running average '[sec']]]</f>
        <v>0.87126187032669833</v>
      </c>
      <c r="AJ36" s="1">
        <f>intermediate_results[[#This Row], [All cumulative times '[sec']]] / intermediate_results[[#This Row], [Team7 laps '[laps']]] - intermediate_results[[#This Row], [Total running average '[sec']]]</f>
        <v>0.50873874626324067</v>
      </c>
      <c r="AK36" s="1">
        <f>intermediate_results[[#This Row], [All cumulative times '[sec']]] / intermediate_results[[#This Row], [Team8 laps '[laps']]] - intermediate_results[[#This Row], [Total running average '[sec']]]</f>
        <v>1.5266741279013587</v>
      </c>
      <c r="AL36" s="1">
        <f>intermediate_results[[#This Row], [All cumulative times '[sec']]] / intermediate_results[[#This Row], [Team9 laps '[laps']]] - intermediate_results[[#This Row], [Total running average '[sec']]]</f>
        <v>1.4885863099958456</v>
      </c>
    </row>
    <row r="37" spans="1:38" x14ac:dyDescent="0.25">
      <c r="A37" s="1">
        <v>227.387</v>
      </c>
      <c r="B37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4.2508044030482646</v>
      </c>
      <c r="C37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4.2468334119867865</v>
      </c>
      <c r="D37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4.1815372659314631</v>
      </c>
      <c r="E37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4.0796639997097186</v>
      </c>
      <c r="F37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4.1122699275033163</v>
      </c>
      <c r="G37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4.0466399467999059</v>
      </c>
      <c r="H37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4.0729093369418141</v>
      </c>
      <c r="I37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4</v>
      </c>
      <c r="J37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4.0026254988447807</v>
      </c>
      <c r="K37" s="1">
        <f>intermediate_results[[#This Row], [Team1 laps '[laps']]] - intermediate_results[[#This Row], [Team1 laps '[laps']]]</f>
        <v>0</v>
      </c>
      <c r="L37" s="1">
        <f>intermediate_results[[#This Row], [Team1 laps '[laps']]] - intermediate_results[[#This Row], [Team2 laps '[laps']]]</f>
        <v>3.9709910614780242E-3</v>
      </c>
      <c r="M37" s="1">
        <f>intermediate_results[[#This Row], [Team1 laps '[laps']]] - intermediate_results[[#This Row], [Team3 laps '[laps']]]</f>
        <v>6.9267137116801436E-2</v>
      </c>
      <c r="N37" s="1">
        <f>intermediate_results[[#This Row], [Team1 laps '[laps']]] - intermediate_results[[#This Row], [Team4 laps '[laps']]]</f>
        <v>0.17114040333854597</v>
      </c>
      <c r="O37" s="1">
        <f>intermediate_results[[#This Row], [Team1 laps '[laps']]] - intermediate_results[[#This Row], [Team5 laps '[laps']]]</f>
        <v>0.13853447554494824</v>
      </c>
      <c r="P37" s="1">
        <f>intermediate_results[[#This Row], [Team1 laps '[laps']]] - intermediate_results[[#This Row], [Team6 laps '[laps']]]</f>
        <v>0.20416445624835866</v>
      </c>
      <c r="Q37" s="1">
        <f>intermediate_results[[#This Row], [Team1 laps '[laps']]] - intermediate_results[[#This Row], [Team7 laps '[laps']]]</f>
        <v>0.17789506610645045</v>
      </c>
      <c r="R37" s="1">
        <f>intermediate_results[[#This Row], [Team1 laps '[laps']]] - intermediate_results[[#This Row], [Team8 laps '[laps']]]</f>
        <v>0.25080440304826457</v>
      </c>
      <c r="S37" s="1">
        <f>intermediate_results[[#This Row], [Team1 laps '[laps']]] - intermediate_results[[#This Row], [Team9 laps '[laps']]]</f>
        <v>0.24817890420348387</v>
      </c>
      <c r="T37" s="1">
        <f>MAX(intermediate_results[[#This Row], [Team1 laps '[laps']]:[Team9 laps '[laps']]]) - intermediate_results[[#This Row], [Team1 laps '[laps']]]</f>
        <v>0</v>
      </c>
      <c r="U37" s="1">
        <f>MAX(intermediate_results[[#This Row], [Team1 laps '[laps']]:[Team9 laps '[laps']]]) - intermediate_results[[#This Row], [Team2 laps '[laps']]]</f>
        <v>3.9709910614780242E-3</v>
      </c>
      <c r="V37" s="1">
        <f>MAX(intermediate_results[[#This Row], [Team1 laps '[laps']]:[Team9 laps '[laps']]]) - intermediate_results[[#This Row], [Team3 laps '[laps']]]</f>
        <v>6.9267137116801436E-2</v>
      </c>
      <c r="W37" s="1">
        <f>MAX(intermediate_results[[#This Row], [Team1 laps '[laps']]:[Team9 laps '[laps']]]) - intermediate_results[[#This Row], [Team4 laps '[laps']]]</f>
        <v>0.17114040333854597</v>
      </c>
      <c r="X37" s="1">
        <f>MAX(intermediate_results[[#This Row], [Team1 laps '[laps']]:[Team9 laps '[laps']]]) - intermediate_results[[#This Row], [Team5 laps '[laps']]]</f>
        <v>0.13853447554494824</v>
      </c>
      <c r="Y37" s="1">
        <f>MAX(intermediate_results[[#This Row], [Team1 laps '[laps']]:[Team9 laps '[laps']]]) - intermediate_results[[#This Row], [Team6 laps '[laps']]]</f>
        <v>0.20416445624835866</v>
      </c>
      <c r="Z37" s="1">
        <f>MAX(intermediate_results[[#This Row], [Team1 laps '[laps']]:[Team9 laps '[laps']]]) - intermediate_results[[#This Row], [Team7 laps '[laps']]]</f>
        <v>0.17789506610645045</v>
      </c>
      <c r="AA37" s="1">
        <f>MAX(intermediate_results[[#This Row], [Team1 laps '[laps']]:[Team9 laps '[laps']]]) - intermediate_results[[#This Row], [Team8 laps '[laps']]]</f>
        <v>0.25080440304826457</v>
      </c>
      <c r="AB37" s="1">
        <f>MAX(intermediate_results[[#This Row], [Team1 laps '[laps']]:[Team9 laps '[laps']]]) - intermediate_results[[#This Row], [Team9 laps '[laps']]]</f>
        <v>0.24817890420348387</v>
      </c>
      <c r="AC37" s="1">
        <f>9 * intermediate_results[[#This Row], [All cumulative times '[sec']]] / SUM(intermediate_results[[#This Row], [Team1 laps '[laps']]:[Team9 laps '[laps']]])</f>
        <v>55.320393063100433</v>
      </c>
      <c r="AD37" s="1">
        <f>intermediate_results[[#This Row], [All cumulative times '[sec']]] / intermediate_results[[#This Row], [Team1 laps '[laps']]] - intermediate_results[[#This Row], [Total running average '[sec']]]</f>
        <v>-1.8276941666421322</v>
      </c>
      <c r="AE37" s="1">
        <f>intermediate_results[[#This Row], [All cumulative times '[sec']]] / intermediate_results[[#This Row], [Team2 laps '[laps']]] - intermediate_results[[#This Row], [Total running average '[sec']]]</f>
        <v>-1.7776759510529274</v>
      </c>
      <c r="AF37" s="1">
        <f>intermediate_results[[#This Row], [All cumulative times '[sec']]] / intermediate_results[[#This Row], [Team3 laps '[laps']]] - intermediate_results[[#This Row], [Total running average '[sec']]]</f>
        <v>-0.94158796369205788</v>
      </c>
      <c r="AG37" s="1">
        <f>intermediate_results[[#This Row], [All cumulative times '[sec']]] / intermediate_results[[#This Row], [Team4 laps '[laps']]] - intermediate_results[[#This Row], [Total running average '[sec']]]</f>
        <v>0.4163048650081862</v>
      </c>
      <c r="AH37" s="1">
        <f>intermediate_results[[#This Row], [All cumulative times '[sec']]] / intermediate_results[[#This Row], [Team5 laps '[laps']]] - intermediate_results[[#This Row], [Total running average '[sec']]]</f>
        <v>-2.5627882631468424E-2</v>
      </c>
      <c r="AI37" s="1">
        <f>intermediate_results[[#This Row], [All cumulative times '[sec']]] / intermediate_results[[#This Row], [Team6 laps '[laps']]] - intermediate_results[[#This Row], [Total running average '[sec']]]</f>
        <v>0.87116412740728322</v>
      </c>
      <c r="AJ37" s="1">
        <f>intermediate_results[[#This Row], [All cumulative times '[sec']]] / intermediate_results[[#This Row], [Team7 laps '[laps']]] - intermediate_results[[#This Row], [Total running average '[sec']]]</f>
        <v>0.50874065651628797</v>
      </c>
      <c r="AK37" s="1">
        <f>intermediate_results[[#This Row], [All cumulative times '[sec']]] / intermediate_results[[#This Row], [Team8 laps '[laps']]] - intermediate_results[[#This Row], [Total running average '[sec']]]</f>
        <v>1.5263569368995675</v>
      </c>
      <c r="AL37" s="1">
        <f>intermediate_results[[#This Row], [All cumulative times '[sec']]] / intermediate_results[[#This Row], [Team9 laps '[laps']]] - intermediate_results[[#This Row], [Total running average '[sec']]]</f>
        <v>1.489068642879154</v>
      </c>
    </row>
    <row r="38" spans="1:38" x14ac:dyDescent="0.25">
      <c r="A38" s="1">
        <v>267.20299999999997</v>
      </c>
      <c r="B38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5</v>
      </c>
      <c r="C38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4.9984332232184983</v>
      </c>
      <c r="D38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4.9182702982754787</v>
      </c>
      <c r="E38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4.802028338685389</v>
      </c>
      <c r="F38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4.8357105220124641</v>
      </c>
      <c r="G38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4.7622530958500322</v>
      </c>
      <c r="H38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4.7912855209742897</v>
      </c>
      <c r="I38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4.7035872062201793</v>
      </c>
      <c r="J38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4.6995379122033185</v>
      </c>
      <c r="K38" s="1">
        <f>intermediate_results[[#This Row], [Team1 laps '[laps']]] - intermediate_results[[#This Row], [Team1 laps '[laps']]]</f>
        <v>0</v>
      </c>
      <c r="L38" s="1">
        <f>intermediate_results[[#This Row], [Team1 laps '[laps']]] - intermediate_results[[#This Row], [Team2 laps '[laps']]]</f>
        <v>1.5667767815017442E-3</v>
      </c>
      <c r="M38" s="1">
        <f>intermediate_results[[#This Row], [Team1 laps '[laps']]] - intermediate_results[[#This Row], [Team3 laps '[laps']]]</f>
        <v>8.172970172452132E-2</v>
      </c>
      <c r="N38" s="1">
        <f>intermediate_results[[#This Row], [Team1 laps '[laps']]] - intermediate_results[[#This Row], [Team4 laps '[laps']]]</f>
        <v>0.19797166131461097</v>
      </c>
      <c r="O38" s="1">
        <f>intermediate_results[[#This Row], [Team1 laps '[laps']]] - intermediate_results[[#This Row], [Team5 laps '[laps']]]</f>
        <v>0.1642894779875359</v>
      </c>
      <c r="P38" s="1">
        <f>intermediate_results[[#This Row], [Team1 laps '[laps']]] - intermediate_results[[#This Row], [Team6 laps '[laps']]]</f>
        <v>0.2377469041499678</v>
      </c>
      <c r="Q38" s="1">
        <f>intermediate_results[[#This Row], [Team1 laps '[laps']]] - intermediate_results[[#This Row], [Team7 laps '[laps']]]</f>
        <v>0.20871447902571028</v>
      </c>
      <c r="R38" s="1">
        <f>intermediate_results[[#This Row], [Team1 laps '[laps']]] - intermediate_results[[#This Row], [Team8 laps '[laps']]]</f>
        <v>0.29641279377982066</v>
      </c>
      <c r="S38" s="1">
        <f>intermediate_results[[#This Row], [Team1 laps '[laps']]] - intermediate_results[[#This Row], [Team9 laps '[laps']]]</f>
        <v>0.30046208779668149</v>
      </c>
      <c r="T38" s="1">
        <f>MAX(intermediate_results[[#This Row], [Team1 laps '[laps']]:[Team9 laps '[laps']]]) - intermediate_results[[#This Row], [Team1 laps '[laps']]]</f>
        <v>0</v>
      </c>
      <c r="U38" s="1">
        <f>MAX(intermediate_results[[#This Row], [Team1 laps '[laps']]:[Team9 laps '[laps']]]) - intermediate_results[[#This Row], [Team2 laps '[laps']]]</f>
        <v>1.5667767815017442E-3</v>
      </c>
      <c r="V38" s="1">
        <f>MAX(intermediate_results[[#This Row], [Team1 laps '[laps']]:[Team9 laps '[laps']]]) - intermediate_results[[#This Row], [Team3 laps '[laps']]]</f>
        <v>8.172970172452132E-2</v>
      </c>
      <c r="W38" s="1">
        <f>MAX(intermediate_results[[#This Row], [Team1 laps '[laps']]:[Team9 laps '[laps']]]) - intermediate_results[[#This Row], [Team4 laps '[laps']]]</f>
        <v>0.19797166131461097</v>
      </c>
      <c r="X38" s="1">
        <f>MAX(intermediate_results[[#This Row], [Team1 laps '[laps']]:[Team9 laps '[laps']]]) - intermediate_results[[#This Row], [Team5 laps '[laps']]]</f>
        <v>0.1642894779875359</v>
      </c>
      <c r="Y38" s="1">
        <f>MAX(intermediate_results[[#This Row], [Team1 laps '[laps']]:[Team9 laps '[laps']]]) - intermediate_results[[#This Row], [Team6 laps '[laps']]]</f>
        <v>0.2377469041499678</v>
      </c>
      <c r="Z38" s="1">
        <f>MAX(intermediate_results[[#This Row], [Team1 laps '[laps']]:[Team9 laps '[laps']]]) - intermediate_results[[#This Row], [Team7 laps '[laps']]]</f>
        <v>0.20871447902571028</v>
      </c>
      <c r="AA38" s="1">
        <f>MAX(intermediate_results[[#This Row], [Team1 laps '[laps']]:[Team9 laps '[laps']]]) - intermediate_results[[#This Row], [Team8 laps '[laps']]]</f>
        <v>0.29641279377982066</v>
      </c>
      <c r="AB38" s="1">
        <f>MAX(intermediate_results[[#This Row], [Team1 laps '[laps']]:[Team9 laps '[laps']]]) - intermediate_results[[#This Row], [Team9 laps '[laps']]]</f>
        <v>0.30046208779668149</v>
      </c>
      <c r="AC38" s="1">
        <f>9 * intermediate_results[[#This Row], [All cumulative times '[sec']]] / SUM(intermediate_results[[#This Row], [Team1 laps '[laps']]:[Team9 laps '[laps']]])</f>
        <v>55.269268345171383</v>
      </c>
      <c r="AD38" s="1">
        <f>intermediate_results[[#This Row], [All cumulative times '[sec']]] / intermediate_results[[#This Row], [Team1 laps '[laps']]] - intermediate_results[[#This Row], [Total running average '[sec']]]</f>
        <v>-1.828668345171387</v>
      </c>
      <c r="AE38" s="1">
        <f>intermediate_results[[#This Row], [All cumulative times '[sec']]] / intermediate_results[[#This Row], [Team2 laps '[laps']]] - intermediate_results[[#This Row], [Total running average '[sec']]]</f>
        <v>-1.8119171978557489</v>
      </c>
      <c r="AF38" s="1">
        <f>intermediate_results[[#This Row], [All cumulative times '[sec']]] / intermediate_results[[#This Row], [Team3 laps '[laps']]] - intermediate_results[[#This Row], [Total running average '[sec']]]</f>
        <v>-0.94061542552788779</v>
      </c>
      <c r="AG38" s="1">
        <f>intermediate_results[[#This Row], [All cumulative times '[sec']]] / intermediate_results[[#This Row], [Team4 laps '[laps']]] - intermediate_results[[#This Row], [Total running average '[sec']]]</f>
        <v>0.37450989899239318</v>
      </c>
      <c r="AH38" s="1">
        <f>intermediate_results[[#This Row], [All cumulative times '[sec']]] / intermediate_results[[#This Row], [Team5 laps '[laps']]] - intermediate_results[[#This Row], [Total running average '[sec']]]</f>
        <v>-1.3065811195289712E-2</v>
      </c>
      <c r="AI38" s="1">
        <f>intermediate_results[[#This Row], [All cumulative times '[sec']]] / intermediate_results[[#This Row], [Team6 laps '[laps']]] - intermediate_results[[#This Row], [Total running average '[sec']]]</f>
        <v>0.83925730896668682</v>
      </c>
      <c r="AJ38" s="1">
        <f>intermediate_results[[#This Row], [All cumulative times '[sec']]] / intermediate_results[[#This Row], [Team7 laps '[laps']]] - intermediate_results[[#This Row], [Total running average '[sec']]]</f>
        <v>0.49927202469270782</v>
      </c>
      <c r="AK38" s="1">
        <f>intermediate_results[[#This Row], [All cumulative times '[sec']]] / intermediate_results[[#This Row], [Team8 laps '[laps']]] - intermediate_results[[#This Row], [Total running average '[sec']]]</f>
        <v>1.5390756452710335</v>
      </c>
      <c r="AL38" s="1">
        <f>intermediate_results[[#This Row], [All cumulative times '[sec']]] / intermediate_results[[#This Row], [Team9 laps '[laps']]] - intermediate_results[[#This Row], [Total running average '[sec']]]</f>
        <v>1.588023795435106</v>
      </c>
    </row>
    <row r="39" spans="1:38" x14ac:dyDescent="0.25">
      <c r="A39" s="1">
        <v>267.286</v>
      </c>
      <c r="B39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5.0015738475832912</v>
      </c>
      <c r="C39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5</v>
      </c>
      <c r="D39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4.9198060839316113</v>
      </c>
      <c r="E39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4.8035341715198028</v>
      </c>
      <c r="F39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4.8372185983974418</v>
      </c>
      <c r="G39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4.7637448552274479</v>
      </c>
      <c r="H39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4.7927830401443394</v>
      </c>
      <c r="I39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4.7050538964481357</v>
      </c>
      <c r="J39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4.7009906882307639</v>
      </c>
      <c r="K39" s="1">
        <f>intermediate_results[[#This Row], [Team1 laps '[laps']]] - intermediate_results[[#This Row], [Team1 laps '[laps']]]</f>
        <v>0</v>
      </c>
      <c r="L39" s="1">
        <f>intermediate_results[[#This Row], [Team1 laps '[laps']]] - intermediate_results[[#This Row], [Team2 laps '[laps']]]</f>
        <v>1.5738475832911547E-3</v>
      </c>
      <c r="M39" s="1">
        <f>intermediate_results[[#This Row], [Team1 laps '[laps']]] - intermediate_results[[#This Row], [Team3 laps '[laps']]]</f>
        <v>8.1767763651679815E-2</v>
      </c>
      <c r="N39" s="1">
        <f>intermediate_results[[#This Row], [Team1 laps '[laps']]] - intermediate_results[[#This Row], [Team4 laps '[laps']]]</f>
        <v>0.19803967606348838</v>
      </c>
      <c r="O39" s="1">
        <f>intermediate_results[[#This Row], [Team1 laps '[laps']]] - intermediate_results[[#This Row], [Team5 laps '[laps']]]</f>
        <v>0.16435524918584932</v>
      </c>
      <c r="P39" s="1">
        <f>intermediate_results[[#This Row], [Team1 laps '[laps']]] - intermediate_results[[#This Row], [Team6 laps '[laps']]]</f>
        <v>0.23782899235584321</v>
      </c>
      <c r="Q39" s="1">
        <f>intermediate_results[[#This Row], [Team1 laps '[laps']]] - intermediate_results[[#This Row], [Team7 laps '[laps']]]</f>
        <v>0.20879080743895173</v>
      </c>
      <c r="R39" s="1">
        <f>intermediate_results[[#This Row], [Team1 laps '[laps']]] - intermediate_results[[#This Row], [Team8 laps '[laps']]]</f>
        <v>0.2965199511351555</v>
      </c>
      <c r="S39" s="1">
        <f>intermediate_results[[#This Row], [Team1 laps '[laps']]] - intermediate_results[[#This Row], [Team9 laps '[laps']]]</f>
        <v>0.30058315935252722</v>
      </c>
      <c r="T39" s="1">
        <f>MAX(intermediate_results[[#This Row], [Team1 laps '[laps']]:[Team9 laps '[laps']]]) - intermediate_results[[#This Row], [Team1 laps '[laps']]]</f>
        <v>0</v>
      </c>
      <c r="U39" s="1">
        <f>MAX(intermediate_results[[#This Row], [Team1 laps '[laps']]:[Team9 laps '[laps']]]) - intermediate_results[[#This Row], [Team2 laps '[laps']]]</f>
        <v>1.5738475832911547E-3</v>
      </c>
      <c r="V39" s="1">
        <f>MAX(intermediate_results[[#This Row], [Team1 laps '[laps']]:[Team9 laps '[laps']]]) - intermediate_results[[#This Row], [Team3 laps '[laps']]]</f>
        <v>8.1767763651679815E-2</v>
      </c>
      <c r="W39" s="1">
        <f>MAX(intermediate_results[[#This Row], [Team1 laps '[laps']]:[Team9 laps '[laps']]]) - intermediate_results[[#This Row], [Team4 laps '[laps']]]</f>
        <v>0.19803967606348838</v>
      </c>
      <c r="X39" s="1">
        <f>MAX(intermediate_results[[#This Row], [Team1 laps '[laps']]:[Team9 laps '[laps']]]) - intermediate_results[[#This Row], [Team5 laps '[laps']]]</f>
        <v>0.16435524918584932</v>
      </c>
      <c r="Y39" s="1">
        <f>MAX(intermediate_results[[#This Row], [Team1 laps '[laps']]:[Team9 laps '[laps']]]) - intermediate_results[[#This Row], [Team6 laps '[laps']]]</f>
        <v>0.23782899235584321</v>
      </c>
      <c r="Z39" s="1">
        <f>MAX(intermediate_results[[#This Row], [Team1 laps '[laps']]:[Team9 laps '[laps']]]) - intermediate_results[[#This Row], [Team7 laps '[laps']]]</f>
        <v>0.20879080743895173</v>
      </c>
      <c r="AA39" s="1">
        <f>MAX(intermediate_results[[#This Row], [Team1 laps '[laps']]:[Team9 laps '[laps']]]) - intermediate_results[[#This Row], [Team8 laps '[laps']]]</f>
        <v>0.2965199511351555</v>
      </c>
      <c r="AB39" s="1">
        <f>MAX(intermediate_results[[#This Row], [Team1 laps '[laps']]:[Team9 laps '[laps']]]) - intermediate_results[[#This Row], [Team9 laps '[laps']]]</f>
        <v>0.30058315935252722</v>
      </c>
      <c r="AC39" s="1">
        <f>9 * intermediate_results[[#This Row], [All cumulative times '[sec']]] / SUM(intermediate_results[[#This Row], [Team1 laps '[laps']]:[Team9 laps '[laps']]])</f>
        <v>55.269162420965202</v>
      </c>
      <c r="AD39" s="1">
        <f>intermediate_results[[#This Row], [All cumulative times '[sec']]] / intermediate_results[[#This Row], [Team1 laps '[laps']]] - intermediate_results[[#This Row], [Total running average '[sec']]]</f>
        <v>-1.8287838231064839</v>
      </c>
      <c r="AE39" s="1">
        <f>intermediate_results[[#This Row], [All cumulative times '[sec']]] / intermediate_results[[#This Row], [Team2 laps '[laps']]] - intermediate_results[[#This Row], [Total running average '[sec']]]</f>
        <v>-1.8119624209652017</v>
      </c>
      <c r="AF39" s="1">
        <f>intermediate_results[[#This Row], [All cumulative times '[sec']]] / intermediate_results[[#This Row], [Team3 laps '[laps']]] - intermediate_results[[#This Row], [Total running average '[sec']]]</f>
        <v>-0.94059835967577499</v>
      </c>
      <c r="AG39" s="1">
        <f>intermediate_results[[#This Row], [All cumulative times '[sec']]] / intermediate_results[[#This Row], [Team4 laps '[laps']]] - intermediate_results[[#This Row], [Total running average '[sec']]]</f>
        <v>0.37445131342667537</v>
      </c>
      <c r="AH39" s="1">
        <f>intermediate_results[[#This Row], [All cumulative times '[sec']]] / intermediate_results[[#This Row], [Team5 laps '[laps']]] - intermediate_results[[#This Row], [Total running average '[sec']]]</f>
        <v>-1.3028226709195678E-2</v>
      </c>
      <c r="AI39" s="1">
        <f>intermediate_results[[#This Row], [All cumulative times '[sec']]] / intermediate_results[[#This Row], [Team6 laps '[laps']]] - intermediate_results[[#This Row], [Total running average '[sec']]]</f>
        <v>0.83921620193613933</v>
      </c>
      <c r="AJ39" s="1">
        <f>intermediate_results[[#This Row], [All cumulative times '[sec']]] / intermediate_results[[#This Row], [Team7 laps '[laps']]] - intermediate_results[[#This Row], [Total running average '[sec']]]</f>
        <v>0.49927060869899975</v>
      </c>
      <c r="AK39" s="1">
        <f>intermediate_results[[#This Row], [All cumulative times '[sec']]] / intermediate_results[[#This Row], [Team8 laps '[laps']]] - intermediate_results[[#This Row], [Total running average '[sec']]]</f>
        <v>1.5391135058579266</v>
      </c>
      <c r="AL39" s="1">
        <f>intermediate_results[[#This Row], [All cumulative times '[sec']]] / intermediate_results[[#This Row], [Team9 laps '[laps']]] - intermediate_results[[#This Row], [Total running average '[sec']]]</f>
        <v>1.5882146142984297</v>
      </c>
    </row>
    <row r="40" spans="1:38" x14ac:dyDescent="0.25">
      <c r="A40" s="1">
        <v>271.62</v>
      </c>
      <c r="B40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5.08375523825777</v>
      </c>
      <c r="C40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5.0815719636370478</v>
      </c>
      <c r="D40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5</v>
      </c>
      <c r="E40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4.8821640450661299</v>
      </c>
      <c r="F40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4.9159656231262607</v>
      </c>
      <c r="G40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4.8416398569348829</v>
      </c>
      <c r="H40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4.8709788001804242</v>
      </c>
      <c r="I40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4.7816398657006536</v>
      </c>
      <c r="J40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4.7768501015192886</v>
      </c>
      <c r="K40" s="1">
        <f>intermediate_results[[#This Row], [Team1 laps '[laps']]] - intermediate_results[[#This Row], [Team1 laps '[laps']]]</f>
        <v>0</v>
      </c>
      <c r="L40" s="1">
        <f>intermediate_results[[#This Row], [Team1 laps '[laps']]] - intermediate_results[[#This Row], [Team2 laps '[laps']]]</f>
        <v>2.1832746207222087E-3</v>
      </c>
      <c r="M40" s="1">
        <f>intermediate_results[[#This Row], [Team1 laps '[laps']]] - intermediate_results[[#This Row], [Team3 laps '[laps']]]</f>
        <v>8.3755238257769982E-2</v>
      </c>
      <c r="N40" s="1">
        <f>intermediate_results[[#This Row], [Team1 laps '[laps']]] - intermediate_results[[#This Row], [Team4 laps '[laps']]]</f>
        <v>0.20159119319164009</v>
      </c>
      <c r="O40" s="1">
        <f>intermediate_results[[#This Row], [Team1 laps '[laps']]] - intermediate_results[[#This Row], [Team5 laps '[laps']]]</f>
        <v>0.16778961513150925</v>
      </c>
      <c r="P40" s="1">
        <f>intermediate_results[[#This Row], [Team1 laps '[laps']]] - intermediate_results[[#This Row], [Team6 laps '[laps']]]</f>
        <v>0.24211538132288712</v>
      </c>
      <c r="Q40" s="1">
        <f>intermediate_results[[#This Row], [Team1 laps '[laps']]] - intermediate_results[[#This Row], [Team7 laps '[laps']]]</f>
        <v>0.21277643807734581</v>
      </c>
      <c r="R40" s="1">
        <f>intermediate_results[[#This Row], [Team1 laps '[laps']]] - intermediate_results[[#This Row], [Team8 laps '[laps']]]</f>
        <v>0.3021153725571164</v>
      </c>
      <c r="S40" s="1">
        <f>intermediate_results[[#This Row], [Team1 laps '[laps']]] - intermediate_results[[#This Row], [Team9 laps '[laps']]]</f>
        <v>0.30690513673848141</v>
      </c>
      <c r="T40" s="1">
        <f>MAX(intermediate_results[[#This Row], [Team1 laps '[laps']]:[Team9 laps '[laps']]]) - intermediate_results[[#This Row], [Team1 laps '[laps']]]</f>
        <v>0</v>
      </c>
      <c r="U40" s="1">
        <f>MAX(intermediate_results[[#This Row], [Team1 laps '[laps']]:[Team9 laps '[laps']]]) - intermediate_results[[#This Row], [Team2 laps '[laps']]]</f>
        <v>2.1832746207222087E-3</v>
      </c>
      <c r="V40" s="1">
        <f>MAX(intermediate_results[[#This Row], [Team1 laps '[laps']]:[Team9 laps '[laps']]]) - intermediate_results[[#This Row], [Team3 laps '[laps']]]</f>
        <v>8.3755238257769982E-2</v>
      </c>
      <c r="W40" s="1">
        <f>MAX(intermediate_results[[#This Row], [Team1 laps '[laps']]:[Team9 laps '[laps']]]) - intermediate_results[[#This Row], [Team4 laps '[laps']]]</f>
        <v>0.20159119319164009</v>
      </c>
      <c r="X40" s="1">
        <f>MAX(intermediate_results[[#This Row], [Team1 laps '[laps']]:[Team9 laps '[laps']]]) - intermediate_results[[#This Row], [Team5 laps '[laps']]]</f>
        <v>0.16778961513150925</v>
      </c>
      <c r="Y40" s="1">
        <f>MAX(intermediate_results[[#This Row], [Team1 laps '[laps']]:[Team9 laps '[laps']]]) - intermediate_results[[#This Row], [Team6 laps '[laps']]]</f>
        <v>0.24211538132288712</v>
      </c>
      <c r="Z40" s="1">
        <f>MAX(intermediate_results[[#This Row], [Team1 laps '[laps']]:[Team9 laps '[laps']]]) - intermediate_results[[#This Row], [Team7 laps '[laps']]]</f>
        <v>0.21277643807734581</v>
      </c>
      <c r="AA40" s="1">
        <f>MAX(intermediate_results[[#This Row], [Team1 laps '[laps']]:[Team9 laps '[laps']]]) - intermediate_results[[#This Row], [Team8 laps '[laps']]]</f>
        <v>0.3021153725571164</v>
      </c>
      <c r="AB40" s="1">
        <f>MAX(intermediate_results[[#This Row], [Team1 laps '[laps']]:[Team9 laps '[laps']]]) - intermediate_results[[#This Row], [Team9 laps '[laps']]]</f>
        <v>0.30690513673848141</v>
      </c>
      <c r="AC40" s="1">
        <f>9 * intermediate_results[[#This Row], [All cumulative times '[sec']]] / SUM(intermediate_results[[#This Row], [Team1 laps '[laps']]:[Team9 laps '[laps']]])</f>
        <v>55.264021985436649</v>
      </c>
      <c r="AD40" s="1">
        <f>intermediate_results[[#This Row], [All cumulative times '[sec']]] / intermediate_results[[#This Row], [Team1 laps '[laps']]] - intermediate_results[[#This Row], [Total running average '[sec']]]</f>
        <v>-1.8350138467431663</v>
      </c>
      <c r="AE40" s="1">
        <f>intermediate_results[[#This Row], [All cumulative times '[sec']]] / intermediate_results[[#This Row], [Team2 laps '[laps']]] - intermediate_results[[#This Row], [Total running average '[sec']]]</f>
        <v>-1.8120583128425736</v>
      </c>
      <c r="AF40" s="1">
        <f>intermediate_results[[#This Row], [All cumulative times '[sec']]] / intermediate_results[[#This Row], [Team3 laps '[laps']]] - intermediate_results[[#This Row], [Total running average '[sec']]]</f>
        <v>-0.94002198543665116</v>
      </c>
      <c r="AG40" s="1">
        <f>intermediate_results[[#This Row], [All cumulative times '[sec']]] / intermediate_results[[#This Row], [Team4 laps '[laps']]] - intermediate_results[[#This Row], [Total running average '[sec']]]</f>
        <v>0.37114256305833493</v>
      </c>
      <c r="AH40" s="1">
        <f>intermediate_results[[#This Row], [All cumulative times '[sec']]] / intermediate_results[[#This Row], [Team5 laps '[laps']]] - intermediate_results[[#This Row], [Total running average '[sec']]]</f>
        <v>-1.1398020327249014E-2</v>
      </c>
      <c r="AI40" s="1">
        <f>intermediate_results[[#This Row], [All cumulative times '[sec']]] / intermediate_results[[#This Row], [Team6 laps '[laps']]] - intermediate_results[[#This Row], [Total running average '[sec']]]</f>
        <v>0.83680501245484606</v>
      </c>
      <c r="AJ40" s="1">
        <f>intermediate_results[[#This Row], [All cumulative times '[sec']]] / intermediate_results[[#This Row], [Team7 laps '[laps']]] - intermediate_results[[#This Row], [Total running average '[sec']]]</f>
        <v>0.49889777720716211</v>
      </c>
      <c r="AK40" s="1">
        <f>intermediate_results[[#This Row], [All cumulative times '[sec']]] / intermediate_results[[#This Row], [Team8 laps '[laps']]] - intermediate_results[[#This Row], [Total running average '[sec']]]</f>
        <v>1.540757886917774</v>
      </c>
      <c r="AL40" s="1">
        <f>intermediate_results[[#This Row], [All cumulative times '[sec']]] / intermediate_results[[#This Row], [Team9 laps '[laps']]] - intermediate_results[[#This Row], [Total running average '[sec']]]</f>
        <v>1.5977162369142306</v>
      </c>
    </row>
    <row r="41" spans="1:38" x14ac:dyDescent="0.25">
      <c r="A41" s="1">
        <v>276.245</v>
      </c>
      <c r="B41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5.1714545764833044</v>
      </c>
      <c r="C41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5.16862095575088</v>
      </c>
      <c r="D41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5.0853998559742966</v>
      </c>
      <c r="E41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4.9660734048150363</v>
      </c>
      <c r="F41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5</v>
      </c>
      <c r="G41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4.924765002965545</v>
      </c>
      <c r="H41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4.9544248985115029</v>
      </c>
      <c r="I41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4.8633680862343169</v>
      </c>
      <c r="J41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4.857802982566688</v>
      </c>
      <c r="K41" s="1">
        <f>intermediate_results[[#This Row], [Team1 laps '[laps']]] - intermediate_results[[#This Row], [Team1 laps '[laps']]]</f>
        <v>0</v>
      </c>
      <c r="L41" s="1">
        <f>intermediate_results[[#This Row], [Team1 laps '[laps']]] - intermediate_results[[#This Row], [Team2 laps '[laps']]]</f>
        <v>2.8336207324244356E-3</v>
      </c>
      <c r="M41" s="1">
        <f>intermediate_results[[#This Row], [Team1 laps '[laps']]] - intermediate_results[[#This Row], [Team3 laps '[laps']]]</f>
        <v>8.6054720509007865E-2</v>
      </c>
      <c r="N41" s="1">
        <f>intermediate_results[[#This Row], [Team1 laps '[laps']]] - intermediate_results[[#This Row], [Team4 laps '[laps']]]</f>
        <v>0.20538117166826808</v>
      </c>
      <c r="O41" s="1">
        <f>intermediate_results[[#This Row], [Team1 laps '[laps']]] - intermediate_results[[#This Row], [Team5 laps '[laps']]]</f>
        <v>0.17145457648330442</v>
      </c>
      <c r="P41" s="1">
        <f>intermediate_results[[#This Row], [Team1 laps '[laps']]] - intermediate_results[[#This Row], [Team6 laps '[laps']]]</f>
        <v>0.24668957351775944</v>
      </c>
      <c r="Q41" s="1">
        <f>intermediate_results[[#This Row], [Team1 laps '[laps']]] - intermediate_results[[#This Row], [Team7 laps '[laps']]]</f>
        <v>0.2170296779718015</v>
      </c>
      <c r="R41" s="1">
        <f>intermediate_results[[#This Row], [Team1 laps '[laps']]] - intermediate_results[[#This Row], [Team8 laps '[laps']]]</f>
        <v>0.30808649024898749</v>
      </c>
      <c r="S41" s="1">
        <f>intermediate_results[[#This Row], [Team1 laps '[laps']]] - intermediate_results[[#This Row], [Team9 laps '[laps']]]</f>
        <v>0.31365159391661646</v>
      </c>
      <c r="T41" s="1">
        <f>MAX(intermediate_results[[#This Row], [Team1 laps '[laps']]:[Team9 laps '[laps']]]) - intermediate_results[[#This Row], [Team1 laps '[laps']]]</f>
        <v>0</v>
      </c>
      <c r="U41" s="1">
        <f>MAX(intermediate_results[[#This Row], [Team1 laps '[laps']]:[Team9 laps '[laps']]]) - intermediate_results[[#This Row], [Team2 laps '[laps']]]</f>
        <v>2.8336207324244356E-3</v>
      </c>
      <c r="V41" s="1">
        <f>MAX(intermediate_results[[#This Row], [Team1 laps '[laps']]:[Team9 laps '[laps']]]) - intermediate_results[[#This Row], [Team3 laps '[laps']]]</f>
        <v>8.6054720509007865E-2</v>
      </c>
      <c r="W41" s="1">
        <f>MAX(intermediate_results[[#This Row], [Team1 laps '[laps']]:[Team9 laps '[laps']]]) - intermediate_results[[#This Row], [Team4 laps '[laps']]]</f>
        <v>0.20538117166826808</v>
      </c>
      <c r="X41" s="1">
        <f>MAX(intermediate_results[[#This Row], [Team1 laps '[laps']]:[Team9 laps '[laps']]]) - intermediate_results[[#This Row], [Team5 laps '[laps']]]</f>
        <v>0.17145457648330442</v>
      </c>
      <c r="Y41" s="1">
        <f>MAX(intermediate_results[[#This Row], [Team1 laps '[laps']]:[Team9 laps '[laps']]]) - intermediate_results[[#This Row], [Team6 laps '[laps']]]</f>
        <v>0.24668957351775944</v>
      </c>
      <c r="Z41" s="1">
        <f>MAX(intermediate_results[[#This Row], [Team1 laps '[laps']]:[Team9 laps '[laps']]]) - intermediate_results[[#This Row], [Team7 laps '[laps']]]</f>
        <v>0.2170296779718015</v>
      </c>
      <c r="AA41" s="1">
        <f>MAX(intermediate_results[[#This Row], [Team1 laps '[laps']]:[Team9 laps '[laps']]]) - intermediate_results[[#This Row], [Team8 laps '[laps']]]</f>
        <v>0.30808649024898749</v>
      </c>
      <c r="AB41" s="1">
        <f>MAX(intermediate_results[[#This Row], [Team1 laps '[laps']]:[Team9 laps '[laps']]]) - intermediate_results[[#This Row], [Team9 laps '[laps']]]</f>
        <v>0.31365159391661646</v>
      </c>
      <c r="AC41" s="1">
        <f>9 * intermediate_results[[#This Row], [All cumulative times '[sec']]] / SUM(intermediate_results[[#This Row], [Team1 laps '[laps']]:[Team9 laps '[laps']]])</f>
        <v>55.258934619128262</v>
      </c>
      <c r="AD41" s="1">
        <f>intermediate_results[[#This Row], [All cumulative times '[sec']]] / intermediate_results[[#This Row], [Team1 laps '[laps']]] - intermediate_results[[#This Row], [Total running average '[sec']]]</f>
        <v>-1.8416617968554405</v>
      </c>
      <c r="AE41" s="1">
        <f>intermediate_results[[#This Row], [All cumulative times '[sec']]] / intermediate_results[[#This Row], [Team2 laps '[laps']]] - intermediate_results[[#This Row], [Total running average '[sec']]]</f>
        <v>-1.8123765594517707</v>
      </c>
      <c r="AF41" s="1">
        <f>intermediate_results[[#This Row], [All cumulative times '[sec']]] / intermediate_results[[#This Row], [Team3 laps '[laps']]] - intermediate_results[[#This Row], [Total running average '[sec']]]</f>
        <v>-0.9377390743041758</v>
      </c>
      <c r="AG41" s="1">
        <f>intermediate_results[[#This Row], [All cumulative times '[sec']]] / intermediate_results[[#This Row], [Team4 laps '[laps']]] - intermediate_results[[#This Row], [Total running average '[sec']]]</f>
        <v>0.36750854463098648</v>
      </c>
      <c r="AH41" s="1">
        <f>intermediate_results[[#This Row], [All cumulative times '[sec']]] / intermediate_results[[#This Row], [Team5 laps '[laps']]] - intermediate_results[[#This Row], [Total running average '[sec']]]</f>
        <v>-9.9346191282592144E-3</v>
      </c>
      <c r="AI41" s="1">
        <f>intermediate_results[[#This Row], [All cumulative times '[sec']]] / intermediate_results[[#This Row], [Team6 laps '[laps']]] - intermediate_results[[#This Row], [Total running average '[sec']]]</f>
        <v>0.83409719734493137</v>
      </c>
      <c r="AJ41" s="1">
        <f>intermediate_results[[#This Row], [All cumulative times '[sec']]] / intermediate_results[[#This Row], [Team7 laps '[laps']]] - intermediate_results[[#This Row], [Total running average '[sec']]]</f>
        <v>0.49829364827255773</v>
      </c>
      <c r="AK41" s="1">
        <f>intermediate_results[[#This Row], [All cumulative times '[sec']]] / intermediate_results[[#This Row], [Team8 laps '[laps']]] - intermediate_results[[#This Row], [Total running average '[sec']]]</f>
        <v>1.5422359075088039</v>
      </c>
      <c r="AL41" s="1">
        <f>intermediate_results[[#This Row], [All cumulative times '[sec']]] / intermediate_results[[#This Row], [Team9 laps '[laps']]] - intermediate_results[[#This Row], [Total running average '[sec']]]</f>
        <v>1.6073073819094361</v>
      </c>
    </row>
    <row r="42" spans="1:38" x14ac:dyDescent="0.25">
      <c r="A42" s="1">
        <v>278.11500000000001</v>
      </c>
      <c r="B42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5.2069135521550338</v>
      </c>
      <c r="C42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5.2038169806704184</v>
      </c>
      <c r="D42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5.1199290950384997</v>
      </c>
      <c r="E42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5</v>
      </c>
      <c r="F42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5.033875584217963</v>
      </c>
      <c r="G42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4.9583745214687536</v>
      </c>
      <c r="H42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4.9881641858367169</v>
      </c>
      <c r="I42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4.8964127937798203</v>
      </c>
      <c r="J42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4.8905342014982853</v>
      </c>
      <c r="K42" s="1">
        <f>intermediate_results[[#This Row], [Team1 laps '[laps']]] - intermediate_results[[#This Row], [Team1 laps '[laps']]]</f>
        <v>0</v>
      </c>
      <c r="L42" s="1">
        <f>intermediate_results[[#This Row], [Team1 laps '[laps']]] - intermediate_results[[#This Row], [Team2 laps '[laps']]]</f>
        <v>3.0965714846153958E-3</v>
      </c>
      <c r="M42" s="1">
        <f>intermediate_results[[#This Row], [Team1 laps '[laps']]] - intermediate_results[[#This Row], [Team3 laps '[laps']]]</f>
        <v>8.6984457116534131E-2</v>
      </c>
      <c r="N42" s="1">
        <f>intermediate_results[[#This Row], [Team1 laps '[laps']]] - intermediate_results[[#This Row], [Team4 laps '[laps']]]</f>
        <v>0.20691355215503382</v>
      </c>
      <c r="O42" s="1">
        <f>intermediate_results[[#This Row], [Team1 laps '[laps']]] - intermediate_results[[#This Row], [Team5 laps '[laps']]]</f>
        <v>0.17303796793707082</v>
      </c>
      <c r="P42" s="1">
        <f>intermediate_results[[#This Row], [Team1 laps '[laps']]] - intermediate_results[[#This Row], [Team6 laps '[laps']]]</f>
        <v>0.24853903068628025</v>
      </c>
      <c r="Q42" s="1">
        <f>intermediate_results[[#This Row], [Team1 laps '[laps']]] - intermediate_results[[#This Row], [Team7 laps '[laps']]]</f>
        <v>0.21874936631831687</v>
      </c>
      <c r="R42" s="1">
        <f>intermediate_results[[#This Row], [Team1 laps '[laps']]] - intermediate_results[[#This Row], [Team8 laps '[laps']]]</f>
        <v>0.31050075837521351</v>
      </c>
      <c r="S42" s="1">
        <f>intermediate_results[[#This Row], [Team1 laps '[laps']]] - intermediate_results[[#This Row], [Team9 laps '[laps']]]</f>
        <v>0.31637935065674849</v>
      </c>
      <c r="T42" s="1">
        <f>MAX(intermediate_results[[#This Row], [Team1 laps '[laps']]:[Team9 laps '[laps']]]) - intermediate_results[[#This Row], [Team1 laps '[laps']]]</f>
        <v>0</v>
      </c>
      <c r="U42" s="1">
        <f>MAX(intermediate_results[[#This Row], [Team1 laps '[laps']]:[Team9 laps '[laps']]]) - intermediate_results[[#This Row], [Team2 laps '[laps']]]</f>
        <v>3.0965714846153958E-3</v>
      </c>
      <c r="V42" s="1">
        <f>MAX(intermediate_results[[#This Row], [Team1 laps '[laps']]:[Team9 laps '[laps']]]) - intermediate_results[[#This Row], [Team3 laps '[laps']]]</f>
        <v>8.6984457116534131E-2</v>
      </c>
      <c r="W42" s="1">
        <f>MAX(intermediate_results[[#This Row], [Team1 laps '[laps']]:[Team9 laps '[laps']]]) - intermediate_results[[#This Row], [Team4 laps '[laps']]]</f>
        <v>0.20691355215503382</v>
      </c>
      <c r="X42" s="1">
        <f>MAX(intermediate_results[[#This Row], [Team1 laps '[laps']]:[Team9 laps '[laps']]]) - intermediate_results[[#This Row], [Team5 laps '[laps']]]</f>
        <v>0.17303796793707082</v>
      </c>
      <c r="Y42" s="1">
        <f>MAX(intermediate_results[[#This Row], [Team1 laps '[laps']]:[Team9 laps '[laps']]]) - intermediate_results[[#This Row], [Team6 laps '[laps']]]</f>
        <v>0.24853903068628025</v>
      </c>
      <c r="Z42" s="1">
        <f>MAX(intermediate_results[[#This Row], [Team1 laps '[laps']]:[Team9 laps '[laps']]]) - intermediate_results[[#This Row], [Team7 laps '[laps']]]</f>
        <v>0.21874936631831687</v>
      </c>
      <c r="AA42" s="1">
        <f>MAX(intermediate_results[[#This Row], [Team1 laps '[laps']]:[Team9 laps '[laps']]]) - intermediate_results[[#This Row], [Team8 laps '[laps']]]</f>
        <v>0.31050075837521351</v>
      </c>
      <c r="AB42" s="1">
        <f>MAX(intermediate_results[[#This Row], [Team1 laps '[laps']]:[Team9 laps '[laps']]]) - intermediate_results[[#This Row], [Team9 laps '[laps']]]</f>
        <v>0.31637935065674849</v>
      </c>
      <c r="AC42" s="1">
        <f>9 * intermediate_results[[#This Row], [All cumulative times '[sec']]] / SUM(intermediate_results[[#This Row], [Team1 laps '[laps']]:[Team9 laps '[laps']]])</f>
        <v>55.257049854679821</v>
      </c>
      <c r="AD42" s="1">
        <f>intermediate_results[[#This Row], [All cumulative times '[sec']]] / intermediate_results[[#This Row], [Team1 laps '[laps']]] - intermediate_results[[#This Row], [Total running average '[sec']]]</f>
        <v>-1.8444096765278388</v>
      </c>
      <c r="AE42" s="1">
        <f>intermediate_results[[#This Row], [All cumulative times '[sec']]] / intermediate_results[[#This Row], [Team2 laps '[laps']]] - intermediate_results[[#This Row], [Total running average '[sec']]]</f>
        <v>-1.812626072471808</v>
      </c>
      <c r="AF42" s="1">
        <f>intermediate_results[[#This Row], [All cumulative times '[sec']]] / intermediate_results[[#This Row], [Team3 laps '[laps']]] - intermediate_results[[#This Row], [Total running average '[sec']]]</f>
        <v>-0.93696165863250513</v>
      </c>
      <c r="AG42" s="1">
        <f>intermediate_results[[#This Row], [All cumulative times '[sec']]] / intermediate_results[[#This Row], [Team4 laps '[laps']]] - intermediate_results[[#This Row], [Total running average '[sec']]]</f>
        <v>0.36595014532018411</v>
      </c>
      <c r="AH42" s="1">
        <f>intermediate_results[[#This Row], [All cumulative times '[sec']]] / intermediate_results[[#This Row], [Team5 laps '[laps']]] - intermediate_results[[#This Row], [Total running average '[sec']]]</f>
        <v>-8.3661422859790946E-3</v>
      </c>
      <c r="AI42" s="1">
        <f>intermediate_results[[#This Row], [All cumulative times '[sec']]] / intermediate_results[[#This Row], [Team6 laps '[laps']]] - intermediate_results[[#This Row], [Total running average '[sec']]]</f>
        <v>0.83290438250387666</v>
      </c>
      <c r="AJ42" s="1">
        <f>intermediate_results[[#This Row], [All cumulative times '[sec']]] / intermediate_results[[#This Row], [Team7 laps '[laps']]] - intermediate_results[[#This Row], [Total running average '[sec']]]</f>
        <v>0.49793126436064483</v>
      </c>
      <c r="AK42" s="1">
        <f>intermediate_results[[#This Row], [All cumulative times '[sec']]] / intermediate_results[[#This Row], [Team8 laps '[laps']]] - intermediate_results[[#This Row], [Total running average '[sec']]]</f>
        <v>1.5426955330670253</v>
      </c>
      <c r="AL42" s="1">
        <f>intermediate_results[[#This Row], [All cumulative times '[sec']]] / intermediate_results[[#This Row], [Team9 laps '[laps']]] - intermediate_results[[#This Row], [Total running average '[sec']]]</f>
        <v>1.6109708034305967</v>
      </c>
    </row>
    <row r="43" spans="1:38" x14ac:dyDescent="0.25">
      <c r="A43" s="1">
        <v>278.77100000000002</v>
      </c>
      <c r="B43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5.219352636668753</v>
      </c>
      <c r="C43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5.2161638214978074</v>
      </c>
      <c r="D43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5.1320420259615567</v>
      </c>
      <c r="E43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5.0118862112701574</v>
      </c>
      <c r="F43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5.0457592116227676</v>
      </c>
      <c r="G43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4.9701648124516975</v>
      </c>
      <c r="H43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5.0000000000000009</v>
      </c>
      <c r="I43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4.9080049478706487</v>
      </c>
      <c r="J43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4.9020163831127919</v>
      </c>
      <c r="K43" s="1">
        <f>intermediate_results[[#This Row], [Team1 laps '[laps']]] - intermediate_results[[#This Row], [Team1 laps '[laps']]]</f>
        <v>0</v>
      </c>
      <c r="L43" s="1">
        <f>intermediate_results[[#This Row], [Team1 laps '[laps']]] - intermediate_results[[#This Row], [Team2 laps '[laps']]]</f>
        <v>3.1888151709456025E-3</v>
      </c>
      <c r="M43" s="1">
        <f>intermediate_results[[#This Row], [Team1 laps '[laps']]] - intermediate_results[[#This Row], [Team3 laps '[laps']]]</f>
        <v>8.7310610707196368E-2</v>
      </c>
      <c r="N43" s="1">
        <f>intermediate_results[[#This Row], [Team1 laps '[laps']]] - intermediate_results[[#This Row], [Team4 laps '[laps']]]</f>
        <v>0.20746642539859561</v>
      </c>
      <c r="O43" s="1">
        <f>intermediate_results[[#This Row], [Team1 laps '[laps']]] - intermediate_results[[#This Row], [Team5 laps '[laps']]]</f>
        <v>0.17359342504598541</v>
      </c>
      <c r="P43" s="1">
        <f>intermediate_results[[#This Row], [Team1 laps '[laps']]] - intermediate_results[[#This Row], [Team6 laps '[laps']]]</f>
        <v>0.24918782421705554</v>
      </c>
      <c r="Q43" s="1">
        <f>intermediate_results[[#This Row], [Team1 laps '[laps']]] - intermediate_results[[#This Row], [Team7 laps '[laps']]]</f>
        <v>0.21935263666875215</v>
      </c>
      <c r="R43" s="1">
        <f>intermediate_results[[#This Row], [Team1 laps '[laps']]] - intermediate_results[[#This Row], [Team8 laps '[laps']]]</f>
        <v>0.31134768879810437</v>
      </c>
      <c r="S43" s="1">
        <f>intermediate_results[[#This Row], [Team1 laps '[laps']]] - intermediate_results[[#This Row], [Team9 laps '[laps']]]</f>
        <v>0.31733625355596118</v>
      </c>
      <c r="T43" s="1">
        <f>MAX(intermediate_results[[#This Row], [Team1 laps '[laps']]:[Team9 laps '[laps']]]) - intermediate_results[[#This Row], [Team1 laps '[laps']]]</f>
        <v>0</v>
      </c>
      <c r="U43" s="1">
        <f>MAX(intermediate_results[[#This Row], [Team1 laps '[laps']]:[Team9 laps '[laps']]]) - intermediate_results[[#This Row], [Team2 laps '[laps']]]</f>
        <v>3.1888151709456025E-3</v>
      </c>
      <c r="V43" s="1">
        <f>MAX(intermediate_results[[#This Row], [Team1 laps '[laps']]:[Team9 laps '[laps']]]) - intermediate_results[[#This Row], [Team3 laps '[laps']]]</f>
        <v>8.7310610707196368E-2</v>
      </c>
      <c r="W43" s="1">
        <f>MAX(intermediate_results[[#This Row], [Team1 laps '[laps']]:[Team9 laps '[laps']]]) - intermediate_results[[#This Row], [Team4 laps '[laps']]]</f>
        <v>0.20746642539859561</v>
      </c>
      <c r="X43" s="1">
        <f>MAX(intermediate_results[[#This Row], [Team1 laps '[laps']]:[Team9 laps '[laps']]]) - intermediate_results[[#This Row], [Team5 laps '[laps']]]</f>
        <v>0.17359342504598541</v>
      </c>
      <c r="Y43" s="1">
        <f>MAX(intermediate_results[[#This Row], [Team1 laps '[laps']]:[Team9 laps '[laps']]]) - intermediate_results[[#This Row], [Team6 laps '[laps']]]</f>
        <v>0.24918782421705554</v>
      </c>
      <c r="Z43" s="1">
        <f>MAX(intermediate_results[[#This Row], [Team1 laps '[laps']]:[Team9 laps '[laps']]]) - intermediate_results[[#This Row], [Team7 laps '[laps']]]</f>
        <v>0.21935263666875215</v>
      </c>
      <c r="AA43" s="1">
        <f>MAX(intermediate_results[[#This Row], [Team1 laps '[laps']]:[Team9 laps '[laps']]]) - intermediate_results[[#This Row], [Team8 laps '[laps']]]</f>
        <v>0.31134768879810437</v>
      </c>
      <c r="AB43" s="1">
        <f>MAX(intermediate_results[[#This Row], [Team1 laps '[laps']]:[Team9 laps '[laps']]]) - intermediate_results[[#This Row], [Team9 laps '[laps']]]</f>
        <v>0.31733625355596118</v>
      </c>
      <c r="AC43" s="1">
        <f>9 * intermediate_results[[#This Row], [All cumulative times '[sec']]] / SUM(intermediate_results[[#This Row], [Team1 laps '[laps']]:[Team9 laps '[laps']]])</f>
        <v>55.256413329165824</v>
      </c>
      <c r="AD43" s="1">
        <f>intermediate_results[[#This Row], [All cumulative times '[sec']]] / intermediate_results[[#This Row], [Team1 laps '[laps']]] - intermediate_results[[#This Row], [Total running average '[sec']]]</f>
        <v>-1.8453833785385854</v>
      </c>
      <c r="AE43" s="1">
        <f>intermediate_results[[#This Row], [All cumulative times '[sec']]] / intermediate_results[[#This Row], [Team2 laps '[laps']]] - intermediate_results[[#This Row], [Total running average '[sec']]]</f>
        <v>-1.8127314319297696</v>
      </c>
      <c r="AF43" s="1">
        <f>intermediate_results[[#This Row], [All cumulative times '[sec']]] / intermediate_results[[#This Row], [Team3 laps '[laps']]] - intermediate_results[[#This Row], [Total running average '[sec']]]</f>
        <v>-0.93671006294626125</v>
      </c>
      <c r="AG43" s="1">
        <f>intermediate_results[[#This Row], [All cumulative times '[sec']]] / intermediate_results[[#This Row], [Team4 laps '[laps']]] - intermediate_results[[#This Row], [Total running average '[sec']]]</f>
        <v>0.36555976613941965</v>
      </c>
      <c r="AH43" s="1">
        <f>intermediate_results[[#This Row], [All cumulative times '[sec']]] / intermediate_results[[#This Row], [Team5 laps '[laps']]] - intermediate_results[[#This Row], [Total running average '[sec']]]</f>
        <v>-7.839564912728747E-3</v>
      </c>
      <c r="AI43" s="1">
        <f>intermediate_results[[#This Row], [All cumulative times '[sec']]] / intermediate_results[[#This Row], [Team6 laps '[laps']]] - intermediate_results[[#This Row], [Total running average '[sec']]]</f>
        <v>0.83247114838675174</v>
      </c>
      <c r="AJ43" s="1">
        <f>intermediate_results[[#This Row], [All cumulative times '[sec']]] / intermediate_results[[#This Row], [Team7 laps '[laps']]] - intermediate_results[[#This Row], [Total running average '[sec']]]</f>
        <v>0.4977866708341665</v>
      </c>
      <c r="AK43" s="1">
        <f>intermediate_results[[#This Row], [All cumulative times '[sec']]] / intermediate_results[[#This Row], [Team8 laps '[laps']]] - intermediate_results[[#This Row], [Total running average '[sec']]]</f>
        <v>1.5428366636333024</v>
      </c>
      <c r="AL43" s="1">
        <f>intermediate_results[[#This Row], [All cumulative times '[sec']]] / intermediate_results[[#This Row], [Team9 laps '[laps']]] - intermediate_results[[#This Row], [Total running average '[sec']]]</f>
        <v>1.6122256579156087</v>
      </c>
    </row>
    <row r="44" spans="1:38" x14ac:dyDescent="0.25">
      <c r="A44" s="1">
        <v>280.43099999999998</v>
      </c>
      <c r="B44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5.2508295883345664</v>
      </c>
      <c r="C44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5.2474073516402848</v>
      </c>
      <c r="D44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5.162693649943682</v>
      </c>
      <c r="E44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5.0419641239354949</v>
      </c>
      <c r="F44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5.0758305858483386</v>
      </c>
      <c r="G44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4.9999999999999991</v>
      </c>
      <c r="H44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5.0301489284417</v>
      </c>
      <c r="I44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4.9373387524297572</v>
      </c>
      <c r="J44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4.9310719036616959</v>
      </c>
      <c r="K44" s="1">
        <f>intermediate_results[[#This Row], [Team1 laps '[laps']]] - intermediate_results[[#This Row], [Team1 laps '[laps']]]</f>
        <v>0</v>
      </c>
      <c r="L44" s="1">
        <f>intermediate_results[[#This Row], [Team1 laps '[laps']]] - intermediate_results[[#This Row], [Team2 laps '[laps']]]</f>
        <v>3.4222366942815441E-3</v>
      </c>
      <c r="M44" s="1">
        <f>intermediate_results[[#This Row], [Team1 laps '[laps']]] - intermediate_results[[#This Row], [Team3 laps '[laps']]]</f>
        <v>8.8135938390884405E-2</v>
      </c>
      <c r="N44" s="1">
        <f>intermediate_results[[#This Row], [Team1 laps '[laps']]] - intermediate_results[[#This Row], [Team4 laps '[laps']]]</f>
        <v>0.2088654643990715</v>
      </c>
      <c r="O44" s="1">
        <f>intermediate_results[[#This Row], [Team1 laps '[laps']]] - intermediate_results[[#This Row], [Team5 laps '[laps']]]</f>
        <v>0.17499900248622779</v>
      </c>
      <c r="P44" s="1">
        <f>intermediate_results[[#This Row], [Team1 laps '[laps']]] - intermediate_results[[#This Row], [Team6 laps '[laps']]]</f>
        <v>0.25082958833456726</v>
      </c>
      <c r="Q44" s="1">
        <f>intermediate_results[[#This Row], [Team1 laps '[laps']]] - intermediate_results[[#This Row], [Team7 laps '[laps']]]</f>
        <v>0.22068065989286634</v>
      </c>
      <c r="R44" s="1">
        <f>intermediate_results[[#This Row], [Team1 laps '[laps']]] - intermediate_results[[#This Row], [Team8 laps '[laps']]]</f>
        <v>0.3134908359048092</v>
      </c>
      <c r="S44" s="1">
        <f>intermediate_results[[#This Row], [Team1 laps '[laps']]] - intermediate_results[[#This Row], [Team9 laps '[laps']]]</f>
        <v>0.31975768467287047</v>
      </c>
      <c r="T44" s="1">
        <f>MAX(intermediate_results[[#This Row], [Team1 laps '[laps']]:[Team9 laps '[laps']]]) - intermediate_results[[#This Row], [Team1 laps '[laps']]]</f>
        <v>0</v>
      </c>
      <c r="U44" s="1">
        <f>MAX(intermediate_results[[#This Row], [Team1 laps '[laps']]:[Team9 laps '[laps']]]) - intermediate_results[[#This Row], [Team2 laps '[laps']]]</f>
        <v>3.4222366942815441E-3</v>
      </c>
      <c r="V44" s="1">
        <f>MAX(intermediate_results[[#This Row], [Team1 laps '[laps']]:[Team9 laps '[laps']]]) - intermediate_results[[#This Row], [Team3 laps '[laps']]]</f>
        <v>8.8135938390884405E-2</v>
      </c>
      <c r="W44" s="1">
        <f>MAX(intermediate_results[[#This Row], [Team1 laps '[laps']]:[Team9 laps '[laps']]]) - intermediate_results[[#This Row], [Team4 laps '[laps']]]</f>
        <v>0.2088654643990715</v>
      </c>
      <c r="X44" s="1">
        <f>MAX(intermediate_results[[#This Row], [Team1 laps '[laps']]:[Team9 laps '[laps']]]) - intermediate_results[[#This Row], [Team5 laps '[laps']]]</f>
        <v>0.17499900248622779</v>
      </c>
      <c r="Y44" s="1">
        <f>MAX(intermediate_results[[#This Row], [Team1 laps '[laps']]:[Team9 laps '[laps']]]) - intermediate_results[[#This Row], [Team6 laps '[laps']]]</f>
        <v>0.25082958833456726</v>
      </c>
      <c r="Z44" s="1">
        <f>MAX(intermediate_results[[#This Row], [Team1 laps '[laps']]:[Team9 laps '[laps']]]) - intermediate_results[[#This Row], [Team7 laps '[laps']]]</f>
        <v>0.22068065989286634</v>
      </c>
      <c r="AA44" s="1">
        <f>MAX(intermediate_results[[#This Row], [Team1 laps '[laps']]:[Team9 laps '[laps']]]) - intermediate_results[[#This Row], [Team8 laps '[laps']]]</f>
        <v>0.3134908359048092</v>
      </c>
      <c r="AB44" s="1">
        <f>MAX(intermediate_results[[#This Row], [Team1 laps '[laps']]:[Team9 laps '[laps']]]) - intermediate_results[[#This Row], [Team9 laps '[laps']]]</f>
        <v>0.31975768467287047</v>
      </c>
      <c r="AC44" s="1">
        <f>9 * intermediate_results[[#This Row], [All cumulative times '[sec']]] / SUM(intermediate_results[[#This Row], [Team1 laps '[laps']]:[Team9 laps '[laps']]])</f>
        <v>55.254575800565142</v>
      </c>
      <c r="AD44" s="1">
        <f>intermediate_results[[#This Row], [All cumulative times '[sec']]] / intermediate_results[[#This Row], [Team1 laps '[laps']]] - intermediate_results[[#This Row], [Total running average '[sec']]]</f>
        <v>-1.8475864320631317</v>
      </c>
      <c r="AE44" s="1">
        <f>intermediate_results[[#This Row], [All cumulative times '[sec']]] / intermediate_results[[#This Row], [Team2 laps '[laps']]] - intermediate_results[[#This Row], [Total running average '[sec']]]</f>
        <v>-1.8127556391591142</v>
      </c>
      <c r="AF44" s="1">
        <f>intermediate_results[[#This Row], [All cumulative times '[sec']]] / intermediate_results[[#This Row], [Team3 laps '[laps']]] - intermediate_results[[#This Row], [Total running average '[sec']]]</f>
        <v>-0.9358385260690838</v>
      </c>
      <c r="AG44" s="1">
        <f>intermediate_results[[#This Row], [All cumulative times '[sec']]] / intermediate_results[[#This Row], [Team4 laps '[laps']]] - intermediate_results[[#This Row], [Total running average '[sec']]]</f>
        <v>0.36482035275578539</v>
      </c>
      <c r="AH44" s="1">
        <f>intermediate_results[[#This Row], [All cumulative times '[sec']]] / intermediate_results[[#This Row], [Team5 laps '[laps']]] - intermediate_results[[#This Row], [Total running average '[sec']]]</f>
        <v>-6.2779590542021424E-3</v>
      </c>
      <c r="AI44" s="1">
        <f>intermediate_results[[#This Row], [All cumulative times '[sec']]] / intermediate_results[[#This Row], [Team6 laps '[laps']]] - intermediate_results[[#This Row], [Total running average '[sec']]]</f>
        <v>0.83162419943486299</v>
      </c>
      <c r="AJ44" s="1">
        <f>intermediate_results[[#This Row], [All cumulative times '[sec']]] / intermediate_results[[#This Row], [Team7 laps '[laps']]] - intermediate_results[[#This Row], [Total running average '[sec']]]</f>
        <v>0.49546341087332735</v>
      </c>
      <c r="AK44" s="1">
        <f>intermediate_results[[#This Row], [All cumulative times '[sec']]] / intermediate_results[[#This Row], [Team8 laps '[laps']]] - intermediate_results[[#This Row], [Total running average '[sec']]]</f>
        <v>1.5434309924657441</v>
      </c>
      <c r="AL44" s="1">
        <f>intermediate_results[[#This Row], [All cumulative times '[sec']]] / intermediate_results[[#This Row], [Team9 laps '[laps']]] - intermediate_results[[#This Row], [Total running average '[sec']]]</f>
        <v>1.6156149974555944</v>
      </c>
    </row>
    <row r="45" spans="1:38" x14ac:dyDescent="0.25">
      <c r="A45" s="1">
        <v>283.97699999999998</v>
      </c>
      <c r="B45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5.3180689079773211</v>
      </c>
      <c r="C45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5.3141480491615063</v>
      </c>
      <c r="D45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5.2281699503295966</v>
      </c>
      <c r="E45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5.1062148940025365</v>
      </c>
      <c r="F45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5.1400673888627217</v>
      </c>
      <c r="G45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5.0642286583709168</v>
      </c>
      <c r="H45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5.0945513984743922</v>
      </c>
      <c r="I45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5</v>
      </c>
      <c r="J45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4.9931386963523066</v>
      </c>
      <c r="K45" s="1">
        <f>intermediate_results[[#This Row], [Team1 laps '[laps']]] - intermediate_results[[#This Row], [Team1 laps '[laps']]]</f>
        <v>0</v>
      </c>
      <c r="L45" s="1">
        <f>intermediate_results[[#This Row], [Team1 laps '[laps']]] - intermediate_results[[#This Row], [Team2 laps '[laps']]]</f>
        <v>3.9208588158148316E-3</v>
      </c>
      <c r="M45" s="1">
        <f>intermediate_results[[#This Row], [Team1 laps '[laps']]] - intermediate_results[[#This Row], [Team3 laps '[laps']]]</f>
        <v>8.9898957647724487E-2</v>
      </c>
      <c r="N45" s="1">
        <f>intermediate_results[[#This Row], [Team1 laps '[laps']]] - intermediate_results[[#This Row], [Team4 laps '[laps']]]</f>
        <v>0.21185401397478465</v>
      </c>
      <c r="O45" s="1">
        <f>intermediate_results[[#This Row], [Team1 laps '[laps']]] - intermediate_results[[#This Row], [Team5 laps '[laps']]]</f>
        <v>0.17800151911459938</v>
      </c>
      <c r="P45" s="1">
        <f>intermediate_results[[#This Row], [Team1 laps '[laps']]] - intermediate_results[[#This Row], [Team6 laps '[laps']]]</f>
        <v>0.25384024960640428</v>
      </c>
      <c r="Q45" s="1">
        <f>intermediate_results[[#This Row], [Team1 laps '[laps']]] - intermediate_results[[#This Row], [Team7 laps '[laps']]]</f>
        <v>0.22351750950292892</v>
      </c>
      <c r="R45" s="1">
        <f>intermediate_results[[#This Row], [Team1 laps '[laps']]] - intermediate_results[[#This Row], [Team8 laps '[laps']]]</f>
        <v>0.31806890797732112</v>
      </c>
      <c r="S45" s="1">
        <f>intermediate_results[[#This Row], [Team1 laps '[laps']]] - intermediate_results[[#This Row], [Team9 laps '[laps']]]</f>
        <v>0.32493021162501456</v>
      </c>
      <c r="T45" s="1">
        <f>MAX(intermediate_results[[#This Row], [Team1 laps '[laps']]:[Team9 laps '[laps']]]) - intermediate_results[[#This Row], [Team1 laps '[laps']]]</f>
        <v>0</v>
      </c>
      <c r="U45" s="1">
        <f>MAX(intermediate_results[[#This Row], [Team1 laps '[laps']]:[Team9 laps '[laps']]]) - intermediate_results[[#This Row], [Team2 laps '[laps']]]</f>
        <v>3.9208588158148316E-3</v>
      </c>
      <c r="V45" s="1">
        <f>MAX(intermediate_results[[#This Row], [Team1 laps '[laps']]:[Team9 laps '[laps']]]) - intermediate_results[[#This Row], [Team3 laps '[laps']]]</f>
        <v>8.9898957647724487E-2</v>
      </c>
      <c r="W45" s="1">
        <f>MAX(intermediate_results[[#This Row], [Team1 laps '[laps']]:[Team9 laps '[laps']]]) - intermediate_results[[#This Row], [Team4 laps '[laps']]]</f>
        <v>0.21185401397478465</v>
      </c>
      <c r="X45" s="1">
        <f>MAX(intermediate_results[[#This Row], [Team1 laps '[laps']]:[Team9 laps '[laps']]]) - intermediate_results[[#This Row], [Team5 laps '[laps']]]</f>
        <v>0.17800151911459938</v>
      </c>
      <c r="Y45" s="1">
        <f>MAX(intermediate_results[[#This Row], [Team1 laps '[laps']]:[Team9 laps '[laps']]]) - intermediate_results[[#This Row], [Team6 laps '[laps']]]</f>
        <v>0.25384024960640428</v>
      </c>
      <c r="Z45" s="1">
        <f>MAX(intermediate_results[[#This Row], [Team1 laps '[laps']]:[Team9 laps '[laps']]]) - intermediate_results[[#This Row], [Team7 laps '[laps']]]</f>
        <v>0.22351750950292892</v>
      </c>
      <c r="AA45" s="1">
        <f>MAX(intermediate_results[[#This Row], [Team1 laps '[laps']]:[Team9 laps '[laps']]]) - intermediate_results[[#This Row], [Team8 laps '[laps']]]</f>
        <v>0.31806890797732112</v>
      </c>
      <c r="AB45" s="1">
        <f>MAX(intermediate_results[[#This Row], [Team1 laps '[laps']]:[Team9 laps '[laps']]]) - intermediate_results[[#This Row], [Team9 laps '[laps']]]</f>
        <v>0.32493021162501456</v>
      </c>
      <c r="AC45" s="1">
        <f>9 * intermediate_results[[#This Row], [All cumulative times '[sec']]] / SUM(intermediate_results[[#This Row], [Team1 laps '[laps']]:[Team9 laps '[laps']]])</f>
        <v>55.250130054118877</v>
      </c>
      <c r="AD45" s="1">
        <f>intermediate_results[[#This Row], [All cumulative times '[sec']]] / intermediate_results[[#This Row], [Team1 laps '[laps']]] - intermediate_results[[#This Row], [Total running average '[sec']]]</f>
        <v>-1.8516117359333322</v>
      </c>
      <c r="AE45" s="1">
        <f>intermediate_results[[#This Row], [All cumulative times '[sec']]] / intermediate_results[[#This Row], [Team2 laps '[laps']]] - intermediate_results[[#This Row], [Total running average '[sec']]]</f>
        <v>-1.812213501378622</v>
      </c>
      <c r="AF45" s="1">
        <f>intermediate_results[[#This Row], [All cumulative times '[sec']]] / intermediate_results[[#This Row], [Team3 laps '[laps']]] - intermediate_results[[#This Row], [Total running average '[sec']]]</f>
        <v>-0.93341833702992005</v>
      </c>
      <c r="AG45" s="1">
        <f>intermediate_results[[#This Row], [All cumulative times '[sec']]] / intermediate_results[[#This Row], [Team4 laps '[laps']]] - intermediate_results[[#This Row], [Total running average '[sec']]]</f>
        <v>0.36386306895607845</v>
      </c>
      <c r="AH45" s="1">
        <f>intermediate_results[[#This Row], [All cumulative times '[sec']]] / intermediate_results[[#This Row], [Team5 laps '[laps']]] - intermediate_results[[#This Row], [Total running average '[sec']]]</f>
        <v>-2.4108091710033364E-3</v>
      </c>
      <c r="AI45" s="1">
        <f>intermediate_results[[#This Row], [All cumulative times '[sec']]] / intermediate_results[[#This Row], [Team6 laps '[laps']]] - intermediate_results[[#This Row], [Total running average '[sec']]]</f>
        <v>0.82494458347675703</v>
      </c>
      <c r="AJ45" s="1">
        <f>intermediate_results[[#This Row], [All cumulative times '[sec']]] / intermediate_results[[#This Row], [Team7 laps '[laps']]] - intermediate_results[[#This Row], [Total running average '[sec']]]</f>
        <v>0.49118606746139903</v>
      </c>
      <c r="AK45" s="1">
        <f>intermediate_results[[#This Row], [All cumulative times '[sec']]] / intermediate_results[[#This Row], [Team8 laps '[laps']]] - intermediate_results[[#This Row], [Total running average '[sec']]]</f>
        <v>1.5452699458811168</v>
      </c>
      <c r="AL45" s="1">
        <f>intermediate_results[[#This Row], [All cumulative times '[sec']]] / intermediate_results[[#This Row], [Team9 laps '[laps']]] - intermediate_results[[#This Row], [Total running average '[sec']]]</f>
        <v>1.6233151412763291</v>
      </c>
    </row>
    <row r="46" spans="1:38" x14ac:dyDescent="0.25">
      <c r="A46" s="1">
        <v>284.36900000000003</v>
      </c>
      <c r="B46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5.3255020194550324</v>
      </c>
      <c r="C46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5.3215260394120198</v>
      </c>
      <c r="D46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5.2354081651494733</v>
      </c>
      <c r="E46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5.1133176300054357</v>
      </c>
      <c r="F46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5.1471685808485201</v>
      </c>
      <c r="G46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5.071328949990038</v>
      </c>
      <c r="H46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5.1016709044678548</v>
      </c>
      <c r="I46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5.0068633458811176</v>
      </c>
      <c r="J46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5.0000000000000009</v>
      </c>
      <c r="K46" s="1">
        <f>intermediate_results[[#This Row], [Team1 laps '[laps']]] - intermediate_results[[#This Row], [Team1 laps '[laps']]]</f>
        <v>0</v>
      </c>
      <c r="L46" s="1">
        <f>intermediate_results[[#This Row], [Team1 laps '[laps']]] - intermediate_results[[#This Row], [Team2 laps '[laps']]]</f>
        <v>3.9759800430125836E-3</v>
      </c>
      <c r="M46" s="1">
        <f>intermediate_results[[#This Row], [Team1 laps '[laps']]] - intermediate_results[[#This Row], [Team3 laps '[laps']]]</f>
        <v>9.0093854305559162E-2</v>
      </c>
      <c r="N46" s="1">
        <f>intermediate_results[[#This Row], [Team1 laps '[laps']]] - intermediate_results[[#This Row], [Team4 laps '[laps']]]</f>
        <v>0.21218438944959672</v>
      </c>
      <c r="O46" s="1">
        <f>intermediate_results[[#This Row], [Team1 laps '[laps']]] - intermediate_results[[#This Row], [Team5 laps '[laps']]]</f>
        <v>0.1783334386065123</v>
      </c>
      <c r="P46" s="1">
        <f>intermediate_results[[#This Row], [Team1 laps '[laps']]] - intermediate_results[[#This Row], [Team6 laps '[laps']]]</f>
        <v>0.25417306946499441</v>
      </c>
      <c r="Q46" s="1">
        <f>intermediate_results[[#This Row], [Team1 laps '[laps']]] - intermediate_results[[#This Row], [Team7 laps '[laps']]]</f>
        <v>0.22383111498717767</v>
      </c>
      <c r="R46" s="1">
        <f>intermediate_results[[#This Row], [Team1 laps '[laps']]] - intermediate_results[[#This Row], [Team8 laps '[laps']]]</f>
        <v>0.31863867357391484</v>
      </c>
      <c r="S46" s="1">
        <f>intermediate_results[[#This Row], [Team1 laps '[laps']]] - intermediate_results[[#This Row], [Team9 laps '[laps']]]</f>
        <v>0.32550201945503154</v>
      </c>
      <c r="T46" s="1">
        <f>MAX(intermediate_results[[#This Row], [Team1 laps '[laps']]:[Team9 laps '[laps']]]) - intermediate_results[[#This Row], [Team1 laps '[laps']]]</f>
        <v>0</v>
      </c>
      <c r="U46" s="1">
        <f>MAX(intermediate_results[[#This Row], [Team1 laps '[laps']]:[Team9 laps '[laps']]]) - intermediate_results[[#This Row], [Team2 laps '[laps']]]</f>
        <v>3.9759800430125836E-3</v>
      </c>
      <c r="V46" s="1">
        <f>MAX(intermediate_results[[#This Row], [Team1 laps '[laps']]:[Team9 laps '[laps']]]) - intermediate_results[[#This Row], [Team3 laps '[laps']]]</f>
        <v>9.0093854305559162E-2</v>
      </c>
      <c r="W46" s="1">
        <f>MAX(intermediate_results[[#This Row], [Team1 laps '[laps']]:[Team9 laps '[laps']]]) - intermediate_results[[#This Row], [Team4 laps '[laps']]]</f>
        <v>0.21218438944959672</v>
      </c>
      <c r="X46" s="1">
        <f>MAX(intermediate_results[[#This Row], [Team1 laps '[laps']]:[Team9 laps '[laps']]]) - intermediate_results[[#This Row], [Team5 laps '[laps']]]</f>
        <v>0.1783334386065123</v>
      </c>
      <c r="Y46" s="1">
        <f>MAX(intermediate_results[[#This Row], [Team1 laps '[laps']]:[Team9 laps '[laps']]]) - intermediate_results[[#This Row], [Team6 laps '[laps']]]</f>
        <v>0.25417306946499441</v>
      </c>
      <c r="Z46" s="1">
        <f>MAX(intermediate_results[[#This Row], [Team1 laps '[laps']]:[Team9 laps '[laps']]]) - intermediate_results[[#This Row], [Team7 laps '[laps']]]</f>
        <v>0.22383111498717767</v>
      </c>
      <c r="AA46" s="1">
        <f>MAX(intermediate_results[[#This Row], [Team1 laps '[laps']]:[Team9 laps '[laps']]]) - intermediate_results[[#This Row], [Team8 laps '[laps']]]</f>
        <v>0.31863867357391484</v>
      </c>
      <c r="AB46" s="1">
        <f>MAX(intermediate_results[[#This Row], [Team1 laps '[laps']]:[Team9 laps '[laps']]]) - intermediate_results[[#This Row], [Team9 laps '[laps']]]</f>
        <v>0.32550201945503154</v>
      </c>
      <c r="AC46" s="1">
        <f>9 * intermediate_results[[#This Row], [All cumulative times '[sec']]] / SUM(intermediate_results[[#This Row], [Team1 laps '[laps']]:[Team9 laps '[laps']]])</f>
        <v>55.249721382357578</v>
      </c>
      <c r="AD46" s="1">
        <f>intermediate_results[[#This Row], [All cumulative times '[sec']]] / intermediate_results[[#This Row], [Team1 laps '[laps']]] - intermediate_results[[#This Row], [Total running average '[sec']]]</f>
        <v>-1.8521263835859898</v>
      </c>
      <c r="AE46" s="1">
        <f>intermediate_results[[#This Row], [All cumulative times '[sec']]] / intermediate_results[[#This Row], [Team2 laps '[laps']]] - intermediate_results[[#This Row], [Total running average '[sec']]]</f>
        <v>-1.8122303517921807</v>
      </c>
      <c r="AF46" s="1">
        <f>intermediate_results[[#This Row], [All cumulative times '[sec']]] / intermediate_results[[#This Row], [Team3 laps '[laps']]] - intermediate_results[[#This Row], [Total running average '[sec']]]</f>
        <v>-0.93323047474155629</v>
      </c>
      <c r="AG46" s="1">
        <f>intermediate_results[[#This Row], [All cumulative times '[sec']]] / intermediate_results[[#This Row], [Team4 laps '[laps']]] - intermediate_results[[#This Row], [Total running average '[sec']]]</f>
        <v>0.36368278625803896</v>
      </c>
      <c r="AH46" s="1">
        <f>intermediate_results[[#This Row], [All cumulative times '[sec']]] / intermediate_results[[#This Row], [Team5 laps '[laps']]] - intermediate_results[[#This Row], [Total running average '[sec']]]</f>
        <v>-2.0652130853306971E-3</v>
      </c>
      <c r="AI46" s="1">
        <f>intermediate_results[[#This Row], [All cumulative times '[sec']]] / intermediate_results[[#This Row], [Team6 laps '[laps']]] - intermediate_results[[#This Row], [Total running average '[sec']]]</f>
        <v>0.82414067712461048</v>
      </c>
      <c r="AJ46" s="1">
        <f>intermediate_results[[#This Row], [All cumulative times '[sec']]] / intermediate_results[[#This Row], [Team7 laps '[laps']]] - intermediate_results[[#This Row], [Total running average '[sec']]]</f>
        <v>0.49064394598223515</v>
      </c>
      <c r="AK46" s="1">
        <f>intermediate_results[[#This Row], [All cumulative times '[sec']]] / intermediate_results[[#This Row], [Team8 laps '[laps']]] - intermediate_results[[#This Row], [Total running average '[sec']]]</f>
        <v>1.5461167213397005</v>
      </c>
      <c r="AL46" s="1">
        <f>intermediate_results[[#This Row], [All cumulative times '[sec']]] / intermediate_results[[#This Row], [Team9 laps '[laps']]] - intermediate_results[[#This Row], [Total running average '[sec']]]</f>
        <v>1.624078617642418</v>
      </c>
    </row>
    <row r="47" spans="1:38" x14ac:dyDescent="0.25">
      <c r="A47" s="1">
        <v>319.94</v>
      </c>
      <c r="B47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6</v>
      </c>
      <c r="C47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5.991022190434963</v>
      </c>
      <c r="D47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5.8922207655520058</v>
      </c>
      <c r="E47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5.7578365645950349</v>
      </c>
      <c r="F47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5.7915474077026197</v>
      </c>
      <c r="G47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5.7156260754587107</v>
      </c>
      <c r="H47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5.7477115873592455</v>
      </c>
      <c r="I47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5.6296594589862563</v>
      </c>
      <c r="J47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5.6299766222725989</v>
      </c>
      <c r="K47" s="1">
        <f>intermediate_results[[#This Row], [Team1 laps '[laps']]] - intermediate_results[[#This Row], [Team1 laps '[laps']]]</f>
        <v>0</v>
      </c>
      <c r="L47" s="1">
        <f>intermediate_results[[#This Row], [Team1 laps '[laps']]] - intermediate_results[[#This Row], [Team2 laps '[laps']]]</f>
        <v>8.9778095650370204E-3</v>
      </c>
      <c r="M47" s="1">
        <f>intermediate_results[[#This Row], [Team1 laps '[laps']]] - intermediate_results[[#This Row], [Team3 laps '[laps']]]</f>
        <v>0.1077792344479942</v>
      </c>
      <c r="N47" s="1">
        <f>intermediate_results[[#This Row], [Team1 laps '[laps']]] - intermediate_results[[#This Row], [Team4 laps '[laps']]]</f>
        <v>0.2421634354049651</v>
      </c>
      <c r="O47" s="1">
        <f>intermediate_results[[#This Row], [Team1 laps '[laps']]] - intermediate_results[[#This Row], [Team5 laps '[laps']]]</f>
        <v>0.20845259229738033</v>
      </c>
      <c r="P47" s="1">
        <f>intermediate_results[[#This Row], [Team1 laps '[laps']]] - intermediate_results[[#This Row], [Team6 laps '[laps']]]</f>
        <v>0.28437392454128929</v>
      </c>
      <c r="Q47" s="1">
        <f>intermediate_results[[#This Row], [Team1 laps '[laps']]] - intermediate_results[[#This Row], [Team7 laps '[laps']]]</f>
        <v>0.25228841264075452</v>
      </c>
      <c r="R47" s="1">
        <f>intermediate_results[[#This Row], [Team1 laps '[laps']]] - intermediate_results[[#This Row], [Team8 laps '[laps']]]</f>
        <v>0.3703405410137437</v>
      </c>
      <c r="S47" s="1">
        <f>intermediate_results[[#This Row], [Team1 laps '[laps']]] - intermediate_results[[#This Row], [Team9 laps '[laps']]]</f>
        <v>0.37002337772740113</v>
      </c>
      <c r="T47" s="1">
        <f>MAX(intermediate_results[[#This Row], [Team1 laps '[laps']]:[Team9 laps '[laps']]]) - intermediate_results[[#This Row], [Team1 laps '[laps']]]</f>
        <v>0</v>
      </c>
      <c r="U47" s="1">
        <f>MAX(intermediate_results[[#This Row], [Team1 laps '[laps']]:[Team9 laps '[laps']]]) - intermediate_results[[#This Row], [Team2 laps '[laps']]]</f>
        <v>8.9778095650370204E-3</v>
      </c>
      <c r="V47" s="1">
        <f>MAX(intermediate_results[[#This Row], [Team1 laps '[laps']]:[Team9 laps '[laps']]]) - intermediate_results[[#This Row], [Team3 laps '[laps']]]</f>
        <v>0.1077792344479942</v>
      </c>
      <c r="W47" s="1">
        <f>MAX(intermediate_results[[#This Row], [Team1 laps '[laps']]:[Team9 laps '[laps']]]) - intermediate_results[[#This Row], [Team4 laps '[laps']]]</f>
        <v>0.2421634354049651</v>
      </c>
      <c r="X47" s="1">
        <f>MAX(intermediate_results[[#This Row], [Team1 laps '[laps']]:[Team9 laps '[laps']]]) - intermediate_results[[#This Row], [Team5 laps '[laps']]]</f>
        <v>0.20845259229738033</v>
      </c>
      <c r="Y47" s="1">
        <f>MAX(intermediate_results[[#This Row], [Team1 laps '[laps']]:[Team9 laps '[laps']]]) - intermediate_results[[#This Row], [Team6 laps '[laps']]]</f>
        <v>0.28437392454128929</v>
      </c>
      <c r="Z47" s="1">
        <f>MAX(intermediate_results[[#This Row], [Team1 laps '[laps']]:[Team9 laps '[laps']]]) - intermediate_results[[#This Row], [Team7 laps '[laps']]]</f>
        <v>0.25228841264075452</v>
      </c>
      <c r="AA47" s="1">
        <f>MAX(intermediate_results[[#This Row], [Team1 laps '[laps']]:[Team9 laps '[laps']]]) - intermediate_results[[#This Row], [Team8 laps '[laps']]]</f>
        <v>0.3703405410137437</v>
      </c>
      <c r="AB47" s="1">
        <f>MAX(intermediate_results[[#This Row], [Team1 laps '[laps']]:[Team9 laps '[laps']]]) - intermediate_results[[#This Row], [Team9 laps '[laps']]]</f>
        <v>0.37002337772740113</v>
      </c>
      <c r="AC47" s="1">
        <f>9 * intermediate_results[[#This Row], [All cumulative times '[sec']]] / SUM(intermediate_results[[#This Row], [Team1 laps '[laps']]:[Team9 laps '[laps']]])</f>
        <v>55.209027657232951</v>
      </c>
      <c r="AD47" s="1">
        <f>intermediate_results[[#This Row], [All cumulative times '[sec']]] / intermediate_results[[#This Row], [Team1 laps '[laps']]] - intermediate_results[[#This Row], [Total running average '[sec']]]</f>
        <v>-1.8856943238996209</v>
      </c>
      <c r="AE47" s="1">
        <f>intermediate_results[[#This Row], [All cumulative times '[sec']]] / intermediate_results[[#This Row], [Team2 laps '[laps']]] - intermediate_results[[#This Row], [Total running average '[sec']]]</f>
        <v>-1.805786969724906</v>
      </c>
      <c r="AF47" s="1">
        <f>intermediate_results[[#This Row], [All cumulative times '[sec']]] / intermediate_results[[#This Row], [Team3 laps '[laps']]] - intermediate_results[[#This Row], [Total running average '[sec']]]</f>
        <v>-0.91031538384331157</v>
      </c>
      <c r="AG47" s="1">
        <f>intermediate_results[[#This Row], [All cumulative times '[sec']]] / intermediate_results[[#This Row], [Team4 laps '[laps']]] - intermediate_results[[#This Row], [Total running average '[sec']]]</f>
        <v>0.35698162606498585</v>
      </c>
      <c r="AH47" s="1">
        <f>intermediate_results[[#This Row], [All cumulative times '[sec']]] / intermediate_results[[#This Row], [Team5 laps '[laps']]] - intermediate_results[[#This Row], [Total running average '[sec']]]</f>
        <v>3.3548717862835531E-2</v>
      </c>
      <c r="AI47" s="1">
        <f>intermediate_results[[#This Row], [All cumulative times '[sec']]] / intermediate_results[[#This Row], [Team6 laps '[laps']]] - intermediate_results[[#This Row], [Total running average '[sec']]]</f>
        <v>0.7673423459994666</v>
      </c>
      <c r="AJ47" s="1">
        <f>intermediate_results[[#This Row], [All cumulative times '[sec']]] / intermediate_results[[#This Row], [Team7 laps '[laps']]] - intermediate_results[[#This Row], [Total running average '[sec']]]</f>
        <v>0.45486485672574872</v>
      </c>
      <c r="AK47" s="1">
        <f>intermediate_results[[#This Row], [All cumulative times '[sec']]] / intermediate_results[[#This Row], [Team8 laps '[laps']]] - intermediate_results[[#This Row], [Total running average '[sec']]]</f>
        <v>1.6221185836468166</v>
      </c>
      <c r="AL47" s="1">
        <f>intermediate_results[[#This Row], [All cumulative times '[sec']]] / intermediate_results[[#This Row], [Team9 laps '[laps']]] - intermediate_results[[#This Row], [Total running average '[sec']]]</f>
        <v>1.6189170156266073</v>
      </c>
    </row>
    <row r="48" spans="1:38" x14ac:dyDescent="0.25">
      <c r="A48" s="1">
        <v>320.41699999999997</v>
      </c>
      <c r="B48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6.0090693031656999</v>
      </c>
      <c r="C48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5.9999999999999991</v>
      </c>
      <c r="D48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5.9010284912384359</v>
      </c>
      <c r="E48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5.7664794346801953</v>
      </c>
      <c r="F48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5.8001883989710512</v>
      </c>
      <c r="G48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5.7242659711278945</v>
      </c>
      <c r="H48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5.7563748637849619</v>
      </c>
      <c r="I48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5.6380110303773092</v>
      </c>
      <c r="J48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5.6384244828563332</v>
      </c>
      <c r="K48" s="1">
        <f>intermediate_results[[#This Row], [Team1 laps '[laps']]] - intermediate_results[[#This Row], [Team1 laps '[laps']]]</f>
        <v>0</v>
      </c>
      <c r="L48" s="1">
        <f>intermediate_results[[#This Row], [Team1 laps '[laps']]] - intermediate_results[[#This Row], [Team2 laps '[laps']]]</f>
        <v>9.0693031657007595E-3</v>
      </c>
      <c r="M48" s="1">
        <f>intermediate_results[[#This Row], [Team1 laps '[laps']]] - intermediate_results[[#This Row], [Team3 laps '[laps']]]</f>
        <v>0.108040811927264</v>
      </c>
      <c r="N48" s="1">
        <f>intermediate_results[[#This Row], [Team1 laps '[laps']]] - intermediate_results[[#This Row], [Team4 laps '[laps']]]</f>
        <v>0.24258986848550457</v>
      </c>
      <c r="O48" s="1">
        <f>intermediate_results[[#This Row], [Team1 laps '[laps']]] - intermediate_results[[#This Row], [Team5 laps '[laps']]]</f>
        <v>0.20888090419464866</v>
      </c>
      <c r="P48" s="1">
        <f>intermediate_results[[#This Row], [Team1 laps '[laps']]] - intermediate_results[[#This Row], [Team6 laps '[laps']]]</f>
        <v>0.28480333203780539</v>
      </c>
      <c r="Q48" s="1">
        <f>intermediate_results[[#This Row], [Team1 laps '[laps']]] - intermediate_results[[#This Row], [Team7 laps '[laps']]]</f>
        <v>0.25269443938073799</v>
      </c>
      <c r="R48" s="1">
        <f>intermediate_results[[#This Row], [Team1 laps '[laps']]] - intermediate_results[[#This Row], [Team8 laps '[laps']]]</f>
        <v>0.37105827278839065</v>
      </c>
      <c r="S48" s="1">
        <f>intermediate_results[[#This Row], [Team1 laps '[laps']]] - intermediate_results[[#This Row], [Team9 laps '[laps']]]</f>
        <v>0.37064482030936663</v>
      </c>
      <c r="T48" s="1">
        <f>MAX(intermediate_results[[#This Row], [Team1 laps '[laps']]:[Team9 laps '[laps']]]) - intermediate_results[[#This Row], [Team1 laps '[laps']]]</f>
        <v>0</v>
      </c>
      <c r="U48" s="1">
        <f>MAX(intermediate_results[[#This Row], [Team1 laps '[laps']]:[Team9 laps '[laps']]]) - intermediate_results[[#This Row], [Team2 laps '[laps']]]</f>
        <v>9.0693031657007595E-3</v>
      </c>
      <c r="V48" s="1">
        <f>MAX(intermediate_results[[#This Row], [Team1 laps '[laps']]:[Team9 laps '[laps']]]) - intermediate_results[[#This Row], [Team3 laps '[laps']]]</f>
        <v>0.108040811927264</v>
      </c>
      <c r="W48" s="1">
        <f>MAX(intermediate_results[[#This Row], [Team1 laps '[laps']]:[Team9 laps '[laps']]]) - intermediate_results[[#This Row], [Team4 laps '[laps']]]</f>
        <v>0.24258986848550457</v>
      </c>
      <c r="X48" s="1">
        <f>MAX(intermediate_results[[#This Row], [Team1 laps '[laps']]:[Team9 laps '[laps']]]) - intermediate_results[[#This Row], [Team5 laps '[laps']]]</f>
        <v>0.20888090419464866</v>
      </c>
      <c r="Y48" s="1">
        <f>MAX(intermediate_results[[#This Row], [Team1 laps '[laps']]:[Team9 laps '[laps']]]) - intermediate_results[[#This Row], [Team6 laps '[laps']]]</f>
        <v>0.28480333203780539</v>
      </c>
      <c r="Z48" s="1">
        <f>MAX(intermediate_results[[#This Row], [Team1 laps '[laps']]:[Team9 laps '[laps']]]) - intermediate_results[[#This Row], [Team7 laps '[laps']]]</f>
        <v>0.25269443938073799</v>
      </c>
      <c r="AA48" s="1">
        <f>MAX(intermediate_results[[#This Row], [Team1 laps '[laps']]:[Team9 laps '[laps']]]) - intermediate_results[[#This Row], [Team8 laps '[laps']]]</f>
        <v>0.37105827278839065</v>
      </c>
      <c r="AB48" s="1">
        <f>MAX(intermediate_results[[#This Row], [Team1 laps '[laps']]:[Team9 laps '[laps']]]) - intermediate_results[[#This Row], [Team9 laps '[laps']]]</f>
        <v>0.37064482030936663</v>
      </c>
      <c r="AC48" s="1">
        <f>9 * intermediate_results[[#This Row], [All cumulative times '[sec']]] / SUM(intermediate_results[[#This Row], [Team1 laps '[laps']]:[Team9 laps '[laps']]])</f>
        <v>55.208517905189879</v>
      </c>
      <c r="AD48" s="1">
        <f>intermediate_results[[#This Row], [All cumulative times '[sec']]] / intermediate_results[[#This Row], [Team1 laps '[laps']]] - intermediate_results[[#This Row], [Total running average '[sec']]]</f>
        <v>-1.8862838229173065</v>
      </c>
      <c r="AE48" s="1">
        <f>intermediate_results[[#This Row], [All cumulative times '[sec']]] / intermediate_results[[#This Row], [Team2 laps '[laps']]] - intermediate_results[[#This Row], [Total running average '[sec']]]</f>
        <v>-1.8056845718565455</v>
      </c>
      <c r="AF48" s="1">
        <f>intermediate_results[[#This Row], [All cumulative times '[sec']]] / intermediate_results[[#This Row], [Team3 laps '[laps']]] - intermediate_results[[#This Row], [Total running average '[sec']]]</f>
        <v>-0.91001714795073241</v>
      </c>
      <c r="AG48" s="1">
        <f>intermediate_results[[#This Row], [All cumulative times '[sec']]] / intermediate_results[[#This Row], [Team4 laps '[laps']]] - intermediate_results[[#This Row], [Total running average '[sec']]]</f>
        <v>0.35692781078362401</v>
      </c>
      <c r="AH48" s="1">
        <f>intermediate_results[[#This Row], [All cumulative times '[sec']]] / intermediate_results[[#This Row], [Team5 laps '[laps']]] - intermediate_results[[#This Row], [Total running average '[sec']]]</f>
        <v>3.3998020127597783E-2</v>
      </c>
      <c r="AI48" s="1">
        <f>intermediate_results[[#This Row], [All cumulative times '[sec']]] / intermediate_results[[#This Row], [Team6 laps '[laps']]] - intermediate_results[[#This Row], [Total running average '[sec']]]</f>
        <v>0.76669387150292323</v>
      </c>
      <c r="AJ48" s="1">
        <f>intermediate_results[[#This Row], [All cumulative times '[sec']]] / intermediate_results[[#This Row], [Team7 laps '[laps']]] - intermediate_results[[#This Row], [Total running average '[sec']]]</f>
        <v>0.45446575764226793</v>
      </c>
      <c r="AK48" s="1">
        <f>intermediate_results[[#This Row], [All cumulative times '[sec']]] / intermediate_results[[#This Row], [Team8 laps '[laps']]] - intermediate_results[[#This Row], [Total running average '[sec']]]</f>
        <v>1.62304880754089</v>
      </c>
      <c r="AL48" s="1">
        <f>intermediate_results[[#This Row], [All cumulative times '[sec']]] / intermediate_results[[#This Row], [Team9 laps '[laps']]] - intermediate_results[[#This Row], [Total running average '[sec']]]</f>
        <v>1.618881481683168</v>
      </c>
    </row>
    <row r="49" spans="1:38" x14ac:dyDescent="0.25">
      <c r="A49" s="1">
        <v>325.77699999999999</v>
      </c>
      <c r="B49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6.1109801311911776</v>
      </c>
      <c r="C49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6.1015093839365182</v>
      </c>
      <c r="D49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6</v>
      </c>
      <c r="E49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5.8635984779851418</v>
      </c>
      <c r="F49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5.8972863302054268</v>
      </c>
      <c r="G49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5.8213515912260672</v>
      </c>
      <c r="H49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5.8537232110424995</v>
      </c>
      <c r="I49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5.7318567801803377</v>
      </c>
      <c r="J49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5.7333522244261834</v>
      </c>
      <c r="K49" s="1">
        <f>intermediate_results[[#This Row], [Team1 laps '[laps']]] - intermediate_results[[#This Row], [Team1 laps '[laps']]]</f>
        <v>0</v>
      </c>
      <c r="L49" s="1">
        <f>intermediate_results[[#This Row], [Team1 laps '[laps']]] - intermediate_results[[#This Row], [Team2 laps '[laps']]]</f>
        <v>9.4707472546593507E-3</v>
      </c>
      <c r="M49" s="1">
        <f>intermediate_results[[#This Row], [Team1 laps '[laps']]] - intermediate_results[[#This Row], [Team3 laps '[laps']]]</f>
        <v>0.11098013119117756</v>
      </c>
      <c r="N49" s="1">
        <f>intermediate_results[[#This Row], [Team1 laps '[laps']]] - intermediate_results[[#This Row], [Team4 laps '[laps']]]</f>
        <v>0.24738165320603578</v>
      </c>
      <c r="O49" s="1">
        <f>intermediate_results[[#This Row], [Team1 laps '[laps']]] - intermediate_results[[#This Row], [Team5 laps '[laps']]]</f>
        <v>0.21369380098575075</v>
      </c>
      <c r="P49" s="1">
        <f>intermediate_results[[#This Row], [Team1 laps '[laps']]] - intermediate_results[[#This Row], [Team6 laps '[laps']]]</f>
        <v>0.2896285399651104</v>
      </c>
      <c r="Q49" s="1">
        <f>intermediate_results[[#This Row], [Team1 laps '[laps']]] - intermediate_results[[#This Row], [Team7 laps '[laps']]]</f>
        <v>0.25725692014867807</v>
      </c>
      <c r="R49" s="1">
        <f>intermediate_results[[#This Row], [Team1 laps '[laps']]] - intermediate_results[[#This Row], [Team8 laps '[laps']]]</f>
        <v>0.37912335101083983</v>
      </c>
      <c r="S49" s="1">
        <f>intermediate_results[[#This Row], [Team1 laps '[laps']]] - intermediate_results[[#This Row], [Team9 laps '[laps']]]</f>
        <v>0.37762790676499414</v>
      </c>
      <c r="T49" s="1">
        <f>MAX(intermediate_results[[#This Row], [Team1 laps '[laps']]:[Team9 laps '[laps']]]) - intermediate_results[[#This Row], [Team1 laps '[laps']]]</f>
        <v>0</v>
      </c>
      <c r="U49" s="1">
        <f>MAX(intermediate_results[[#This Row], [Team1 laps '[laps']]:[Team9 laps '[laps']]]) - intermediate_results[[#This Row], [Team2 laps '[laps']]]</f>
        <v>9.4707472546593507E-3</v>
      </c>
      <c r="V49" s="1">
        <f>MAX(intermediate_results[[#This Row], [Team1 laps '[laps']]:[Team9 laps '[laps']]]) - intermediate_results[[#This Row], [Team3 laps '[laps']]]</f>
        <v>0.11098013119117756</v>
      </c>
      <c r="W49" s="1">
        <f>MAX(intermediate_results[[#This Row], [Team1 laps '[laps']]:[Team9 laps '[laps']]]) - intermediate_results[[#This Row], [Team4 laps '[laps']]]</f>
        <v>0.24738165320603578</v>
      </c>
      <c r="X49" s="1">
        <f>MAX(intermediate_results[[#This Row], [Team1 laps '[laps']]:[Team9 laps '[laps']]]) - intermediate_results[[#This Row], [Team5 laps '[laps']]]</f>
        <v>0.21369380098575075</v>
      </c>
      <c r="Y49" s="1">
        <f>MAX(intermediate_results[[#This Row], [Team1 laps '[laps']]:[Team9 laps '[laps']]]) - intermediate_results[[#This Row], [Team6 laps '[laps']]]</f>
        <v>0.2896285399651104</v>
      </c>
      <c r="Z49" s="1">
        <f>MAX(intermediate_results[[#This Row], [Team1 laps '[laps']]:[Team9 laps '[laps']]]) - intermediate_results[[#This Row], [Team7 laps '[laps']]]</f>
        <v>0.25725692014867807</v>
      </c>
      <c r="AA49" s="1">
        <f>MAX(intermediate_results[[#This Row], [Team1 laps '[laps']]:[Team9 laps '[laps']]]) - intermediate_results[[#This Row], [Team8 laps '[laps']]]</f>
        <v>0.37912335101083983</v>
      </c>
      <c r="AB49" s="1">
        <f>MAX(intermediate_results[[#This Row], [Team1 laps '[laps']]:[Team9 laps '[laps']]]) - intermediate_results[[#This Row], [Team9 laps '[laps']]]</f>
        <v>0.37762790676499414</v>
      </c>
      <c r="AC49" s="1">
        <f>9 * intermediate_results[[#This Row], [All cumulative times '[sec']]] / SUM(intermediate_results[[#This Row], [Team1 laps '[laps']]:[Team9 laps '[laps']]])</f>
        <v>55.202241819101118</v>
      </c>
      <c r="AD49" s="1">
        <f>intermediate_results[[#This Row], [All cumulative times '[sec']]] / intermediate_results[[#This Row], [Team1 laps '[laps']]] - intermediate_results[[#This Row], [Total running average '[sec']]]</f>
        <v>-1.892135583082613</v>
      </c>
      <c r="AE49" s="1">
        <f>intermediate_results[[#This Row], [All cumulative times '[sec']]] / intermediate_results[[#This Row], [Team2 laps '[laps']]] - intermediate_results[[#This Row], [Total running average '[sec']]]</f>
        <v>-1.8093877725802514</v>
      </c>
      <c r="AF49" s="1">
        <f>intermediate_results[[#This Row], [All cumulative times '[sec']]] / intermediate_results[[#This Row], [Team3 laps '[laps']]] - intermediate_results[[#This Row], [Total running average '[sec']]]</f>
        <v>-0.90607515243445391</v>
      </c>
      <c r="AG49" s="1">
        <f>intermediate_results[[#This Row], [All cumulative times '[sec']]] / intermediate_results[[#This Row], [Team4 laps '[laps']]] - intermediate_results[[#This Row], [Total running average '[sec']]]</f>
        <v>0.35698537272119069</v>
      </c>
      <c r="AH49" s="1">
        <f>intermediate_results[[#This Row], [All cumulative times '[sec']]] / intermediate_results[[#This Row], [Team5 laps '[laps']]] - intermediate_results[[#This Row], [Total running average '[sec']]]</f>
        <v>3.9607017608126682E-2</v>
      </c>
      <c r="AI49" s="1">
        <f>intermediate_results[[#This Row], [All cumulative times '[sec']]] / intermediate_results[[#This Row], [Team6 laps '[laps']]] - intermediate_results[[#This Row], [Total running average '[sec']]]</f>
        <v>0.76019145687737222</v>
      </c>
      <c r="AJ49" s="1">
        <f>intermediate_results[[#This Row], [All cumulative times '[sec']]] / intermediate_results[[#This Row], [Team7 laps '[laps']]] - intermediate_results[[#This Row], [Total running average '[sec']]]</f>
        <v>0.45071412959359236</v>
      </c>
      <c r="AK49" s="1">
        <f>intermediate_results[[#This Row], [All cumulative times '[sec']]] / intermediate_results[[#This Row], [Team8 laps '[laps']]] - intermediate_results[[#This Row], [Total running average '[sec']]]</f>
        <v>1.6339654508492458</v>
      </c>
      <c r="AL49" s="1">
        <f>intermediate_results[[#This Row], [All cumulative times '[sec']]] / intermediate_results[[#This Row], [Team9 laps '[laps']]] - intermediate_results[[#This Row], [Total running average '[sec']]]</f>
        <v>1.6191407242686182</v>
      </c>
    </row>
    <row r="50" spans="1:38" x14ac:dyDescent="0.25">
      <c r="A50" s="1">
        <v>331.447</v>
      </c>
      <c r="B50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6.2187850556136519</v>
      </c>
      <c r="C50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6.2088896464216043</v>
      </c>
      <c r="D50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6.1044602885093688</v>
      </c>
      <c r="E50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5.9663344808842176</v>
      </c>
      <c r="F50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6</v>
      </c>
      <c r="G50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5.9240522378597689</v>
      </c>
      <c r="H50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5.9567017798764992</v>
      </c>
      <c r="I50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5.831130175960781</v>
      </c>
      <c r="J50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5.8337701898554837</v>
      </c>
      <c r="K50" s="1">
        <f>intermediate_results[[#This Row], [Team1 laps '[laps']]] - intermediate_results[[#This Row], [Team1 laps '[laps']]]</f>
        <v>0</v>
      </c>
      <c r="L50" s="1">
        <f>intermediate_results[[#This Row], [Team1 laps '[laps']]] - intermediate_results[[#This Row], [Team2 laps '[laps']]]</f>
        <v>9.8954091920475662E-3</v>
      </c>
      <c r="M50" s="1">
        <f>intermediate_results[[#This Row], [Team1 laps '[laps']]] - intermediate_results[[#This Row], [Team3 laps '[laps']]]</f>
        <v>0.11432476710428308</v>
      </c>
      <c r="N50" s="1">
        <f>intermediate_results[[#This Row], [Team1 laps '[laps']]] - intermediate_results[[#This Row], [Team4 laps '[laps']]]</f>
        <v>0.25245057472943433</v>
      </c>
      <c r="O50" s="1">
        <f>intermediate_results[[#This Row], [Team1 laps '[laps']]] - intermediate_results[[#This Row], [Team5 laps '[laps']]]</f>
        <v>0.21878505561365191</v>
      </c>
      <c r="P50" s="1">
        <f>intermediate_results[[#This Row], [Team1 laps '[laps']]] - intermediate_results[[#This Row], [Team6 laps '[laps']]]</f>
        <v>0.29473281775388305</v>
      </c>
      <c r="Q50" s="1">
        <f>intermediate_results[[#This Row], [Team1 laps '[laps']]] - intermediate_results[[#This Row], [Team7 laps '[laps']]]</f>
        <v>0.26208327573715273</v>
      </c>
      <c r="R50" s="1">
        <f>intermediate_results[[#This Row], [Team1 laps '[laps']]] - intermediate_results[[#This Row], [Team8 laps '[laps']]]</f>
        <v>0.38765487965287093</v>
      </c>
      <c r="S50" s="1">
        <f>intermediate_results[[#This Row], [Team1 laps '[laps']]] - intermediate_results[[#This Row], [Team9 laps '[laps']]]</f>
        <v>0.38501486575816823</v>
      </c>
      <c r="T50" s="1">
        <f>MAX(intermediate_results[[#This Row], [Team1 laps '[laps']]:[Team9 laps '[laps']]]) - intermediate_results[[#This Row], [Team1 laps '[laps']]]</f>
        <v>0</v>
      </c>
      <c r="U50" s="1">
        <f>MAX(intermediate_results[[#This Row], [Team1 laps '[laps']]:[Team9 laps '[laps']]]) - intermediate_results[[#This Row], [Team2 laps '[laps']]]</f>
        <v>9.8954091920475662E-3</v>
      </c>
      <c r="V50" s="1">
        <f>MAX(intermediate_results[[#This Row], [Team1 laps '[laps']]:[Team9 laps '[laps']]]) - intermediate_results[[#This Row], [Team3 laps '[laps']]]</f>
        <v>0.11432476710428308</v>
      </c>
      <c r="W50" s="1">
        <f>MAX(intermediate_results[[#This Row], [Team1 laps '[laps']]:[Team9 laps '[laps']]]) - intermediate_results[[#This Row], [Team4 laps '[laps']]]</f>
        <v>0.25245057472943433</v>
      </c>
      <c r="X50" s="1">
        <f>MAX(intermediate_results[[#This Row], [Team1 laps '[laps']]:[Team9 laps '[laps']]]) - intermediate_results[[#This Row], [Team5 laps '[laps']]]</f>
        <v>0.21878505561365191</v>
      </c>
      <c r="Y50" s="1">
        <f>MAX(intermediate_results[[#This Row], [Team1 laps '[laps']]:[Team9 laps '[laps']]]) - intermediate_results[[#This Row], [Team6 laps '[laps']]]</f>
        <v>0.29473281775388305</v>
      </c>
      <c r="Z50" s="1">
        <f>MAX(intermediate_results[[#This Row], [Team1 laps '[laps']]:[Team9 laps '[laps']]]) - intermediate_results[[#This Row], [Team7 laps '[laps']]]</f>
        <v>0.26208327573715273</v>
      </c>
      <c r="AA50" s="1">
        <f>MAX(intermediate_results[[#This Row], [Team1 laps '[laps']]:[Team9 laps '[laps']]]) - intermediate_results[[#This Row], [Team8 laps '[laps']]]</f>
        <v>0.38765487965287093</v>
      </c>
      <c r="AB50" s="1">
        <f>MAX(intermediate_results[[#This Row], [Team1 laps '[laps']]:[Team9 laps '[laps']]]) - intermediate_results[[#This Row], [Team9 laps '[laps']]]</f>
        <v>0.38501486575816823</v>
      </c>
      <c r="AC50" s="1">
        <f>9 * intermediate_results[[#This Row], [All cumulative times '[sec']]] / SUM(intermediate_results[[#This Row], [Team1 laps '[laps']]:[Team9 laps '[laps']]])</f>
        <v>55.196065496490561</v>
      </c>
      <c r="AD50" s="1">
        <f>intermediate_results[[#This Row], [All cumulative times '[sec']]] / intermediate_results[[#This Row], [Team1 laps '[laps']]] - intermediate_results[[#This Row], [Total running average '[sec']]]</f>
        <v>-1.8983558898841721</v>
      </c>
      <c r="AE50" s="1">
        <f>intermediate_results[[#This Row], [All cumulative times '[sec']]] / intermediate_results[[#This Row], [Team2 laps '[laps']]] - intermediate_results[[#This Row], [Total running average '[sec']]]</f>
        <v>-1.81341273972523</v>
      </c>
      <c r="AF50" s="1">
        <f>intermediate_results[[#This Row], [All cumulative times '[sec']]] / intermediate_results[[#This Row], [Team3 laps '[laps']]] - intermediate_results[[#This Row], [Total running average '[sec']]]</f>
        <v>-0.90019258797253343</v>
      </c>
      <c r="AG50" s="1">
        <f>intermediate_results[[#This Row], [All cumulative times '[sec']]] / intermediate_results[[#This Row], [Team4 laps '[laps']]] - intermediate_results[[#This Row], [Total running average '[sec']]]</f>
        <v>0.35680386776257933</v>
      </c>
      <c r="AH50" s="1">
        <f>intermediate_results[[#This Row], [All cumulative times '[sec']]] / intermediate_results[[#This Row], [Team5 laps '[laps']]] - intermediate_results[[#This Row], [Total running average '[sec']]]</f>
        <v>4.5101170176103267E-2</v>
      </c>
      <c r="AI50" s="1">
        <f>intermediate_results[[#This Row], [All cumulative times '[sec']]] / intermediate_results[[#This Row], [Team6 laps '[laps']]] - intermediate_results[[#This Row], [Total running average '[sec']]]</f>
        <v>0.75330609779918944</v>
      </c>
      <c r="AJ50" s="1">
        <f>intermediate_results[[#This Row], [All cumulative times '[sec']]] / intermediate_results[[#This Row], [Team7 laps '[laps']]] - intermediate_results[[#This Row], [Total running average '[sec']]]</f>
        <v>0.44663951851052985</v>
      </c>
      <c r="AK50" s="1">
        <f>intermediate_results[[#This Row], [All cumulative times '[sec']]] / intermediate_results[[#This Row], [Team8 laps '[laps']]] - intermediate_results[[#This Row], [Total running average '[sec']]]</f>
        <v>1.6448881434079468</v>
      </c>
      <c r="AL50" s="1">
        <f>intermediate_results[[#This Row], [All cumulative times '[sec']]] / intermediate_results[[#This Row], [Team9 laps '[laps']]] - intermediate_results[[#This Row], [Total running average '[sec']]]</f>
        <v>1.6191653427980768</v>
      </c>
    </row>
    <row r="51" spans="1:38" x14ac:dyDescent="0.25">
      <c r="A51" s="1">
        <v>333.30500000000001</v>
      </c>
      <c r="B51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6.2541116075672596</v>
      </c>
      <c r="C51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6.2440770410772108</v>
      </c>
      <c r="D51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6.1386908380773413</v>
      </c>
      <c r="E51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6</v>
      </c>
      <c r="F51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6.0335973382517816</v>
      </c>
      <c r="G51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5.9577061710952917</v>
      </c>
      <c r="H51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5.9904467853251004</v>
      </c>
      <c r="I51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5.8636610347544433</v>
      </c>
      <c r="J51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5.8666761122130922</v>
      </c>
      <c r="K51" s="1">
        <f>intermediate_results[[#This Row], [Team1 laps '[laps']]] - intermediate_results[[#This Row], [Team1 laps '[laps']]]</f>
        <v>0</v>
      </c>
      <c r="L51" s="1">
        <f>intermediate_results[[#This Row], [Team1 laps '[laps']]] - intermediate_results[[#This Row], [Team2 laps '[laps']]]</f>
        <v>1.0034566490048746E-2</v>
      </c>
      <c r="M51" s="1">
        <f>intermediate_results[[#This Row], [Team1 laps '[laps']]] - intermediate_results[[#This Row], [Team3 laps '[laps']]]</f>
        <v>0.11542076948991831</v>
      </c>
      <c r="N51" s="1">
        <f>intermediate_results[[#This Row], [Team1 laps '[laps']]] - intermediate_results[[#This Row], [Team4 laps '[laps']]]</f>
        <v>0.25411160756725959</v>
      </c>
      <c r="O51" s="1">
        <f>intermediate_results[[#This Row], [Team1 laps '[laps']]] - intermediate_results[[#This Row], [Team5 laps '[laps']]]</f>
        <v>0.22051426931547802</v>
      </c>
      <c r="P51" s="1">
        <f>intermediate_results[[#This Row], [Team1 laps '[laps']]] - intermediate_results[[#This Row], [Team6 laps '[laps']]]</f>
        <v>0.29640543647196793</v>
      </c>
      <c r="Q51" s="1">
        <f>intermediate_results[[#This Row], [Team1 laps '[laps']]] - intermediate_results[[#This Row], [Team7 laps '[laps']]]</f>
        <v>0.26366482224215915</v>
      </c>
      <c r="R51" s="1">
        <f>intermediate_results[[#This Row], [Team1 laps '[laps']]] - intermediate_results[[#This Row], [Team8 laps '[laps']]]</f>
        <v>0.39045057281281625</v>
      </c>
      <c r="S51" s="1">
        <f>intermediate_results[[#This Row], [Team1 laps '[laps']]] - intermediate_results[[#This Row], [Team9 laps '[laps']]]</f>
        <v>0.38743549535416744</v>
      </c>
      <c r="T51" s="1">
        <f>MAX(intermediate_results[[#This Row], [Team1 laps '[laps']]:[Team9 laps '[laps']]]) - intermediate_results[[#This Row], [Team1 laps '[laps']]]</f>
        <v>0</v>
      </c>
      <c r="U51" s="1">
        <f>MAX(intermediate_results[[#This Row], [Team1 laps '[laps']]:[Team9 laps '[laps']]]) - intermediate_results[[#This Row], [Team2 laps '[laps']]]</f>
        <v>1.0034566490048746E-2</v>
      </c>
      <c r="V51" s="1">
        <f>MAX(intermediate_results[[#This Row], [Team1 laps '[laps']]:[Team9 laps '[laps']]]) - intermediate_results[[#This Row], [Team3 laps '[laps']]]</f>
        <v>0.11542076948991831</v>
      </c>
      <c r="W51" s="1">
        <f>MAX(intermediate_results[[#This Row], [Team1 laps '[laps']]:[Team9 laps '[laps']]]) - intermediate_results[[#This Row], [Team4 laps '[laps']]]</f>
        <v>0.25411160756725959</v>
      </c>
      <c r="X51" s="1">
        <f>MAX(intermediate_results[[#This Row], [Team1 laps '[laps']]:[Team9 laps '[laps']]]) - intermediate_results[[#This Row], [Team5 laps '[laps']]]</f>
        <v>0.22051426931547802</v>
      </c>
      <c r="Y51" s="1">
        <f>MAX(intermediate_results[[#This Row], [Team1 laps '[laps']]:[Team9 laps '[laps']]]) - intermediate_results[[#This Row], [Team6 laps '[laps']]]</f>
        <v>0.29640543647196793</v>
      </c>
      <c r="Z51" s="1">
        <f>MAX(intermediate_results[[#This Row], [Team1 laps '[laps']]:[Team9 laps '[laps']]]) - intermediate_results[[#This Row], [Team7 laps '[laps']]]</f>
        <v>0.26366482224215915</v>
      </c>
      <c r="AA51" s="1">
        <f>MAX(intermediate_results[[#This Row], [Team1 laps '[laps']]:[Team9 laps '[laps']]]) - intermediate_results[[#This Row], [Team8 laps '[laps']]]</f>
        <v>0.39045057281281625</v>
      </c>
      <c r="AB51" s="1">
        <f>MAX(intermediate_results[[#This Row], [Team1 laps '[laps']]:[Team9 laps '[laps']]]) - intermediate_results[[#This Row], [Team9 laps '[laps']]]</f>
        <v>0.38743549535416744</v>
      </c>
      <c r="AC51" s="1">
        <f>9 * intermediate_results[[#This Row], [All cumulative times '[sec']]] / SUM(intermediate_results[[#This Row], [Team1 laps '[laps']]:[Team9 laps '[laps']]])</f>
        <v>55.19414939301469</v>
      </c>
      <c r="AD51" s="1">
        <f>intermediate_results[[#This Row], [All cumulative times '[sec']]] / intermediate_results[[#This Row], [Team1 laps '[laps']]] - intermediate_results[[#This Row], [Total running average '[sec']]]</f>
        <v>-1.9004090643783371</v>
      </c>
      <c r="AE51" s="1">
        <f>intermediate_results[[#This Row], [All cumulative times '[sec']]] / intermediate_results[[#This Row], [Team2 laps '[laps']]] - intermediate_results[[#This Row], [Total running average '[sec']]]</f>
        <v>-1.8147631671043243</v>
      </c>
      <c r="AF51" s="1">
        <f>intermediate_results[[#This Row], [All cumulative times '[sec']]] / intermediate_results[[#This Row], [Team3 laps '[laps']]] - intermediate_results[[#This Row], [Total running average '[sec']]]</f>
        <v>-0.89837057115887831</v>
      </c>
      <c r="AG51" s="1">
        <f>intermediate_results[[#This Row], [All cumulative times '[sec']]] / intermediate_results[[#This Row], [Team4 laps '[laps']]] - intermediate_results[[#This Row], [Total running average '[sec']]]</f>
        <v>0.35668394031864636</v>
      </c>
      <c r="AH51" s="1">
        <f>intermediate_results[[#This Row], [All cumulative times '[sec']]] / intermediate_results[[#This Row], [Team5 laps '[laps']]] - intermediate_results[[#This Row], [Total running average '[sec']]]</f>
        <v>4.7356016521675315E-2</v>
      </c>
      <c r="AI51" s="1">
        <f>intermediate_results[[#This Row], [All cumulative times '[sec']]] / intermediate_results[[#This Row], [Team6 laps '[laps']]] - intermediate_results[[#This Row], [Total running average '[sec']]]</f>
        <v>0.75103998491726998</v>
      </c>
      <c r="AJ51" s="1">
        <f>intermediate_results[[#This Row], [All cumulative times '[sec']]] / intermediate_results[[#This Row], [Team7 laps '[laps']]] - intermediate_results[[#This Row], [Total running average '[sec']]]</f>
        <v>0.44527316499933534</v>
      </c>
      <c r="AK51" s="1">
        <f>intermediate_results[[#This Row], [All cumulative times '[sec']]] / intermediate_results[[#This Row], [Team8 laps '[laps']]] - intermediate_results[[#This Row], [Total running average '[sec']]]</f>
        <v>1.6483246218493122</v>
      </c>
      <c r="AL51" s="1">
        <f>intermediate_results[[#This Row], [All cumulative times '[sec']]] / intermediate_results[[#This Row], [Team9 laps '[laps']]] - intermediate_results[[#This Row], [Total running average '[sec']]]</f>
        <v>1.6191114082990907</v>
      </c>
    </row>
    <row r="52" spans="1:38" x14ac:dyDescent="0.25">
      <c r="A52" s="1">
        <v>333.83100000000002</v>
      </c>
      <c r="B52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6.2641125582279686</v>
      </c>
      <c r="C52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6.2540385962918768</v>
      </c>
      <c r="D52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6.1483815103447013</v>
      </c>
      <c r="E52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6.009583151144148</v>
      </c>
      <c r="F52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6.0431087483273664</v>
      </c>
      <c r="G52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5.967233603216866</v>
      </c>
      <c r="H52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6.0000000000000009</v>
      </c>
      <c r="I52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5.8728705243806365</v>
      </c>
      <c r="J52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5.8759917823746113</v>
      </c>
      <c r="K52" s="1">
        <f>intermediate_results[[#This Row], [Team1 laps '[laps']]] - intermediate_results[[#This Row], [Team1 laps '[laps']]]</f>
        <v>0</v>
      </c>
      <c r="L52" s="1">
        <f>intermediate_results[[#This Row], [Team1 laps '[laps']]] - intermediate_results[[#This Row], [Team2 laps '[laps']]]</f>
        <v>1.0073961936091891E-2</v>
      </c>
      <c r="M52" s="1">
        <f>intermediate_results[[#This Row], [Team1 laps '[laps']]] - intermediate_results[[#This Row], [Team3 laps '[laps']]]</f>
        <v>0.11573104788326738</v>
      </c>
      <c r="N52" s="1">
        <f>intermediate_results[[#This Row], [Team1 laps '[laps']]] - intermediate_results[[#This Row], [Team4 laps '[laps']]]</f>
        <v>0.25452940708382066</v>
      </c>
      <c r="O52" s="1">
        <f>intermediate_results[[#This Row], [Team1 laps '[laps']]] - intermediate_results[[#This Row], [Team5 laps '[laps']]]</f>
        <v>0.2210038099006022</v>
      </c>
      <c r="P52" s="1">
        <f>intermediate_results[[#This Row], [Team1 laps '[laps']]] - intermediate_results[[#This Row], [Team6 laps '[laps']]]</f>
        <v>0.29687895501110262</v>
      </c>
      <c r="Q52" s="1">
        <f>intermediate_results[[#This Row], [Team1 laps '[laps']]] - intermediate_results[[#This Row], [Team7 laps '[laps']]]</f>
        <v>0.26411255822796775</v>
      </c>
      <c r="R52" s="1">
        <f>intermediate_results[[#This Row], [Team1 laps '[laps']]] - intermediate_results[[#This Row], [Team8 laps '[laps']]]</f>
        <v>0.39124203384733214</v>
      </c>
      <c r="S52" s="1">
        <f>intermediate_results[[#This Row], [Team1 laps '[laps']]] - intermediate_results[[#This Row], [Team9 laps '[laps']]]</f>
        <v>0.38812077585335736</v>
      </c>
      <c r="T52" s="1">
        <f>MAX(intermediate_results[[#This Row], [Team1 laps '[laps']]:[Team9 laps '[laps']]]) - intermediate_results[[#This Row], [Team1 laps '[laps']]]</f>
        <v>0</v>
      </c>
      <c r="U52" s="1">
        <f>MAX(intermediate_results[[#This Row], [Team1 laps '[laps']]:[Team9 laps '[laps']]]) - intermediate_results[[#This Row], [Team2 laps '[laps']]]</f>
        <v>1.0073961936091891E-2</v>
      </c>
      <c r="V52" s="1">
        <f>MAX(intermediate_results[[#This Row], [Team1 laps '[laps']]:[Team9 laps '[laps']]]) - intermediate_results[[#This Row], [Team3 laps '[laps']]]</f>
        <v>0.11573104788326738</v>
      </c>
      <c r="W52" s="1">
        <f>MAX(intermediate_results[[#This Row], [Team1 laps '[laps']]:[Team9 laps '[laps']]]) - intermediate_results[[#This Row], [Team4 laps '[laps']]]</f>
        <v>0.25452940708382066</v>
      </c>
      <c r="X52" s="1">
        <f>MAX(intermediate_results[[#This Row], [Team1 laps '[laps']]:[Team9 laps '[laps']]]) - intermediate_results[[#This Row], [Team5 laps '[laps']]]</f>
        <v>0.2210038099006022</v>
      </c>
      <c r="Y52" s="1">
        <f>MAX(intermediate_results[[#This Row], [Team1 laps '[laps']]:[Team9 laps '[laps']]]) - intermediate_results[[#This Row], [Team6 laps '[laps']]]</f>
        <v>0.29687895501110262</v>
      </c>
      <c r="Z52" s="1">
        <f>MAX(intermediate_results[[#This Row], [Team1 laps '[laps']]:[Team9 laps '[laps']]]) - intermediate_results[[#This Row], [Team7 laps '[laps']]]</f>
        <v>0.26411255822796775</v>
      </c>
      <c r="AA52" s="1">
        <f>MAX(intermediate_results[[#This Row], [Team1 laps '[laps']]:[Team9 laps '[laps']]]) - intermediate_results[[#This Row], [Team8 laps '[laps']]]</f>
        <v>0.39124203384733214</v>
      </c>
      <c r="AB52" s="1">
        <f>MAX(intermediate_results[[#This Row], [Team1 laps '[laps']]:[Team9 laps '[laps']]]) - intermediate_results[[#This Row], [Team9 laps '[laps']]]</f>
        <v>0.38812077585335736</v>
      </c>
      <c r="AC52" s="1">
        <f>9 * intermediate_results[[#This Row], [All cumulative times '[sec']]] / SUM(intermediate_results[[#This Row], [Team1 laps '[laps']]:[Team9 laps '[laps']]])</f>
        <v>55.193557672137217</v>
      </c>
      <c r="AD52" s="1">
        <f>intermediate_results[[#This Row], [All cumulative times '[sec']]] / intermediate_results[[#This Row], [Team1 laps '[laps']]] - intermediate_results[[#This Row], [Total running average '[sec']]]</f>
        <v>-1.9009329153374708</v>
      </c>
      <c r="AE52" s="1">
        <f>intermediate_results[[#This Row], [All cumulative times '[sec']]] / intermediate_results[[#This Row], [Team2 laps '[laps']]] - intermediate_results[[#This Row], [Total running average '[sec']]]</f>
        <v>-1.8150895255009019</v>
      </c>
      <c r="AF52" s="1">
        <f>intermediate_results[[#This Row], [All cumulative times '[sec']]] / intermediate_results[[#This Row], [Team3 laps '[laps']]] - intermediate_results[[#This Row], [Total running average '[sec']]]</f>
        <v>-0.89780529595062575</v>
      </c>
      <c r="AG52" s="1">
        <f>intermediate_results[[#This Row], [All cumulative times '[sec']]] / intermediate_results[[#This Row], [Team4 laps '[laps']]] - intermediate_results[[#This Row], [Total running average '[sec']]]</f>
        <v>0.35621867739924795</v>
      </c>
      <c r="AH52" s="1">
        <f>intermediate_results[[#This Row], [All cumulative times '[sec']]] / intermediate_results[[#This Row], [Team5 laps '[laps']]] - intermediate_results[[#This Row], [Total running average '[sec']]]</f>
        <v>4.8042951448941551E-2</v>
      </c>
      <c r="AI52" s="1">
        <f>intermediate_results[[#This Row], [All cumulative times '[sec']]] / intermediate_results[[#This Row], [Team6 laps '[laps']]] - intermediate_results[[#This Row], [Total running average '[sec']]]</f>
        <v>0.75045628770434547</v>
      </c>
      <c r="AJ52" s="1">
        <f>intermediate_results[[#This Row], [All cumulative times '[sec']]] / intermediate_results[[#This Row], [Team7 laps '[laps']]] - intermediate_results[[#This Row], [Total running average '[sec']]]</f>
        <v>0.44494232786277621</v>
      </c>
      <c r="AK52" s="1">
        <f>intermediate_results[[#This Row], [All cumulative times '[sec']]] / intermediate_results[[#This Row], [Team8 laps '[laps']]] - intermediate_results[[#This Row], [Total running average '[sec']]]</f>
        <v>1.6493437019240531</v>
      </c>
      <c r="AL52" s="1">
        <f>intermediate_results[[#This Row], [All cumulative times '[sec']]] / intermediate_results[[#This Row], [Team9 laps '[laps']]] - intermediate_results[[#This Row], [Total running average '[sec']]]</f>
        <v>1.6191494186633619</v>
      </c>
    </row>
    <row r="53" spans="1:38" x14ac:dyDescent="0.25">
      <c r="A53" s="1">
        <v>335.64</v>
      </c>
      <c r="B53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6.2985074626865671</v>
      </c>
      <c r="C53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6.2882980133704516</v>
      </c>
      <c r="D53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6.1817093166786421</v>
      </c>
      <c r="E53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6.0425411747558657</v>
      </c>
      <c r="F53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6.0758200426747671</v>
      </c>
      <c r="G53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5.9999999999999991</v>
      </c>
      <c r="H53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6.0332097224262009</v>
      </c>
      <c r="I53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5.9045434649391577</v>
      </c>
      <c r="J53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5.908029895154435</v>
      </c>
      <c r="K53" s="1">
        <f>intermediate_results[[#This Row], [Team1 laps '[laps']]] - intermediate_results[[#This Row], [Team1 laps '[laps']]]</f>
        <v>0</v>
      </c>
      <c r="L53" s="1">
        <f>intermediate_results[[#This Row], [Team1 laps '[laps']]] - intermediate_results[[#This Row], [Team2 laps '[laps']]]</f>
        <v>1.020944931611556E-2</v>
      </c>
      <c r="M53" s="1">
        <f>intermediate_results[[#This Row], [Team1 laps '[laps']]] - intermediate_results[[#This Row], [Team3 laps '[laps']]]</f>
        <v>0.11679814600792504</v>
      </c>
      <c r="N53" s="1">
        <f>intermediate_results[[#This Row], [Team1 laps '[laps']]] - intermediate_results[[#This Row], [Team4 laps '[laps']]]</f>
        <v>0.25596628793070142</v>
      </c>
      <c r="O53" s="1">
        <f>intermediate_results[[#This Row], [Team1 laps '[laps']]] - intermediate_results[[#This Row], [Team5 laps '[laps']]]</f>
        <v>0.22268742001180009</v>
      </c>
      <c r="P53" s="1">
        <f>intermediate_results[[#This Row], [Team1 laps '[laps']]] - intermediate_results[[#This Row], [Team6 laps '[laps']]]</f>
        <v>0.29850746268656803</v>
      </c>
      <c r="Q53" s="1">
        <f>intermediate_results[[#This Row], [Team1 laps '[laps']]] - intermediate_results[[#This Row], [Team7 laps '[laps']]]</f>
        <v>0.26529774026036623</v>
      </c>
      <c r="R53" s="1">
        <f>intermediate_results[[#This Row], [Team1 laps '[laps']]] - intermediate_results[[#This Row], [Team8 laps '[laps']]]</f>
        <v>0.39396399774740942</v>
      </c>
      <c r="S53" s="1">
        <f>intermediate_results[[#This Row], [Team1 laps '[laps']]] - intermediate_results[[#This Row], [Team9 laps '[laps']]]</f>
        <v>0.39047756753213214</v>
      </c>
      <c r="T53" s="1">
        <f>MAX(intermediate_results[[#This Row], [Team1 laps '[laps']]:[Team9 laps '[laps']]]) - intermediate_results[[#This Row], [Team1 laps '[laps']]]</f>
        <v>0</v>
      </c>
      <c r="U53" s="1">
        <f>MAX(intermediate_results[[#This Row], [Team1 laps '[laps']]:[Team9 laps '[laps']]]) - intermediate_results[[#This Row], [Team2 laps '[laps']]]</f>
        <v>1.020944931611556E-2</v>
      </c>
      <c r="V53" s="1">
        <f>MAX(intermediate_results[[#This Row], [Team1 laps '[laps']]:[Team9 laps '[laps']]]) - intermediate_results[[#This Row], [Team3 laps '[laps']]]</f>
        <v>0.11679814600792504</v>
      </c>
      <c r="W53" s="1">
        <f>MAX(intermediate_results[[#This Row], [Team1 laps '[laps']]:[Team9 laps '[laps']]]) - intermediate_results[[#This Row], [Team4 laps '[laps']]]</f>
        <v>0.25596628793070142</v>
      </c>
      <c r="X53" s="1">
        <f>MAX(intermediate_results[[#This Row], [Team1 laps '[laps']]:[Team9 laps '[laps']]]) - intermediate_results[[#This Row], [Team5 laps '[laps']]]</f>
        <v>0.22268742001180009</v>
      </c>
      <c r="Y53" s="1">
        <f>MAX(intermediate_results[[#This Row], [Team1 laps '[laps']]:[Team9 laps '[laps']]]) - intermediate_results[[#This Row], [Team6 laps '[laps']]]</f>
        <v>0.29850746268656803</v>
      </c>
      <c r="Z53" s="1">
        <f>MAX(intermediate_results[[#This Row], [Team1 laps '[laps']]:[Team9 laps '[laps']]]) - intermediate_results[[#This Row], [Team7 laps '[laps']]]</f>
        <v>0.26529774026036623</v>
      </c>
      <c r="AA53" s="1">
        <f>MAX(intermediate_results[[#This Row], [Team1 laps '[laps']]:[Team9 laps '[laps']]]) - intermediate_results[[#This Row], [Team8 laps '[laps']]]</f>
        <v>0.39396399774740942</v>
      </c>
      <c r="AB53" s="1">
        <f>MAX(intermediate_results[[#This Row], [Team1 laps '[laps']]:[Team9 laps '[laps']]]) - intermediate_results[[#This Row], [Team9 laps '[laps']]]</f>
        <v>0.39047756753213214</v>
      </c>
      <c r="AC53" s="1">
        <f>9 * intermediate_results[[#This Row], [All cumulative times '[sec']]] / SUM(intermediate_results[[#This Row], [Team1 laps '[laps']]:[Team9 laps '[laps']]])</f>
        <v>55.191179271676631</v>
      </c>
      <c r="AD53" s="1">
        <f>intermediate_results[[#This Row], [All cumulative times '[sec']]] / intermediate_results[[#This Row], [Team1 laps '[laps']]] - intermediate_results[[#This Row], [Total running average '[sec']]]</f>
        <v>-1.9023641057998546</v>
      </c>
      <c r="AE53" s="1">
        <f>intermediate_results[[#This Row], [All cumulative times '[sec']]] / intermediate_results[[#This Row], [Team2 laps '[laps']]] - intermediate_results[[#This Row], [Total running average '[sec']]]</f>
        <v>-1.8158463459234824</v>
      </c>
      <c r="AF53" s="1">
        <f>intermediate_results[[#This Row], [All cumulative times '[sec']]] / intermediate_results[[#This Row], [Team3 laps '[laps']]] - intermediate_results[[#This Row], [Total running average '[sec']]]</f>
        <v>-0.89551721354295921</v>
      </c>
      <c r="AG53" s="1">
        <f>intermediate_results[[#This Row], [All cumulative times '[sec']]] / intermediate_results[[#This Row], [Team4 laps '[laps']]] - intermediate_results[[#This Row], [Total running average '[sec']]]</f>
        <v>0.35498753016741347</v>
      </c>
      <c r="AH53" s="1">
        <f>intermediate_results[[#This Row], [All cumulative times '[sec']]] / intermediate_results[[#This Row], [Team5 laps '[laps']]] - intermediate_results[[#This Row], [Total running average '[sec']]]</f>
        <v>5.0746532998900307E-2</v>
      </c>
      <c r="AI53" s="1">
        <f>intermediate_results[[#This Row], [All cumulative times '[sec']]] / intermediate_results[[#This Row], [Team6 laps '[laps']]] - intermediate_results[[#This Row], [Total running average '[sec']]]</f>
        <v>0.74882072832337343</v>
      </c>
      <c r="AJ53" s="1">
        <f>intermediate_results[[#This Row], [All cumulative times '[sec']]] / intermediate_results[[#This Row], [Team7 laps '[laps']]] - intermediate_results[[#This Row], [Total running average '[sec']]]</f>
        <v>0.44089974463599901</v>
      </c>
      <c r="AK53" s="1">
        <f>intermediate_results[[#This Row], [All cumulative times '[sec']]] / intermediate_results[[#This Row], [Team8 laps '[laps']]] - intermediate_results[[#This Row], [Total running average '[sec']]]</f>
        <v>1.6531816840875493</v>
      </c>
      <c r="AL53" s="1">
        <f>intermediate_results[[#This Row], [All cumulative times '[sec']]] / intermediate_results[[#This Row], [Team9 laps '[laps']]] - intermediate_results[[#This Row], [Total running average '[sec']]]</f>
        <v>1.6196368474632692</v>
      </c>
    </row>
    <row r="54" spans="1:38" x14ac:dyDescent="0.25">
      <c r="A54" s="1">
        <v>340.83300000000003</v>
      </c>
      <c r="B54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6.3972430839433407</v>
      </c>
      <c r="C54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6.3866446982179044</v>
      </c>
      <c r="D54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6.2773816761546826</v>
      </c>
      <c r="E54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6.137152018656173</v>
      </c>
      <c r="F54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6.1697226140103441</v>
      </c>
      <c r="G54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6.0928797553254279</v>
      </c>
      <c r="H54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6.1285431047143497</v>
      </c>
      <c r="I54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5.9954652893285481</v>
      </c>
      <c r="J54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6.0000000000000009</v>
      </c>
      <c r="K54" s="1">
        <f>intermediate_results[[#This Row], [Team1 laps '[laps']]] - intermediate_results[[#This Row], [Team1 laps '[laps']]]</f>
        <v>0</v>
      </c>
      <c r="L54" s="1">
        <f>intermediate_results[[#This Row], [Team1 laps '[laps']]] - intermediate_results[[#This Row], [Team2 laps '[laps']]]</f>
        <v>1.0598385725436366E-2</v>
      </c>
      <c r="M54" s="1">
        <f>intermediate_results[[#This Row], [Team1 laps '[laps']]] - intermediate_results[[#This Row], [Team3 laps '[laps']]]</f>
        <v>0.11986140778865817</v>
      </c>
      <c r="N54" s="1">
        <f>intermediate_results[[#This Row], [Team1 laps '[laps']]] - intermediate_results[[#This Row], [Team4 laps '[laps']]]</f>
        <v>0.26009106528716774</v>
      </c>
      <c r="O54" s="1">
        <f>intermediate_results[[#This Row], [Team1 laps '[laps']]] - intermediate_results[[#This Row], [Team5 laps '[laps']]]</f>
        <v>0.22752046993299668</v>
      </c>
      <c r="P54" s="1">
        <f>intermediate_results[[#This Row], [Team1 laps '[laps']]] - intermediate_results[[#This Row], [Team6 laps '[laps']]]</f>
        <v>0.30436332861791282</v>
      </c>
      <c r="Q54" s="1">
        <f>intermediate_results[[#This Row], [Team1 laps '[laps']]] - intermediate_results[[#This Row], [Team7 laps '[laps']]]</f>
        <v>0.26869997922899103</v>
      </c>
      <c r="R54" s="1">
        <f>intermediate_results[[#This Row], [Team1 laps '[laps']]] - intermediate_results[[#This Row], [Team8 laps '[laps']]]</f>
        <v>0.40177779461479268</v>
      </c>
      <c r="S54" s="1">
        <f>intermediate_results[[#This Row], [Team1 laps '[laps']]] - intermediate_results[[#This Row], [Team9 laps '[laps']]]</f>
        <v>0.39724308394333985</v>
      </c>
      <c r="T54" s="1">
        <f>MAX(intermediate_results[[#This Row], [Team1 laps '[laps']]:[Team9 laps '[laps']]]) - intermediate_results[[#This Row], [Team1 laps '[laps']]]</f>
        <v>0</v>
      </c>
      <c r="U54" s="1">
        <f>MAX(intermediate_results[[#This Row], [Team1 laps '[laps']]:[Team9 laps '[laps']]]) - intermediate_results[[#This Row], [Team2 laps '[laps']]]</f>
        <v>1.0598385725436366E-2</v>
      </c>
      <c r="V54" s="1">
        <f>MAX(intermediate_results[[#This Row], [Team1 laps '[laps']]:[Team9 laps '[laps']]]) - intermediate_results[[#This Row], [Team3 laps '[laps']]]</f>
        <v>0.11986140778865817</v>
      </c>
      <c r="W54" s="1">
        <f>MAX(intermediate_results[[#This Row], [Team1 laps '[laps']]:[Team9 laps '[laps']]]) - intermediate_results[[#This Row], [Team4 laps '[laps']]]</f>
        <v>0.26009106528716774</v>
      </c>
      <c r="X54" s="1">
        <f>MAX(intermediate_results[[#This Row], [Team1 laps '[laps']]:[Team9 laps '[laps']]]) - intermediate_results[[#This Row], [Team5 laps '[laps']]]</f>
        <v>0.22752046993299668</v>
      </c>
      <c r="Y54" s="1">
        <f>MAX(intermediate_results[[#This Row], [Team1 laps '[laps']]:[Team9 laps '[laps']]]) - intermediate_results[[#This Row], [Team6 laps '[laps']]]</f>
        <v>0.30436332861791282</v>
      </c>
      <c r="Z54" s="1">
        <f>MAX(intermediate_results[[#This Row], [Team1 laps '[laps']]:[Team9 laps '[laps']]]) - intermediate_results[[#This Row], [Team7 laps '[laps']]]</f>
        <v>0.26869997922899103</v>
      </c>
      <c r="AA54" s="1">
        <f>MAX(intermediate_results[[#This Row], [Team1 laps '[laps']]:[Team9 laps '[laps']]]) - intermediate_results[[#This Row], [Team8 laps '[laps']]]</f>
        <v>0.40177779461479268</v>
      </c>
      <c r="AB54" s="1">
        <f>MAX(intermediate_results[[#This Row], [Team1 laps '[laps']]:[Team9 laps '[laps']]]) - intermediate_results[[#This Row], [Team9 laps '[laps']]]</f>
        <v>0.39724308394333985</v>
      </c>
      <c r="AC54" s="1">
        <f>9 * intermediate_results[[#This Row], [All cumulative times '[sec']]] / SUM(intermediate_results[[#This Row], [Team1 laps '[laps']]:[Team9 laps '[laps']]])</f>
        <v>55.185665571553201</v>
      </c>
      <c r="AD54" s="1">
        <f>intermediate_results[[#This Row], [All cumulative times '[sec']]] / intermediate_results[[#This Row], [Team1 laps '[laps']]] - intermediate_results[[#This Row], [Total running average '[sec']]]</f>
        <v>-1.9075588109286983</v>
      </c>
      <c r="AE54" s="1">
        <f>intermediate_results[[#This Row], [All cumulative times '[sec']]] / intermediate_results[[#This Row], [Team2 laps '[laps']]] - intermediate_results[[#This Row], [Total running average '[sec']]]</f>
        <v>-1.8191458878914091</v>
      </c>
      <c r="AF54" s="1">
        <f>intermediate_results[[#This Row], [All cumulative times '[sec']]] / intermediate_results[[#This Row], [Team3 laps '[laps']]] - intermediate_results[[#This Row], [Total running average '[sec']]]</f>
        <v>-0.89025745662348754</v>
      </c>
      <c r="AG54" s="1">
        <f>intermediate_results[[#This Row], [All cumulative times '[sec']]] / intermediate_results[[#This Row], [Team4 laps '[laps']]] - intermediate_results[[#This Row], [Total running average '[sec']]]</f>
        <v>0.35035487635332174</v>
      </c>
      <c r="AH54" s="1">
        <f>intermediate_results[[#This Row], [All cumulative times '[sec']]] / intermediate_results[[#This Row], [Team5 laps '[laps']]] - intermediate_results[[#This Row], [Total running average '[sec']]]</f>
        <v>5.717455646630043E-2</v>
      </c>
      <c r="AI54" s="1">
        <f>intermediate_results[[#This Row], [All cumulative times '[sec']]] / intermediate_results[[#This Row], [Team6 laps '[laps']]] - intermediate_results[[#This Row], [Total running average '[sec']]]</f>
        <v>0.75389235294021262</v>
      </c>
      <c r="AJ54" s="1">
        <f>intermediate_results[[#This Row], [All cumulative times '[sec']]] / intermediate_results[[#This Row], [Team7 laps '[laps']]] - intermediate_results[[#This Row], [Total running average '[sec']]]</f>
        <v>0.42836767850520374</v>
      </c>
      <c r="AK54" s="1">
        <f>intermediate_results[[#This Row], [All cumulative times '[sec']]] / intermediate_results[[#This Row], [Team8 laps '[laps']]] - intermediate_results[[#This Row], [Total running average '[sec']]]</f>
        <v>1.6627996520976964</v>
      </c>
      <c r="AL54" s="1">
        <f>intermediate_results[[#This Row], [All cumulative times '[sec']]] / intermediate_results[[#This Row], [Team9 laps '[laps']]] - intermediate_results[[#This Row], [Total running average '[sec']]]</f>
        <v>1.6198344284467936</v>
      </c>
    </row>
    <row r="55" spans="1:38" x14ac:dyDescent="0.25">
      <c r="A55" s="1">
        <v>341.09199999999998</v>
      </c>
      <c r="B55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6.4021675064169594</v>
      </c>
      <c r="C55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6.3915497225536422</v>
      </c>
      <c r="D55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6.2821533189631351</v>
      </c>
      <c r="E55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6.1418707185541459</v>
      </c>
      <c r="F55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6.1744059889334917</v>
      </c>
      <c r="G55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6.0975121174724105</v>
      </c>
      <c r="H55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6.1332978410926717</v>
      </c>
      <c r="I55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6</v>
      </c>
      <c r="J55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6.0045833407067901</v>
      </c>
      <c r="K55" s="1">
        <f>intermediate_results[[#This Row], [Team1 laps '[laps']]] - intermediate_results[[#This Row], [Team1 laps '[laps']]]</f>
        <v>0</v>
      </c>
      <c r="L55" s="1">
        <f>intermediate_results[[#This Row], [Team1 laps '[laps']]] - intermediate_results[[#This Row], [Team2 laps '[laps']]]</f>
        <v>1.0617783863317243E-2</v>
      </c>
      <c r="M55" s="1">
        <f>intermediate_results[[#This Row], [Team1 laps '[laps']]] - intermediate_results[[#This Row], [Team3 laps '[laps']]]</f>
        <v>0.12001418745382431</v>
      </c>
      <c r="N55" s="1">
        <f>intermediate_results[[#This Row], [Team1 laps '[laps']]] - intermediate_results[[#This Row], [Team4 laps '[laps']]]</f>
        <v>0.26029678786281352</v>
      </c>
      <c r="O55" s="1">
        <f>intermediate_results[[#This Row], [Team1 laps '[laps']]] - intermediate_results[[#This Row], [Team5 laps '[laps']]]</f>
        <v>0.22776151748346773</v>
      </c>
      <c r="P55" s="1">
        <f>intermediate_results[[#This Row], [Team1 laps '[laps']]] - intermediate_results[[#This Row], [Team6 laps '[laps']]]</f>
        <v>0.30465538894454891</v>
      </c>
      <c r="Q55" s="1">
        <f>intermediate_results[[#This Row], [Team1 laps '[laps']]] - intermediate_results[[#This Row], [Team7 laps '[laps']]]</f>
        <v>0.26886966532428769</v>
      </c>
      <c r="R55" s="1">
        <f>intermediate_results[[#This Row], [Team1 laps '[laps']]] - intermediate_results[[#This Row], [Team8 laps '[laps']]]</f>
        <v>0.40216750641695942</v>
      </c>
      <c r="S55" s="1">
        <f>intermediate_results[[#This Row], [Team1 laps '[laps']]] - intermediate_results[[#This Row], [Team9 laps '[laps']]]</f>
        <v>0.3975841657101693</v>
      </c>
      <c r="T55" s="1">
        <f>MAX(intermediate_results[[#This Row], [Team1 laps '[laps']]:[Team9 laps '[laps']]]) - intermediate_results[[#This Row], [Team1 laps '[laps']]]</f>
        <v>0</v>
      </c>
      <c r="U55" s="1">
        <f>MAX(intermediate_results[[#This Row], [Team1 laps '[laps']]:[Team9 laps '[laps']]]) - intermediate_results[[#This Row], [Team2 laps '[laps']]]</f>
        <v>1.0617783863317243E-2</v>
      </c>
      <c r="V55" s="1">
        <f>MAX(intermediate_results[[#This Row], [Team1 laps '[laps']]:[Team9 laps '[laps']]]) - intermediate_results[[#This Row], [Team3 laps '[laps']]]</f>
        <v>0.12001418745382431</v>
      </c>
      <c r="W55" s="1">
        <f>MAX(intermediate_results[[#This Row], [Team1 laps '[laps']]:[Team9 laps '[laps']]]) - intermediate_results[[#This Row], [Team4 laps '[laps']]]</f>
        <v>0.26029678786281352</v>
      </c>
      <c r="X55" s="1">
        <f>MAX(intermediate_results[[#This Row], [Team1 laps '[laps']]:[Team9 laps '[laps']]]) - intermediate_results[[#This Row], [Team5 laps '[laps']]]</f>
        <v>0.22776151748346773</v>
      </c>
      <c r="Y55" s="1">
        <f>MAX(intermediate_results[[#This Row], [Team1 laps '[laps']]:[Team9 laps '[laps']]]) - intermediate_results[[#This Row], [Team6 laps '[laps']]]</f>
        <v>0.30465538894454891</v>
      </c>
      <c r="Z55" s="1">
        <f>MAX(intermediate_results[[#This Row], [Team1 laps '[laps']]:[Team9 laps '[laps']]]) - intermediate_results[[#This Row], [Team7 laps '[laps']]]</f>
        <v>0.26886966532428769</v>
      </c>
      <c r="AA55" s="1">
        <f>MAX(intermediate_results[[#This Row], [Team1 laps '[laps']]:[Team9 laps '[laps']]]) - intermediate_results[[#This Row], [Team8 laps '[laps']]]</f>
        <v>0.40216750641695942</v>
      </c>
      <c r="AB55" s="1">
        <f>MAX(intermediate_results[[#This Row], [Team1 laps '[laps']]:[Team9 laps '[laps']]]) - intermediate_results[[#This Row], [Team9 laps '[laps']]]</f>
        <v>0.3975841657101693</v>
      </c>
      <c r="AC55" s="1">
        <f>9 * intermediate_results[[#This Row], [All cumulative times '[sec']]] / SUM(intermediate_results[[#This Row], [Team1 laps '[laps']]:[Team9 laps '[laps']]])</f>
        <v>55.185398624297108</v>
      </c>
      <c r="AD55" s="1">
        <f>intermediate_results[[#This Row], [All cumulative times '[sec']]] / intermediate_results[[#This Row], [Team1 laps '[laps']]] - intermediate_results[[#This Row], [Total running average '[sec']]]</f>
        <v>-1.907817296079763</v>
      </c>
      <c r="AE55" s="1">
        <f>intermediate_results[[#This Row], [All cumulative times '[sec']]] / intermediate_results[[#This Row], [Team2 laps '[laps']]] - intermediate_results[[#This Row], [Total running average '[sec']]]</f>
        <v>-1.8193113987842793</v>
      </c>
      <c r="AF55" s="1">
        <f>intermediate_results[[#This Row], [All cumulative times '[sec']]] / intermediate_results[[#This Row], [Team3 laps '[laps']]] - intermediate_results[[#This Row], [Total running average '[sec']]]</f>
        <v>-0.89000297223795144</v>
      </c>
      <c r="AG55" s="1">
        <f>intermediate_results[[#This Row], [All cumulative times '[sec']]] / intermediate_results[[#This Row], [Team4 laps '[laps']]] - intermediate_results[[#This Row], [Total running average '[sec']]]</f>
        <v>0.35012395998422363</v>
      </c>
      <c r="AH55" s="1">
        <f>intermediate_results[[#This Row], [All cumulative times '[sec']]] / intermediate_results[[#This Row], [Team5 laps '[laps']]] - intermediate_results[[#This Row], [Total running average '[sec']]]</f>
        <v>5.7486377328281435E-2</v>
      </c>
      <c r="AI55" s="1">
        <f>intermediate_results[[#This Row], [All cumulative times '[sec']]] / intermediate_results[[#This Row], [Team6 laps '[laps']]] - intermediate_results[[#This Row], [Total running average '[sec']]]</f>
        <v>0.75413760435612431</v>
      </c>
      <c r="AJ55" s="1">
        <f>intermediate_results[[#This Row], [All cumulative times '[sec']]] / intermediate_results[[#This Row], [Team7 laps '[laps']]] - intermediate_results[[#This Row], [Total running average '[sec']]]</f>
        <v>0.42774928362074149</v>
      </c>
      <c r="AK55" s="1">
        <f>intermediate_results[[#This Row], [All cumulative times '[sec']]] / intermediate_results[[#This Row], [Team8 laps '[laps']]] - intermediate_results[[#This Row], [Total running average '[sec']]]</f>
        <v>1.6632680423695589</v>
      </c>
      <c r="AL55" s="1">
        <f>intermediate_results[[#This Row], [All cumulative times '[sec']]] / intermediate_results[[#This Row], [Team9 laps '[laps']]] - intermediate_results[[#This Row], [Total running average '[sec']]]</f>
        <v>1.619875055166986</v>
      </c>
    </row>
    <row r="56" spans="1:38" x14ac:dyDescent="0.25">
      <c r="A56" s="1">
        <v>372.53500000000003</v>
      </c>
      <c r="B56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7.0000000000000009</v>
      </c>
      <c r="C56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6.9870272522394563</v>
      </c>
      <c r="D56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6.8614381252418069</v>
      </c>
      <c r="E56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6.7147281737356073</v>
      </c>
      <c r="F56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6.7429749376152763</v>
      </c>
      <c r="G56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6.6598880363434745</v>
      </c>
      <c r="H56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6.7105301806432678</v>
      </c>
      <c r="I56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6.5564147938417987</v>
      </c>
      <c r="J56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6.5610079810295714</v>
      </c>
      <c r="K56" s="1">
        <f>intermediate_results[[#This Row], [Team1 laps '[laps']]] - intermediate_results[[#This Row], [Team1 laps '[laps']]]</f>
        <v>0</v>
      </c>
      <c r="L56" s="1">
        <f>intermediate_results[[#This Row], [Team1 laps '[laps']]] - intermediate_results[[#This Row], [Team2 laps '[laps']]]</f>
        <v>1.2972747760544578E-2</v>
      </c>
      <c r="M56" s="1">
        <f>intermediate_results[[#This Row], [Team1 laps '[laps']]] - intermediate_results[[#This Row], [Team3 laps '[laps']]]</f>
        <v>0.13856187475819404</v>
      </c>
      <c r="N56" s="1">
        <f>intermediate_results[[#This Row], [Team1 laps '[laps']]] - intermediate_results[[#This Row], [Team4 laps '[laps']]]</f>
        <v>0.28527182626439362</v>
      </c>
      <c r="O56" s="1">
        <f>intermediate_results[[#This Row], [Team1 laps '[laps']]] - intermediate_results[[#This Row], [Team5 laps '[laps']]]</f>
        <v>0.25702506238472456</v>
      </c>
      <c r="P56" s="1">
        <f>intermediate_results[[#This Row], [Team1 laps '[laps']]] - intermediate_results[[#This Row], [Team6 laps '[laps']]]</f>
        <v>0.34011196365652641</v>
      </c>
      <c r="Q56" s="1">
        <f>intermediate_results[[#This Row], [Team1 laps '[laps']]] - intermediate_results[[#This Row], [Team7 laps '[laps']]]</f>
        <v>0.2894698193567331</v>
      </c>
      <c r="R56" s="1">
        <f>intermediate_results[[#This Row], [Team1 laps '[laps']]] - intermediate_results[[#This Row], [Team8 laps '[laps']]]</f>
        <v>0.44358520615820218</v>
      </c>
      <c r="S56" s="1">
        <f>intermediate_results[[#This Row], [Team1 laps '[laps']]] - intermediate_results[[#This Row], [Team9 laps '[laps']]]</f>
        <v>0.4389920189704295</v>
      </c>
      <c r="T56" s="1">
        <f>MAX(intermediate_results[[#This Row], [Team1 laps '[laps']]:[Team9 laps '[laps']]]) - intermediate_results[[#This Row], [Team1 laps '[laps']]]</f>
        <v>0</v>
      </c>
      <c r="U56" s="1">
        <f>MAX(intermediate_results[[#This Row], [Team1 laps '[laps']]:[Team9 laps '[laps']]]) - intermediate_results[[#This Row], [Team2 laps '[laps']]]</f>
        <v>1.2972747760544578E-2</v>
      </c>
      <c r="V56" s="1">
        <f>MAX(intermediate_results[[#This Row], [Team1 laps '[laps']]:[Team9 laps '[laps']]]) - intermediate_results[[#This Row], [Team3 laps '[laps']]]</f>
        <v>0.13856187475819404</v>
      </c>
      <c r="W56" s="1">
        <f>MAX(intermediate_results[[#This Row], [Team1 laps '[laps']]:[Team9 laps '[laps']]]) - intermediate_results[[#This Row], [Team4 laps '[laps']]]</f>
        <v>0.28527182626439362</v>
      </c>
      <c r="X56" s="1">
        <f>MAX(intermediate_results[[#This Row], [Team1 laps '[laps']]:[Team9 laps '[laps']]]) - intermediate_results[[#This Row], [Team5 laps '[laps']]]</f>
        <v>0.25702506238472456</v>
      </c>
      <c r="Y56" s="1">
        <f>MAX(intermediate_results[[#This Row], [Team1 laps '[laps']]:[Team9 laps '[laps']]]) - intermediate_results[[#This Row], [Team6 laps '[laps']]]</f>
        <v>0.34011196365652641</v>
      </c>
      <c r="Z56" s="1">
        <f>MAX(intermediate_results[[#This Row], [Team1 laps '[laps']]:[Team9 laps '[laps']]]) - intermediate_results[[#This Row], [Team7 laps '[laps']]]</f>
        <v>0.2894698193567331</v>
      </c>
      <c r="AA56" s="1">
        <f>MAX(intermediate_results[[#This Row], [Team1 laps '[laps']]:[Team9 laps '[laps']]]) - intermediate_results[[#This Row], [Team8 laps '[laps']]]</f>
        <v>0.44358520615820218</v>
      </c>
      <c r="AB56" s="1">
        <f>MAX(intermediate_results[[#This Row], [Team1 laps '[laps']]:[Team9 laps '[laps']]]) - intermediate_results[[#This Row], [Team9 laps '[laps']]]</f>
        <v>0.4389920189704295</v>
      </c>
      <c r="AC56" s="1">
        <f>9 * intermediate_results[[#This Row], [All cumulative times '[sec']]] / SUM(intermediate_results[[#This Row], [Team1 laps '[laps']]:[Team9 laps '[laps']]])</f>
        <v>55.150417428298432</v>
      </c>
      <c r="AD56" s="1">
        <f>intermediate_results[[#This Row], [All cumulative times '[sec']]] / intermediate_results[[#This Row], [Team1 laps '[laps']]] - intermediate_results[[#This Row], [Total running average '[sec']]]</f>
        <v>-1.9311317140127215</v>
      </c>
      <c r="AE56" s="1">
        <f>intermediate_results[[#This Row], [All cumulative times '[sec']]] / intermediate_results[[#This Row], [Team2 laps '[laps']]] - intermediate_results[[#This Row], [Total running average '[sec']]]</f>
        <v>-1.8323199669501236</v>
      </c>
      <c r="AF56" s="1">
        <f>intermediate_results[[#This Row], [All cumulative times '[sec']]] / intermediate_results[[#This Row], [Team3 laps '[laps']]] - intermediate_results[[#This Row], [Total running average '[sec']]]</f>
        <v>-0.85640599802391648</v>
      </c>
      <c r="AG56" s="1">
        <f>intermediate_results[[#This Row], [All cumulative times '[sec']]] / intermediate_results[[#This Row], [Team4 laps '[laps']]] - intermediate_results[[#This Row], [Total running average '[sec']]]</f>
        <v>0.32986269043458094</v>
      </c>
      <c r="AH56" s="1">
        <f>intermediate_results[[#This Row], [All cumulative times '[sec']]] / intermediate_results[[#This Row], [Team5 laps '[laps']]] - intermediate_results[[#This Row], [Total running average '[sec']]]</f>
        <v>9.7452161403900561E-2</v>
      </c>
      <c r="AI56" s="1">
        <f>intermediate_results[[#This Row], [All cumulative times '[sec']]] / intermediate_results[[#This Row], [Team6 laps '[laps']]] - intermediate_results[[#This Row], [Total running average '[sec']]]</f>
        <v>0.78670913705079215</v>
      </c>
      <c r="AJ56" s="1">
        <f>intermediate_results[[#This Row], [All cumulative times '[sec']]] / intermediate_results[[#This Row], [Team7 laps '[laps']]] - intermediate_results[[#This Row], [Total running average '[sec']]]</f>
        <v>0.36457020629842418</v>
      </c>
      <c r="AK56" s="1">
        <f>intermediate_results[[#This Row], [All cumulative times '[sec']]] / intermediate_results[[#This Row], [Team8 laps '[laps']]] - intermediate_results[[#This Row], [Total running average '[sec']]]</f>
        <v>1.6695080513872895</v>
      </c>
      <c r="AL56" s="1">
        <f>intermediate_results[[#This Row], [All cumulative times '[sec']]] / intermediate_results[[#This Row], [Team9 laps '[laps']]] - intermediate_results[[#This Row], [Total running average '[sec']]]</f>
        <v>1.629729932769223</v>
      </c>
    </row>
    <row r="57" spans="1:38" x14ac:dyDescent="0.25">
      <c r="A57" s="1">
        <v>373.22</v>
      </c>
      <c r="B57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7.0130374374298174</v>
      </c>
      <c r="C57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7</v>
      </c>
      <c r="D57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6.8740581071869418</v>
      </c>
      <c r="E57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6.72720813292523</v>
      </c>
      <c r="F57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6.7553614697479301</v>
      </c>
      <c r="G57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6.672139650515998</v>
      </c>
      <c r="H57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6.7231054486708777</v>
      </c>
      <c r="I57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6.56853654220492</v>
      </c>
      <c r="J57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6.5731299439027424</v>
      </c>
      <c r="K57" s="1">
        <f>intermediate_results[[#This Row], [Team1 laps '[laps']]] - intermediate_results[[#This Row], [Team1 laps '[laps']]]</f>
        <v>0</v>
      </c>
      <c r="L57" s="1">
        <f>intermediate_results[[#This Row], [Team1 laps '[laps']]] - intermediate_results[[#This Row], [Team2 laps '[laps']]]</f>
        <v>1.3037437429817444E-2</v>
      </c>
      <c r="M57" s="1">
        <f>intermediate_results[[#This Row], [Team1 laps '[laps']]] - intermediate_results[[#This Row], [Team3 laps '[laps']]]</f>
        <v>0.13897933024287568</v>
      </c>
      <c r="N57" s="1">
        <f>intermediate_results[[#This Row], [Team1 laps '[laps']]] - intermediate_results[[#This Row], [Team4 laps '[laps']]]</f>
        <v>0.28582930450458743</v>
      </c>
      <c r="O57" s="1">
        <f>intermediate_results[[#This Row], [Team1 laps '[laps']]] - intermediate_results[[#This Row], [Team5 laps '[laps']]]</f>
        <v>0.25767596768188739</v>
      </c>
      <c r="P57" s="1">
        <f>intermediate_results[[#This Row], [Team1 laps '[laps']]] - intermediate_results[[#This Row], [Team6 laps '[laps']]]</f>
        <v>0.34089778691381944</v>
      </c>
      <c r="Q57" s="1">
        <f>intermediate_results[[#This Row], [Team1 laps '[laps']]] - intermediate_results[[#This Row], [Team7 laps '[laps']]]</f>
        <v>0.28993198875893977</v>
      </c>
      <c r="R57" s="1">
        <f>intermediate_results[[#This Row], [Team1 laps '[laps']]] - intermediate_results[[#This Row], [Team8 laps '[laps']]]</f>
        <v>0.44450089522489744</v>
      </c>
      <c r="S57" s="1">
        <f>intermediate_results[[#This Row], [Team1 laps '[laps']]] - intermediate_results[[#This Row], [Team9 laps '[laps']]]</f>
        <v>0.43990749352707503</v>
      </c>
      <c r="T57" s="1">
        <f>MAX(intermediate_results[[#This Row], [Team1 laps '[laps']]:[Team9 laps '[laps']]]) - intermediate_results[[#This Row], [Team1 laps '[laps']]]</f>
        <v>0</v>
      </c>
      <c r="U57" s="1">
        <f>MAX(intermediate_results[[#This Row], [Team1 laps '[laps']]:[Team9 laps '[laps']]]) - intermediate_results[[#This Row], [Team2 laps '[laps']]]</f>
        <v>1.3037437429817444E-2</v>
      </c>
      <c r="V57" s="1">
        <f>MAX(intermediate_results[[#This Row], [Team1 laps '[laps']]:[Team9 laps '[laps']]]) - intermediate_results[[#This Row], [Team3 laps '[laps']]]</f>
        <v>0.13897933024287568</v>
      </c>
      <c r="W57" s="1">
        <f>MAX(intermediate_results[[#This Row], [Team1 laps '[laps']]:[Team9 laps '[laps']]]) - intermediate_results[[#This Row], [Team4 laps '[laps']]]</f>
        <v>0.28582930450458743</v>
      </c>
      <c r="X57" s="1">
        <f>MAX(intermediate_results[[#This Row], [Team1 laps '[laps']]:[Team9 laps '[laps']]]) - intermediate_results[[#This Row], [Team5 laps '[laps']]]</f>
        <v>0.25767596768188739</v>
      </c>
      <c r="Y57" s="1">
        <f>MAX(intermediate_results[[#This Row], [Team1 laps '[laps']]:[Team9 laps '[laps']]]) - intermediate_results[[#This Row], [Team6 laps '[laps']]]</f>
        <v>0.34089778691381944</v>
      </c>
      <c r="Z57" s="1">
        <f>MAX(intermediate_results[[#This Row], [Team1 laps '[laps']]:[Team9 laps '[laps']]]) - intermediate_results[[#This Row], [Team7 laps '[laps']]]</f>
        <v>0.28993198875893977</v>
      </c>
      <c r="AA57" s="1">
        <f>MAX(intermediate_results[[#This Row], [Team1 laps '[laps']]:[Team9 laps '[laps']]]) - intermediate_results[[#This Row], [Team8 laps '[laps']]]</f>
        <v>0.44450089522489744</v>
      </c>
      <c r="AB57" s="1">
        <f>MAX(intermediate_results[[#This Row], [Team1 laps '[laps']]:[Team9 laps '[laps']]]) - intermediate_results[[#This Row], [Team9 laps '[laps']]]</f>
        <v>0.43990749352707503</v>
      </c>
      <c r="AC57" s="1">
        <f>9 * intermediate_results[[#This Row], [All cumulative times '[sec']]] / SUM(intermediate_results[[#This Row], [Team1 laps '[laps']]:[Team9 laps '[laps']]])</f>
        <v>55.149709279309683</v>
      </c>
      <c r="AD57" s="1">
        <f>intermediate_results[[#This Row], [All cumulative times '[sec']]] / intermediate_results[[#This Row], [Team1 laps '[laps']]] - intermediate_results[[#This Row], [Total running average '[sec']]]</f>
        <v>-1.931684517591016</v>
      </c>
      <c r="AE57" s="1">
        <f>intermediate_results[[#This Row], [All cumulative times '[sec']]] / intermediate_results[[#This Row], [Team2 laps '[laps']]] - intermediate_results[[#This Row], [Total running average '[sec']]]</f>
        <v>-1.8325664221668205</v>
      </c>
      <c r="AF57" s="1">
        <f>intermediate_results[[#This Row], [All cumulative times '[sec']]] / intermediate_results[[#This Row], [Team3 laps '[laps']]] - intermediate_results[[#This Row], [Total running average '[sec']]]</f>
        <v>-0.85572540829871002</v>
      </c>
      <c r="AG57" s="1">
        <f>intermediate_results[[#This Row], [All cumulative times '[sec']]] / intermediate_results[[#This Row], [Team4 laps '[laps']]] - intermediate_results[[#This Row], [Total running average '[sec']]]</f>
        <v>0.3294720728080307</v>
      </c>
      <c r="AH57" s="1">
        <f>intermediate_results[[#This Row], [All cumulative times '[sec']]] / intermediate_results[[#This Row], [Team5 laps '[laps']]] - intermediate_results[[#This Row], [Total running average '[sec']]]</f>
        <v>9.8259563122425675E-2</v>
      </c>
      <c r="AI57" s="1">
        <f>intermediate_results[[#This Row], [All cumulative times '[sec']]] / intermediate_results[[#This Row], [Team6 laps '[laps']]] - intermediate_results[[#This Row], [Total running average '[sec']]]</f>
        <v>0.78736931153434853</v>
      </c>
      <c r="AJ57" s="1">
        <f>intermediate_results[[#This Row], [All cumulative times '[sec']]] / intermediate_results[[#This Row], [Team7 laps '[laps']]] - intermediate_results[[#This Row], [Total running average '[sec']]]</f>
        <v>0.36332749356789407</v>
      </c>
      <c r="AK57" s="1">
        <f>intermediate_results[[#This Row], [All cumulative times '[sec']]] / intermediate_results[[#This Row], [Team8 laps '[laps']]] - intermediate_results[[#This Row], [Total running average '[sec']]]</f>
        <v>1.6696442558261495</v>
      </c>
      <c r="AL57" s="1">
        <f>intermediate_results[[#This Row], [All cumulative times '[sec']]] / intermediate_results[[#This Row], [Team9 laps '[laps']]] - intermediate_results[[#This Row], [Total running average '[sec']]]</f>
        <v>1.6299380401838519</v>
      </c>
    </row>
    <row r="58" spans="1:38" x14ac:dyDescent="0.25">
      <c r="A58" s="1">
        <v>380.05599999999998</v>
      </c>
      <c r="B58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7.143145353152776</v>
      </c>
      <c r="C58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7.1288765718379423</v>
      </c>
      <c r="D58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7</v>
      </c>
      <c r="E58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6.8517526599621039</v>
      </c>
      <c r="F58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6.8789736356732121</v>
      </c>
      <c r="G58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6.7944053942873488</v>
      </c>
      <c r="H58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6.8486011161697755</v>
      </c>
      <c r="I58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6.6895062820739692</v>
      </c>
      <c r="J58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6.6941018244881345</v>
      </c>
      <c r="K58" s="1">
        <f>intermediate_results[[#This Row], [Team1 laps '[laps']]] - intermediate_results[[#This Row], [Team1 laps '[laps']]]</f>
        <v>0</v>
      </c>
      <c r="L58" s="1">
        <f>intermediate_results[[#This Row], [Team1 laps '[laps']]] - intermediate_results[[#This Row], [Team2 laps '[laps']]]</f>
        <v>1.4268781314833667E-2</v>
      </c>
      <c r="M58" s="1">
        <f>intermediate_results[[#This Row], [Team1 laps '[laps']]] - intermediate_results[[#This Row], [Team3 laps '[laps']]]</f>
        <v>0.14314535315277599</v>
      </c>
      <c r="N58" s="1">
        <f>intermediate_results[[#This Row], [Team1 laps '[laps']]] - intermediate_results[[#This Row], [Team4 laps '[laps']]]</f>
        <v>0.29139269319067207</v>
      </c>
      <c r="O58" s="1">
        <f>intermediate_results[[#This Row], [Team1 laps '[laps']]] - intermediate_results[[#This Row], [Team5 laps '[laps']]]</f>
        <v>0.26417171747956392</v>
      </c>
      <c r="P58" s="1">
        <f>intermediate_results[[#This Row], [Team1 laps '[laps']]] - intermediate_results[[#This Row], [Team6 laps '[laps']]]</f>
        <v>0.34873995886542719</v>
      </c>
      <c r="Q58" s="1">
        <f>intermediate_results[[#This Row], [Team1 laps '[laps']]] - intermediate_results[[#This Row], [Team7 laps '[laps']]]</f>
        <v>0.29454423698300047</v>
      </c>
      <c r="R58" s="1">
        <f>intermediate_results[[#This Row], [Team1 laps '[laps']]] - intermediate_results[[#This Row], [Team8 laps '[laps']]]</f>
        <v>0.45363907107880674</v>
      </c>
      <c r="S58" s="1">
        <f>intermediate_results[[#This Row], [Team1 laps '[laps']]] - intermediate_results[[#This Row], [Team9 laps '[laps']]]</f>
        <v>0.44904352866464148</v>
      </c>
      <c r="T58" s="1">
        <f>MAX(intermediate_results[[#This Row], [Team1 laps '[laps']]:[Team9 laps '[laps']]]) - intermediate_results[[#This Row], [Team1 laps '[laps']]]</f>
        <v>0</v>
      </c>
      <c r="U58" s="1">
        <f>MAX(intermediate_results[[#This Row], [Team1 laps '[laps']]:[Team9 laps '[laps']]]) - intermediate_results[[#This Row], [Team2 laps '[laps']]]</f>
        <v>1.4268781314833667E-2</v>
      </c>
      <c r="V58" s="1">
        <f>MAX(intermediate_results[[#This Row], [Team1 laps '[laps']]:[Team9 laps '[laps']]]) - intermediate_results[[#This Row], [Team3 laps '[laps']]]</f>
        <v>0.14314535315277599</v>
      </c>
      <c r="W58" s="1">
        <f>MAX(intermediate_results[[#This Row], [Team1 laps '[laps']]:[Team9 laps '[laps']]]) - intermediate_results[[#This Row], [Team4 laps '[laps']]]</f>
        <v>0.29139269319067207</v>
      </c>
      <c r="X58" s="1">
        <f>MAX(intermediate_results[[#This Row], [Team1 laps '[laps']]:[Team9 laps '[laps']]]) - intermediate_results[[#This Row], [Team5 laps '[laps']]]</f>
        <v>0.26417171747956392</v>
      </c>
      <c r="Y58" s="1">
        <f>MAX(intermediate_results[[#This Row], [Team1 laps '[laps']]:[Team9 laps '[laps']]]) - intermediate_results[[#This Row], [Team6 laps '[laps']]]</f>
        <v>0.34873995886542719</v>
      </c>
      <c r="Z58" s="1">
        <f>MAX(intermediate_results[[#This Row], [Team1 laps '[laps']]:[Team9 laps '[laps']]]) - intermediate_results[[#This Row], [Team7 laps '[laps']]]</f>
        <v>0.29454423698300047</v>
      </c>
      <c r="AA58" s="1">
        <f>MAX(intermediate_results[[#This Row], [Team1 laps '[laps']]:[Team9 laps '[laps']]]) - intermediate_results[[#This Row], [Team8 laps '[laps']]]</f>
        <v>0.45363907107880674</v>
      </c>
      <c r="AB58" s="1">
        <f>MAX(intermediate_results[[#This Row], [Team1 laps '[laps']]:[Team9 laps '[laps']]]) - intermediate_results[[#This Row], [Team9 laps '[laps']]]</f>
        <v>0.44904352866464148</v>
      </c>
      <c r="AC58" s="1">
        <f>9 * intermediate_results[[#This Row], [All cumulative times '[sec']]] / SUM(intermediate_results[[#This Row], [Team1 laps '[laps']]:[Team9 laps '[laps']]])</f>
        <v>55.143303808436279</v>
      </c>
      <c r="AD58" s="1">
        <f>intermediate_results[[#This Row], [All cumulative times '[sec']]] / intermediate_results[[#This Row], [Team1 laps '[laps']]] - intermediate_results[[#This Row], [Total running average '[sec']]]</f>
        <v>-1.9376106284347898</v>
      </c>
      <c r="AE58" s="1">
        <f>intermediate_results[[#This Row], [All cumulative times '[sec']]] / intermediate_results[[#This Row], [Team2 laps '[laps']]] - intermediate_results[[#This Row], [Total running average '[sec']]]</f>
        <v>-1.8311169343668254</v>
      </c>
      <c r="AF58" s="1">
        <f>intermediate_results[[#This Row], [All cumulative times '[sec']]] / intermediate_results[[#This Row], [Team3 laps '[laps']]] - intermediate_results[[#This Row], [Total running average '[sec']]]</f>
        <v>-0.84958952272199895</v>
      </c>
      <c r="AG58" s="1">
        <f>intermediate_results[[#This Row], [All cumulative times '[sec']]] / intermediate_results[[#This Row], [Team4 laps '[laps']]] - intermediate_results[[#This Row], [Total running average '[sec']]]</f>
        <v>0.32513162135374074</v>
      </c>
      <c r="AH58" s="1">
        <f>intermediate_results[[#This Row], [All cumulative times '[sec']]] / intermediate_results[[#This Row], [Team5 laps '[laps']]] - intermediate_results[[#This Row], [Total running average '[sec']]]</f>
        <v>0.10563595040984097</v>
      </c>
      <c r="AI58" s="1">
        <f>intermediate_results[[#This Row], [All cumulative times '[sec']]] / intermediate_results[[#This Row], [Team6 laps '[laps']]] - intermediate_results[[#This Row], [Total running average '[sec']]]</f>
        <v>0.79330549655843186</v>
      </c>
      <c r="AJ58" s="1">
        <f>intermediate_results[[#This Row], [All cumulative times '[sec']]] / intermediate_results[[#This Row], [Team7 laps '[laps']]] - intermediate_results[[#This Row], [Total running average '[sec']]]</f>
        <v>0.35065671770315276</v>
      </c>
      <c r="AK58" s="1">
        <f>intermediate_results[[#This Row], [All cumulative times '[sec']]] / intermediate_results[[#This Row], [Team8 laps '[laps']]] - intermediate_results[[#This Row], [Total running average '[sec']]]</f>
        <v>1.6704555295951664</v>
      </c>
      <c r="AL58" s="1">
        <f>intermediate_results[[#This Row], [All cumulative times '[sec']]] / intermediate_results[[#This Row], [Team9 laps '[laps']]] - intermediate_results[[#This Row], [Total running average '[sec']]]</f>
        <v>1.6314525314945101</v>
      </c>
    </row>
    <row r="59" spans="1:38" x14ac:dyDescent="0.25">
      <c r="A59" s="1">
        <v>386.74900000000002</v>
      </c>
      <c r="B59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7.2705315848575411</v>
      </c>
      <c r="C59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7.2550572177290125</v>
      </c>
      <c r="D59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7.1235440701430557</v>
      </c>
      <c r="E59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6.9736918816499056</v>
      </c>
      <c r="F59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7</v>
      </c>
      <c r="G59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6.9141135018153843</v>
      </c>
      <c r="H59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6.9714715817300643</v>
      </c>
      <c r="I59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6.8079454963723238</v>
      </c>
      <c r="J59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6.8125431347219036</v>
      </c>
      <c r="K59" s="1">
        <f>intermediate_results[[#This Row], [Team1 laps '[laps']]] - intermediate_results[[#This Row], [Team1 laps '[laps']]]</f>
        <v>0</v>
      </c>
      <c r="L59" s="1">
        <f>intermediate_results[[#This Row], [Team1 laps '[laps']]] - intermediate_results[[#This Row], [Team2 laps '[laps']]]</f>
        <v>1.5474367128528677E-2</v>
      </c>
      <c r="M59" s="1">
        <f>intermediate_results[[#This Row], [Team1 laps '[laps']]] - intermediate_results[[#This Row], [Team3 laps '[laps']]]</f>
        <v>0.14698751471448546</v>
      </c>
      <c r="N59" s="1">
        <f>intermediate_results[[#This Row], [Team1 laps '[laps']]] - intermediate_results[[#This Row], [Team4 laps '[laps']]]</f>
        <v>0.29683970320763553</v>
      </c>
      <c r="O59" s="1">
        <f>intermediate_results[[#This Row], [Team1 laps '[laps']]] - intermediate_results[[#This Row], [Team5 laps '[laps']]]</f>
        <v>0.27053158485754114</v>
      </c>
      <c r="P59" s="1">
        <f>intermediate_results[[#This Row], [Team1 laps '[laps']]] - intermediate_results[[#This Row], [Team6 laps '[laps']]]</f>
        <v>0.35641808304215683</v>
      </c>
      <c r="Q59" s="1">
        <f>intermediate_results[[#This Row], [Team1 laps '[laps']]] - intermediate_results[[#This Row], [Team7 laps '[laps']]]</f>
        <v>0.29906000312747683</v>
      </c>
      <c r="R59" s="1">
        <f>intermediate_results[[#This Row], [Team1 laps '[laps']]] - intermediate_results[[#This Row], [Team8 laps '[laps']]]</f>
        <v>0.46258608848521732</v>
      </c>
      <c r="S59" s="1">
        <f>intermediate_results[[#This Row], [Team1 laps '[laps']]] - intermediate_results[[#This Row], [Team9 laps '[laps']]]</f>
        <v>0.45798845013563749</v>
      </c>
      <c r="T59" s="1">
        <f>MAX(intermediate_results[[#This Row], [Team1 laps '[laps']]:[Team9 laps '[laps']]]) - intermediate_results[[#This Row], [Team1 laps '[laps']]]</f>
        <v>0</v>
      </c>
      <c r="U59" s="1">
        <f>MAX(intermediate_results[[#This Row], [Team1 laps '[laps']]:[Team9 laps '[laps']]]) - intermediate_results[[#This Row], [Team2 laps '[laps']]]</f>
        <v>1.5474367128528677E-2</v>
      </c>
      <c r="V59" s="1">
        <f>MAX(intermediate_results[[#This Row], [Team1 laps '[laps']]:[Team9 laps '[laps']]]) - intermediate_results[[#This Row], [Team3 laps '[laps']]]</f>
        <v>0.14698751471448546</v>
      </c>
      <c r="W59" s="1">
        <f>MAX(intermediate_results[[#This Row], [Team1 laps '[laps']]:[Team9 laps '[laps']]]) - intermediate_results[[#This Row], [Team4 laps '[laps']]]</f>
        <v>0.29683970320763553</v>
      </c>
      <c r="X59" s="1">
        <f>MAX(intermediate_results[[#This Row], [Team1 laps '[laps']]:[Team9 laps '[laps']]]) - intermediate_results[[#This Row], [Team5 laps '[laps']]]</f>
        <v>0.27053158485754114</v>
      </c>
      <c r="Y59" s="1">
        <f>MAX(intermediate_results[[#This Row], [Team1 laps '[laps']]:[Team9 laps '[laps']]]) - intermediate_results[[#This Row], [Team6 laps '[laps']]]</f>
        <v>0.35641808304215683</v>
      </c>
      <c r="Z59" s="1">
        <f>MAX(intermediate_results[[#This Row], [Team1 laps '[laps']]:[Team9 laps '[laps']]]) - intermediate_results[[#This Row], [Team7 laps '[laps']]]</f>
        <v>0.29906000312747683</v>
      </c>
      <c r="AA59" s="1">
        <f>MAX(intermediate_results[[#This Row], [Team1 laps '[laps']]:[Team9 laps '[laps']]]) - intermediate_results[[#This Row], [Team8 laps '[laps']]]</f>
        <v>0.46258608848521732</v>
      </c>
      <c r="AB59" s="1">
        <f>MAX(intermediate_results[[#This Row], [Team1 laps '[laps']]:[Team9 laps '[laps']]]) - intermediate_results[[#This Row], [Team9 laps '[laps']]]</f>
        <v>0.45798845013563749</v>
      </c>
      <c r="AC59" s="1">
        <f>9 * intermediate_results[[#This Row], [All cumulative times '[sec']]] / SUM(intermediate_results[[#This Row], [Team1 laps '[laps']]:[Team9 laps '[laps']]])</f>
        <v>55.137046335573082</v>
      </c>
      <c r="AD59" s="1">
        <f>intermediate_results[[#This Row], [All cumulative times '[sec']]] / intermediate_results[[#This Row], [Team1 laps '[laps']]] - intermediate_results[[#This Row], [Total running average '[sec']]]</f>
        <v>-1.9429991760106802</v>
      </c>
      <c r="AE59" s="1">
        <f>intermediate_results[[#This Row], [All cumulative times '[sec']]] / intermediate_results[[#This Row], [Team2 laps '[laps']]] - intermediate_results[[#This Row], [Total running average '[sec']]]</f>
        <v>-1.8295411852469599</v>
      </c>
      <c r="AF59" s="1">
        <f>intermediate_results[[#This Row], [All cumulative times '[sec']]] / intermediate_results[[#This Row], [Team3 laps '[laps']]] - intermediate_results[[#This Row], [Total running average '[sec']]]</f>
        <v>-0.845390919137472</v>
      </c>
      <c r="AG59" s="1">
        <f>intermediate_results[[#This Row], [All cumulative times '[sec']]] / intermediate_results[[#This Row], [Team4 laps '[laps']]] - intermediate_results[[#This Row], [Total running average '[sec']]]</f>
        <v>0.32123982955916119</v>
      </c>
      <c r="AH59" s="1">
        <f>intermediate_results[[#This Row], [All cumulative times '[sec']]] / intermediate_results[[#This Row], [Team5 laps '[laps']]] - intermediate_results[[#This Row], [Total running average '[sec']]]</f>
        <v>0.11281080728406323</v>
      </c>
      <c r="AI59" s="1">
        <f>intermediate_results[[#This Row], [All cumulative times '[sec']]] / intermediate_results[[#This Row], [Team6 laps '[laps']]] - intermediate_results[[#This Row], [Total running average '[sec']]]</f>
        <v>0.79911958048461429</v>
      </c>
      <c r="AJ59" s="1">
        <f>intermediate_results[[#This Row], [All cumulative times '[sec']]] / intermediate_results[[#This Row], [Team7 laps '[laps']]] - intermediate_results[[#This Row], [Total running average '[sec']]]</f>
        <v>0.33890238858754174</v>
      </c>
      <c r="AK59" s="1">
        <f>intermediate_results[[#This Row], [All cumulative times '[sec']]] / intermediate_results[[#This Row], [Team8 laps '[laps']]] - intermediate_results[[#This Row], [Total running average '[sec']]]</f>
        <v>1.6714284393913701</v>
      </c>
      <c r="AL59" s="1">
        <f>intermediate_results[[#This Row], [All cumulative times '[sec']]] / intermediate_results[[#This Row], [Team9 laps '[laps']]] - intermediate_results[[#This Row], [Total running average '[sec']]]</f>
        <v>1.6330896256706495</v>
      </c>
    </row>
    <row r="60" spans="1:38" x14ac:dyDescent="0.25">
      <c r="A60" s="1">
        <v>388.19299999999998</v>
      </c>
      <c r="B60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7.2980148836147016</v>
      </c>
      <c r="C60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7.2822804140037318</v>
      </c>
      <c r="D60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7.1501984310106135</v>
      </c>
      <c r="E60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7</v>
      </c>
      <c r="F60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7.0259917920656632</v>
      </c>
      <c r="G60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6.9399402622024278</v>
      </c>
      <c r="H60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6.9979806138933771</v>
      </c>
      <c r="I60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6.833498495841444</v>
      </c>
      <c r="J60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6.83809658638447</v>
      </c>
      <c r="K60" s="1">
        <f>intermediate_results[[#This Row], [Team1 laps '[laps']]] - intermediate_results[[#This Row], [Team1 laps '[laps']]]</f>
        <v>0</v>
      </c>
      <c r="L60" s="1">
        <f>intermediate_results[[#This Row], [Team1 laps '[laps']]] - intermediate_results[[#This Row], [Team2 laps '[laps']]]</f>
        <v>1.5734469610969803E-2</v>
      </c>
      <c r="M60" s="1">
        <f>intermediate_results[[#This Row], [Team1 laps '[laps']]] - intermediate_results[[#This Row], [Team3 laps '[laps']]]</f>
        <v>0.14781645260408816</v>
      </c>
      <c r="N60" s="1">
        <f>intermediate_results[[#This Row], [Team1 laps '[laps']]] - intermediate_results[[#This Row], [Team4 laps '[laps']]]</f>
        <v>0.29801488361470163</v>
      </c>
      <c r="O60" s="1">
        <f>intermediate_results[[#This Row], [Team1 laps '[laps']]] - intermediate_results[[#This Row], [Team5 laps '[laps']]]</f>
        <v>0.27202309154903848</v>
      </c>
      <c r="P60" s="1">
        <f>intermediate_results[[#This Row], [Team1 laps '[laps']]] - intermediate_results[[#This Row], [Team6 laps '[laps']]]</f>
        <v>0.35807462141227386</v>
      </c>
      <c r="Q60" s="1">
        <f>intermediate_results[[#This Row], [Team1 laps '[laps']]] - intermediate_results[[#This Row], [Team7 laps '[laps']]]</f>
        <v>0.30003426972132452</v>
      </c>
      <c r="R60" s="1">
        <f>intermediate_results[[#This Row], [Team1 laps '[laps']]] - intermediate_results[[#This Row], [Team8 laps '[laps']]]</f>
        <v>0.46451638777325766</v>
      </c>
      <c r="S60" s="1">
        <f>intermediate_results[[#This Row], [Team1 laps '[laps']]] - intermediate_results[[#This Row], [Team9 laps '[laps']]]</f>
        <v>0.45991829723023159</v>
      </c>
      <c r="T60" s="1">
        <f>MAX(intermediate_results[[#This Row], [Team1 laps '[laps']]:[Team9 laps '[laps']]]) - intermediate_results[[#This Row], [Team1 laps '[laps']]]</f>
        <v>0</v>
      </c>
      <c r="U60" s="1">
        <f>MAX(intermediate_results[[#This Row], [Team1 laps '[laps']]:[Team9 laps '[laps']]]) - intermediate_results[[#This Row], [Team2 laps '[laps']]]</f>
        <v>1.5734469610969803E-2</v>
      </c>
      <c r="V60" s="1">
        <f>MAX(intermediate_results[[#This Row], [Team1 laps '[laps']]:[Team9 laps '[laps']]]) - intermediate_results[[#This Row], [Team3 laps '[laps']]]</f>
        <v>0.14781645260408816</v>
      </c>
      <c r="W60" s="1">
        <f>MAX(intermediate_results[[#This Row], [Team1 laps '[laps']]:[Team9 laps '[laps']]]) - intermediate_results[[#This Row], [Team4 laps '[laps']]]</f>
        <v>0.29801488361470163</v>
      </c>
      <c r="X60" s="1">
        <f>MAX(intermediate_results[[#This Row], [Team1 laps '[laps']]:[Team9 laps '[laps']]]) - intermediate_results[[#This Row], [Team5 laps '[laps']]]</f>
        <v>0.27202309154903848</v>
      </c>
      <c r="Y60" s="1">
        <f>MAX(intermediate_results[[#This Row], [Team1 laps '[laps']]:[Team9 laps '[laps']]]) - intermediate_results[[#This Row], [Team6 laps '[laps']]]</f>
        <v>0.35807462141227386</v>
      </c>
      <c r="Z60" s="1">
        <f>MAX(intermediate_results[[#This Row], [Team1 laps '[laps']]:[Team9 laps '[laps']]]) - intermediate_results[[#This Row], [Team7 laps '[laps']]]</f>
        <v>0.30003426972132452</v>
      </c>
      <c r="AA60" s="1">
        <f>MAX(intermediate_results[[#This Row], [Team1 laps '[laps']]:[Team9 laps '[laps']]]) - intermediate_results[[#This Row], [Team8 laps '[laps']]]</f>
        <v>0.46451638777325766</v>
      </c>
      <c r="AB60" s="1">
        <f>MAX(intermediate_results[[#This Row], [Team1 laps '[laps']]:[Team9 laps '[laps']]]) - intermediate_results[[#This Row], [Team9 laps '[laps']]]</f>
        <v>0.45991829723023159</v>
      </c>
      <c r="AC60" s="1">
        <f>9 * intermediate_results[[#This Row], [All cumulative times '[sec']]] / SUM(intermediate_results[[#This Row], [Team1 laps '[laps']]:[Team9 laps '[laps']]])</f>
        <v>55.135828653429336</v>
      </c>
      <c r="AD60" s="1">
        <f>intermediate_results[[#This Row], [All cumulative times '[sec']]] / intermediate_results[[#This Row], [Team1 laps '[laps']]] - intermediate_results[[#This Row], [Total running average '[sec']]]</f>
        <v>-1.9442407777235715</v>
      </c>
      <c r="AE60" s="1">
        <f>intermediate_results[[#This Row], [All cumulative times '[sec']]] / intermediate_results[[#This Row], [Team2 laps '[laps']]] - intermediate_results[[#This Row], [Total running average '[sec']]]</f>
        <v>-1.8293122971640869</v>
      </c>
      <c r="AF60" s="1">
        <f>intermediate_results[[#This Row], [All cumulative times '[sec']]] / intermediate_results[[#This Row], [Team3 laps '[laps']]] - intermediate_results[[#This Row], [Total running average '[sec']]]</f>
        <v>-0.84460810262672936</v>
      </c>
      <c r="AG60" s="1">
        <f>intermediate_results[[#This Row], [All cumulative times '[sec']]] / intermediate_results[[#This Row], [Team4 laps '[laps']]] - intermediate_results[[#This Row], [Total running average '[sec']]]</f>
        <v>0.32031420371352226</v>
      </c>
      <c r="AH60" s="1">
        <f>intermediate_results[[#This Row], [All cumulative times '[sec']]] / intermediate_results[[#This Row], [Team5 laps '[laps']]] - intermediate_results[[#This Row], [Total running average '[sec']]]</f>
        <v>0.11516102725602195</v>
      </c>
      <c r="AI60" s="1">
        <f>intermediate_results[[#This Row], [All cumulative times '[sec']]] / intermediate_results[[#This Row], [Team6 laps '[laps']]] - intermediate_results[[#This Row], [Total running average '[sec']]]</f>
        <v>0.80024360849598963</v>
      </c>
      <c r="AJ60" s="1">
        <f>intermediate_results[[#This Row], [All cumulative times '[sec']]] / intermediate_results[[#This Row], [Team7 laps '[laps']]] - intermediate_results[[#This Row], [Total running average '[sec']]]</f>
        <v>0.33631701518034163</v>
      </c>
      <c r="AK60" s="1">
        <f>intermediate_results[[#This Row], [All cumulative times '[sec']]] / intermediate_results[[#This Row], [Team8 laps '[laps']]] - intermediate_results[[#This Row], [Total running average '[sec']]]</f>
        <v>1.6715300130336175</v>
      </c>
      <c r="AL60" s="1">
        <f>intermediate_results[[#This Row], [All cumulative times '[sec']]] / intermediate_results[[#This Row], [Team9 laps '[laps']]] - intermediate_results[[#This Row], [Total running average '[sec']]]</f>
        <v>1.6333314624049748</v>
      </c>
    </row>
    <row r="61" spans="1:38" x14ac:dyDescent="0.25">
      <c r="A61" s="1">
        <v>388.30299999999988</v>
      </c>
      <c r="B61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7.3001084867056187</v>
      </c>
      <c r="C61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7.284354203193633</v>
      </c>
      <c r="D61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7.1522288878634042</v>
      </c>
      <c r="E61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7.0019814821486452</v>
      </c>
      <c r="F61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7.0279717762257876</v>
      </c>
      <c r="G61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6.9419076746972834</v>
      </c>
      <c r="H61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6.9999999999999982</v>
      </c>
      <c r="I61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6.8354450539727463</v>
      </c>
      <c r="J61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6.8400431789626417</v>
      </c>
      <c r="K61" s="1">
        <f>intermediate_results[[#This Row], [Team1 laps '[laps']]] - intermediate_results[[#This Row], [Team1 laps '[laps']]]</f>
        <v>0</v>
      </c>
      <c r="L61" s="1">
        <f>intermediate_results[[#This Row], [Team1 laps '[laps']]] - intermediate_results[[#This Row], [Team2 laps '[laps']]]</f>
        <v>1.5754283511985712E-2</v>
      </c>
      <c r="M61" s="1">
        <f>intermediate_results[[#This Row], [Team1 laps '[laps']]] - intermediate_results[[#This Row], [Team3 laps '[laps']]]</f>
        <v>0.14787959884221458</v>
      </c>
      <c r="N61" s="1">
        <f>intermediate_results[[#This Row], [Team1 laps '[laps']]] - intermediate_results[[#This Row], [Team4 laps '[laps']]]</f>
        <v>0.2981270045569735</v>
      </c>
      <c r="O61" s="1">
        <f>intermediate_results[[#This Row], [Team1 laps '[laps']]] - intermediate_results[[#This Row], [Team5 laps '[laps']]]</f>
        <v>0.27213671047983112</v>
      </c>
      <c r="P61" s="1">
        <f>intermediate_results[[#This Row], [Team1 laps '[laps']]] - intermediate_results[[#This Row], [Team6 laps '[laps']]]</f>
        <v>0.35820081200833531</v>
      </c>
      <c r="Q61" s="1">
        <f>intermediate_results[[#This Row], [Team1 laps '[laps']]] - intermediate_results[[#This Row], [Team7 laps '[laps']]]</f>
        <v>0.30010848670562051</v>
      </c>
      <c r="R61" s="1">
        <f>intermediate_results[[#This Row], [Team1 laps '[laps']]] - intermediate_results[[#This Row], [Team8 laps '[laps']]]</f>
        <v>0.46466343273287247</v>
      </c>
      <c r="S61" s="1">
        <f>intermediate_results[[#This Row], [Team1 laps '[laps']]] - intermediate_results[[#This Row], [Team9 laps '[laps']]]</f>
        <v>0.46006530774297705</v>
      </c>
      <c r="T61" s="1">
        <f>MAX(intermediate_results[[#This Row], [Team1 laps '[laps']]:[Team9 laps '[laps']]]) - intermediate_results[[#This Row], [Team1 laps '[laps']]]</f>
        <v>0</v>
      </c>
      <c r="U61" s="1">
        <f>MAX(intermediate_results[[#This Row], [Team1 laps '[laps']]:[Team9 laps '[laps']]]) - intermediate_results[[#This Row], [Team2 laps '[laps']]]</f>
        <v>1.5754283511985712E-2</v>
      </c>
      <c r="V61" s="1">
        <f>MAX(intermediate_results[[#This Row], [Team1 laps '[laps']]:[Team9 laps '[laps']]]) - intermediate_results[[#This Row], [Team3 laps '[laps']]]</f>
        <v>0.14787959884221458</v>
      </c>
      <c r="W61" s="1">
        <f>MAX(intermediate_results[[#This Row], [Team1 laps '[laps']]:[Team9 laps '[laps']]]) - intermediate_results[[#This Row], [Team4 laps '[laps']]]</f>
        <v>0.2981270045569735</v>
      </c>
      <c r="X61" s="1">
        <f>MAX(intermediate_results[[#This Row], [Team1 laps '[laps']]:[Team9 laps '[laps']]]) - intermediate_results[[#This Row], [Team5 laps '[laps']]]</f>
        <v>0.27213671047983112</v>
      </c>
      <c r="Y61" s="1">
        <f>MAX(intermediate_results[[#This Row], [Team1 laps '[laps']]:[Team9 laps '[laps']]]) - intermediate_results[[#This Row], [Team6 laps '[laps']]]</f>
        <v>0.35820081200833531</v>
      </c>
      <c r="Z61" s="1">
        <f>MAX(intermediate_results[[#This Row], [Team1 laps '[laps']]:[Team9 laps '[laps']]]) - intermediate_results[[#This Row], [Team7 laps '[laps']]]</f>
        <v>0.30010848670562051</v>
      </c>
      <c r="AA61" s="1">
        <f>MAX(intermediate_results[[#This Row], [Team1 laps '[laps']]:[Team9 laps '[laps']]]) - intermediate_results[[#This Row], [Team8 laps '[laps']]]</f>
        <v>0.46466343273287247</v>
      </c>
      <c r="AB61" s="1">
        <f>MAX(intermediate_results[[#This Row], [Team1 laps '[laps']]:[Team9 laps '[laps']]]) - intermediate_results[[#This Row], [Team9 laps '[laps']]]</f>
        <v>0.46006530774297705</v>
      </c>
      <c r="AC61" s="1">
        <f>9 * intermediate_results[[#This Row], [All cumulative times '[sec']]] / SUM(intermediate_results[[#This Row], [Team1 laps '[laps']]:[Team9 laps '[laps']]])</f>
        <v>55.135755925177556</v>
      </c>
      <c r="AD61" s="1">
        <f>intermediate_results[[#This Row], [All cumulative times '[sec']]] / intermediate_results[[#This Row], [Team1 laps '[laps']]] - intermediate_results[[#This Row], [Total running average '[sec']]]</f>
        <v>-1.9443546320123062</v>
      </c>
      <c r="AE61" s="1">
        <f>intermediate_results[[#This Row], [All cumulative times '[sec']]] / intermediate_results[[#This Row], [Team2 laps '[laps']]] - intermediate_results[[#This Row], [Total running average '[sec']]]</f>
        <v>-1.8293145896150023</v>
      </c>
      <c r="AF61" s="1">
        <f>intermediate_results[[#This Row], [All cumulative times '[sec']]] / intermediate_results[[#This Row], [Team3 laps '[laps']]] - intermediate_results[[#This Row], [Total running average '[sec']]]</f>
        <v>-0.84456836839926552</v>
      </c>
      <c r="AG61" s="1">
        <f>intermediate_results[[#This Row], [All cumulative times '[sec']]] / intermediate_results[[#This Row], [Team4 laps '[laps']]] - intermediate_results[[#This Row], [Total running average '[sec']]]</f>
        <v>0.32040330488717217</v>
      </c>
      <c r="AH61" s="1">
        <f>intermediate_results[[#This Row], [All cumulative times '[sec']]] / intermediate_results[[#This Row], [Team5 laps '[laps']]] - intermediate_results[[#This Row], [Total running average '[sec']]]</f>
        <v>0.11531968579041774</v>
      </c>
      <c r="AI61" s="1">
        <f>intermediate_results[[#This Row], [All cumulative times '[sec']]] / intermediate_results[[#This Row], [Team6 laps '[laps']]] - intermediate_results[[#This Row], [Total running average '[sec']]]</f>
        <v>0.80030923099475615</v>
      </c>
      <c r="AJ61" s="1">
        <f>intermediate_results[[#This Row], [All cumulative times '[sec']]] / intermediate_results[[#This Row], [Team7 laps '[laps']]] - intermediate_results[[#This Row], [Total running average '[sec']]]</f>
        <v>0.3361012176795839</v>
      </c>
      <c r="AK61" s="1">
        <f>intermediate_results[[#This Row], [All cumulative times '[sec']]] / intermediate_results[[#This Row], [Team8 laps '[laps']]] - intermediate_results[[#This Row], [Total running average '[sec']]]</f>
        <v>1.6715180612205955</v>
      </c>
      <c r="AL61" s="1">
        <f>intermediate_results[[#This Row], [All cumulative times '[sec']]] / intermediate_results[[#This Row], [Team9 laps '[laps']]] - intermediate_results[[#This Row], [Total running average '[sec']]]</f>
        <v>1.6333301522717036</v>
      </c>
    </row>
    <row r="62" spans="1:38" x14ac:dyDescent="0.25">
      <c r="A62" s="1">
        <v>391.55099999999999</v>
      </c>
      <c r="B62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7.361926876153861</v>
      </c>
      <c r="C62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7.3455875421827566</v>
      </c>
      <c r="D62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7.2121827411167514</v>
      </c>
      <c r="E62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7.0604892459559752</v>
      </c>
      <c r="F62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7.0864353085175313</v>
      </c>
      <c r="G62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6.9999999999999991</v>
      </c>
      <c r="H62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7.0595155202110904</v>
      </c>
      <c r="I62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6.8929216067952579</v>
      </c>
      <c r="J62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6.8975207489072536</v>
      </c>
      <c r="K62" s="1">
        <f>intermediate_results[[#This Row], [Team1 laps '[laps']]] - intermediate_results[[#This Row], [Team1 laps '[laps']]]</f>
        <v>0</v>
      </c>
      <c r="L62" s="1">
        <f>intermediate_results[[#This Row], [Team1 laps '[laps']]] - intermediate_results[[#This Row], [Team2 laps '[laps']]]</f>
        <v>1.6339333971104431E-2</v>
      </c>
      <c r="M62" s="1">
        <f>intermediate_results[[#This Row], [Team1 laps '[laps']]] - intermediate_results[[#This Row], [Team3 laps '[laps']]]</f>
        <v>0.14974413503710959</v>
      </c>
      <c r="N62" s="1">
        <f>intermediate_results[[#This Row], [Team1 laps '[laps']]] - intermediate_results[[#This Row], [Team4 laps '[laps']]]</f>
        <v>0.30143763019788583</v>
      </c>
      <c r="O62" s="1">
        <f>intermediate_results[[#This Row], [Team1 laps '[laps']]] - intermediate_results[[#This Row], [Team5 laps '[laps']]]</f>
        <v>0.27549156763632965</v>
      </c>
      <c r="P62" s="1">
        <f>intermediate_results[[#This Row], [Team1 laps '[laps']]] - intermediate_results[[#This Row], [Team6 laps '[laps']]]</f>
        <v>0.36192687615386188</v>
      </c>
      <c r="Q62" s="1">
        <f>intermediate_results[[#This Row], [Team1 laps '[laps']]] - intermediate_results[[#This Row], [Team7 laps '[laps']]]</f>
        <v>0.30241135594277058</v>
      </c>
      <c r="R62" s="1">
        <f>intermediate_results[[#This Row], [Team1 laps '[laps']]] - intermediate_results[[#This Row], [Team8 laps '[laps']]]</f>
        <v>0.46900526935860309</v>
      </c>
      <c r="S62" s="1">
        <f>intermediate_results[[#This Row], [Team1 laps '[laps']]] - intermediate_results[[#This Row], [Team9 laps '[laps']]]</f>
        <v>0.46440612724660735</v>
      </c>
      <c r="T62" s="1">
        <f>MAX(intermediate_results[[#This Row], [Team1 laps '[laps']]:[Team9 laps '[laps']]]) - intermediate_results[[#This Row], [Team1 laps '[laps']]]</f>
        <v>0</v>
      </c>
      <c r="U62" s="1">
        <f>MAX(intermediate_results[[#This Row], [Team1 laps '[laps']]:[Team9 laps '[laps']]]) - intermediate_results[[#This Row], [Team2 laps '[laps']]]</f>
        <v>1.6339333971104431E-2</v>
      </c>
      <c r="V62" s="1">
        <f>MAX(intermediate_results[[#This Row], [Team1 laps '[laps']]:[Team9 laps '[laps']]]) - intermediate_results[[#This Row], [Team3 laps '[laps']]]</f>
        <v>0.14974413503710959</v>
      </c>
      <c r="W62" s="1">
        <f>MAX(intermediate_results[[#This Row], [Team1 laps '[laps']]:[Team9 laps '[laps']]]) - intermediate_results[[#This Row], [Team4 laps '[laps']]]</f>
        <v>0.30143763019788583</v>
      </c>
      <c r="X62" s="1">
        <f>MAX(intermediate_results[[#This Row], [Team1 laps '[laps']]:[Team9 laps '[laps']]]) - intermediate_results[[#This Row], [Team5 laps '[laps']]]</f>
        <v>0.27549156763632965</v>
      </c>
      <c r="Y62" s="1">
        <f>MAX(intermediate_results[[#This Row], [Team1 laps '[laps']]:[Team9 laps '[laps']]]) - intermediate_results[[#This Row], [Team6 laps '[laps']]]</f>
        <v>0.36192687615386188</v>
      </c>
      <c r="Z62" s="1">
        <f>MAX(intermediate_results[[#This Row], [Team1 laps '[laps']]:[Team9 laps '[laps']]]) - intermediate_results[[#This Row], [Team7 laps '[laps']]]</f>
        <v>0.30241135594277058</v>
      </c>
      <c r="AA62" s="1">
        <f>MAX(intermediate_results[[#This Row], [Team1 laps '[laps']]:[Team9 laps '[laps']]]) - intermediate_results[[#This Row], [Team8 laps '[laps']]]</f>
        <v>0.46900526935860309</v>
      </c>
      <c r="AB62" s="1">
        <f>MAX(intermediate_results[[#This Row], [Team1 laps '[laps']]:[Team9 laps '[laps']]]) - intermediate_results[[#This Row], [Team9 laps '[laps']]]</f>
        <v>0.46440612724660735</v>
      </c>
      <c r="AC62" s="1">
        <f>9 * intermediate_results[[#This Row], [All cumulative times '[sec']]] / SUM(intermediate_results[[#This Row], [Team1 laps '[laps']]:[Team9 laps '[laps']]])</f>
        <v>55.13372309052864</v>
      </c>
      <c r="AD62" s="1">
        <f>intermediate_results[[#This Row], [All cumulative times '[sec']]] / intermediate_results[[#This Row], [Team1 laps '[laps']]] - intermediate_results[[#This Row], [Total running average '[sec']]]</f>
        <v>-1.9477832425957189</v>
      </c>
      <c r="AE62" s="1">
        <f>intermediate_results[[#This Row], [All cumulative times '[sec']]] / intermediate_results[[#This Row], [Team2 laps '[laps']]] - intermediate_results[[#This Row], [Total running average '[sec']]]</f>
        <v>-1.8294778206329383</v>
      </c>
      <c r="AF62" s="1">
        <f>intermediate_results[[#This Row], [All cumulative times '[sec']]] / intermediate_results[[#This Row], [Team3 laps '[laps']]] - intermediate_results[[#This Row], [Total running average '[sec']]]</f>
        <v>-0.8435013844475634</v>
      </c>
      <c r="AG62" s="1">
        <f>intermediate_results[[#This Row], [All cumulative times '[sec']]] / intermediate_results[[#This Row], [Team4 laps '[laps']]] - intermediate_results[[#This Row], [Total running average '[sec']]]</f>
        <v>0.32291544542947292</v>
      </c>
      <c r="AH62" s="1">
        <f>intermediate_results[[#This Row], [All cumulative times '[sec']]] / intermediate_results[[#This Row], [Team5 laps '[laps']]] - intermediate_results[[#This Row], [Total running average '[sec']]]</f>
        <v>0.11986816562461655</v>
      </c>
      <c r="AI62" s="1">
        <f>intermediate_results[[#This Row], [All cumulative times '[sec']]] / intermediate_results[[#This Row], [Team6 laps '[laps']]] - intermediate_results[[#This Row], [Total running average '[sec']]]</f>
        <v>0.80213405232850477</v>
      </c>
      <c r="AJ62" s="1">
        <f>intermediate_results[[#This Row], [All cumulative times '[sec']]] / intermediate_results[[#This Row], [Team7 laps '[laps']]] - intermediate_results[[#This Row], [Total running average '[sec']]]</f>
        <v>0.33056463275863734</v>
      </c>
      <c r="AK62" s="1">
        <f>intermediate_results[[#This Row], [All cumulative times '[sec']]] / intermediate_results[[#This Row], [Team8 laps '[laps']]] - intermediate_results[[#This Row], [Total running average '[sec']]]</f>
        <v>1.6710720799251675</v>
      </c>
      <c r="AL62" s="1">
        <f>intermediate_results[[#This Row], [All cumulative times '[sec']]] / intermediate_results[[#This Row], [Team9 laps '[laps']]] - intermediate_results[[#This Row], [Total running average '[sec']]]</f>
        <v>1.6331956696696253</v>
      </c>
    </row>
    <row r="63" spans="1:38" x14ac:dyDescent="0.25">
      <c r="A63" s="1">
        <v>397.34199999999998</v>
      </c>
      <c r="B63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7.4721455625130853</v>
      </c>
      <c r="C63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7.4547631167166255</v>
      </c>
      <c r="D63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7.3190770650669128</v>
      </c>
      <c r="E63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7.16480527434521</v>
      </c>
      <c r="F63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7.190672474620202</v>
      </c>
      <c r="G63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7.1040517473722025</v>
      </c>
      <c r="H63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7.1656283211785841</v>
      </c>
      <c r="I63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6.9953990444169172</v>
      </c>
      <c r="J63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7</v>
      </c>
      <c r="K63" s="1">
        <f>intermediate_results[[#This Row], [Team1 laps '[laps']]] - intermediate_results[[#This Row], [Team1 laps '[laps']]]</f>
        <v>0</v>
      </c>
      <c r="L63" s="1">
        <f>intermediate_results[[#This Row], [Team1 laps '[laps']]] - intermediate_results[[#This Row], [Team2 laps '[laps']]]</f>
        <v>1.7382445796459756E-2</v>
      </c>
      <c r="M63" s="1">
        <f>intermediate_results[[#This Row], [Team1 laps '[laps']]] - intermediate_results[[#This Row], [Team3 laps '[laps']]]</f>
        <v>0.15306849744617246</v>
      </c>
      <c r="N63" s="1">
        <f>intermediate_results[[#This Row], [Team1 laps '[laps']]] - intermediate_results[[#This Row], [Team4 laps '[laps']]]</f>
        <v>0.30734028816787529</v>
      </c>
      <c r="O63" s="1">
        <f>intermediate_results[[#This Row], [Team1 laps '[laps']]] - intermediate_results[[#This Row], [Team5 laps '[laps']]]</f>
        <v>0.28147308789288328</v>
      </c>
      <c r="P63" s="1">
        <f>intermediate_results[[#This Row], [Team1 laps '[laps']]] - intermediate_results[[#This Row], [Team6 laps '[laps']]]</f>
        <v>0.3680938151408828</v>
      </c>
      <c r="Q63" s="1">
        <f>intermediate_results[[#This Row], [Team1 laps '[laps']]] - intermediate_results[[#This Row], [Team7 laps '[laps']]]</f>
        <v>0.3065172413345012</v>
      </c>
      <c r="R63" s="1">
        <f>intermediate_results[[#This Row], [Team1 laps '[laps']]] - intermediate_results[[#This Row], [Team8 laps '[laps']]]</f>
        <v>0.47674651809616808</v>
      </c>
      <c r="S63" s="1">
        <f>intermediate_results[[#This Row], [Team1 laps '[laps']]] - intermediate_results[[#This Row], [Team9 laps '[laps']]]</f>
        <v>0.47214556251308526</v>
      </c>
      <c r="T63" s="1">
        <f>MAX(intermediate_results[[#This Row], [Team1 laps '[laps']]:[Team9 laps '[laps']]]) - intermediate_results[[#This Row], [Team1 laps '[laps']]]</f>
        <v>0</v>
      </c>
      <c r="U63" s="1">
        <f>MAX(intermediate_results[[#This Row], [Team1 laps '[laps']]:[Team9 laps '[laps']]]) - intermediate_results[[#This Row], [Team2 laps '[laps']]]</f>
        <v>1.7382445796459756E-2</v>
      </c>
      <c r="V63" s="1">
        <f>MAX(intermediate_results[[#This Row], [Team1 laps '[laps']]:[Team9 laps '[laps']]]) - intermediate_results[[#This Row], [Team3 laps '[laps']]]</f>
        <v>0.15306849744617246</v>
      </c>
      <c r="W63" s="1">
        <f>MAX(intermediate_results[[#This Row], [Team1 laps '[laps']]:[Team9 laps '[laps']]]) - intermediate_results[[#This Row], [Team4 laps '[laps']]]</f>
        <v>0.30734028816787529</v>
      </c>
      <c r="X63" s="1">
        <f>MAX(intermediate_results[[#This Row], [Team1 laps '[laps']]:[Team9 laps '[laps']]]) - intermediate_results[[#This Row], [Team5 laps '[laps']]]</f>
        <v>0.28147308789288328</v>
      </c>
      <c r="Y63" s="1">
        <f>MAX(intermediate_results[[#This Row], [Team1 laps '[laps']]:[Team9 laps '[laps']]]) - intermediate_results[[#This Row], [Team6 laps '[laps']]]</f>
        <v>0.3680938151408828</v>
      </c>
      <c r="Z63" s="1">
        <f>MAX(intermediate_results[[#This Row], [Team1 laps '[laps']]:[Team9 laps '[laps']]]) - intermediate_results[[#This Row], [Team7 laps '[laps']]]</f>
        <v>0.3065172413345012</v>
      </c>
      <c r="AA63" s="1">
        <f>MAX(intermediate_results[[#This Row], [Team1 laps '[laps']]:[Team9 laps '[laps']]]) - intermediate_results[[#This Row], [Team8 laps '[laps']]]</f>
        <v>0.47674651809616808</v>
      </c>
      <c r="AB63" s="1">
        <f>MAX(intermediate_results[[#This Row], [Team1 laps '[laps']]:[Team9 laps '[laps']]]) - intermediate_results[[#This Row], [Team9 laps '[laps']]]</f>
        <v>0.47214556251308526</v>
      </c>
      <c r="AC63" s="1">
        <f>9 * intermediate_results[[#This Row], [All cumulative times '[sec']]] / SUM(intermediate_results[[#This Row], [Team1 laps '[laps']]:[Team9 laps '[laps']]])</f>
        <v>55.129776558440398</v>
      </c>
      <c r="AD63" s="1">
        <f>intermediate_results[[#This Row], [All cumulative times '[sec']]] / intermediate_results[[#This Row], [Team1 laps '[laps']]] - intermediate_results[[#This Row], [Total running average '[sec']]]</f>
        <v>-1.9533499650640351</v>
      </c>
      <c r="AE63" s="1">
        <f>intermediate_results[[#This Row], [All cumulative times '[sec']]] / intermediate_results[[#This Row], [Team2 laps '[laps']]] - intermediate_results[[#This Row], [Total running average '[sec']]]</f>
        <v>-1.8293572454515186</v>
      </c>
      <c r="AF63" s="1">
        <f>intermediate_results[[#This Row], [All cumulative times '[sec']]] / intermediate_results[[#This Row], [Team3 laps '[laps']]] - intermediate_results[[#This Row], [Total running average '[sec']]]</f>
        <v>-0.84123765283626994</v>
      </c>
      <c r="AG63" s="1">
        <f>intermediate_results[[#This Row], [All cumulative times '[sec']]] / intermediate_results[[#This Row], [Team4 laps '[laps']]] - intermediate_results[[#This Row], [Total running average '[sec']]]</f>
        <v>0.32769713212169194</v>
      </c>
      <c r="AH63" s="1">
        <f>intermediate_results[[#This Row], [All cumulative times '[sec']]] / intermediate_results[[#This Row], [Team5 laps '[laps']]] - intermediate_results[[#This Row], [Total running average '[sec']]]</f>
        <v>0.12819846440151395</v>
      </c>
      <c r="AI63" s="1">
        <f>intermediate_results[[#This Row], [All cumulative times '[sec']]] / intermediate_results[[#This Row], [Team6 laps '[laps']]] - intermediate_results[[#This Row], [Total running average '[sec']]]</f>
        <v>0.80196692118406787</v>
      </c>
      <c r="AJ63" s="1">
        <f>intermediate_results[[#This Row], [All cumulative times '[sec']]] / intermediate_results[[#This Row], [Team7 laps '[laps']]] - intermediate_results[[#This Row], [Total running average '[sec']]]</f>
        <v>0.32132726529884081</v>
      </c>
      <c r="AK63" s="1">
        <f>intermediate_results[[#This Row], [All cumulative times '[sec']]] / intermediate_results[[#This Row], [Team8 laps '[laps']]] - intermediate_results[[#This Row], [Total running average '[sec']]]</f>
        <v>1.6707000801470429</v>
      </c>
      <c r="AL63" s="1">
        <f>intermediate_results[[#This Row], [All cumulative times '[sec']]] / intermediate_results[[#This Row], [Team9 laps '[laps']]] - intermediate_results[[#This Row], [Total running average '[sec']]]</f>
        <v>1.6333662987024553</v>
      </c>
    </row>
    <row r="64" spans="1:38" x14ac:dyDescent="0.25">
      <c r="A64" s="1">
        <v>397.60199999999998</v>
      </c>
      <c r="B64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7.4770940789098042</v>
      </c>
      <c r="C64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7.4596648002563946</v>
      </c>
      <c r="D64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7.3238763267189659</v>
      </c>
      <c r="E64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7.1694887776056486</v>
      </c>
      <c r="F64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7.1953524371805013</v>
      </c>
      <c r="G64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7.1087233851405971</v>
      </c>
      <c r="H64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7.1703924945944966</v>
      </c>
      <c r="I64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7</v>
      </c>
      <c r="J64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7.0046034809398181</v>
      </c>
      <c r="K64" s="1">
        <f>intermediate_results[[#This Row], [Team1 laps '[laps']]] - intermediate_results[[#This Row], [Team1 laps '[laps']]]</f>
        <v>0</v>
      </c>
      <c r="L64" s="1">
        <f>intermediate_results[[#This Row], [Team1 laps '[laps']]] - intermediate_results[[#This Row], [Team2 laps '[laps']]]</f>
        <v>1.7429278653409597E-2</v>
      </c>
      <c r="M64" s="1">
        <f>intermediate_results[[#This Row], [Team1 laps '[laps']]] - intermediate_results[[#This Row], [Team3 laps '[laps']]]</f>
        <v>0.15321775219083822</v>
      </c>
      <c r="N64" s="1">
        <f>intermediate_results[[#This Row], [Team1 laps '[laps']]] - intermediate_results[[#This Row], [Team4 laps '[laps']]]</f>
        <v>0.30760530130415553</v>
      </c>
      <c r="O64" s="1">
        <f>intermediate_results[[#This Row], [Team1 laps '[laps']]] - intermediate_results[[#This Row], [Team5 laps '[laps']]]</f>
        <v>0.28174164172930283</v>
      </c>
      <c r="P64" s="1">
        <f>intermediate_results[[#This Row], [Team1 laps '[laps']]] - intermediate_results[[#This Row], [Team6 laps '[laps']]]</f>
        <v>0.36837069376920706</v>
      </c>
      <c r="Q64" s="1">
        <f>intermediate_results[[#This Row], [Team1 laps '[laps']]] - intermediate_results[[#This Row], [Team7 laps '[laps']]]</f>
        <v>0.30670158431530758</v>
      </c>
      <c r="R64" s="1">
        <f>intermediate_results[[#This Row], [Team1 laps '[laps']]] - intermediate_results[[#This Row], [Team8 laps '[laps']]]</f>
        <v>0.47709407890980415</v>
      </c>
      <c r="S64" s="1">
        <f>intermediate_results[[#This Row], [Team1 laps '[laps']]] - intermediate_results[[#This Row], [Team9 laps '[laps']]]</f>
        <v>0.47249059796998605</v>
      </c>
      <c r="T64" s="1">
        <f>MAX(intermediate_results[[#This Row], [Team1 laps '[laps']]:[Team9 laps '[laps']]]) - intermediate_results[[#This Row], [Team1 laps '[laps']]]</f>
        <v>0</v>
      </c>
      <c r="U64" s="1">
        <f>MAX(intermediate_results[[#This Row], [Team1 laps '[laps']]:[Team9 laps '[laps']]]) - intermediate_results[[#This Row], [Team2 laps '[laps']]]</f>
        <v>1.7429278653409597E-2</v>
      </c>
      <c r="V64" s="1">
        <f>MAX(intermediate_results[[#This Row], [Team1 laps '[laps']]:[Team9 laps '[laps']]]) - intermediate_results[[#This Row], [Team3 laps '[laps']]]</f>
        <v>0.15321775219083822</v>
      </c>
      <c r="W64" s="1">
        <f>MAX(intermediate_results[[#This Row], [Team1 laps '[laps']]:[Team9 laps '[laps']]]) - intermediate_results[[#This Row], [Team4 laps '[laps']]]</f>
        <v>0.30760530130415553</v>
      </c>
      <c r="X64" s="1">
        <f>MAX(intermediate_results[[#This Row], [Team1 laps '[laps']]:[Team9 laps '[laps']]]) - intermediate_results[[#This Row], [Team5 laps '[laps']]]</f>
        <v>0.28174164172930283</v>
      </c>
      <c r="Y64" s="1">
        <f>MAX(intermediate_results[[#This Row], [Team1 laps '[laps']]:[Team9 laps '[laps']]]) - intermediate_results[[#This Row], [Team6 laps '[laps']]]</f>
        <v>0.36837069376920706</v>
      </c>
      <c r="Z64" s="1">
        <f>MAX(intermediate_results[[#This Row], [Team1 laps '[laps']]:[Team9 laps '[laps']]]) - intermediate_results[[#This Row], [Team7 laps '[laps']]]</f>
        <v>0.30670158431530758</v>
      </c>
      <c r="AA64" s="1">
        <f>MAX(intermediate_results[[#This Row], [Team1 laps '[laps']]:[Team9 laps '[laps']]]) - intermediate_results[[#This Row], [Team8 laps '[laps']]]</f>
        <v>0.47709407890980415</v>
      </c>
      <c r="AB64" s="1">
        <f>MAX(intermediate_results[[#This Row], [Team1 laps '[laps']]:[Team9 laps '[laps']]]) - intermediate_results[[#This Row], [Team9 laps '[laps']]]</f>
        <v>0.47249059796998605</v>
      </c>
      <c r="AC64" s="1">
        <f>9 * intermediate_results[[#This Row], [All cumulative times '[sec']]] / SUM(intermediate_results[[#This Row], [Team1 laps '[laps']]:[Team9 laps '[laps']]])</f>
        <v>55.129600003893046</v>
      </c>
      <c r="AD64" s="1">
        <f>intermediate_results[[#This Row], [All cumulative times '[sec']]] / intermediate_results[[#This Row], [Team1 laps '[laps']]] - intermediate_results[[#This Row], [Total running average '[sec']]]</f>
        <v>-1.9535939507537208</v>
      </c>
      <c r="AE64" s="1">
        <f>intermediate_results[[#This Row], [All cumulative times '[sec']]] / intermediate_results[[#This Row], [Team2 laps '[laps']]] - intermediate_results[[#This Row], [Total running average '[sec']]]</f>
        <v>-1.8293498389883069</v>
      </c>
      <c r="AF64" s="1">
        <f>intermediate_results[[#This Row], [All cumulative times '[sec']]] / intermediate_results[[#This Row], [Team3 laps '[laps']]] - intermediate_results[[#This Row], [Total running average '[sec']]]</f>
        <v>-0.84113549917874053</v>
      </c>
      <c r="AG64" s="1">
        <f>intermediate_results[[#This Row], [All cumulative times '[sec']]] / intermediate_results[[#This Row], [Team4 laps '[laps']]] - intermediate_results[[#This Row], [Total running average '[sec']]]</f>
        <v>0.32791061275440114</v>
      </c>
      <c r="AH64" s="1">
        <f>intermediate_results[[#This Row], [All cumulative times '[sec']]] / intermediate_results[[#This Row], [Team5 laps '[laps']]] - intermediate_results[[#This Row], [Total running average '[sec']]]</f>
        <v>0.12856885875689983</v>
      </c>
      <c r="AI64" s="1">
        <f>intermediate_results[[#This Row], [All cumulative times '[sec']]] / intermediate_results[[#This Row], [Team6 laps '[laps']]] - intermediate_results[[#This Row], [Total running average '[sec']]]</f>
        <v>0.80196160829594021</v>
      </c>
      <c r="AJ64" s="1">
        <f>intermediate_results[[#This Row], [All cumulative times '[sec']]] / intermediate_results[[#This Row], [Team7 laps '[laps']]] - intermediate_results[[#This Row], [Total running average '[sec']]]</f>
        <v>0.32092105192613474</v>
      </c>
      <c r="AK64" s="1">
        <f>intermediate_results[[#This Row], [All cumulative times '[sec']]] / intermediate_results[[#This Row], [Team8 laps '[laps']]] - intermediate_results[[#This Row], [Total running average '[sec']]]</f>
        <v>1.670685710392668</v>
      </c>
      <c r="AL64" s="1">
        <f>intermediate_results[[#This Row], [All cumulative times '[sec']]] / intermediate_results[[#This Row], [Team9 laps '[laps']]] - intermediate_results[[#This Row], [Total running average '[sec']]]</f>
        <v>1.6333561123114251</v>
      </c>
    </row>
    <row r="65" spans="1:38" x14ac:dyDescent="0.25">
      <c r="A65" s="1">
        <v>425.07600000000002</v>
      </c>
      <c r="B65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8.0000000000000018</v>
      </c>
      <c r="C65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7.9776219293780519</v>
      </c>
      <c r="D65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7.8310106137517312</v>
      </c>
      <c r="E65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7.6643909644414023</v>
      </c>
      <c r="F65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7.6898804809561527</v>
      </c>
      <c r="G65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7.6023717545593383</v>
      </c>
      <c r="H65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7.673819034705172</v>
      </c>
      <c r="I65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7.4820592002526638</v>
      </c>
      <c r="J65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7.4910497707112382</v>
      </c>
      <c r="K65" s="1">
        <f>intermediate_results[[#This Row], [Team1 laps '[laps']]] - intermediate_results[[#This Row], [Team1 laps '[laps']]]</f>
        <v>0</v>
      </c>
      <c r="L65" s="1">
        <f>intermediate_results[[#This Row], [Team1 laps '[laps']]] - intermediate_results[[#This Row], [Team2 laps '[laps']]]</f>
        <v>2.2378070621949853E-2</v>
      </c>
      <c r="M65" s="1">
        <f>intermediate_results[[#This Row], [Team1 laps '[laps']]] - intermediate_results[[#This Row], [Team3 laps '[laps']]]</f>
        <v>0.16898938624827053</v>
      </c>
      <c r="N65" s="1">
        <f>intermediate_results[[#This Row], [Team1 laps '[laps']]] - intermediate_results[[#This Row], [Team4 laps '[laps']]]</f>
        <v>0.33560903555859944</v>
      </c>
      <c r="O65" s="1">
        <f>intermediate_results[[#This Row], [Team1 laps '[laps']]] - intermediate_results[[#This Row], [Team5 laps '[laps']]]</f>
        <v>0.31011951904384905</v>
      </c>
      <c r="P65" s="1">
        <f>intermediate_results[[#This Row], [Team1 laps '[laps']]] - intermediate_results[[#This Row], [Team6 laps '[laps']]]</f>
        <v>0.39762824544066344</v>
      </c>
      <c r="Q65" s="1">
        <f>intermediate_results[[#This Row], [Team1 laps '[laps']]] - intermediate_results[[#This Row], [Team7 laps '[laps']]]</f>
        <v>0.32618096529482976</v>
      </c>
      <c r="R65" s="1">
        <f>intermediate_results[[#This Row], [Team1 laps '[laps']]] - intermediate_results[[#This Row], [Team8 laps '[laps']]]</f>
        <v>0.51794079974733798</v>
      </c>
      <c r="S65" s="1">
        <f>intermediate_results[[#This Row], [Team1 laps '[laps']]] - intermediate_results[[#This Row], [Team9 laps '[laps']]]</f>
        <v>0.50895022928876354</v>
      </c>
      <c r="T65" s="1">
        <f>MAX(intermediate_results[[#This Row], [Team1 laps '[laps']]:[Team9 laps '[laps']]]) - intermediate_results[[#This Row], [Team1 laps '[laps']]]</f>
        <v>0</v>
      </c>
      <c r="U65" s="1">
        <f>MAX(intermediate_results[[#This Row], [Team1 laps '[laps']]:[Team9 laps '[laps']]]) - intermediate_results[[#This Row], [Team2 laps '[laps']]]</f>
        <v>2.2378070621949853E-2</v>
      </c>
      <c r="V65" s="1">
        <f>MAX(intermediate_results[[#This Row], [Team1 laps '[laps']]:[Team9 laps '[laps']]]) - intermediate_results[[#This Row], [Team3 laps '[laps']]]</f>
        <v>0.16898938624827053</v>
      </c>
      <c r="W65" s="1">
        <f>MAX(intermediate_results[[#This Row], [Team1 laps '[laps']]:[Team9 laps '[laps']]]) - intermediate_results[[#This Row], [Team4 laps '[laps']]]</f>
        <v>0.33560903555859944</v>
      </c>
      <c r="X65" s="1">
        <f>MAX(intermediate_results[[#This Row], [Team1 laps '[laps']]:[Team9 laps '[laps']]]) - intermediate_results[[#This Row], [Team5 laps '[laps']]]</f>
        <v>0.31011951904384905</v>
      </c>
      <c r="Y65" s="1">
        <f>MAX(intermediate_results[[#This Row], [Team1 laps '[laps']]:[Team9 laps '[laps']]]) - intermediate_results[[#This Row], [Team6 laps '[laps']]]</f>
        <v>0.39762824544066344</v>
      </c>
      <c r="Z65" s="1">
        <f>MAX(intermediate_results[[#This Row], [Team1 laps '[laps']]:[Team9 laps '[laps']]]) - intermediate_results[[#This Row], [Team7 laps '[laps']]]</f>
        <v>0.32618096529482976</v>
      </c>
      <c r="AA65" s="1">
        <f>MAX(intermediate_results[[#This Row], [Team1 laps '[laps']]:[Team9 laps '[laps']]]) - intermediate_results[[#This Row], [Team8 laps '[laps']]]</f>
        <v>0.51794079974733798</v>
      </c>
      <c r="AB65" s="1">
        <f>MAX(intermediate_results[[#This Row], [Team1 laps '[laps']]:[Team9 laps '[laps']]]) - intermediate_results[[#This Row], [Team9 laps '[laps']]]</f>
        <v>0.50895022928876354</v>
      </c>
      <c r="AC65" s="1">
        <f>9 * intermediate_results[[#This Row], [All cumulative times '[sec']]] / SUM(intermediate_results[[#This Row], [Team1 laps '[laps']]:[Team9 laps '[laps']]])</f>
        <v>55.115437824844697</v>
      </c>
      <c r="AD65" s="1">
        <f>intermediate_results[[#This Row], [All cumulative times '[sec']]] / intermediate_results[[#This Row], [Team1 laps '[laps']]] - intermediate_results[[#This Row], [Total running average '[sec']]]</f>
        <v>-1.9809378248447089</v>
      </c>
      <c r="AE65" s="1">
        <f>intermediate_results[[#This Row], [All cumulative times '[sec']]] / intermediate_results[[#This Row], [Team2 laps '[laps']]] - intermediate_results[[#This Row], [Total running average '[sec']]]</f>
        <v>-1.8318899501787911</v>
      </c>
      <c r="AF65" s="1">
        <f>intermediate_results[[#This Row], [All cumulative times '[sec']]] / intermediate_results[[#This Row], [Team3 laps '[laps']]] - intermediate_results[[#This Row], [Total running average '[sec']]]</f>
        <v>-0.83432125305245819</v>
      </c>
      <c r="AG65" s="1">
        <f>intermediate_results[[#This Row], [All cumulative times '[sec']]] / intermediate_results[[#This Row], [Team4 laps '[laps']]] - intermediate_results[[#This Row], [Total running average '[sec']]]</f>
        <v>0.34572040313728536</v>
      </c>
      <c r="AH65" s="1">
        <f>intermediate_results[[#This Row], [All cumulative times '[sec']]] / intermediate_results[[#This Row], [Team5 laps '[laps']]] - intermediate_results[[#This Row], [Total running average '[sec']]]</f>
        <v>0.16188424182368522</v>
      </c>
      <c r="AI65" s="1">
        <f>intermediate_results[[#This Row], [All cumulative times '[sec']]] / intermediate_results[[#This Row], [Team6 laps '[laps']]] - intermediate_results[[#This Row], [Total running average '[sec']]]</f>
        <v>0.79816568251746389</v>
      </c>
      <c r="AJ65" s="1">
        <f>intermediate_results[[#This Row], [All cumulative times '[sec']]] / intermediate_results[[#This Row], [Team7 laps '[laps']]] - intermediate_results[[#This Row], [Total running average '[sec']]]</f>
        <v>0.27758070707217541</v>
      </c>
      <c r="AK65" s="1">
        <f>intermediate_results[[#This Row], [All cumulative times '[sec']]] / intermediate_results[[#This Row], [Team8 laps '[laps']]] - intermediate_results[[#This Row], [Total running average '[sec']]]</f>
        <v>1.6972642165459249</v>
      </c>
      <c r="AL65" s="1">
        <f>intermediate_results[[#This Row], [All cumulative times '[sec']]] / intermediate_results[[#This Row], [Team9 laps '[laps']]] - intermediate_results[[#This Row], [Total running average '[sec']]]</f>
        <v>1.6290790333901342</v>
      </c>
    </row>
    <row r="66" spans="1:38" x14ac:dyDescent="0.25">
      <c r="A66" s="1">
        <v>426.26299999999998</v>
      </c>
      <c r="B66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8.0225708309564556</v>
      </c>
      <c r="C66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7.9999999999999991</v>
      </c>
      <c r="D66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7.8529210890632211</v>
      </c>
      <c r="E66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7.6857729581727128</v>
      </c>
      <c r="F66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7.7112463100295194</v>
      </c>
      <c r="G66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7.6236995777558159</v>
      </c>
      <c r="H66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7.6955693187232024</v>
      </c>
      <c r="I66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7.5028863193725543</v>
      </c>
      <c r="J66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7.5120664317711006</v>
      </c>
      <c r="K66" s="1">
        <f>intermediate_results[[#This Row], [Team1 laps '[laps']]] - intermediate_results[[#This Row], [Team1 laps '[laps']]]</f>
        <v>0</v>
      </c>
      <c r="L66" s="1">
        <f>intermediate_results[[#This Row], [Team1 laps '[laps']]] - intermediate_results[[#This Row], [Team2 laps '[laps']]]</f>
        <v>2.2570830956456511E-2</v>
      </c>
      <c r="M66" s="1">
        <f>intermediate_results[[#This Row], [Team1 laps '[laps']]] - intermediate_results[[#This Row], [Team3 laps '[laps']]]</f>
        <v>0.16964974189323456</v>
      </c>
      <c r="N66" s="1">
        <f>intermediate_results[[#This Row], [Team1 laps '[laps']]] - intermediate_results[[#This Row], [Team4 laps '[laps']]]</f>
        <v>0.33679787278374285</v>
      </c>
      <c r="O66" s="1">
        <f>intermediate_results[[#This Row], [Team1 laps '[laps']]] - intermediate_results[[#This Row], [Team5 laps '[laps']]]</f>
        <v>0.31132452092693619</v>
      </c>
      <c r="P66" s="1">
        <f>intermediate_results[[#This Row], [Team1 laps '[laps']]] - intermediate_results[[#This Row], [Team6 laps '[laps']]]</f>
        <v>0.39887125320063976</v>
      </c>
      <c r="Q66" s="1">
        <f>intermediate_results[[#This Row], [Team1 laps '[laps']]] - intermediate_results[[#This Row], [Team7 laps '[laps']]]</f>
        <v>0.32700151223325324</v>
      </c>
      <c r="R66" s="1">
        <f>intermediate_results[[#This Row], [Team1 laps '[laps']]] - intermediate_results[[#This Row], [Team8 laps '[laps']]]</f>
        <v>0.51968451158390128</v>
      </c>
      <c r="S66" s="1">
        <f>intermediate_results[[#This Row], [Team1 laps '[laps']]] - intermediate_results[[#This Row], [Team9 laps '[laps']]]</f>
        <v>0.51050439918535506</v>
      </c>
      <c r="T66" s="1">
        <f>MAX(intermediate_results[[#This Row], [Team1 laps '[laps']]:[Team9 laps '[laps']]]) - intermediate_results[[#This Row], [Team1 laps '[laps']]]</f>
        <v>0</v>
      </c>
      <c r="U66" s="1">
        <f>MAX(intermediate_results[[#This Row], [Team1 laps '[laps']]:[Team9 laps '[laps']]]) - intermediate_results[[#This Row], [Team2 laps '[laps']]]</f>
        <v>2.2570830956456511E-2</v>
      </c>
      <c r="V66" s="1">
        <f>MAX(intermediate_results[[#This Row], [Team1 laps '[laps']]:[Team9 laps '[laps']]]) - intermediate_results[[#This Row], [Team3 laps '[laps']]]</f>
        <v>0.16964974189323456</v>
      </c>
      <c r="W66" s="1">
        <f>MAX(intermediate_results[[#This Row], [Team1 laps '[laps']]:[Team9 laps '[laps']]]) - intermediate_results[[#This Row], [Team4 laps '[laps']]]</f>
        <v>0.33679787278374285</v>
      </c>
      <c r="X66" s="1">
        <f>MAX(intermediate_results[[#This Row], [Team1 laps '[laps']]:[Team9 laps '[laps']]]) - intermediate_results[[#This Row], [Team5 laps '[laps']]]</f>
        <v>0.31132452092693619</v>
      </c>
      <c r="Y66" s="1">
        <f>MAX(intermediate_results[[#This Row], [Team1 laps '[laps']]:[Team9 laps '[laps']]]) - intermediate_results[[#This Row], [Team6 laps '[laps']]]</f>
        <v>0.39887125320063976</v>
      </c>
      <c r="Z66" s="1">
        <f>MAX(intermediate_results[[#This Row], [Team1 laps '[laps']]:[Team9 laps '[laps']]]) - intermediate_results[[#This Row], [Team7 laps '[laps']]]</f>
        <v>0.32700151223325324</v>
      </c>
      <c r="AA66" s="1">
        <f>MAX(intermediate_results[[#This Row], [Team1 laps '[laps']]:[Team9 laps '[laps']]]) - intermediate_results[[#This Row], [Team8 laps '[laps']]]</f>
        <v>0.51968451158390128</v>
      </c>
      <c r="AB66" s="1">
        <f>MAX(intermediate_results[[#This Row], [Team1 laps '[laps']]:[Team9 laps '[laps']]]) - intermediate_results[[#This Row], [Team9 laps '[laps']]]</f>
        <v>0.51050439918535506</v>
      </c>
      <c r="AC66" s="1">
        <f>9 * intermediate_results[[#This Row], [All cumulative times '[sec']]] / SUM(intermediate_results[[#This Row], [Team1 laps '[laps']]:[Team9 laps '[laps']]])</f>
        <v>55.114883915718423</v>
      </c>
      <c r="AD66" s="1">
        <f>intermediate_results[[#This Row], [All cumulative times '[sec']]] / intermediate_results[[#This Row], [Team1 laps '[laps']]] - intermediate_results[[#This Row], [Total running average '[sec']]]</f>
        <v>-1.9819158208539207</v>
      </c>
      <c r="AE66" s="1">
        <f>intermediate_results[[#This Row], [All cumulative times '[sec']]] / intermediate_results[[#This Row], [Team2 laps '[laps']]] - intermediate_results[[#This Row], [Total running average '[sec']]]</f>
        <v>-1.8320089157184185</v>
      </c>
      <c r="AF66" s="1">
        <f>intermediate_results[[#This Row], [All cumulative times '[sec']]] / intermediate_results[[#This Row], [Team3 laps '[laps']]] - intermediate_results[[#This Row], [Total running average '[sec']]]</f>
        <v>-0.83406342031610592</v>
      </c>
      <c r="AG66" s="1">
        <f>intermediate_results[[#This Row], [All cumulative times '[sec']]] / intermediate_results[[#This Row], [Team4 laps '[laps']]] - intermediate_results[[#This Row], [Total running average '[sec']]]</f>
        <v>0.34642131926521813</v>
      </c>
      <c r="AH66" s="1">
        <f>intermediate_results[[#This Row], [All cumulative times '[sec']]] / intermediate_results[[#This Row], [Team5 laps '[laps']]] - intermediate_results[[#This Row], [Total running average '[sec']]]</f>
        <v>0.16321029397985143</v>
      </c>
      <c r="AI66" s="1">
        <f>intermediate_results[[#This Row], [All cumulative times '[sec']]] / intermediate_results[[#This Row], [Team6 laps '[laps']]] - intermediate_results[[#This Row], [Total running average '[sec']]]</f>
        <v>0.79799613056991348</v>
      </c>
      <c r="AJ66" s="1">
        <f>intermediate_results[[#This Row], [All cumulative times '[sec']]] / intermediate_results[[#This Row], [Team7 laps '[laps']]] - intermediate_results[[#This Row], [Total running average '[sec']]]</f>
        <v>0.27581979257104905</v>
      </c>
      <c r="AK66" s="1">
        <f>intermediate_results[[#This Row], [All cumulative times '[sec']]] / intermediate_results[[#This Row], [Team8 laps '[laps']]] - intermediate_results[[#This Row], [Total running average '[sec']]]</f>
        <v>1.6983186113388129</v>
      </c>
      <c r="AL66" s="1">
        <f>intermediate_results[[#This Row], [All cumulative times '[sec']]] / intermediate_results[[#This Row], [Team9 laps '[laps']]] - intermediate_results[[#This Row], [Total running average '[sec']]]</f>
        <v>1.6288901006012182</v>
      </c>
    </row>
    <row r="67" spans="1:38" x14ac:dyDescent="0.25">
      <c r="A67" s="1">
        <v>434.23099999999999</v>
      </c>
      <c r="B67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8.1740825251949047</v>
      </c>
      <c r="C67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8.1502687411598291</v>
      </c>
      <c r="D67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8</v>
      </c>
      <c r="E67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7.8293043196310839</v>
      </c>
      <c r="F67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7.8546691626466982</v>
      </c>
      <c r="G67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7.7668673075195391</v>
      </c>
      <c r="H67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7.8415729101770086</v>
      </c>
      <c r="I67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7.6426929622936157</v>
      </c>
      <c r="J67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7.6531454168806103</v>
      </c>
      <c r="K67" s="1">
        <f>intermediate_results[[#This Row], [Team1 laps '[laps']]] - intermediate_results[[#This Row], [Team1 laps '[laps']]]</f>
        <v>0</v>
      </c>
      <c r="L67" s="1">
        <f>intermediate_results[[#This Row], [Team1 laps '[laps']]] - intermediate_results[[#This Row], [Team2 laps '[laps']]]</f>
        <v>2.3813784035075614E-2</v>
      </c>
      <c r="M67" s="1">
        <f>intermediate_results[[#This Row], [Team1 laps '[laps']]] - intermediate_results[[#This Row], [Team3 laps '[laps']]]</f>
        <v>0.17408252519490475</v>
      </c>
      <c r="N67" s="1">
        <f>intermediate_results[[#This Row], [Team1 laps '[laps']]] - intermediate_results[[#This Row], [Team4 laps '[laps']]]</f>
        <v>0.34477820556382088</v>
      </c>
      <c r="O67" s="1">
        <f>intermediate_results[[#This Row], [Team1 laps '[laps']]] - intermediate_results[[#This Row], [Team5 laps '[laps']]]</f>
        <v>0.31941336254820651</v>
      </c>
      <c r="P67" s="1">
        <f>intermediate_results[[#This Row], [Team1 laps '[laps']]] - intermediate_results[[#This Row], [Team6 laps '[laps']]]</f>
        <v>0.40721521767536561</v>
      </c>
      <c r="Q67" s="1">
        <f>intermediate_results[[#This Row], [Team1 laps '[laps']]] - intermediate_results[[#This Row], [Team7 laps '[laps']]]</f>
        <v>0.33250961501789611</v>
      </c>
      <c r="R67" s="1">
        <f>intermediate_results[[#This Row], [Team1 laps '[laps']]] - intermediate_results[[#This Row], [Team8 laps '[laps']]]</f>
        <v>0.53138956290128903</v>
      </c>
      <c r="S67" s="1">
        <f>intermediate_results[[#This Row], [Team1 laps '[laps']]] - intermediate_results[[#This Row], [Team9 laps '[laps']]]</f>
        <v>0.52093710831429441</v>
      </c>
      <c r="T67" s="1">
        <f>MAX(intermediate_results[[#This Row], [Team1 laps '[laps']]:[Team9 laps '[laps']]]) - intermediate_results[[#This Row], [Team1 laps '[laps']]]</f>
        <v>0</v>
      </c>
      <c r="U67" s="1">
        <f>MAX(intermediate_results[[#This Row], [Team1 laps '[laps']]:[Team9 laps '[laps']]]) - intermediate_results[[#This Row], [Team2 laps '[laps']]]</f>
        <v>2.3813784035075614E-2</v>
      </c>
      <c r="V67" s="1">
        <f>MAX(intermediate_results[[#This Row], [Team1 laps '[laps']]:[Team9 laps '[laps']]]) - intermediate_results[[#This Row], [Team3 laps '[laps']]]</f>
        <v>0.17408252519490475</v>
      </c>
      <c r="W67" s="1">
        <f>MAX(intermediate_results[[#This Row], [Team1 laps '[laps']]:[Team9 laps '[laps']]]) - intermediate_results[[#This Row], [Team4 laps '[laps']]]</f>
        <v>0.34477820556382088</v>
      </c>
      <c r="X67" s="1">
        <f>MAX(intermediate_results[[#This Row], [Team1 laps '[laps']]:[Team9 laps '[laps']]]) - intermediate_results[[#This Row], [Team5 laps '[laps']]]</f>
        <v>0.31941336254820651</v>
      </c>
      <c r="Y67" s="1">
        <f>MAX(intermediate_results[[#This Row], [Team1 laps '[laps']]:[Team9 laps '[laps']]]) - intermediate_results[[#This Row], [Team6 laps '[laps']]]</f>
        <v>0.40721521767536561</v>
      </c>
      <c r="Z67" s="1">
        <f>MAX(intermediate_results[[#This Row], [Team1 laps '[laps']]:[Team9 laps '[laps']]]) - intermediate_results[[#This Row], [Team7 laps '[laps']]]</f>
        <v>0.33250961501789611</v>
      </c>
      <c r="AA67" s="1">
        <f>MAX(intermediate_results[[#This Row], [Team1 laps '[laps']]:[Team9 laps '[laps']]]) - intermediate_results[[#This Row], [Team8 laps '[laps']]]</f>
        <v>0.53138956290128903</v>
      </c>
      <c r="AB67" s="1">
        <f>MAX(intermediate_results[[#This Row], [Team1 laps '[laps']]:[Team9 laps '[laps']]]) - intermediate_results[[#This Row], [Team9 laps '[laps']]]</f>
        <v>0.52093710831429441</v>
      </c>
      <c r="AC67" s="1">
        <f>9 * intermediate_results[[#This Row], [All cumulative times '[sec']]] / SUM(intermediate_results[[#This Row], [Team1 laps '[laps']]:[Team9 laps '[laps']]])</f>
        <v>55.111204717148759</v>
      </c>
      <c r="AD67" s="1">
        <f>intermediate_results[[#This Row], [All cumulative times '[sec']]] / intermediate_results[[#This Row], [Team1 laps '[laps']]] - intermediate_results[[#This Row], [Total running average '[sec']]]</f>
        <v>-1.9883008730080292</v>
      </c>
      <c r="AE67" s="1">
        <f>intermediate_results[[#This Row], [All cumulative times '[sec']]] / intermediate_results[[#This Row], [Team2 laps '[laps']]] - intermediate_results[[#This Row], [Total running average '[sec']]]</f>
        <v>-1.8330842292829246</v>
      </c>
      <c r="AF67" s="1">
        <f>intermediate_results[[#This Row], [All cumulative times '[sec']]] / intermediate_results[[#This Row], [Team3 laps '[laps']]] - intermediate_results[[#This Row], [Total running average '[sec']]]</f>
        <v>-0.83232971714875958</v>
      </c>
      <c r="AG67" s="1">
        <f>intermediate_results[[#This Row], [All cumulative times '[sec']]] / intermediate_results[[#This Row], [Team4 laps '[laps']]] - intermediate_results[[#This Row], [Total running average '[sec']]]</f>
        <v>0.35106654892216227</v>
      </c>
      <c r="AH67" s="1">
        <f>intermediate_results[[#This Row], [All cumulative times '[sec']]] / intermediate_results[[#This Row], [Team5 laps '[laps']]] - intermediate_results[[#This Row], [Total running average '[sec']]]</f>
        <v>0.17196393176249813</v>
      </c>
      <c r="AI67" s="1">
        <f>intermediate_results[[#This Row], [All cumulative times '[sec']]] / intermediate_results[[#This Row], [Team6 laps '[laps']]] - intermediate_results[[#This Row], [Total running average '[sec']]]</f>
        <v>0.79692179089607862</v>
      </c>
      <c r="AJ67" s="1">
        <f>intermediate_results[[#This Row], [All cumulative times '[sec']]] / intermediate_results[[#This Row], [Team7 laps '[laps']]] - intermediate_results[[#This Row], [Total running average '[sec']]]</f>
        <v>0.26429264466791125</v>
      </c>
      <c r="AK67" s="1">
        <f>intermediate_results[[#This Row], [All cumulative times '[sec']]] / intermediate_results[[#This Row], [Team8 laps '[laps']]] - intermediate_results[[#This Row], [Total running average '[sec']]]</f>
        <v>1.705286818275269</v>
      </c>
      <c r="AL67" s="1">
        <f>intermediate_results[[#This Row], [All cumulative times '[sec']]] / intermediate_results[[#This Row], [Team9 laps '[laps']]] - intermediate_results[[#This Row], [Total running average '[sec']]]</f>
        <v>1.6276884237306533</v>
      </c>
    </row>
    <row r="68" spans="1:38" x14ac:dyDescent="0.25">
      <c r="A68" s="1">
        <v>442.30500000000001</v>
      </c>
      <c r="B68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8.3276098117512838</v>
      </c>
      <c r="C68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8.3025365393682229</v>
      </c>
      <c r="D68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8.1496293550778365</v>
      </c>
      <c r="E68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7.9747451093417876</v>
      </c>
      <c r="F68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8</v>
      </c>
      <c r="G68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7.9119396280657615</v>
      </c>
      <c r="H68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7.9895188184849939</v>
      </c>
      <c r="I68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7.7843594827434952</v>
      </c>
      <c r="J68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7.7961012057578927</v>
      </c>
      <c r="K68" s="1">
        <f>intermediate_results[[#This Row], [Team1 laps '[laps']]] - intermediate_results[[#This Row], [Team1 laps '[laps']]]</f>
        <v>0</v>
      </c>
      <c r="L68" s="1">
        <f>intermediate_results[[#This Row], [Team1 laps '[laps']]] - intermediate_results[[#This Row], [Team2 laps '[laps']]]</f>
        <v>2.5073272383060896E-2</v>
      </c>
      <c r="M68" s="1">
        <f>intermediate_results[[#This Row], [Team1 laps '[laps']]] - intermediate_results[[#This Row], [Team3 laps '[laps']]]</f>
        <v>0.17798045667344731</v>
      </c>
      <c r="N68" s="1">
        <f>intermediate_results[[#This Row], [Team1 laps '[laps']]] - intermediate_results[[#This Row], [Team4 laps '[laps']]]</f>
        <v>0.35286470240949619</v>
      </c>
      <c r="O68" s="1">
        <f>intermediate_results[[#This Row], [Team1 laps '[laps']]] - intermediate_results[[#This Row], [Team5 laps '[laps']]]</f>
        <v>0.32760981175128379</v>
      </c>
      <c r="P68" s="1">
        <f>intermediate_results[[#This Row], [Team1 laps '[laps']]] - intermediate_results[[#This Row], [Team6 laps '[laps']]]</f>
        <v>0.41567018368552233</v>
      </c>
      <c r="Q68" s="1">
        <f>intermediate_results[[#This Row], [Team1 laps '[laps']]] - intermediate_results[[#This Row], [Team7 laps '[laps']]]</f>
        <v>0.33809099326628989</v>
      </c>
      <c r="R68" s="1">
        <f>intermediate_results[[#This Row], [Team1 laps '[laps']]] - intermediate_results[[#This Row], [Team8 laps '[laps']]]</f>
        <v>0.54325032900778858</v>
      </c>
      <c r="S68" s="1">
        <f>intermediate_results[[#This Row], [Team1 laps '[laps']]] - intermediate_results[[#This Row], [Team9 laps '[laps']]]</f>
        <v>0.53150860599339111</v>
      </c>
      <c r="T68" s="1">
        <f>MAX(intermediate_results[[#This Row], [Team1 laps '[laps']]:[Team9 laps '[laps']]]) - intermediate_results[[#This Row], [Team1 laps '[laps']]]</f>
        <v>0</v>
      </c>
      <c r="U68" s="1">
        <f>MAX(intermediate_results[[#This Row], [Team1 laps '[laps']]:[Team9 laps '[laps']]]) - intermediate_results[[#This Row], [Team2 laps '[laps']]]</f>
        <v>2.5073272383060896E-2</v>
      </c>
      <c r="V68" s="1">
        <f>MAX(intermediate_results[[#This Row], [Team1 laps '[laps']]:[Team9 laps '[laps']]]) - intermediate_results[[#This Row], [Team3 laps '[laps']]]</f>
        <v>0.17798045667344731</v>
      </c>
      <c r="W68" s="1">
        <f>MAX(intermediate_results[[#This Row], [Team1 laps '[laps']]:[Team9 laps '[laps']]]) - intermediate_results[[#This Row], [Team4 laps '[laps']]]</f>
        <v>0.35286470240949619</v>
      </c>
      <c r="X68" s="1">
        <f>MAX(intermediate_results[[#This Row], [Team1 laps '[laps']]:[Team9 laps '[laps']]]) - intermediate_results[[#This Row], [Team5 laps '[laps']]]</f>
        <v>0.32760981175128379</v>
      </c>
      <c r="Y68" s="1">
        <f>MAX(intermediate_results[[#This Row], [Team1 laps '[laps']]:[Team9 laps '[laps']]]) - intermediate_results[[#This Row], [Team6 laps '[laps']]]</f>
        <v>0.41567018368552233</v>
      </c>
      <c r="Z68" s="1">
        <f>MAX(intermediate_results[[#This Row], [Team1 laps '[laps']]:[Team9 laps '[laps']]]) - intermediate_results[[#This Row], [Team7 laps '[laps']]]</f>
        <v>0.33809099326628989</v>
      </c>
      <c r="AA68" s="1">
        <f>MAX(intermediate_results[[#This Row], [Team1 laps '[laps']]:[Team9 laps '[laps']]]) - intermediate_results[[#This Row], [Team8 laps '[laps']]]</f>
        <v>0.54325032900778858</v>
      </c>
      <c r="AB68" s="1">
        <f>MAX(intermediate_results[[#This Row], [Team1 laps '[laps']]:[Team9 laps '[laps']]]) - intermediate_results[[#This Row], [Team9 laps '[laps']]]</f>
        <v>0.53150860599339111</v>
      </c>
      <c r="AC68" s="1">
        <f>9 * intermediate_results[[#This Row], [All cumulative times '[sec']]] / SUM(intermediate_results[[#This Row], [Team1 laps '[laps']]:[Team9 laps '[laps']]])</f>
        <v>55.107159249857474</v>
      </c>
      <c r="AD68" s="1">
        <f>intermediate_results[[#This Row], [All cumulative times '[sec']]] / intermediate_results[[#This Row], [Team1 laps '[laps']]] - intermediate_results[[#This Row], [Total running average '[sec']]]</f>
        <v>-1.9940799872036052</v>
      </c>
      <c r="AE68" s="1">
        <f>intermediate_results[[#This Row], [All cumulative times '[sec']]] / intermediate_results[[#This Row], [Team2 laps '[laps']]] - intermediate_results[[#This Row], [Total running average '[sec']]]</f>
        <v>-1.8336809697297269</v>
      </c>
      <c r="AF68" s="1">
        <f>intermediate_results[[#This Row], [All cumulative times '[sec']]] / intermediate_results[[#This Row], [Team3 laps '[laps']]] - intermediate_results[[#This Row], [Total running average '[sec']]]</f>
        <v>-0.83413887937761899</v>
      </c>
      <c r="AG68" s="1">
        <f>intermediate_results[[#This Row], [All cumulative times '[sec']]] / intermediate_results[[#This Row], [Team4 laps '[laps']]] - intermediate_results[[#This Row], [Total running average '[sec']]]</f>
        <v>0.35605542792256273</v>
      </c>
      <c r="AH68" s="1">
        <f>intermediate_results[[#This Row], [All cumulative times '[sec']]] / intermediate_results[[#This Row], [Team5 laps '[laps']]] - intermediate_results[[#This Row], [Total running average '[sec']]]</f>
        <v>0.18096575014252636</v>
      </c>
      <c r="AI68" s="1">
        <f>intermediate_results[[#This Row], [All cumulative times '[sec']]] / intermediate_results[[#This Row], [Team6 laps '[laps']]] - intermediate_results[[#This Row], [Total running average '[sec']]]</f>
        <v>0.79632596267197187</v>
      </c>
      <c r="AJ68" s="1">
        <f>intermediate_results[[#This Row], [All cumulative times '[sec']]] / intermediate_results[[#This Row], [Team7 laps '[laps']]] - intermediate_results[[#This Row], [Total running average '[sec']]]</f>
        <v>0.25349638520513196</v>
      </c>
      <c r="AK68" s="1">
        <f>intermediate_results[[#This Row], [All cumulative times '[sec']]] / intermediate_results[[#This Row], [Team8 laps '[laps']]] - intermediate_results[[#This Row], [Total running average '[sec']]]</f>
        <v>1.7125445395820407</v>
      </c>
      <c r="AL68" s="1">
        <f>intermediate_results[[#This Row], [All cumulative times '[sec']]] / intermediate_results[[#This Row], [Team9 laps '[laps']]] - intermediate_results[[#This Row], [Total running average '[sec']]]</f>
        <v>1.6269682744659661</v>
      </c>
    </row>
    <row r="69" spans="1:38" x14ac:dyDescent="0.25">
      <c r="A69" s="1">
        <v>442.87700000000001</v>
      </c>
      <c r="B69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8.3384864042593652</v>
      </c>
      <c r="C69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8.3133239038189526</v>
      </c>
      <c r="D69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8.1602297998517415</v>
      </c>
      <c r="E69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7.9850488165147535</v>
      </c>
      <c r="F69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8.0103518169972485</v>
      </c>
      <c r="G69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7.92221723115623</v>
      </c>
      <c r="H69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8.0000000000000018</v>
      </c>
      <c r="I69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7.7943958029933507</v>
      </c>
      <c r="J69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7.8062288638254929</v>
      </c>
      <c r="K69" s="1">
        <f>intermediate_results[[#This Row], [Team1 laps '[laps']]] - intermediate_results[[#This Row], [Team1 laps '[laps']]]</f>
        <v>0</v>
      </c>
      <c r="L69" s="1">
        <f>intermediate_results[[#This Row], [Team1 laps '[laps']]] - intermediate_results[[#This Row], [Team2 laps '[laps']]]</f>
        <v>2.5162500440412572E-2</v>
      </c>
      <c r="M69" s="1">
        <f>intermediate_results[[#This Row], [Team1 laps '[laps']]] - intermediate_results[[#This Row], [Team3 laps '[laps']]]</f>
        <v>0.1782566044076237</v>
      </c>
      <c r="N69" s="1">
        <f>intermediate_results[[#This Row], [Team1 laps '[laps']]] - intermediate_results[[#This Row], [Team4 laps '[laps']]]</f>
        <v>0.35343758774461165</v>
      </c>
      <c r="O69" s="1">
        <f>intermediate_results[[#This Row], [Team1 laps '[laps']]] - intermediate_results[[#This Row], [Team5 laps '[laps']]]</f>
        <v>0.32813458726211664</v>
      </c>
      <c r="P69" s="1">
        <f>intermediate_results[[#This Row], [Team1 laps '[laps']]] - intermediate_results[[#This Row], [Team6 laps '[laps']]]</f>
        <v>0.41626917310313516</v>
      </c>
      <c r="Q69" s="1">
        <f>intermediate_results[[#This Row], [Team1 laps '[laps']]] - intermediate_results[[#This Row], [Team7 laps '[laps']]]</f>
        <v>0.33848640425936338</v>
      </c>
      <c r="R69" s="1">
        <f>intermediate_results[[#This Row], [Team1 laps '[laps']]] - intermediate_results[[#This Row], [Team8 laps '[laps']]]</f>
        <v>0.5440906012660145</v>
      </c>
      <c r="S69" s="1">
        <f>intermediate_results[[#This Row], [Team1 laps '[laps']]] - intermediate_results[[#This Row], [Team9 laps '[laps']]]</f>
        <v>0.5322575404338723</v>
      </c>
      <c r="T69" s="1">
        <f>MAX(intermediate_results[[#This Row], [Team1 laps '[laps']]:[Team9 laps '[laps']]]) - intermediate_results[[#This Row], [Team1 laps '[laps']]]</f>
        <v>0</v>
      </c>
      <c r="U69" s="1">
        <f>MAX(intermediate_results[[#This Row], [Team1 laps '[laps']]:[Team9 laps '[laps']]]) - intermediate_results[[#This Row], [Team2 laps '[laps']]]</f>
        <v>2.5162500440412572E-2</v>
      </c>
      <c r="V69" s="1">
        <f>MAX(intermediate_results[[#This Row], [Team1 laps '[laps']]:[Team9 laps '[laps']]]) - intermediate_results[[#This Row], [Team3 laps '[laps']]]</f>
        <v>0.1782566044076237</v>
      </c>
      <c r="W69" s="1">
        <f>MAX(intermediate_results[[#This Row], [Team1 laps '[laps']]:[Team9 laps '[laps']]]) - intermediate_results[[#This Row], [Team4 laps '[laps']]]</f>
        <v>0.35343758774461165</v>
      </c>
      <c r="X69" s="1">
        <f>MAX(intermediate_results[[#This Row], [Team1 laps '[laps']]:[Team9 laps '[laps']]]) - intermediate_results[[#This Row], [Team5 laps '[laps']]]</f>
        <v>0.32813458726211664</v>
      </c>
      <c r="Y69" s="1">
        <f>MAX(intermediate_results[[#This Row], [Team1 laps '[laps']]:[Team9 laps '[laps']]]) - intermediate_results[[#This Row], [Team6 laps '[laps']]]</f>
        <v>0.41626917310313516</v>
      </c>
      <c r="Z69" s="1">
        <f>MAX(intermediate_results[[#This Row], [Team1 laps '[laps']]:[Team9 laps '[laps']]]) - intermediate_results[[#This Row], [Team7 laps '[laps']]]</f>
        <v>0.33848640425936338</v>
      </c>
      <c r="AA69" s="1">
        <f>MAX(intermediate_results[[#This Row], [Team1 laps '[laps']]:[Team9 laps '[laps']]]) - intermediate_results[[#This Row], [Team8 laps '[laps']]]</f>
        <v>0.5440906012660145</v>
      </c>
      <c r="AB69" s="1">
        <f>MAX(intermediate_results[[#This Row], [Team1 laps '[laps']]:[Team9 laps '[laps']]]) - intermediate_results[[#This Row], [Team9 laps '[laps']]]</f>
        <v>0.5322575404338723</v>
      </c>
      <c r="AC69" s="1">
        <f>9 * intermediate_results[[#This Row], [All cumulative times '[sec']]] / SUM(intermediate_results[[#This Row], [Team1 laps '[laps']]:[Team9 laps '[laps']]])</f>
        <v>55.106835678640714</v>
      </c>
      <c r="AD69" s="1">
        <f>intermediate_results[[#This Row], [All cumulative times '[sec']]] / intermediate_results[[#This Row], [Team1 laps '[laps']]] - intermediate_results[[#This Row], [Total running average '[sec']]]</f>
        <v>-1.9944387124748957</v>
      </c>
      <c r="AE69" s="1">
        <f>intermediate_results[[#This Row], [All cumulative times '[sec']]] / intermediate_results[[#This Row], [Team2 laps '[laps']]] - intermediate_results[[#This Row], [Total running average '[sec']]]</f>
        <v>-1.8336798237903622</v>
      </c>
      <c r="AF69" s="1">
        <f>intermediate_results[[#This Row], [All cumulative times '[sec']]] / intermediate_results[[#This Row], [Team3 laps '[laps']]] - intermediate_results[[#This Row], [Total running average '[sec']]]</f>
        <v>-0.83422193337015926</v>
      </c>
      <c r="AG69" s="1">
        <f>intermediate_results[[#This Row], [All cumulative times '[sec']]] / intermediate_results[[#This Row], [Team4 laps '[laps']]] - intermediate_results[[#This Row], [Total running average '[sec']]]</f>
        <v>0.35644453124825048</v>
      </c>
      <c r="AH69" s="1">
        <f>intermediate_results[[#This Row], [All cumulative times '[sec']]] / intermediate_results[[#This Row], [Team5 laps '[laps']]] - intermediate_results[[#This Row], [Total running average '[sec']]]</f>
        <v>0.18124780606400748</v>
      </c>
      <c r="AI69" s="1">
        <f>intermediate_results[[#This Row], [All cumulative times '[sec']]] / intermediate_results[[#This Row], [Team6 laps '[laps']]] - intermediate_results[[#This Row], [Total running average '[sec']]]</f>
        <v>0.79632717055107349</v>
      </c>
      <c r="AJ69" s="1">
        <f>intermediate_results[[#This Row], [All cumulative times '[sec']]] / intermediate_results[[#This Row], [Team7 laps '[laps']]] - intermediate_results[[#This Row], [Total running average '[sec']]]</f>
        <v>0.25278932135927334</v>
      </c>
      <c r="AK69" s="1">
        <f>intermediate_results[[#This Row], [All cumulative times '[sec']]] / intermediate_results[[#This Row], [Team8 laps '[laps']]] - intermediate_results[[#This Row], [Total running average '[sec']]]</f>
        <v>1.7130912526960387</v>
      </c>
      <c r="AL69" s="1">
        <f>intermediate_results[[#This Row], [All cumulative times '[sec']]] / intermediate_results[[#This Row], [Team9 laps '[laps']]] - intermediate_results[[#This Row], [Total running average '[sec']]]</f>
        <v>1.6269608479147806</v>
      </c>
    </row>
    <row r="70" spans="1:38" x14ac:dyDescent="0.25">
      <c r="A70" s="1">
        <v>443.70699999999999</v>
      </c>
      <c r="B70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8.3542688724092038</v>
      </c>
      <c r="C70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8.3289768976897687</v>
      </c>
      <c r="D70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8.1756115641215708</v>
      </c>
      <c r="E70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8</v>
      </c>
      <c r="F70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8.0253728101925574</v>
      </c>
      <c r="G70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7.9371305363399509</v>
      </c>
      <c r="H70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8.0151332822812975</v>
      </c>
      <c r="I70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7.8089589949642946</v>
      </c>
      <c r="J70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7.8209245914410666</v>
      </c>
      <c r="K70" s="1">
        <f>intermediate_results[[#This Row], [Team1 laps '[laps']]] - intermediate_results[[#This Row], [Team1 laps '[laps']]]</f>
        <v>0</v>
      </c>
      <c r="L70" s="1">
        <f>intermediate_results[[#This Row], [Team1 laps '[laps']]] - intermediate_results[[#This Row], [Team2 laps '[laps']]]</f>
        <v>2.5291974719435117E-2</v>
      </c>
      <c r="M70" s="1">
        <f>intermediate_results[[#This Row], [Team1 laps '[laps']]] - intermediate_results[[#This Row], [Team3 laps '[laps']]]</f>
        <v>0.17865730828763304</v>
      </c>
      <c r="N70" s="1">
        <f>intermediate_results[[#This Row], [Team1 laps '[laps']]] - intermediate_results[[#This Row], [Team4 laps '[laps']]]</f>
        <v>0.35426887240920379</v>
      </c>
      <c r="O70" s="1">
        <f>intermediate_results[[#This Row], [Team1 laps '[laps']]] - intermediate_results[[#This Row], [Team5 laps '[laps']]]</f>
        <v>0.32889606221664636</v>
      </c>
      <c r="P70" s="1">
        <f>intermediate_results[[#This Row], [Team1 laps '[laps']]] - intermediate_results[[#This Row], [Team6 laps '[laps']]]</f>
        <v>0.41713833606925288</v>
      </c>
      <c r="Q70" s="1">
        <f>intermediate_results[[#This Row], [Team1 laps '[laps']]] - intermediate_results[[#This Row], [Team7 laps '[laps']]]</f>
        <v>0.33913559012790628</v>
      </c>
      <c r="R70" s="1">
        <f>intermediate_results[[#This Row], [Team1 laps '[laps']]] - intermediate_results[[#This Row], [Team8 laps '[laps']]]</f>
        <v>0.54530987744490922</v>
      </c>
      <c r="S70" s="1">
        <f>intermediate_results[[#This Row], [Team1 laps '[laps']]] - intermediate_results[[#This Row], [Team9 laps '[laps']]]</f>
        <v>0.53334428096813724</v>
      </c>
      <c r="T70" s="1">
        <f>MAX(intermediate_results[[#This Row], [Team1 laps '[laps']]:[Team9 laps '[laps']]]) - intermediate_results[[#This Row], [Team1 laps '[laps']]]</f>
        <v>0</v>
      </c>
      <c r="U70" s="1">
        <f>MAX(intermediate_results[[#This Row], [Team1 laps '[laps']]:[Team9 laps '[laps']]]) - intermediate_results[[#This Row], [Team2 laps '[laps']]]</f>
        <v>2.5291974719435117E-2</v>
      </c>
      <c r="V70" s="1">
        <f>MAX(intermediate_results[[#This Row], [Team1 laps '[laps']]:[Team9 laps '[laps']]]) - intermediate_results[[#This Row], [Team3 laps '[laps']]]</f>
        <v>0.17865730828763304</v>
      </c>
      <c r="W70" s="1">
        <f>MAX(intermediate_results[[#This Row], [Team1 laps '[laps']]:[Team9 laps '[laps']]]) - intermediate_results[[#This Row], [Team4 laps '[laps']]]</f>
        <v>0.35426887240920379</v>
      </c>
      <c r="X70" s="1">
        <f>MAX(intermediate_results[[#This Row], [Team1 laps '[laps']]:[Team9 laps '[laps']]]) - intermediate_results[[#This Row], [Team5 laps '[laps']]]</f>
        <v>0.32889606221664636</v>
      </c>
      <c r="Y70" s="1">
        <f>MAX(intermediate_results[[#This Row], [Team1 laps '[laps']]:[Team9 laps '[laps']]]) - intermediate_results[[#This Row], [Team6 laps '[laps']]]</f>
        <v>0.41713833606925288</v>
      </c>
      <c r="Z70" s="1">
        <f>MAX(intermediate_results[[#This Row], [Team1 laps '[laps']]:[Team9 laps '[laps']]]) - intermediate_results[[#This Row], [Team7 laps '[laps']]]</f>
        <v>0.33913559012790628</v>
      </c>
      <c r="AA70" s="1">
        <f>MAX(intermediate_results[[#This Row], [Team1 laps '[laps']]:[Team9 laps '[laps']]]) - intermediate_results[[#This Row], [Team8 laps '[laps']]]</f>
        <v>0.54530987744490922</v>
      </c>
      <c r="AB70" s="1">
        <f>MAX(intermediate_results[[#This Row], [Team1 laps '[laps']]:[Team9 laps '[laps']]]) - intermediate_results[[#This Row], [Team9 laps '[laps']]]</f>
        <v>0.53334428096813724</v>
      </c>
      <c r="AC70" s="1">
        <f>9 * intermediate_results[[#This Row], [All cumulative times '[sec']]] / SUM(intermediate_results[[#This Row], [Team1 laps '[laps']]:[Team9 laps '[laps']]])</f>
        <v>55.106425007591334</v>
      </c>
      <c r="AD70" s="1">
        <f>intermediate_results[[#This Row], [All cumulative times '[sec']]] / intermediate_results[[#This Row], [Team1 laps '[laps']]] - intermediate_results[[#This Row], [Total running average '[sec']]]</f>
        <v>-1.9950149277235312</v>
      </c>
      <c r="AE70" s="1">
        <f>intermediate_results[[#This Row], [All cumulative times '[sec']]] / intermediate_results[[#This Row], [Team2 laps '[laps']]] - intermediate_results[[#This Row], [Total running average '[sec']]]</f>
        <v>-1.8337355223951093</v>
      </c>
      <c r="AF70" s="1">
        <f>intermediate_results[[#This Row], [All cumulative times '[sec']]] / intermediate_results[[#This Row], [Team3 laps '[laps']]] - intermediate_results[[#This Row], [Total running average '[sec']]]</f>
        <v>-0.8343994202707421</v>
      </c>
      <c r="AG70" s="1">
        <f>intermediate_results[[#This Row], [All cumulative times '[sec']]] / intermediate_results[[#This Row], [Team4 laps '[laps']]] - intermediate_results[[#This Row], [Total running average '[sec']]]</f>
        <v>0.35694999240866565</v>
      </c>
      <c r="AH70" s="1">
        <f>intermediate_results[[#This Row], [All cumulative times '[sec']]] / intermediate_results[[#This Row], [Team5 laps '[laps']]] - intermediate_results[[#This Row], [Total running average '[sec']]]</f>
        <v>0.18159842684321603</v>
      </c>
      <c r="AI70" s="1">
        <f>intermediate_results[[#This Row], [All cumulative times '[sec']]] / intermediate_results[[#This Row], [Team6 laps '[laps']]] - intermediate_results[[#This Row], [Total running average '[sec']]]</f>
        <v>0.79627156121256348</v>
      </c>
      <c r="AJ70" s="1">
        <f>intermediate_results[[#This Row], [All cumulative times '[sec']]] / intermediate_results[[#This Row], [Team7 laps '[laps']]] - intermediate_results[[#This Row], [Total running average '[sec']]]</f>
        <v>0.25223022286921548</v>
      </c>
      <c r="AK70" s="1">
        <f>intermediate_results[[#This Row], [All cumulative times '[sec']]] / intermediate_results[[#This Row], [Team8 laps '[laps']]] - intermediate_results[[#This Row], [Total running average '[sec']]]</f>
        <v>1.7138246935698618</v>
      </c>
      <c r="AL70" s="1">
        <f>intermediate_results[[#This Row], [All cumulative times '[sec']]] / intermediate_results[[#This Row], [Team9 laps '[laps']]] - intermediate_results[[#This Row], [Total running average '[sec']]]</f>
        <v>1.6268927494391718</v>
      </c>
    </row>
    <row r="71" spans="1:38" x14ac:dyDescent="0.25">
      <c r="A71" s="1">
        <v>447.20600000000002</v>
      </c>
      <c r="B71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8.4208024339228</v>
      </c>
      <c r="C71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8.3949646393210742</v>
      </c>
      <c r="D71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8.2404558932542624</v>
      </c>
      <c r="E71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8.0633761999637752</v>
      </c>
      <c r="F71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8.0886962501809752</v>
      </c>
      <c r="G71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8</v>
      </c>
      <c r="H71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8.0789300951755845</v>
      </c>
      <c r="I71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7.8703524994297549</v>
      </c>
      <c r="J71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7.8828768214734684</v>
      </c>
      <c r="K71" s="1">
        <f>intermediate_results[[#This Row], [Team1 laps '[laps']]] - intermediate_results[[#This Row], [Team1 laps '[laps']]]</f>
        <v>0</v>
      </c>
      <c r="L71" s="1">
        <f>intermediate_results[[#This Row], [Team1 laps '[laps']]] - intermediate_results[[#This Row], [Team2 laps '[laps']]]</f>
        <v>2.5837794601725861E-2</v>
      </c>
      <c r="M71" s="1">
        <f>intermediate_results[[#This Row], [Team1 laps '[laps']]] - intermediate_results[[#This Row], [Team3 laps '[laps']]]</f>
        <v>0.18034654066853761</v>
      </c>
      <c r="N71" s="1">
        <f>intermediate_results[[#This Row], [Team1 laps '[laps']]] - intermediate_results[[#This Row], [Team4 laps '[laps']]]</f>
        <v>0.35742623395902484</v>
      </c>
      <c r="O71" s="1">
        <f>intermediate_results[[#This Row], [Team1 laps '[laps']]] - intermediate_results[[#This Row], [Team5 laps '[laps']]]</f>
        <v>0.33210618374182488</v>
      </c>
      <c r="P71" s="1">
        <f>intermediate_results[[#This Row], [Team1 laps '[laps']]] - intermediate_results[[#This Row], [Team6 laps '[laps']]]</f>
        <v>0.42080243392280003</v>
      </c>
      <c r="Q71" s="1">
        <f>intermediate_results[[#This Row], [Team1 laps '[laps']]] - intermediate_results[[#This Row], [Team7 laps '[laps']]]</f>
        <v>0.34187233874721557</v>
      </c>
      <c r="R71" s="1">
        <f>intermediate_results[[#This Row], [Team1 laps '[laps']]] - intermediate_results[[#This Row], [Team8 laps '[laps']]]</f>
        <v>0.55044993449304513</v>
      </c>
      <c r="S71" s="1">
        <f>intermediate_results[[#This Row], [Team1 laps '[laps']]] - intermediate_results[[#This Row], [Team9 laps '[laps']]]</f>
        <v>0.53792561244933168</v>
      </c>
      <c r="T71" s="1">
        <f>MAX(intermediate_results[[#This Row], [Team1 laps '[laps']]:[Team9 laps '[laps']]]) - intermediate_results[[#This Row], [Team1 laps '[laps']]]</f>
        <v>0</v>
      </c>
      <c r="U71" s="1">
        <f>MAX(intermediate_results[[#This Row], [Team1 laps '[laps']]:[Team9 laps '[laps']]]) - intermediate_results[[#This Row], [Team2 laps '[laps']]]</f>
        <v>2.5837794601725861E-2</v>
      </c>
      <c r="V71" s="1">
        <f>MAX(intermediate_results[[#This Row], [Team1 laps '[laps']]:[Team9 laps '[laps']]]) - intermediate_results[[#This Row], [Team3 laps '[laps']]]</f>
        <v>0.18034654066853761</v>
      </c>
      <c r="W71" s="1">
        <f>MAX(intermediate_results[[#This Row], [Team1 laps '[laps']]:[Team9 laps '[laps']]]) - intermediate_results[[#This Row], [Team4 laps '[laps']]]</f>
        <v>0.35742623395902484</v>
      </c>
      <c r="X71" s="1">
        <f>MAX(intermediate_results[[#This Row], [Team1 laps '[laps']]:[Team9 laps '[laps']]]) - intermediate_results[[#This Row], [Team5 laps '[laps']]]</f>
        <v>0.33210618374182488</v>
      </c>
      <c r="Y71" s="1">
        <f>MAX(intermediate_results[[#This Row], [Team1 laps '[laps']]:[Team9 laps '[laps']]]) - intermediate_results[[#This Row], [Team6 laps '[laps']]]</f>
        <v>0.42080243392280003</v>
      </c>
      <c r="Z71" s="1">
        <f>MAX(intermediate_results[[#This Row], [Team1 laps '[laps']]:[Team9 laps '[laps']]]) - intermediate_results[[#This Row], [Team7 laps '[laps']]]</f>
        <v>0.34187233874721557</v>
      </c>
      <c r="AA71" s="1">
        <f>MAX(intermediate_results[[#This Row], [Team1 laps '[laps']]:[Team9 laps '[laps']]]) - intermediate_results[[#This Row], [Team8 laps '[laps']]]</f>
        <v>0.55044993449304513</v>
      </c>
      <c r="AB71" s="1">
        <f>MAX(intermediate_results[[#This Row], [Team1 laps '[laps']]:[Team9 laps '[laps']]]) - intermediate_results[[#This Row], [Team9 laps '[laps']]]</f>
        <v>0.53792561244933168</v>
      </c>
      <c r="AC71" s="1">
        <f>9 * intermediate_results[[#This Row], [All cumulative times '[sec']]] / SUM(intermediate_results[[#This Row], [Team1 laps '[laps']]:[Team9 laps '[laps']]])</f>
        <v>55.104448749912336</v>
      </c>
      <c r="AD71" s="1">
        <f>intermediate_results[[#This Row], [All cumulative times '[sec']]] / intermediate_results[[#This Row], [Team1 laps '[laps']]] - intermediate_results[[#This Row], [Total running average '[sec']]]</f>
        <v>-1.9971583807128397</v>
      </c>
      <c r="AE71" s="1">
        <f>intermediate_results[[#This Row], [All cumulative times '[sec']]] / intermediate_results[[#This Row], [Team2 laps '[laps']]] - intermediate_results[[#This Row], [Total running average '[sec']]]</f>
        <v>-1.8337062020119888</v>
      </c>
      <c r="AF71" s="1">
        <f>intermediate_results[[#This Row], [All cumulative times '[sec']]] / intermediate_results[[#This Row], [Team3 laps '[laps']]] - intermediate_results[[#This Row], [Total running average '[sec']]]</f>
        <v>-0.83487849881878873</v>
      </c>
      <c r="AG71" s="1">
        <f>intermediate_results[[#This Row], [All cumulative times '[sec']]] / intermediate_results[[#This Row], [Team4 laps '[laps']]] - intermediate_results[[#This Row], [Total running average '[sec']]]</f>
        <v>0.35693478345289265</v>
      </c>
      <c r="AH71" s="1">
        <f>intermediate_results[[#This Row], [All cumulative times '[sec']]] / intermediate_results[[#This Row], [Team5 laps '[laps']]] - intermediate_results[[#This Row], [Total running average '[sec']]]</f>
        <v>0.18332398478447232</v>
      </c>
      <c r="AI71" s="1">
        <f>intermediate_results[[#This Row], [All cumulative times '[sec']]] / intermediate_results[[#This Row], [Team6 laps '[laps']]] - intermediate_results[[#This Row], [Total running average '[sec']]]</f>
        <v>0.79630125008766584</v>
      </c>
      <c r="AJ71" s="1">
        <f>intermediate_results[[#This Row], [All cumulative times '[sec']]] / intermediate_results[[#This Row], [Team7 laps '[laps']]] - intermediate_results[[#This Row], [Total running average '[sec']]]</f>
        <v>0.250158200710203</v>
      </c>
      <c r="AK71" s="1">
        <f>intermediate_results[[#This Row], [All cumulative times '[sec']]] / intermediate_results[[#This Row], [Team8 laps '[laps']]] - intermediate_results[[#This Row], [Total running average '[sec']]]</f>
        <v>1.7171485079490196</v>
      </c>
      <c r="AL71" s="1">
        <f>intermediate_results[[#This Row], [All cumulative times '[sec']]] / intermediate_results[[#This Row], [Team9 laps '[laps']]] - intermediate_results[[#This Row], [Total running average '[sec']]]</f>
        <v>1.6268703012469885</v>
      </c>
    </row>
    <row r="72" spans="1:38" x14ac:dyDescent="0.25">
      <c r="A72" s="1">
        <v>453.82100000000003</v>
      </c>
      <c r="B72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8.5465868035748258</v>
      </c>
      <c r="C72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8.5197171145685999</v>
      </c>
      <c r="D72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8.3630467012601937</v>
      </c>
      <c r="E72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8.1831914508241272</v>
      </c>
      <c r="F72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8.2084117561893741</v>
      </c>
      <c r="G72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8.1194496108633238</v>
      </c>
      <c r="H72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8.1995405316704968</v>
      </c>
      <c r="I72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7.9864193848367355</v>
      </c>
      <c r="J72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8.0000000000000018</v>
      </c>
      <c r="K72" s="1">
        <f>intermediate_results[[#This Row], [Team1 laps '[laps']]] - intermediate_results[[#This Row], [Team1 laps '[laps']]]</f>
        <v>0</v>
      </c>
      <c r="L72" s="1">
        <f>intermediate_results[[#This Row], [Team1 laps '[laps']]] - intermediate_results[[#This Row], [Team2 laps '[laps']]]</f>
        <v>2.6869689006225883E-2</v>
      </c>
      <c r="M72" s="1">
        <f>intermediate_results[[#This Row], [Team1 laps '[laps']]] - intermediate_results[[#This Row], [Team3 laps '[laps']]]</f>
        <v>0.18354010231463214</v>
      </c>
      <c r="N72" s="1">
        <f>intermediate_results[[#This Row], [Team1 laps '[laps']]] - intermediate_results[[#This Row], [Team4 laps '[laps']]]</f>
        <v>0.36339535275069856</v>
      </c>
      <c r="O72" s="1">
        <f>intermediate_results[[#This Row], [Team1 laps '[laps']]] - intermediate_results[[#This Row], [Team5 laps '[laps']]]</f>
        <v>0.33817504738545168</v>
      </c>
      <c r="P72" s="1">
        <f>intermediate_results[[#This Row], [Team1 laps '[laps']]] - intermediate_results[[#This Row], [Team6 laps '[laps']]]</f>
        <v>0.42713719271150197</v>
      </c>
      <c r="Q72" s="1">
        <f>intermediate_results[[#This Row], [Team1 laps '[laps']]] - intermediate_results[[#This Row], [Team7 laps '[laps']]]</f>
        <v>0.34704627190432902</v>
      </c>
      <c r="R72" s="1">
        <f>intermediate_results[[#This Row], [Team1 laps '[laps']]] - intermediate_results[[#This Row], [Team8 laps '[laps']]]</f>
        <v>0.56016741873809028</v>
      </c>
      <c r="S72" s="1">
        <f>intermediate_results[[#This Row], [Team1 laps '[laps']]] - intermediate_results[[#This Row], [Team9 laps '[laps']]]</f>
        <v>0.54658680357482403</v>
      </c>
      <c r="T72" s="1">
        <f>MAX(intermediate_results[[#This Row], [Team1 laps '[laps']]:[Team9 laps '[laps']]]) - intermediate_results[[#This Row], [Team1 laps '[laps']]]</f>
        <v>0</v>
      </c>
      <c r="U72" s="1">
        <f>MAX(intermediate_results[[#This Row], [Team1 laps '[laps']]:[Team9 laps '[laps']]]) - intermediate_results[[#This Row], [Team2 laps '[laps']]]</f>
        <v>2.6869689006225883E-2</v>
      </c>
      <c r="V72" s="1">
        <f>MAX(intermediate_results[[#This Row], [Team1 laps '[laps']]:[Team9 laps '[laps']]]) - intermediate_results[[#This Row], [Team3 laps '[laps']]]</f>
        <v>0.18354010231463214</v>
      </c>
      <c r="W72" s="1">
        <f>MAX(intermediate_results[[#This Row], [Team1 laps '[laps']]:[Team9 laps '[laps']]]) - intermediate_results[[#This Row], [Team4 laps '[laps']]]</f>
        <v>0.36339535275069856</v>
      </c>
      <c r="X72" s="1">
        <f>MAX(intermediate_results[[#This Row], [Team1 laps '[laps']]:[Team9 laps '[laps']]]) - intermediate_results[[#This Row], [Team5 laps '[laps']]]</f>
        <v>0.33817504738545168</v>
      </c>
      <c r="Y72" s="1">
        <f>MAX(intermediate_results[[#This Row], [Team1 laps '[laps']]:[Team9 laps '[laps']]]) - intermediate_results[[#This Row], [Team6 laps '[laps']]]</f>
        <v>0.42713719271150197</v>
      </c>
      <c r="Z72" s="1">
        <f>MAX(intermediate_results[[#This Row], [Team1 laps '[laps']]:[Team9 laps '[laps']]]) - intermediate_results[[#This Row], [Team7 laps '[laps']]]</f>
        <v>0.34704627190432902</v>
      </c>
      <c r="AA72" s="1">
        <f>MAX(intermediate_results[[#This Row], [Team1 laps '[laps']]:[Team9 laps '[laps']]]) - intermediate_results[[#This Row], [Team8 laps '[laps']]]</f>
        <v>0.56016741873809028</v>
      </c>
      <c r="AB72" s="1">
        <f>MAX(intermediate_results[[#This Row], [Team1 laps '[laps']]:[Team9 laps '[laps']]]) - intermediate_results[[#This Row], [Team9 laps '[laps']]]</f>
        <v>0.54658680357482403</v>
      </c>
      <c r="AC72" s="1">
        <f>9 * intermediate_results[[#This Row], [All cumulative times '[sec']]] / SUM(intermediate_results[[#This Row], [Team1 laps '[laps']]:[Team9 laps '[laps']]])</f>
        <v>55.10035586807588</v>
      </c>
      <c r="AD72" s="1">
        <f>intermediate_results[[#This Row], [All cumulative times '[sec']]] / intermediate_results[[#This Row], [Team1 laps '[laps']]] - intermediate_results[[#This Row], [Total running average '[sec']]]</f>
        <v>-2.0006787185759265</v>
      </c>
      <c r="AE72" s="1">
        <f>intermediate_results[[#This Row], [All cumulative times '[sec']]] / intermediate_results[[#This Row], [Team2 laps '[laps']]] - intermediate_results[[#This Row], [Total running average '[sec']]]</f>
        <v>-1.8332116780449326</v>
      </c>
      <c r="AF72" s="1">
        <f>intermediate_results[[#This Row], [All cumulative times '[sec']]] / intermediate_results[[#This Row], [Team3 laps '[laps']]] - intermediate_results[[#This Row], [Total running average '[sec']]]</f>
        <v>-0.83532349277949436</v>
      </c>
      <c r="AG72" s="1">
        <f>intermediate_results[[#This Row], [All cumulative times '[sec']]] / intermediate_results[[#This Row], [Team4 laps '[laps']]] - intermediate_results[[#This Row], [Total running average '[sec']]]</f>
        <v>0.35734700093078686</v>
      </c>
      <c r="AH72" s="1">
        <f>intermediate_results[[#This Row], [All cumulative times '[sec']]] / intermediate_results[[#This Row], [Team5 laps '[laps']]] - intermediate_results[[#This Row], [Total running average '[sec']]]</f>
        <v>0.18695347746300683</v>
      </c>
      <c r="AI72" s="1">
        <f>intermediate_results[[#This Row], [All cumulative times '[sec']]] / intermediate_results[[#This Row], [Team6 laps '[laps']]] - intermediate_results[[#This Row], [Total running average '[sec']]]</f>
        <v>0.79271838572766029</v>
      </c>
      <c r="AJ72" s="1">
        <f>intermediate_results[[#This Row], [All cumulative times '[sec']]] / intermediate_results[[#This Row], [Team7 laps '[laps']]] - intermediate_results[[#This Row], [Total running average '[sec']]]</f>
        <v>0.24676977233397679</v>
      </c>
      <c r="AK72" s="1">
        <f>intermediate_results[[#This Row], [All cumulative times '[sec']]] / intermediate_results[[#This Row], [Team8 laps '[laps']]] - intermediate_results[[#This Row], [Total running average '[sec']]]</f>
        <v>1.723732391255794</v>
      </c>
      <c r="AL72" s="1">
        <f>intermediate_results[[#This Row], [All cumulative times '[sec']]] / intermediate_results[[#This Row], [Team9 laps '[laps']]] - intermediate_results[[#This Row], [Total running average '[sec']]]</f>
        <v>1.627269131924109</v>
      </c>
    </row>
    <row r="73" spans="1:38" x14ac:dyDescent="0.25">
      <c r="A73" s="1">
        <v>454.59500000000003</v>
      </c>
      <c r="B73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8.5613044305000958</v>
      </c>
      <c r="C73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8.5343140028288538</v>
      </c>
      <c r="D73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8.3773906597479613</v>
      </c>
      <c r="E73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8.1972106502445214</v>
      </c>
      <c r="F73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8.2224192847835536</v>
      </c>
      <c r="G73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8.1334260279167196</v>
      </c>
      <c r="H73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8.213652773219561</v>
      </c>
      <c r="I73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8.0000000000000018</v>
      </c>
      <c r="J73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8.0138090990187347</v>
      </c>
      <c r="K73" s="1">
        <f>intermediate_results[[#This Row], [Team1 laps '[laps']]] - intermediate_results[[#This Row], [Team1 laps '[laps']]]</f>
        <v>0</v>
      </c>
      <c r="L73" s="1">
        <f>intermediate_results[[#This Row], [Team1 laps '[laps']]] - intermediate_results[[#This Row], [Team2 laps '[laps']]]</f>
        <v>2.6990427671242045E-2</v>
      </c>
      <c r="M73" s="1">
        <f>intermediate_results[[#This Row], [Team1 laps '[laps']]] - intermediate_results[[#This Row], [Team3 laps '[laps']]]</f>
        <v>0.18391377075213455</v>
      </c>
      <c r="N73" s="1">
        <f>intermediate_results[[#This Row], [Team1 laps '[laps']]] - intermediate_results[[#This Row], [Team4 laps '[laps']]]</f>
        <v>0.36409378025557437</v>
      </c>
      <c r="O73" s="1">
        <f>intermediate_results[[#This Row], [Team1 laps '[laps']]] - intermediate_results[[#This Row], [Team5 laps '[laps']]]</f>
        <v>0.33888514571654227</v>
      </c>
      <c r="P73" s="1">
        <f>intermediate_results[[#This Row], [Team1 laps '[laps']]] - intermediate_results[[#This Row], [Team6 laps '[laps']]]</f>
        <v>0.42787840258337617</v>
      </c>
      <c r="Q73" s="1">
        <f>intermediate_results[[#This Row], [Team1 laps '[laps']]] - intermediate_results[[#This Row], [Team7 laps '[laps']]]</f>
        <v>0.34765165728053482</v>
      </c>
      <c r="R73" s="1">
        <f>intermediate_results[[#This Row], [Team1 laps '[laps']]] - intermediate_results[[#This Row], [Team8 laps '[laps']]]</f>
        <v>0.56130443050009404</v>
      </c>
      <c r="S73" s="1">
        <f>intermediate_results[[#This Row], [Team1 laps '[laps']]] - intermediate_results[[#This Row], [Team9 laps '[laps']]]</f>
        <v>0.54749533148136109</v>
      </c>
      <c r="T73" s="1">
        <f>MAX(intermediate_results[[#This Row], [Team1 laps '[laps']]:[Team9 laps '[laps']]]) - intermediate_results[[#This Row], [Team1 laps '[laps']]]</f>
        <v>0</v>
      </c>
      <c r="U73" s="1">
        <f>MAX(intermediate_results[[#This Row], [Team1 laps '[laps']]:[Team9 laps '[laps']]]) - intermediate_results[[#This Row], [Team2 laps '[laps']]]</f>
        <v>2.6990427671242045E-2</v>
      </c>
      <c r="V73" s="1">
        <f>MAX(intermediate_results[[#This Row], [Team1 laps '[laps']]:[Team9 laps '[laps']]]) - intermediate_results[[#This Row], [Team3 laps '[laps']]]</f>
        <v>0.18391377075213455</v>
      </c>
      <c r="W73" s="1">
        <f>MAX(intermediate_results[[#This Row], [Team1 laps '[laps']]:[Team9 laps '[laps']]]) - intermediate_results[[#This Row], [Team4 laps '[laps']]]</f>
        <v>0.36409378025557437</v>
      </c>
      <c r="X73" s="1">
        <f>MAX(intermediate_results[[#This Row], [Team1 laps '[laps']]:[Team9 laps '[laps']]]) - intermediate_results[[#This Row], [Team5 laps '[laps']]]</f>
        <v>0.33888514571654227</v>
      </c>
      <c r="Y73" s="1">
        <f>MAX(intermediate_results[[#This Row], [Team1 laps '[laps']]:[Team9 laps '[laps']]]) - intermediate_results[[#This Row], [Team6 laps '[laps']]]</f>
        <v>0.42787840258337617</v>
      </c>
      <c r="Z73" s="1">
        <f>MAX(intermediate_results[[#This Row], [Team1 laps '[laps']]:[Team9 laps '[laps']]]) - intermediate_results[[#This Row], [Team7 laps '[laps']]]</f>
        <v>0.34765165728053482</v>
      </c>
      <c r="AA73" s="1">
        <f>MAX(intermediate_results[[#This Row], [Team1 laps '[laps']]:[Team9 laps '[laps']]]) - intermediate_results[[#This Row], [Team8 laps '[laps']]]</f>
        <v>0.56130443050009404</v>
      </c>
      <c r="AB73" s="1">
        <f>MAX(intermediate_results[[#This Row], [Team1 laps '[laps']]:[Team9 laps '[laps']]]) - intermediate_results[[#This Row], [Team9 laps '[laps']]]</f>
        <v>0.54749533148136109</v>
      </c>
      <c r="AC73" s="1">
        <f>9 * intermediate_results[[#This Row], [All cumulative times '[sec']]] / SUM(intermediate_results[[#This Row], [Team1 laps '[laps']]:[Team9 laps '[laps']]])</f>
        <v>55.099806962070105</v>
      </c>
      <c r="AD73" s="1">
        <f>intermediate_results[[#This Row], [All cumulative times '[sec']]] / intermediate_results[[#This Row], [Team1 laps '[laps']]] - intermediate_results[[#This Row], [Total running average '[sec']]]</f>
        <v>-2.0010059919186958</v>
      </c>
      <c r="AE73" s="1">
        <f>intermediate_results[[#This Row], [All cumulative times '[sec']]] / intermediate_results[[#This Row], [Team2 laps '[laps']]] - intermediate_results[[#This Row], [Total running average '[sec']]]</f>
        <v>-1.8330769297187928</v>
      </c>
      <c r="AF73" s="1">
        <f>intermediate_results[[#This Row], [All cumulative times '[sec']]] / intermediate_results[[#This Row], [Team3 laps '[laps']]] - intermediate_results[[#This Row], [Total running average '[sec']]]</f>
        <v>-0.83529687013214726</v>
      </c>
      <c r="AG73" s="1">
        <f>intermediate_results[[#This Row], [All cumulative times '[sec']]] / intermediate_results[[#This Row], [Team4 laps '[laps']]] - intermediate_results[[#This Row], [Total running average '[sec']]]</f>
        <v>0.35747227552513294</v>
      </c>
      <c r="AH73" s="1">
        <f>intermediate_results[[#This Row], [All cumulative times '[sec']]] / intermediate_results[[#This Row], [Team5 laps '[laps']]] - intermediate_results[[#This Row], [Total running average '[sec']]]</f>
        <v>0.18744904557178188</v>
      </c>
      <c r="AI73" s="1">
        <f>intermediate_results[[#This Row], [All cumulative times '[sec']]] / intermediate_results[[#This Row], [Team6 laps '[laps']]] - intermediate_results[[#This Row], [Total running average '[sec']]]</f>
        <v>0.79238391046914103</v>
      </c>
      <c r="AJ73" s="1">
        <f>intermediate_results[[#This Row], [All cumulative times '[sec']]] / intermediate_results[[#This Row], [Team7 laps '[laps']]] - intermediate_results[[#This Row], [Total running average '[sec']]]</f>
        <v>0.24645767212496139</v>
      </c>
      <c r="AK73" s="1">
        <f>intermediate_results[[#This Row], [All cumulative times '[sec']]] / intermediate_results[[#This Row], [Team8 laps '[laps']]] - intermediate_results[[#This Row], [Total running average '[sec']]]</f>
        <v>1.7245680379298847</v>
      </c>
      <c r="AL73" s="1">
        <f>intermediate_results[[#This Row], [All cumulative times '[sec']]] / intermediate_results[[#This Row], [Team9 laps '[laps']]] - intermediate_results[[#This Row], [Total running average '[sec']]]</f>
        <v>1.6266503796282095</v>
      </c>
    </row>
    <row r="74" spans="1:38" x14ac:dyDescent="0.25">
      <c r="A74" s="1">
        <v>477.66599999999988</v>
      </c>
      <c r="B74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8.9999999999999982</v>
      </c>
      <c r="C74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8.9694106553512469</v>
      </c>
      <c r="D74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8.8049481097108941</v>
      </c>
      <c r="E74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8.6150878464046343</v>
      </c>
      <c r="F74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8.6399486028666548</v>
      </c>
      <c r="G74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8.5500279889488766</v>
      </c>
      <c r="H74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8.634303322028952</v>
      </c>
      <c r="I74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8.405159545510422</v>
      </c>
      <c r="J74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8.4254237288135574</v>
      </c>
      <c r="K74" s="1">
        <f>intermediate_results[[#This Row], [Team1 laps '[laps']]] - intermediate_results[[#This Row], [Team1 laps '[laps']]]</f>
        <v>0</v>
      </c>
      <c r="L74" s="1">
        <f>intermediate_results[[#This Row], [Team1 laps '[laps']]] - intermediate_results[[#This Row], [Team2 laps '[laps']]]</f>
        <v>3.0589344648751293E-2</v>
      </c>
      <c r="M74" s="1">
        <f>intermediate_results[[#This Row], [Team1 laps '[laps']]] - intermediate_results[[#This Row], [Team3 laps '[laps']]]</f>
        <v>0.19505189028910408</v>
      </c>
      <c r="N74" s="1">
        <f>intermediate_results[[#This Row], [Team1 laps '[laps']]] - intermediate_results[[#This Row], [Team4 laps '[laps']]]</f>
        <v>0.3849121535953639</v>
      </c>
      <c r="O74" s="1">
        <f>intermediate_results[[#This Row], [Team1 laps '[laps']]] - intermediate_results[[#This Row], [Team5 laps '[laps']]]</f>
        <v>0.36005139713334344</v>
      </c>
      <c r="P74" s="1">
        <f>intermediate_results[[#This Row], [Team1 laps '[laps']]] - intermediate_results[[#This Row], [Team6 laps '[laps']]]</f>
        <v>0.44997201105112161</v>
      </c>
      <c r="Q74" s="1">
        <f>intermediate_results[[#This Row], [Team1 laps '[laps']]] - intermediate_results[[#This Row], [Team7 laps '[laps']]]</f>
        <v>0.36569667797104621</v>
      </c>
      <c r="R74" s="1">
        <f>intermediate_results[[#This Row], [Team1 laps '[laps']]] - intermediate_results[[#This Row], [Team8 laps '[laps']]]</f>
        <v>0.59484045448957623</v>
      </c>
      <c r="S74" s="1">
        <f>intermediate_results[[#This Row], [Team1 laps '[laps']]] - intermediate_results[[#This Row], [Team9 laps '[laps']]]</f>
        <v>0.57457627118644083</v>
      </c>
      <c r="T74" s="1">
        <f>MAX(intermediate_results[[#This Row], [Team1 laps '[laps']]:[Team9 laps '[laps']]]) - intermediate_results[[#This Row], [Team1 laps '[laps']]]</f>
        <v>0</v>
      </c>
      <c r="U74" s="1">
        <f>MAX(intermediate_results[[#This Row], [Team1 laps '[laps']]:[Team9 laps '[laps']]]) - intermediate_results[[#This Row], [Team2 laps '[laps']]]</f>
        <v>3.0589344648751293E-2</v>
      </c>
      <c r="V74" s="1">
        <f>MAX(intermediate_results[[#This Row], [Team1 laps '[laps']]:[Team9 laps '[laps']]]) - intermediate_results[[#This Row], [Team3 laps '[laps']]]</f>
        <v>0.19505189028910408</v>
      </c>
      <c r="W74" s="1">
        <f>MAX(intermediate_results[[#This Row], [Team1 laps '[laps']]:[Team9 laps '[laps']]]) - intermediate_results[[#This Row], [Team4 laps '[laps']]]</f>
        <v>0.3849121535953639</v>
      </c>
      <c r="X74" s="1">
        <f>MAX(intermediate_results[[#This Row], [Team1 laps '[laps']]:[Team9 laps '[laps']]]) - intermediate_results[[#This Row], [Team5 laps '[laps']]]</f>
        <v>0.36005139713334344</v>
      </c>
      <c r="Y74" s="1">
        <f>MAX(intermediate_results[[#This Row], [Team1 laps '[laps']]:[Team9 laps '[laps']]]) - intermediate_results[[#This Row], [Team6 laps '[laps']]]</f>
        <v>0.44997201105112161</v>
      </c>
      <c r="Z74" s="1">
        <f>MAX(intermediate_results[[#This Row], [Team1 laps '[laps']]:[Team9 laps '[laps']]]) - intermediate_results[[#This Row], [Team7 laps '[laps']]]</f>
        <v>0.36569667797104621</v>
      </c>
      <c r="AA74" s="1">
        <f>MAX(intermediate_results[[#This Row], [Team1 laps '[laps']]:[Team9 laps '[laps']]]) - intermediate_results[[#This Row], [Team8 laps '[laps']]]</f>
        <v>0.59484045448957623</v>
      </c>
      <c r="AB74" s="1">
        <f>MAX(intermediate_results[[#This Row], [Team1 laps '[laps']]:[Team9 laps '[laps']]]) - intermediate_results[[#This Row], [Team9 laps '[laps']]]</f>
        <v>0.57457627118644083</v>
      </c>
      <c r="AC74" s="1">
        <f>9 * intermediate_results[[#This Row], [All cumulative times '[sec']]] / SUM(intermediate_results[[#This Row], [Team1 laps '[laps']]:[Team9 laps '[laps']]])</f>
        <v>55.084015875557036</v>
      </c>
      <c r="AD74" s="1">
        <f>intermediate_results[[#This Row], [All cumulative times '[sec']]] / intermediate_results[[#This Row], [Team1 laps '[laps']]] - intermediate_results[[#This Row], [Total running average '[sec']]]</f>
        <v>-2.0100158755570376</v>
      </c>
      <c r="AE74" s="1">
        <f>intermediate_results[[#This Row], [All cumulative times '[sec']]] / intermediate_results[[#This Row], [Team2 laps '[laps']]] - intermediate_results[[#This Row], [Total running average '[sec']]]</f>
        <v>-1.8290119121674024</v>
      </c>
      <c r="AF74" s="1">
        <f>intermediate_results[[#This Row], [All cumulative times '[sec']]] / intermediate_results[[#This Row], [Team3 laps '[laps']]] - intermediate_results[[#This Row], [Total running average '[sec']]]</f>
        <v>-0.83429241913069063</v>
      </c>
      <c r="AG74" s="1">
        <f>intermediate_results[[#This Row], [All cumulative times '[sec']]] / intermediate_results[[#This Row], [Team4 laps '[laps']]] - intermediate_results[[#This Row], [Total running average '[sec']]]</f>
        <v>0.36126901487457275</v>
      </c>
      <c r="AH74" s="1">
        <f>intermediate_results[[#This Row], [All cumulative times '[sec']]] / intermediate_results[[#This Row], [Team5 laps '[laps']]] - intermediate_results[[#This Row], [Total running average '[sec']]]</f>
        <v>0.20172967176193168</v>
      </c>
      <c r="AI74" s="1">
        <f>intermediate_results[[#This Row], [All cumulative times '[sec']]] / intermediate_results[[#This Row], [Team6 laps '[laps']]] - intermediate_results[[#This Row], [Total running average '[sec']]]</f>
        <v>0.78316966084062756</v>
      </c>
      <c r="AJ74" s="1">
        <f>intermediate_results[[#This Row], [All cumulative times '[sec']]] / intermediate_results[[#This Row], [Team7 laps '[laps']]] - intermediate_results[[#This Row], [Total running average '[sec']]]</f>
        <v>0.23787660201166005</v>
      </c>
      <c r="AK74" s="1">
        <f>intermediate_results[[#This Row], [All cumulative times '[sec']]] / intermediate_results[[#This Row], [Team8 laps '[laps']]] - intermediate_results[[#This Row], [Total running average '[sec']]]</f>
        <v>1.746077284916403</v>
      </c>
      <c r="AL74" s="1">
        <f>intermediate_results[[#This Row], [All cumulative times '[sec']]] / intermediate_results[[#This Row], [Team9 laps '[laps']]] - intermediate_results[[#This Row], [Total running average '[sec']]]</f>
        <v>1.609393901147854</v>
      </c>
    </row>
    <row r="75" spans="1:38" x14ac:dyDescent="0.25">
      <c r="A75" s="1">
        <v>479.28800000000001</v>
      </c>
      <c r="B75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9.0306112820125701</v>
      </c>
      <c r="C75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9</v>
      </c>
      <c r="D75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8.8350074128984435</v>
      </c>
      <c r="E75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8.6444665821409163</v>
      </c>
      <c r="F75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8.6693028811350796</v>
      </c>
      <c r="G75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8.57931706964734</v>
      </c>
      <c r="H75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8.6638770375232479</v>
      </c>
      <c r="I75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8.4336441704862768</v>
      </c>
      <c r="J75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8.4543621766280115</v>
      </c>
      <c r="K75" s="1">
        <f>intermediate_results[[#This Row], [Team1 laps '[laps']]] - intermediate_results[[#This Row], [Team1 laps '[laps']]]</f>
        <v>0</v>
      </c>
      <c r="L75" s="1">
        <f>intermediate_results[[#This Row], [Team1 laps '[laps']]] - intermediate_results[[#This Row], [Team2 laps '[laps']]]</f>
        <v>3.0611282012570129E-2</v>
      </c>
      <c r="M75" s="1">
        <f>intermediate_results[[#This Row], [Team1 laps '[laps']]] - intermediate_results[[#This Row], [Team3 laps '[laps']]]</f>
        <v>0.19560386911412664</v>
      </c>
      <c r="N75" s="1">
        <f>intermediate_results[[#This Row], [Team1 laps '[laps']]] - intermediate_results[[#This Row], [Team4 laps '[laps']]]</f>
        <v>0.38614469987165378</v>
      </c>
      <c r="O75" s="1">
        <f>intermediate_results[[#This Row], [Team1 laps '[laps']]] - intermediate_results[[#This Row], [Team5 laps '[laps']]]</f>
        <v>0.3613084008774905</v>
      </c>
      <c r="P75" s="1">
        <f>intermediate_results[[#This Row], [Team1 laps '[laps']]] - intermediate_results[[#This Row], [Team6 laps '[laps']]]</f>
        <v>0.45129421236523015</v>
      </c>
      <c r="Q75" s="1">
        <f>intermediate_results[[#This Row], [Team1 laps '[laps']]] - intermediate_results[[#This Row], [Team7 laps '[laps']]]</f>
        <v>0.36673424448932224</v>
      </c>
      <c r="R75" s="1">
        <f>intermediate_results[[#This Row], [Team1 laps '[laps']]] - intermediate_results[[#This Row], [Team8 laps '[laps']]]</f>
        <v>0.59696711152629334</v>
      </c>
      <c r="S75" s="1">
        <f>intermediate_results[[#This Row], [Team1 laps '[laps']]] - intermediate_results[[#This Row], [Team9 laps '[laps']]]</f>
        <v>0.57624910538455865</v>
      </c>
      <c r="T75" s="1">
        <f>MAX(intermediate_results[[#This Row], [Team1 laps '[laps']]:[Team9 laps '[laps']]]) - intermediate_results[[#This Row], [Team1 laps '[laps']]]</f>
        <v>0</v>
      </c>
      <c r="U75" s="1">
        <f>MAX(intermediate_results[[#This Row], [Team1 laps '[laps']]:[Team9 laps '[laps']]]) - intermediate_results[[#This Row], [Team2 laps '[laps']]]</f>
        <v>3.0611282012570129E-2</v>
      </c>
      <c r="V75" s="1">
        <f>MAX(intermediate_results[[#This Row], [Team1 laps '[laps']]:[Team9 laps '[laps']]]) - intermediate_results[[#This Row], [Team3 laps '[laps']]]</f>
        <v>0.19560386911412664</v>
      </c>
      <c r="W75" s="1">
        <f>MAX(intermediate_results[[#This Row], [Team1 laps '[laps']]:[Team9 laps '[laps']]]) - intermediate_results[[#This Row], [Team4 laps '[laps']]]</f>
        <v>0.38614469987165378</v>
      </c>
      <c r="X75" s="1">
        <f>MAX(intermediate_results[[#This Row], [Team1 laps '[laps']]:[Team9 laps '[laps']]]) - intermediate_results[[#This Row], [Team5 laps '[laps']]]</f>
        <v>0.3613084008774905</v>
      </c>
      <c r="Y75" s="1">
        <f>MAX(intermediate_results[[#This Row], [Team1 laps '[laps']]:[Team9 laps '[laps']]]) - intermediate_results[[#This Row], [Team6 laps '[laps']]]</f>
        <v>0.45129421236523015</v>
      </c>
      <c r="Z75" s="1">
        <f>MAX(intermediate_results[[#This Row], [Team1 laps '[laps']]:[Team9 laps '[laps']]]) - intermediate_results[[#This Row], [Team7 laps '[laps']]]</f>
        <v>0.36673424448932224</v>
      </c>
      <c r="AA75" s="1">
        <f>MAX(intermediate_results[[#This Row], [Team1 laps '[laps']]:[Team9 laps '[laps']]]) - intermediate_results[[#This Row], [Team8 laps '[laps']]]</f>
        <v>0.59696711152629334</v>
      </c>
      <c r="AB75" s="1">
        <f>MAX(intermediate_results[[#This Row], [Team1 laps '[laps']]:[Team9 laps '[laps']]]) - intermediate_results[[#This Row], [Team9 laps '[laps']]]</f>
        <v>0.57624910538455865</v>
      </c>
      <c r="AC75" s="1">
        <f>9 * intermediate_results[[#This Row], [All cumulative times '[sec']]] / SUM(intermediate_results[[#This Row], [Team1 laps '[laps']]:[Team9 laps '[laps']]])</f>
        <v>55.083125748757425</v>
      </c>
      <c r="AD75" s="1">
        <f>intermediate_results[[#This Row], [All cumulative times '[sec']]] / intermediate_results[[#This Row], [Team1 laps '[laps']]] - intermediate_results[[#This Row], [Total running average '[sec']]]</f>
        <v>-2.009420654766771</v>
      </c>
      <c r="AE75" s="1">
        <f>intermediate_results[[#This Row], [All cumulative times '[sec']]] / intermediate_results[[#This Row], [Team2 laps '[laps']]] - intermediate_results[[#This Row], [Total running average '[sec']]]</f>
        <v>-1.8289035265351998</v>
      </c>
      <c r="AF75" s="1">
        <f>intermediate_results[[#This Row], [All cumulative times '[sec']]] / intermediate_results[[#This Row], [Team3 laps '[laps']]] - intermediate_results[[#This Row], [Total running average '[sec']]]</f>
        <v>-0.83438801705210608</v>
      </c>
      <c r="AG75" s="1">
        <f>intermediate_results[[#This Row], [All cumulative times '[sec']]] / intermediate_results[[#This Row], [Team4 laps '[laps']]] - intermediate_results[[#This Row], [Total running average '[sec']]]</f>
        <v>0.36135951192802906</v>
      </c>
      <c r="AH75" s="1">
        <f>intermediate_results[[#This Row], [All cumulative times '[sec']]] / intermediate_results[[#This Row], [Team5 laps '[laps']]] - intermediate_results[[#This Row], [Total running average '[sec']]]</f>
        <v>0.20251908007411856</v>
      </c>
      <c r="AI75" s="1">
        <f>intermediate_results[[#This Row], [All cumulative times '[sec']]] / intermediate_results[[#This Row], [Team6 laps '[laps']]] - intermediate_results[[#This Row], [Total running average '[sec']]]</f>
        <v>0.78239316249334223</v>
      </c>
      <c r="AJ75" s="1">
        <f>intermediate_results[[#This Row], [All cumulative times '[sec']]] / intermediate_results[[#This Row], [Team7 laps '[laps']]] - intermediate_results[[#This Row], [Total running average '[sec']]]</f>
        <v>0.23714229339089599</v>
      </c>
      <c r="AK75" s="1">
        <f>intermediate_results[[#This Row], [All cumulative times '[sec']]] / intermediate_results[[#This Row], [Team8 laps '[laps']]] - intermediate_results[[#This Row], [Total running average '[sec']]]</f>
        <v>1.7473487544566098</v>
      </c>
      <c r="AL75" s="1">
        <f>intermediate_results[[#This Row], [All cumulative times '[sec']]] / intermediate_results[[#This Row], [Team9 laps '[laps']]] - intermediate_results[[#This Row], [Total running average '[sec']]]</f>
        <v>1.6080816997460516</v>
      </c>
    </row>
    <row r="76" spans="1:38" x14ac:dyDescent="0.25">
      <c r="A76" s="1">
        <v>488.19099999999997</v>
      </c>
      <c r="B76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9.1986336271160862</v>
      </c>
      <c r="C76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9.1678386275803554</v>
      </c>
      <c r="D76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9</v>
      </c>
      <c r="E76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8.8057236007969575</v>
      </c>
      <c r="F76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8.8304256551324745</v>
      </c>
      <c r="G76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8.7400819805341374</v>
      </c>
      <c r="H76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8.8262042810779278</v>
      </c>
      <c r="I76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8.5899935022742042</v>
      </c>
      <c r="J76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8.6132024977698478</v>
      </c>
      <c r="K76" s="1">
        <f>intermediate_results[[#This Row], [Team1 laps '[laps']]] - intermediate_results[[#This Row], [Team1 laps '[laps']]]</f>
        <v>0</v>
      </c>
      <c r="L76" s="1">
        <f>intermediate_results[[#This Row], [Team1 laps '[laps']]] - intermediate_results[[#This Row], [Team2 laps '[laps']]]</f>
        <v>3.0794999535730838E-2</v>
      </c>
      <c r="M76" s="1">
        <f>intermediate_results[[#This Row], [Team1 laps '[laps']]] - intermediate_results[[#This Row], [Team3 laps '[laps']]]</f>
        <v>0.19863362711608623</v>
      </c>
      <c r="N76" s="1">
        <f>intermediate_results[[#This Row], [Team1 laps '[laps']]] - intermediate_results[[#This Row], [Team4 laps '[laps']]]</f>
        <v>0.39291002631912875</v>
      </c>
      <c r="O76" s="1">
        <f>intermediate_results[[#This Row], [Team1 laps '[laps']]] - intermediate_results[[#This Row], [Team5 laps '[laps']]]</f>
        <v>0.36820797198361177</v>
      </c>
      <c r="P76" s="1">
        <f>intermediate_results[[#This Row], [Team1 laps '[laps']]] - intermediate_results[[#This Row], [Team6 laps '[laps']]]</f>
        <v>0.4585516465819488</v>
      </c>
      <c r="Q76" s="1">
        <f>intermediate_results[[#This Row], [Team1 laps '[laps']]] - intermediate_results[[#This Row], [Team7 laps '[laps']]]</f>
        <v>0.37242934603815847</v>
      </c>
      <c r="R76" s="1">
        <f>intermediate_results[[#This Row], [Team1 laps '[laps']]] - intermediate_results[[#This Row], [Team8 laps '[laps']]]</f>
        <v>0.60864012484188201</v>
      </c>
      <c r="S76" s="1">
        <f>intermediate_results[[#This Row], [Team1 laps '[laps']]] - intermediate_results[[#This Row], [Team9 laps '[laps']]]</f>
        <v>0.58543112934623842</v>
      </c>
      <c r="T76" s="1">
        <f>MAX(intermediate_results[[#This Row], [Team1 laps '[laps']]:[Team9 laps '[laps']]]) - intermediate_results[[#This Row], [Team1 laps '[laps']]]</f>
        <v>0</v>
      </c>
      <c r="U76" s="1">
        <f>MAX(intermediate_results[[#This Row], [Team1 laps '[laps']]:[Team9 laps '[laps']]]) - intermediate_results[[#This Row], [Team2 laps '[laps']]]</f>
        <v>3.0794999535730838E-2</v>
      </c>
      <c r="V76" s="1">
        <f>MAX(intermediate_results[[#This Row], [Team1 laps '[laps']]:[Team9 laps '[laps']]]) - intermediate_results[[#This Row], [Team3 laps '[laps']]]</f>
        <v>0.19863362711608623</v>
      </c>
      <c r="W76" s="1">
        <f>MAX(intermediate_results[[#This Row], [Team1 laps '[laps']]:[Team9 laps '[laps']]]) - intermediate_results[[#This Row], [Team4 laps '[laps']]]</f>
        <v>0.39291002631912875</v>
      </c>
      <c r="X76" s="1">
        <f>MAX(intermediate_results[[#This Row], [Team1 laps '[laps']]:[Team9 laps '[laps']]]) - intermediate_results[[#This Row], [Team5 laps '[laps']]]</f>
        <v>0.36820797198361177</v>
      </c>
      <c r="Y76" s="1">
        <f>MAX(intermediate_results[[#This Row], [Team1 laps '[laps']]:[Team9 laps '[laps']]]) - intermediate_results[[#This Row], [Team6 laps '[laps']]]</f>
        <v>0.4585516465819488</v>
      </c>
      <c r="Z76" s="1">
        <f>MAX(intermediate_results[[#This Row], [Team1 laps '[laps']]:[Team9 laps '[laps']]]) - intermediate_results[[#This Row], [Team7 laps '[laps']]]</f>
        <v>0.37242934603815847</v>
      </c>
      <c r="AA76" s="1">
        <f>MAX(intermediate_results[[#This Row], [Team1 laps '[laps']]:[Team9 laps '[laps']]]) - intermediate_results[[#This Row], [Team8 laps '[laps']]]</f>
        <v>0.60864012484188201</v>
      </c>
      <c r="AB76" s="1">
        <f>MAX(intermediate_results[[#This Row], [Team1 laps '[laps']]:[Team9 laps '[laps']]]) - intermediate_results[[#This Row], [Team9 laps '[laps']]]</f>
        <v>0.58543112934623842</v>
      </c>
      <c r="AC76" s="1">
        <f>9 * intermediate_results[[#This Row], [All cumulative times '[sec']]] / SUM(intermediate_results[[#This Row], [Team1 laps '[laps']]:[Team9 laps '[laps']]])</f>
        <v>55.078389464847774</v>
      </c>
      <c r="AD76" s="1">
        <f>intermediate_results[[#This Row], [All cumulative times '[sec']]] / intermediate_results[[#This Row], [Team1 laps '[laps']]] - intermediate_results[[#This Row], [Total running average '[sec']]]</f>
        <v>-2.0062681270773766</v>
      </c>
      <c r="AE76" s="1">
        <f>intermediate_results[[#This Row], [All cumulative times '[sec']]] / intermediate_results[[#This Row], [Team2 laps '[laps']]] - intermediate_results[[#This Row], [Total running average '[sec']]]</f>
        <v>-1.8279975424446846</v>
      </c>
      <c r="AF76" s="1">
        <f>intermediate_results[[#This Row], [All cumulative times '[sec']]] / intermediate_results[[#This Row], [Team3 laps '[laps']]] - intermediate_results[[#This Row], [Total running average '[sec']]]</f>
        <v>-0.83494502040333174</v>
      </c>
      <c r="AG76" s="1">
        <f>intermediate_results[[#This Row], [All cumulative times '[sec']]] / intermediate_results[[#This Row], [Team4 laps '[laps']]] - intermediate_results[[#This Row], [Total running average '[sec']]]</f>
        <v>0.36180172577925163</v>
      </c>
      <c r="AH76" s="1">
        <f>intermediate_results[[#This Row], [All cumulative times '[sec']]] / intermediate_results[[#This Row], [Team5 laps '[laps']]] - intermediate_results[[#This Row], [Total running average '[sec']]]</f>
        <v>0.20671445494465246</v>
      </c>
      <c r="AI76" s="1">
        <f>intermediate_results[[#This Row], [All cumulative times '[sec']]] / intermediate_results[[#This Row], [Team6 laps '[laps']]] - intermediate_results[[#This Row], [Total running average '[sec']]]</f>
        <v>0.77818042629240836</v>
      </c>
      <c r="AJ76" s="1">
        <f>intermediate_results[[#This Row], [All cumulative times '[sec']]] / intermediate_results[[#This Row], [Team7 laps '[laps']]] - intermediate_results[[#This Row], [Total running average '[sec']]]</f>
        <v>0.23315607082592749</v>
      </c>
      <c r="AK76" s="1">
        <f>intermediate_results[[#This Row], [All cumulative times '[sec']]] / intermediate_results[[#This Row], [Team8 laps '[laps']]] - intermediate_results[[#This Row], [Total running average '[sec']]]</f>
        <v>1.7541331523988148</v>
      </c>
      <c r="AL76" s="1">
        <f>intermediate_results[[#This Row], [All cumulative times '[sec']]] / intermediate_results[[#This Row], [Team9 laps '[laps']]] - intermediate_results[[#This Row], [Total running average '[sec']]]</f>
        <v>1.6009931604189163</v>
      </c>
    </row>
    <row r="77" spans="1:38" x14ac:dyDescent="0.25">
      <c r="A77" s="1">
        <v>497.56099999999998</v>
      </c>
      <c r="B77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9.3754694547719257</v>
      </c>
      <c r="C77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9.3444811009520219</v>
      </c>
      <c r="D77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9.1756984811550719</v>
      </c>
      <c r="E77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8.9754392320231844</v>
      </c>
      <c r="F77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9</v>
      </c>
      <c r="G77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8.9092796908575451</v>
      </c>
      <c r="H77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8.9970462750246156</v>
      </c>
      <c r="I77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8.754544017701912</v>
      </c>
      <c r="J77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8.7803746654772521</v>
      </c>
      <c r="K77" s="1">
        <f>intermediate_results[[#This Row], [Team1 laps '[laps']]] - intermediate_results[[#This Row], [Team1 laps '[laps']]]</f>
        <v>0</v>
      </c>
      <c r="L77" s="1">
        <f>intermediate_results[[#This Row], [Team1 laps '[laps']]] - intermediate_results[[#This Row], [Team2 laps '[laps']]]</f>
        <v>3.0988353819903836E-2</v>
      </c>
      <c r="M77" s="1">
        <f>intermediate_results[[#This Row], [Team1 laps '[laps']]] - intermediate_results[[#This Row], [Team3 laps '[laps']]]</f>
        <v>0.19977097361685381</v>
      </c>
      <c r="N77" s="1">
        <f>intermediate_results[[#This Row], [Team1 laps '[laps']]] - intermediate_results[[#This Row], [Team4 laps '[laps']]]</f>
        <v>0.40003022274874134</v>
      </c>
      <c r="O77" s="1">
        <f>intermediate_results[[#This Row], [Team1 laps '[laps']]] - intermediate_results[[#This Row], [Team5 laps '[laps']]]</f>
        <v>0.37546945477192573</v>
      </c>
      <c r="P77" s="1">
        <f>intermediate_results[[#This Row], [Team1 laps '[laps']]] - intermediate_results[[#This Row], [Team6 laps '[laps']]]</f>
        <v>0.46618976391438061</v>
      </c>
      <c r="Q77" s="1">
        <f>intermediate_results[[#This Row], [Team1 laps '[laps']]] - intermediate_results[[#This Row], [Team7 laps '[laps']]]</f>
        <v>0.3784231797473101</v>
      </c>
      <c r="R77" s="1">
        <f>intermediate_results[[#This Row], [Team1 laps '[laps']]] - intermediate_results[[#This Row], [Team8 laps '[laps']]]</f>
        <v>0.62092543707001369</v>
      </c>
      <c r="S77" s="1">
        <f>intermediate_results[[#This Row], [Team1 laps '[laps']]] - intermediate_results[[#This Row], [Team9 laps '[laps']]]</f>
        <v>0.59509478929467363</v>
      </c>
      <c r="T77" s="1">
        <f>MAX(intermediate_results[[#This Row], [Team1 laps '[laps']]:[Team9 laps '[laps']]]) - intermediate_results[[#This Row], [Team1 laps '[laps']]]</f>
        <v>0</v>
      </c>
      <c r="U77" s="1">
        <f>MAX(intermediate_results[[#This Row], [Team1 laps '[laps']]:[Team9 laps '[laps']]]) - intermediate_results[[#This Row], [Team2 laps '[laps']]]</f>
        <v>3.0988353819903836E-2</v>
      </c>
      <c r="V77" s="1">
        <f>MAX(intermediate_results[[#This Row], [Team1 laps '[laps']]:[Team9 laps '[laps']]]) - intermediate_results[[#This Row], [Team3 laps '[laps']]]</f>
        <v>0.19977097361685381</v>
      </c>
      <c r="W77" s="1">
        <f>MAX(intermediate_results[[#This Row], [Team1 laps '[laps']]:[Team9 laps '[laps']]]) - intermediate_results[[#This Row], [Team4 laps '[laps']]]</f>
        <v>0.40003022274874134</v>
      </c>
      <c r="X77" s="1">
        <f>MAX(intermediate_results[[#This Row], [Team1 laps '[laps']]:[Team9 laps '[laps']]]) - intermediate_results[[#This Row], [Team5 laps '[laps']]]</f>
        <v>0.37546945477192573</v>
      </c>
      <c r="Y77" s="1">
        <f>MAX(intermediate_results[[#This Row], [Team1 laps '[laps']]:[Team9 laps '[laps']]]) - intermediate_results[[#This Row], [Team6 laps '[laps']]]</f>
        <v>0.46618976391438061</v>
      </c>
      <c r="Z77" s="1">
        <f>MAX(intermediate_results[[#This Row], [Team1 laps '[laps']]:[Team9 laps '[laps']]]) - intermediate_results[[#This Row], [Team7 laps '[laps']]]</f>
        <v>0.3784231797473101</v>
      </c>
      <c r="AA77" s="1">
        <f>MAX(intermediate_results[[#This Row], [Team1 laps '[laps']]:[Team9 laps '[laps']]]) - intermediate_results[[#This Row], [Team8 laps '[laps']]]</f>
        <v>0.62092543707001369</v>
      </c>
      <c r="AB77" s="1">
        <f>MAX(intermediate_results[[#This Row], [Team1 laps '[laps']]:[Team9 laps '[laps']]]) - intermediate_results[[#This Row], [Team9 laps '[laps']]]</f>
        <v>0.59509478929467363</v>
      </c>
      <c r="AC77" s="1">
        <f>9 * intermediate_results[[#This Row], [All cumulative times '[sec']]] / SUM(intermediate_results[[#This Row], [Team1 laps '[laps']]:[Team9 laps '[laps']]])</f>
        <v>55.072199250732709</v>
      </c>
      <c r="AD77" s="1">
        <f>intermediate_results[[#This Row], [All cumulative times '[sec']]] / intermediate_results[[#This Row], [Team1 laps '[laps']]] - intermediate_results[[#This Row], [Total running average '[sec']]]</f>
        <v>-2.0016834328019684</v>
      </c>
      <c r="AE77" s="1">
        <f>intermediate_results[[#This Row], [All cumulative times '[sec']]] / intermediate_results[[#This Row], [Team2 laps '[laps']]] - intermediate_results[[#This Row], [Total running average '[sec']]]</f>
        <v>-1.8256899342006108</v>
      </c>
      <c r="AF77" s="1">
        <f>intermediate_results[[#This Row], [All cumulative times '[sec']]] / intermediate_results[[#This Row], [Team3 laps '[laps']]] - intermediate_results[[#This Row], [Total running average '[sec']]]</f>
        <v>-0.84624566018216996</v>
      </c>
      <c r="AG77" s="1">
        <f>intermediate_results[[#This Row], [All cumulative times '[sec']]] / intermediate_results[[#This Row], [Team4 laps '[laps']]] - intermediate_results[[#This Row], [Total running average '[sec']]]</f>
        <v>0.36363927901499693</v>
      </c>
      <c r="AH77" s="1">
        <f>intermediate_results[[#This Row], [All cumulative times '[sec']]] / intermediate_results[[#This Row], [Team5 laps '[laps']]] - intermediate_results[[#This Row], [Total running average '[sec']]]</f>
        <v>0.21235630482284762</v>
      </c>
      <c r="AI77" s="1">
        <f>intermediate_results[[#This Row], [All cumulative times '[sec']]] / intermediate_results[[#This Row], [Team6 laps '[laps']]] - intermediate_results[[#This Row], [Total running average '[sec']]]</f>
        <v>0.77530102592638173</v>
      </c>
      <c r="AJ77" s="1">
        <f>intermediate_results[[#This Row], [All cumulative times '[sec']]] / intermediate_results[[#This Row], [Team7 laps '[laps']]] - intermediate_results[[#This Row], [Total running average '[sec']]]</f>
        <v>0.23050619174193088</v>
      </c>
      <c r="AK77" s="1">
        <f>intermediate_results[[#This Row], [All cumulative times '[sec']]] / intermediate_results[[#This Row], [Team8 laps '[laps']]] - intermediate_results[[#This Row], [Total running average '[sec']]]</f>
        <v>1.7623999007386786</v>
      </c>
      <c r="AL77" s="1">
        <f>intermediate_results[[#This Row], [All cumulative times '[sec']]] / intermediate_results[[#This Row], [Team9 laps '[laps']]] - intermediate_results[[#This Row], [Total running average '[sec']]]</f>
        <v>1.5952003713260581</v>
      </c>
    </row>
    <row r="78" spans="1:38" x14ac:dyDescent="0.25">
      <c r="A78" s="1">
        <v>497.72300000000001</v>
      </c>
      <c r="B78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9.3785268084624551</v>
      </c>
      <c r="C78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9.3475351116976153</v>
      </c>
      <c r="D78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9.1787361710106889</v>
      </c>
      <c r="E78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8.9783734830646633</v>
      </c>
      <c r="F78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9.0029793651377492</v>
      </c>
      <c r="G78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8.9122049874501172</v>
      </c>
      <c r="H78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9.0000000000000018</v>
      </c>
      <c r="I78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8.7573889679152845</v>
      </c>
      <c r="J78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8.7832649420160571</v>
      </c>
      <c r="K78" s="1">
        <f>intermediate_results[[#This Row], [Team1 laps '[laps']]] - intermediate_results[[#This Row], [Team1 laps '[laps']]]</f>
        <v>0</v>
      </c>
      <c r="L78" s="1">
        <f>intermediate_results[[#This Row], [Team1 laps '[laps']]] - intermediate_results[[#This Row], [Team2 laps '[laps']]]</f>
        <v>3.0991696764839816E-2</v>
      </c>
      <c r="M78" s="1">
        <f>intermediate_results[[#This Row], [Team1 laps '[laps']]] - intermediate_results[[#This Row], [Team3 laps '[laps']]]</f>
        <v>0.19979063745176617</v>
      </c>
      <c r="N78" s="1">
        <f>intermediate_results[[#This Row], [Team1 laps '[laps']]] - intermediate_results[[#This Row], [Team4 laps '[laps']]]</f>
        <v>0.4001533253977918</v>
      </c>
      <c r="O78" s="1">
        <f>intermediate_results[[#This Row], [Team1 laps '[laps']]] - intermediate_results[[#This Row], [Team5 laps '[laps']]]</f>
        <v>0.37554744332470591</v>
      </c>
      <c r="P78" s="1">
        <f>intermediate_results[[#This Row], [Team1 laps '[laps']]] - intermediate_results[[#This Row], [Team6 laps '[laps']]]</f>
        <v>0.46632182101233788</v>
      </c>
      <c r="Q78" s="1">
        <f>intermediate_results[[#This Row], [Team1 laps '[laps']]] - intermediate_results[[#This Row], [Team7 laps '[laps']]]</f>
        <v>0.37852680846245335</v>
      </c>
      <c r="R78" s="1">
        <f>intermediate_results[[#This Row], [Team1 laps '[laps']]] - intermediate_results[[#This Row], [Team8 laps '[laps']]]</f>
        <v>0.62113784054717058</v>
      </c>
      <c r="S78" s="1">
        <f>intermediate_results[[#This Row], [Team1 laps '[laps']]] - intermediate_results[[#This Row], [Team9 laps '[laps']]]</f>
        <v>0.595261866446398</v>
      </c>
      <c r="T78" s="1">
        <f>MAX(intermediate_results[[#This Row], [Team1 laps '[laps']]:[Team9 laps '[laps']]]) - intermediate_results[[#This Row], [Team1 laps '[laps']]]</f>
        <v>0</v>
      </c>
      <c r="U78" s="1">
        <f>MAX(intermediate_results[[#This Row], [Team1 laps '[laps']]:[Team9 laps '[laps']]]) - intermediate_results[[#This Row], [Team2 laps '[laps']]]</f>
        <v>3.0991696764839816E-2</v>
      </c>
      <c r="V78" s="1">
        <f>MAX(intermediate_results[[#This Row], [Team1 laps '[laps']]:[Team9 laps '[laps']]]) - intermediate_results[[#This Row], [Team3 laps '[laps']]]</f>
        <v>0.19979063745176617</v>
      </c>
      <c r="W78" s="1">
        <f>MAX(intermediate_results[[#This Row], [Team1 laps '[laps']]:[Team9 laps '[laps']]]) - intermediate_results[[#This Row], [Team4 laps '[laps']]]</f>
        <v>0.4001533253977918</v>
      </c>
      <c r="X78" s="1">
        <f>MAX(intermediate_results[[#This Row], [Team1 laps '[laps']]:[Team9 laps '[laps']]]) - intermediate_results[[#This Row], [Team5 laps '[laps']]]</f>
        <v>0.37554744332470591</v>
      </c>
      <c r="Y78" s="1">
        <f>MAX(intermediate_results[[#This Row], [Team1 laps '[laps']]:[Team9 laps '[laps']]]) - intermediate_results[[#This Row], [Team6 laps '[laps']]]</f>
        <v>0.46632182101233788</v>
      </c>
      <c r="Z78" s="1">
        <f>MAX(intermediate_results[[#This Row], [Team1 laps '[laps']]:[Team9 laps '[laps']]]) - intermediate_results[[#This Row], [Team7 laps '[laps']]]</f>
        <v>0.37852680846245335</v>
      </c>
      <c r="AA78" s="1">
        <f>MAX(intermediate_results[[#This Row], [Team1 laps '[laps']]:[Team9 laps '[laps']]]) - intermediate_results[[#This Row], [Team8 laps '[laps']]]</f>
        <v>0.62113784054717058</v>
      </c>
      <c r="AB78" s="1">
        <f>MAX(intermediate_results[[#This Row], [Team1 laps '[laps']]:[Team9 laps '[laps']]]) - intermediate_results[[#This Row], [Team9 laps '[laps']]]</f>
        <v>0.595261866446398</v>
      </c>
      <c r="AC78" s="1">
        <f>9 * intermediate_results[[#This Row], [All cumulative times '[sec']]] / SUM(intermediate_results[[#This Row], [Team1 laps '[laps']]:[Team9 laps '[laps']]])</f>
        <v>55.07206208915327</v>
      </c>
      <c r="AD78" s="1">
        <f>intermediate_results[[#This Row], [All cumulative times '[sec']]] / intermediate_results[[#This Row], [Team1 laps '[laps']]] - intermediate_results[[#This Row], [Total running average '[sec']]]</f>
        <v>-2.0015734969691152</v>
      </c>
      <c r="AE78" s="1">
        <f>intermediate_results[[#This Row], [All cumulative times '[sec']]] / intermediate_results[[#This Row], [Team2 laps '[laps']]] - intermediate_results[[#This Row], [Total running average '[sec']]]</f>
        <v>-1.8256186094017366</v>
      </c>
      <c r="AF78" s="1">
        <f>intermediate_results[[#This Row], [All cumulative times '[sec']]] / intermediate_results[[#This Row], [Team3 laps '[laps']]] - intermediate_results[[#This Row], [Total running average '[sec']]]</f>
        <v>-0.84640501318627059</v>
      </c>
      <c r="AG78" s="1">
        <f>intermediate_results[[#This Row], [All cumulative times '[sec']]] / intermediate_results[[#This Row], [Team4 laps '[laps']]] - intermediate_results[[#This Row], [Total running average '[sec']]]</f>
        <v>0.36370263358001154</v>
      </c>
      <c r="AH78" s="1">
        <f>intermediate_results[[#This Row], [All cumulative times '[sec']]] / intermediate_results[[#This Row], [Team5 laps '[laps']]] - intermediate_results[[#This Row], [Total running average '[sec']]]</f>
        <v>0.21219213532418735</v>
      </c>
      <c r="AI78" s="1">
        <f>intermediate_results[[#This Row], [All cumulative times '[sec']]] / intermediate_results[[#This Row], [Team6 laps '[laps']]] - intermediate_results[[#This Row], [Total running average '[sec']]]</f>
        <v>0.7752844093706841</v>
      </c>
      <c r="AJ78" s="1">
        <f>intermediate_results[[#This Row], [All cumulative times '[sec']]] / intermediate_results[[#This Row], [Team7 laps '[laps']]] - intermediate_results[[#This Row], [Total running average '[sec']]]</f>
        <v>0.23049346640227242</v>
      </c>
      <c r="AK78" s="1">
        <f>intermediate_results[[#This Row], [All cumulative times '[sec']]] / intermediate_results[[#This Row], [Team8 laps '[laps']]] - intermediate_results[[#This Row], [Total running average '[sec']]]</f>
        <v>1.7625722777251553</v>
      </c>
      <c r="AL78" s="1">
        <f>intermediate_results[[#This Row], [All cumulative times '[sec']]] / intermediate_results[[#This Row], [Team9 laps '[laps']]] - intermediate_results[[#This Row], [Total running average '[sec']]]</f>
        <v>1.5951343674932588</v>
      </c>
    </row>
    <row r="79" spans="1:38" x14ac:dyDescent="0.25">
      <c r="A79" s="1">
        <v>498.91699999999997</v>
      </c>
      <c r="B79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9.4010606375148633</v>
      </c>
      <c r="C79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9.3700443020077291</v>
      </c>
      <c r="D79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9.2011250703168947</v>
      </c>
      <c r="E79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9</v>
      </c>
      <c r="F79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9.0249383896715329</v>
      </c>
      <c r="G79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8.9337655067805475</v>
      </c>
      <c r="H79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9.0217122490544082</v>
      </c>
      <c r="I79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8.7783573046730936</v>
      </c>
      <c r="J79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8.8045673505798394</v>
      </c>
      <c r="K79" s="1">
        <f>intermediate_results[[#This Row], [Team1 laps '[laps']]] - intermediate_results[[#This Row], [Team1 laps '[laps']]]</f>
        <v>0</v>
      </c>
      <c r="L79" s="1">
        <f>intermediate_results[[#This Row], [Team1 laps '[laps']]] - intermediate_results[[#This Row], [Team2 laps '[laps']]]</f>
        <v>3.1016335507134229E-2</v>
      </c>
      <c r="M79" s="1">
        <f>intermediate_results[[#This Row], [Team1 laps '[laps']]] - intermediate_results[[#This Row], [Team3 laps '[laps']]]</f>
        <v>0.19993556719796857</v>
      </c>
      <c r="N79" s="1">
        <f>intermediate_results[[#This Row], [Team1 laps '[laps']]] - intermediate_results[[#This Row], [Team4 laps '[laps']]]</f>
        <v>0.40106063751486332</v>
      </c>
      <c r="O79" s="1">
        <f>intermediate_results[[#This Row], [Team1 laps '[laps']]] - intermediate_results[[#This Row], [Team5 laps '[laps']]]</f>
        <v>0.37612224784333037</v>
      </c>
      <c r="P79" s="1">
        <f>intermediate_results[[#This Row], [Team1 laps '[laps']]] - intermediate_results[[#This Row], [Team6 laps '[laps']]]</f>
        <v>0.46729513073431583</v>
      </c>
      <c r="Q79" s="1">
        <f>intermediate_results[[#This Row], [Team1 laps '[laps']]] - intermediate_results[[#This Row], [Team7 laps '[laps']]]</f>
        <v>0.37934838846045515</v>
      </c>
      <c r="R79" s="1">
        <f>intermediate_results[[#This Row], [Team1 laps '[laps']]] - intermediate_results[[#This Row], [Team8 laps '[laps']]]</f>
        <v>0.62270333284176971</v>
      </c>
      <c r="S79" s="1">
        <f>intermediate_results[[#This Row], [Team1 laps '[laps']]] - intermediate_results[[#This Row], [Team9 laps '[laps']]]</f>
        <v>0.5964932869350239</v>
      </c>
      <c r="T79" s="1">
        <f>MAX(intermediate_results[[#This Row], [Team1 laps '[laps']]:[Team9 laps '[laps']]]) - intermediate_results[[#This Row], [Team1 laps '[laps']]]</f>
        <v>0</v>
      </c>
      <c r="U79" s="1">
        <f>MAX(intermediate_results[[#This Row], [Team1 laps '[laps']]:[Team9 laps '[laps']]]) - intermediate_results[[#This Row], [Team2 laps '[laps']]]</f>
        <v>3.1016335507134229E-2</v>
      </c>
      <c r="V79" s="1">
        <f>MAX(intermediate_results[[#This Row], [Team1 laps '[laps']]:[Team9 laps '[laps']]]) - intermediate_results[[#This Row], [Team3 laps '[laps']]]</f>
        <v>0.19993556719796857</v>
      </c>
      <c r="W79" s="1">
        <f>MAX(intermediate_results[[#This Row], [Team1 laps '[laps']]:[Team9 laps '[laps']]]) - intermediate_results[[#This Row], [Team4 laps '[laps']]]</f>
        <v>0.40106063751486332</v>
      </c>
      <c r="X79" s="1">
        <f>MAX(intermediate_results[[#This Row], [Team1 laps '[laps']]:[Team9 laps '[laps']]]) - intermediate_results[[#This Row], [Team5 laps '[laps']]]</f>
        <v>0.37612224784333037</v>
      </c>
      <c r="Y79" s="1">
        <f>MAX(intermediate_results[[#This Row], [Team1 laps '[laps']]:[Team9 laps '[laps']]]) - intermediate_results[[#This Row], [Team6 laps '[laps']]]</f>
        <v>0.46729513073431583</v>
      </c>
      <c r="Z79" s="1">
        <f>MAX(intermediate_results[[#This Row], [Team1 laps '[laps']]:[Team9 laps '[laps']]]) - intermediate_results[[#This Row], [Team7 laps '[laps']]]</f>
        <v>0.37934838846045515</v>
      </c>
      <c r="AA79" s="1">
        <f>MAX(intermediate_results[[#This Row], [Team1 laps '[laps']]:[Team9 laps '[laps']]]) - intermediate_results[[#This Row], [Team8 laps '[laps']]]</f>
        <v>0.62270333284176971</v>
      </c>
      <c r="AB79" s="1">
        <f>MAX(intermediate_results[[#This Row], [Team1 laps '[laps']]:[Team9 laps '[laps']]]) - intermediate_results[[#This Row], [Team9 laps '[laps']]]</f>
        <v>0.5964932869350239</v>
      </c>
      <c r="AC79" s="1">
        <f>9 * intermediate_results[[#This Row], [All cumulative times '[sec']]] / SUM(intermediate_results[[#This Row], [Team1 laps '[laps']]:[Team9 laps '[laps']]])</f>
        <v>55.071092964204837</v>
      </c>
      <c r="AD79" s="1">
        <f>intermediate_results[[#This Row], [All cumulative times '[sec']]] / intermediate_results[[#This Row], [Team1 laps '[laps']]] - intermediate_results[[#This Row], [Total running average '[sec']]]</f>
        <v>-2.0008044896176855</v>
      </c>
      <c r="AE79" s="1">
        <f>intermediate_results[[#This Row], [All cumulative times '[sec']]] / intermediate_results[[#This Row], [Team2 laps '[laps']]] - intermediate_results[[#This Row], [Total running average '[sec']]]</f>
        <v>-1.8251334020823293</v>
      </c>
      <c r="AF79" s="1">
        <f>intermediate_results[[#This Row], [All cumulative times '[sec']]] / intermediate_results[[#This Row], [Team3 laps '[laps']]] - intermediate_results[[#This Row], [Total running average '[sec']]]</f>
        <v>-0.84761527129517589</v>
      </c>
      <c r="AG79" s="1">
        <f>intermediate_results[[#This Row], [All cumulative times '[sec']]] / intermediate_results[[#This Row], [Team4 laps '[laps']]] - intermediate_results[[#This Row], [Total running average '[sec']]]</f>
        <v>0.36412925801738538</v>
      </c>
      <c r="AH79" s="1">
        <f>intermediate_results[[#This Row], [All cumulative times '[sec']]] / intermediate_results[[#This Row], [Team5 laps '[laps']]] - intermediate_results[[#This Row], [Total running average '[sec']]]</f>
        <v>0.21094647564094515</v>
      </c>
      <c r="AI79" s="1">
        <f>intermediate_results[[#This Row], [All cumulative times '[sec']]] / intermediate_results[[#This Row], [Team6 laps '[laps']]] - intermediate_results[[#This Row], [Total running average '[sec']]]</f>
        <v>0.77512323895518875</v>
      </c>
      <c r="AJ79" s="1">
        <f>intermediate_results[[#This Row], [All cumulative times '[sec']]] / intermediate_results[[#This Row], [Team7 laps '[laps']]] - intermediate_results[[#This Row], [Total running average '[sec']]]</f>
        <v>0.23071518782228395</v>
      </c>
      <c r="AK79" s="1">
        <f>intermediate_results[[#This Row], [All cumulative times '[sec']]] / intermediate_results[[#This Row], [Team8 laps '[laps']]] - intermediate_results[[#This Row], [Total running average '[sec']]]</f>
        <v>1.7638002491763487</v>
      </c>
      <c r="AL79" s="1">
        <f>intermediate_results[[#This Row], [All cumulative times '[sec']]] / intermediate_results[[#This Row], [Team9 laps '[laps']]] - intermediate_results[[#This Row], [Total running average '[sec']]]</f>
        <v>1.5946102025888109</v>
      </c>
    </row>
    <row r="80" spans="1:38" x14ac:dyDescent="0.25">
      <c r="A80" s="1">
        <v>502.58499999999998</v>
      </c>
      <c r="B80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9.4702851642855794</v>
      </c>
      <c r="C80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9.4391931379017802</v>
      </c>
      <c r="D80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9.2699043690230631</v>
      </c>
      <c r="E80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9.0673435291093689</v>
      </c>
      <c r="F80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9.0923971015558891</v>
      </c>
      <c r="G80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9</v>
      </c>
      <c r="H80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9.0884128600523724</v>
      </c>
      <c r="I80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8.8427725971585627</v>
      </c>
      <c r="J80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8.8700089206066011</v>
      </c>
      <c r="K80" s="1">
        <f>intermediate_results[[#This Row], [Team1 laps '[laps']]] - intermediate_results[[#This Row], [Team1 laps '[laps']]]</f>
        <v>0</v>
      </c>
      <c r="L80" s="1">
        <f>intermediate_results[[#This Row], [Team1 laps '[laps']]] - intermediate_results[[#This Row], [Team2 laps '[laps']]]</f>
        <v>3.1092026383799265E-2</v>
      </c>
      <c r="M80" s="1">
        <f>intermediate_results[[#This Row], [Team1 laps '[laps']]] - intermediate_results[[#This Row], [Team3 laps '[laps']]]</f>
        <v>0.20038079526251629</v>
      </c>
      <c r="N80" s="1">
        <f>intermediate_results[[#This Row], [Team1 laps '[laps']]] - intermediate_results[[#This Row], [Team4 laps '[laps']]]</f>
        <v>0.40294163517621051</v>
      </c>
      <c r="O80" s="1">
        <f>intermediate_results[[#This Row], [Team1 laps '[laps']]] - intermediate_results[[#This Row], [Team5 laps '[laps']]]</f>
        <v>0.37788806272969033</v>
      </c>
      <c r="P80" s="1">
        <f>intermediate_results[[#This Row], [Team1 laps '[laps']]] - intermediate_results[[#This Row], [Team6 laps '[laps']]]</f>
        <v>0.47028516428557943</v>
      </c>
      <c r="Q80" s="1">
        <f>intermediate_results[[#This Row], [Team1 laps '[laps']]] - intermediate_results[[#This Row], [Team7 laps '[laps']]]</f>
        <v>0.38187230423320706</v>
      </c>
      <c r="R80" s="1">
        <f>intermediate_results[[#This Row], [Team1 laps '[laps']]] - intermediate_results[[#This Row], [Team8 laps '[laps']]]</f>
        <v>0.62751256712701675</v>
      </c>
      <c r="S80" s="1">
        <f>intermediate_results[[#This Row], [Team1 laps '[laps']]] - intermediate_results[[#This Row], [Team9 laps '[laps']]]</f>
        <v>0.60027624367897836</v>
      </c>
      <c r="T80" s="1">
        <f>MAX(intermediate_results[[#This Row], [Team1 laps '[laps']]:[Team9 laps '[laps']]]) - intermediate_results[[#This Row], [Team1 laps '[laps']]]</f>
        <v>0</v>
      </c>
      <c r="U80" s="1">
        <f>MAX(intermediate_results[[#This Row], [Team1 laps '[laps']]:[Team9 laps '[laps']]]) - intermediate_results[[#This Row], [Team2 laps '[laps']]]</f>
        <v>3.1092026383799265E-2</v>
      </c>
      <c r="V80" s="1">
        <f>MAX(intermediate_results[[#This Row], [Team1 laps '[laps']]:[Team9 laps '[laps']]]) - intermediate_results[[#This Row], [Team3 laps '[laps']]]</f>
        <v>0.20038079526251629</v>
      </c>
      <c r="W80" s="1">
        <f>MAX(intermediate_results[[#This Row], [Team1 laps '[laps']]:[Team9 laps '[laps']]]) - intermediate_results[[#This Row], [Team4 laps '[laps']]]</f>
        <v>0.40294163517621051</v>
      </c>
      <c r="X80" s="1">
        <f>MAX(intermediate_results[[#This Row], [Team1 laps '[laps']]:[Team9 laps '[laps']]]) - intermediate_results[[#This Row], [Team5 laps '[laps']]]</f>
        <v>0.37788806272969033</v>
      </c>
      <c r="Y80" s="1">
        <f>MAX(intermediate_results[[#This Row], [Team1 laps '[laps']]:[Team9 laps '[laps']]]) - intermediate_results[[#This Row], [Team6 laps '[laps']]]</f>
        <v>0.47028516428557943</v>
      </c>
      <c r="Z80" s="1">
        <f>MAX(intermediate_results[[#This Row], [Team1 laps '[laps']]:[Team9 laps '[laps']]]) - intermediate_results[[#This Row], [Team7 laps '[laps']]]</f>
        <v>0.38187230423320706</v>
      </c>
      <c r="AA80" s="1">
        <f>MAX(intermediate_results[[#This Row], [Team1 laps '[laps']]:[Team9 laps '[laps']]]) - intermediate_results[[#This Row], [Team8 laps '[laps']]]</f>
        <v>0.62751256712701675</v>
      </c>
      <c r="AB80" s="1">
        <f>MAX(intermediate_results[[#This Row], [Team1 laps '[laps']]:[Team9 laps '[laps']]]) - intermediate_results[[#This Row], [Team9 laps '[laps']]]</f>
        <v>0.60027624367897836</v>
      </c>
      <c r="AC80" s="1">
        <f>9 * intermediate_results[[#This Row], [All cumulative times '[sec']]] / SUM(intermediate_results[[#This Row], [Team1 laps '[laps']]:[Team9 laps '[laps']]])</f>
        <v>55.067537206740603</v>
      </c>
      <c r="AD80" s="1">
        <f>intermediate_results[[#This Row], [All cumulative times '[sec']]] / intermediate_results[[#This Row], [Team1 laps '[laps']]] - intermediate_results[[#This Row], [Total running average '[sec']]]</f>
        <v>-1.997857542251424</v>
      </c>
      <c r="AE80" s="1">
        <f>intermediate_results[[#This Row], [All cumulative times '[sec']]] / intermediate_results[[#This Row], [Team2 laps '[laps']]] - intermediate_results[[#This Row], [Total running average '[sec']]]</f>
        <v>-1.823049817035745</v>
      </c>
      <c r="AF80" s="1">
        <f>intermediate_results[[#This Row], [All cumulative times '[sec']]] / intermediate_results[[#This Row], [Team3 laps '[laps']]] - intermediate_results[[#This Row], [Total running average '[sec']]]</f>
        <v>-0.85068879140291642</v>
      </c>
      <c r="AG80" s="1">
        <f>intermediate_results[[#This Row], [All cumulative times '[sec']]] / intermediate_results[[#This Row], [Team4 laps '[laps']]] - intermediate_results[[#This Row], [Total running average '[sec']]]</f>
        <v>0.36049398966493129</v>
      </c>
      <c r="AH80" s="1">
        <f>intermediate_results[[#This Row], [All cumulative times '[sec']]] / intermediate_results[[#This Row], [Team5 laps '[laps']]] - intermediate_results[[#This Row], [Total running average '[sec']]]</f>
        <v>0.20776526701494191</v>
      </c>
      <c r="AI80" s="1">
        <f>intermediate_results[[#This Row], [All cumulative times '[sec']]] / intermediate_results[[#This Row], [Team6 laps '[laps']]] - intermediate_results[[#This Row], [Total running average '[sec']]]</f>
        <v>0.77524057103717325</v>
      </c>
      <c r="AJ80" s="1">
        <f>intermediate_results[[#This Row], [All cumulative times '[sec']]] / intermediate_results[[#This Row], [Team7 laps '[laps']]] - intermediate_results[[#This Row], [Total running average '[sec']]]</f>
        <v>0.23199723772606262</v>
      </c>
      <c r="AK80" s="1">
        <f>intermediate_results[[#This Row], [All cumulative times '[sec']]] / intermediate_results[[#This Row], [Team8 laps '[laps']]] - intermediate_results[[#This Row], [Total running average '[sec']]]</f>
        <v>1.7681435119397548</v>
      </c>
      <c r="AL80" s="1">
        <f>intermediate_results[[#This Row], [All cumulative times '[sec']]] / intermediate_results[[#This Row], [Team9 laps '[laps']]] - intermediate_results[[#This Row], [Total running average '[sec']]]</f>
        <v>1.5936233961992698</v>
      </c>
    </row>
    <row r="81" spans="1:38" x14ac:dyDescent="0.25">
      <c r="A81" s="1">
        <v>509.87099999999998</v>
      </c>
      <c r="B81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9.607790590144754</v>
      </c>
      <c r="C81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9.5765482137807521</v>
      </c>
      <c r="D81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9.4065254078379894</v>
      </c>
      <c r="E81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9.2011126002900845</v>
      </c>
      <c r="F81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9.2263949681833211</v>
      </c>
      <c r="G81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9.1310549509847991</v>
      </c>
      <c r="H81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9.2209048588885665</v>
      </c>
      <c r="I81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8.9707251110759891</v>
      </c>
      <c r="J81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9</v>
      </c>
      <c r="K81" s="1">
        <f>intermediate_results[[#This Row], [Team1 laps '[laps']]] - intermediate_results[[#This Row], [Team1 laps '[laps']]]</f>
        <v>0</v>
      </c>
      <c r="L81" s="1">
        <f>intermediate_results[[#This Row], [Team1 laps '[laps']]] - intermediate_results[[#This Row], [Team2 laps '[laps']]]</f>
        <v>3.1242376364001956E-2</v>
      </c>
      <c r="M81" s="1">
        <f>intermediate_results[[#This Row], [Team1 laps '[laps']]] - intermediate_results[[#This Row], [Team3 laps '[laps']]]</f>
        <v>0.2012651823067646</v>
      </c>
      <c r="N81" s="1">
        <f>intermediate_results[[#This Row], [Team1 laps '[laps']]] - intermediate_results[[#This Row], [Team4 laps '[laps']]]</f>
        <v>0.40667798985466952</v>
      </c>
      <c r="O81" s="1">
        <f>intermediate_results[[#This Row], [Team1 laps '[laps']]] - intermediate_results[[#This Row], [Team5 laps '[laps']]]</f>
        <v>0.38139562196143295</v>
      </c>
      <c r="P81" s="1">
        <f>intermediate_results[[#This Row], [Team1 laps '[laps']]] - intermediate_results[[#This Row], [Team6 laps '[laps']]]</f>
        <v>0.47673563915995487</v>
      </c>
      <c r="Q81" s="1">
        <f>intermediate_results[[#This Row], [Team1 laps '[laps']]] - intermediate_results[[#This Row], [Team7 laps '[laps']]]</f>
        <v>0.38688573125618753</v>
      </c>
      <c r="R81" s="1">
        <f>intermediate_results[[#This Row], [Team1 laps '[laps']]] - intermediate_results[[#This Row], [Team8 laps '[laps']]]</f>
        <v>0.63706547906876487</v>
      </c>
      <c r="S81" s="1">
        <f>intermediate_results[[#This Row], [Team1 laps '[laps']]] - intermediate_results[[#This Row], [Team9 laps '[laps']]]</f>
        <v>0.60779059014475401</v>
      </c>
      <c r="T81" s="1">
        <f>MAX(intermediate_results[[#This Row], [Team1 laps '[laps']]:[Team9 laps '[laps']]]) - intermediate_results[[#This Row], [Team1 laps '[laps']]]</f>
        <v>0</v>
      </c>
      <c r="U81" s="1">
        <f>MAX(intermediate_results[[#This Row], [Team1 laps '[laps']]:[Team9 laps '[laps']]]) - intermediate_results[[#This Row], [Team2 laps '[laps']]]</f>
        <v>3.1242376364001956E-2</v>
      </c>
      <c r="V81" s="1">
        <f>MAX(intermediate_results[[#This Row], [Team1 laps '[laps']]:[Team9 laps '[laps']]]) - intermediate_results[[#This Row], [Team3 laps '[laps']]]</f>
        <v>0.2012651823067646</v>
      </c>
      <c r="W81" s="1">
        <f>MAX(intermediate_results[[#This Row], [Team1 laps '[laps']]:[Team9 laps '[laps']]]) - intermediate_results[[#This Row], [Team4 laps '[laps']]]</f>
        <v>0.40667798985466952</v>
      </c>
      <c r="X81" s="1">
        <f>MAX(intermediate_results[[#This Row], [Team1 laps '[laps']]:[Team9 laps '[laps']]]) - intermediate_results[[#This Row], [Team5 laps '[laps']]]</f>
        <v>0.38139562196143295</v>
      </c>
      <c r="Y81" s="1">
        <f>MAX(intermediate_results[[#This Row], [Team1 laps '[laps']]:[Team9 laps '[laps']]]) - intermediate_results[[#This Row], [Team6 laps '[laps']]]</f>
        <v>0.47673563915995487</v>
      </c>
      <c r="Z81" s="1">
        <f>MAX(intermediate_results[[#This Row], [Team1 laps '[laps']]:[Team9 laps '[laps']]]) - intermediate_results[[#This Row], [Team7 laps '[laps']]]</f>
        <v>0.38688573125618753</v>
      </c>
      <c r="AA81" s="1">
        <f>MAX(intermediate_results[[#This Row], [Team1 laps '[laps']]:[Team9 laps '[laps']]]) - intermediate_results[[#This Row], [Team8 laps '[laps']]]</f>
        <v>0.63706547906876487</v>
      </c>
      <c r="AB81" s="1">
        <f>MAX(intermediate_results[[#This Row], [Team1 laps '[laps']]:[Team9 laps '[laps']]]) - intermediate_results[[#This Row], [Team9 laps '[laps']]]</f>
        <v>0.60779059014475401</v>
      </c>
      <c r="AC81" s="1">
        <f>9 * intermediate_results[[#This Row], [All cumulative times '[sec']]] / SUM(intermediate_results[[#This Row], [Team1 laps '[laps']]:[Team9 laps '[laps']]])</f>
        <v>55.060964926962392</v>
      </c>
      <c r="AD81" s="1">
        <f>intermediate_results[[#This Row], [All cumulative times '[sec']]] / intermediate_results[[#This Row], [Team1 laps '[laps']]] - intermediate_results[[#This Row], [Total running average '[sec']]]</f>
        <v>-1.9924685628760344</v>
      </c>
      <c r="AE81" s="1">
        <f>intermediate_results[[#This Row], [All cumulative times '[sec']]] / intermediate_results[[#This Row], [Team2 laps '[laps']]] - intermediate_results[[#This Row], [Total running average '[sec']]]</f>
        <v>-1.8193387566591568</v>
      </c>
      <c r="AF81" s="1">
        <f>intermediate_results[[#This Row], [All cumulative times '[sec']]] / intermediate_results[[#This Row], [Team3 laps '[laps']]] - intermediate_results[[#This Row], [Total running average '[sec']]]</f>
        <v>-0.85699716059141196</v>
      </c>
      <c r="AG81" s="1">
        <f>intermediate_results[[#This Row], [All cumulative times '[sec']]] / intermediate_results[[#This Row], [Team4 laps '[laps']]] - intermediate_results[[#This Row], [Total running average '[sec']]]</f>
        <v>0.3530944536309093</v>
      </c>
      <c r="AH81" s="1">
        <f>intermediate_results[[#This Row], [All cumulative times '[sec']]] / intermediate_results[[#This Row], [Team5 laps '[laps']]] - intermediate_results[[#This Row], [Total running average '[sec']]]</f>
        <v>0.20124764449808197</v>
      </c>
      <c r="AI81" s="1">
        <f>intermediate_results[[#This Row], [All cumulative times '[sec']]] / intermediate_results[[#This Row], [Team6 laps '[laps']]] - intermediate_results[[#This Row], [Total running average '[sec']]]</f>
        <v>0.77825657996869779</v>
      </c>
      <c r="AJ81" s="1">
        <f>intermediate_results[[#This Row], [All cumulative times '[sec']]] / intermediate_results[[#This Row], [Team7 laps '[laps']]] - intermediate_results[[#This Row], [Total running average '[sec']]]</f>
        <v>0.23415066123345696</v>
      </c>
      <c r="AK81" s="1">
        <f>intermediate_results[[#This Row], [All cumulative times '[sec']]] / intermediate_results[[#This Row], [Team8 laps '[laps']]] - intermediate_results[[#This Row], [Total running average '[sec']]]</f>
        <v>1.7762465232548976</v>
      </c>
      <c r="AL81" s="1">
        <f>intermediate_results[[#This Row], [All cumulative times '[sec']]] / intermediate_results[[#This Row], [Team9 laps '[laps']]] - intermediate_results[[#This Row], [Total running average '[sec']]]</f>
        <v>1.5913684063709397</v>
      </c>
    </row>
    <row r="82" spans="1:38" x14ac:dyDescent="0.25">
      <c r="A82" s="1">
        <v>511.53800000000001</v>
      </c>
      <c r="B82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9.6392511370713585</v>
      </c>
      <c r="C82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9.6079743613912711</v>
      </c>
      <c r="D82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9.4377836114757176</v>
      </c>
      <c r="E82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9.2317182881377722</v>
      </c>
      <c r="F82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9.2570530032736222</v>
      </c>
      <c r="G82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9.1610396618400927</v>
      </c>
      <c r="H82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9.2512183590340431</v>
      </c>
      <c r="I82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9.0000000000000018</v>
      </c>
      <c r="J82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9.0295745662278684</v>
      </c>
      <c r="K82" s="1">
        <f>intermediate_results[[#This Row], [Team1 laps '[laps']]] - intermediate_results[[#This Row], [Team1 laps '[laps']]]</f>
        <v>0</v>
      </c>
      <c r="L82" s="1">
        <f>intermediate_results[[#This Row], [Team1 laps '[laps']]] - intermediate_results[[#This Row], [Team2 laps '[laps']]]</f>
        <v>3.1276775680087354E-2</v>
      </c>
      <c r="M82" s="1">
        <f>intermediate_results[[#This Row], [Team1 laps '[laps']]] - intermediate_results[[#This Row], [Team3 laps '[laps']]]</f>
        <v>0.20146752559564085</v>
      </c>
      <c r="N82" s="1">
        <f>intermediate_results[[#This Row], [Team1 laps '[laps']]] - intermediate_results[[#This Row], [Team4 laps '[laps']]]</f>
        <v>0.40753284893358632</v>
      </c>
      <c r="O82" s="1">
        <f>intermediate_results[[#This Row], [Team1 laps '[laps']]] - intermediate_results[[#This Row], [Team5 laps '[laps']]]</f>
        <v>0.38219813379773626</v>
      </c>
      <c r="P82" s="1">
        <f>intermediate_results[[#This Row], [Team1 laps '[laps']]] - intermediate_results[[#This Row], [Team6 laps '[laps']]]</f>
        <v>0.47821147523126584</v>
      </c>
      <c r="Q82" s="1">
        <f>intermediate_results[[#This Row], [Team1 laps '[laps']]] - intermediate_results[[#This Row], [Team7 laps '[laps']]]</f>
        <v>0.3880327780373154</v>
      </c>
      <c r="R82" s="1">
        <f>intermediate_results[[#This Row], [Team1 laps '[laps']]] - intermediate_results[[#This Row], [Team8 laps '[laps']]]</f>
        <v>0.63925113707135672</v>
      </c>
      <c r="S82" s="1">
        <f>intermediate_results[[#This Row], [Team1 laps '[laps']]] - intermediate_results[[#This Row], [Team9 laps '[laps']]]</f>
        <v>0.60967657084349014</v>
      </c>
      <c r="T82" s="1">
        <f>MAX(intermediate_results[[#This Row], [Team1 laps '[laps']]:[Team9 laps '[laps']]]) - intermediate_results[[#This Row], [Team1 laps '[laps']]]</f>
        <v>0</v>
      </c>
      <c r="U82" s="1">
        <f>MAX(intermediate_results[[#This Row], [Team1 laps '[laps']]:[Team9 laps '[laps']]]) - intermediate_results[[#This Row], [Team2 laps '[laps']]]</f>
        <v>3.1276775680087354E-2</v>
      </c>
      <c r="V82" s="1">
        <f>MAX(intermediate_results[[#This Row], [Team1 laps '[laps']]:[Team9 laps '[laps']]]) - intermediate_results[[#This Row], [Team3 laps '[laps']]]</f>
        <v>0.20146752559564085</v>
      </c>
      <c r="W82" s="1">
        <f>MAX(intermediate_results[[#This Row], [Team1 laps '[laps']]:[Team9 laps '[laps']]]) - intermediate_results[[#This Row], [Team4 laps '[laps']]]</f>
        <v>0.40753284893358632</v>
      </c>
      <c r="X82" s="1">
        <f>MAX(intermediate_results[[#This Row], [Team1 laps '[laps']]:[Team9 laps '[laps']]]) - intermediate_results[[#This Row], [Team5 laps '[laps']]]</f>
        <v>0.38219813379773626</v>
      </c>
      <c r="Y82" s="1">
        <f>MAX(intermediate_results[[#This Row], [Team1 laps '[laps']]:[Team9 laps '[laps']]]) - intermediate_results[[#This Row], [Team6 laps '[laps']]]</f>
        <v>0.47821147523126584</v>
      </c>
      <c r="Z82" s="1">
        <f>MAX(intermediate_results[[#This Row], [Team1 laps '[laps']]:[Team9 laps '[laps']]]) - intermediate_results[[#This Row], [Team7 laps '[laps']]]</f>
        <v>0.3880327780373154</v>
      </c>
      <c r="AA82" s="1">
        <f>MAX(intermediate_results[[#This Row], [Team1 laps '[laps']]:[Team9 laps '[laps']]]) - intermediate_results[[#This Row], [Team8 laps '[laps']]]</f>
        <v>0.63925113707135672</v>
      </c>
      <c r="AB82" s="1">
        <f>MAX(intermediate_results[[#This Row], [Team1 laps '[laps']]:[Team9 laps '[laps']]]) - intermediate_results[[#This Row], [Team9 laps '[laps']]]</f>
        <v>0.60967657084349014</v>
      </c>
      <c r="AC82" s="1">
        <f>9 * intermediate_results[[#This Row], [All cumulative times '[sec']]] / SUM(intermediate_results[[#This Row], [Team1 laps '[laps']]:[Team9 laps '[laps']]])</f>
        <v>55.059597549513185</v>
      </c>
      <c r="AD82" s="1">
        <f>intermediate_results[[#This Row], [All cumulative times '[sec']]] / intermediate_results[[#This Row], [Team1 laps '[laps']]] - intermediate_results[[#This Row], [Total running average '[sec']]]</f>
        <v>-1.9913671729138471</v>
      </c>
      <c r="AE82" s="1">
        <f>intermediate_results[[#This Row], [All cumulative times '[sec']]] / intermediate_results[[#This Row], [Team2 laps '[laps']]] - intermediate_results[[#This Row], [Total running average '[sec']]]</f>
        <v>-1.8186145119681782</v>
      </c>
      <c r="AF82" s="1">
        <f>intermediate_results[[#This Row], [All cumulative times '[sec']]] / intermediate_results[[#This Row], [Team3 laps '[laps']]] - intermediate_results[[#This Row], [Total running average '[sec']]]</f>
        <v>-0.85852438886095683</v>
      </c>
      <c r="AG82" s="1">
        <f>intermediate_results[[#This Row], [All cumulative times '[sec']]] / intermediate_results[[#This Row], [Team4 laps '[laps']]] - intermediate_results[[#This Row], [Total running average '[sec']]]</f>
        <v>0.35132206848436454</v>
      </c>
      <c r="AH82" s="1">
        <f>intermediate_results[[#This Row], [All cumulative times '[sec']]] / intermediate_results[[#This Row], [Team5 laps '[laps']]] - intermediate_results[[#This Row], [Total running average '[sec']]]</f>
        <v>0.19967338899197529</v>
      </c>
      <c r="AI82" s="1">
        <f>intermediate_results[[#This Row], [All cumulative times '[sec']]] / intermediate_results[[#This Row], [Team6 laps '[laps']]] - intermediate_results[[#This Row], [Total running average '[sec']]]</f>
        <v>0.77882460368292072</v>
      </c>
      <c r="AJ82" s="1">
        <f>intermediate_results[[#This Row], [All cumulative times '[sec']]] / intermediate_results[[#This Row], [Team7 laps '[laps']]] - intermediate_results[[#This Row], [Total running average '[sec']]]</f>
        <v>0.23452481875526132</v>
      </c>
      <c r="AK82" s="1">
        <f>intermediate_results[[#This Row], [All cumulative times '[sec']]] / intermediate_results[[#This Row], [Team8 laps '[laps']]] - intermediate_results[[#This Row], [Total running average '[sec']]]</f>
        <v>1.7779580060423612</v>
      </c>
      <c r="AL82" s="1">
        <f>intermediate_results[[#This Row], [All cumulative times '[sec']]] / intermediate_results[[#This Row], [Team9 laps '[laps']]] - intermediate_results[[#This Row], [Total running average '[sec']]]</f>
        <v>1.5917979562328313</v>
      </c>
    </row>
    <row r="83" spans="1:38" x14ac:dyDescent="0.25">
      <c r="A83" s="1">
        <v>530.65299999999991</v>
      </c>
      <c r="B83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10</v>
      </c>
      <c r="C83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9.9683287774531042</v>
      </c>
      <c r="D83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9.7962122632664528</v>
      </c>
      <c r="E83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9.5826647327739725</v>
      </c>
      <c r="F83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9.6085996983852553</v>
      </c>
      <c r="G83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9.5048655454627191</v>
      </c>
      <c r="H83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9.5988143729997084</v>
      </c>
      <c r="I83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9.329927334863731</v>
      </c>
      <c r="J83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9.3686974417201849</v>
      </c>
      <c r="K83" s="1">
        <f>intermediate_results[[#This Row], [Team1 laps '[laps']]] - intermediate_results[[#This Row], [Team1 laps '[laps']]]</f>
        <v>0</v>
      </c>
      <c r="L83" s="1">
        <f>intermediate_results[[#This Row], [Team1 laps '[laps']]] - intermediate_results[[#This Row], [Team2 laps '[laps']]]</f>
        <v>3.1671222546895805E-2</v>
      </c>
      <c r="M83" s="1">
        <f>intermediate_results[[#This Row], [Team1 laps '[laps']]] - intermediate_results[[#This Row], [Team3 laps '[laps']]]</f>
        <v>0.20378773673354722</v>
      </c>
      <c r="N83" s="1">
        <f>intermediate_results[[#This Row], [Team1 laps '[laps']]] - intermediate_results[[#This Row], [Team4 laps '[laps']]]</f>
        <v>0.41733526722602754</v>
      </c>
      <c r="O83" s="1">
        <f>intermediate_results[[#This Row], [Team1 laps '[laps']]] - intermediate_results[[#This Row], [Team5 laps '[laps']]]</f>
        <v>0.39140030161474471</v>
      </c>
      <c r="P83" s="1">
        <f>intermediate_results[[#This Row], [Team1 laps '[laps']]] - intermediate_results[[#This Row], [Team6 laps '[laps']]]</f>
        <v>0.49513445453728089</v>
      </c>
      <c r="Q83" s="1">
        <f>intermediate_results[[#This Row], [Team1 laps '[laps']]] - intermediate_results[[#This Row], [Team7 laps '[laps']]]</f>
        <v>0.40118562700029159</v>
      </c>
      <c r="R83" s="1">
        <f>intermediate_results[[#This Row], [Team1 laps '[laps']]] - intermediate_results[[#This Row], [Team8 laps '[laps']]]</f>
        <v>0.67007266513626895</v>
      </c>
      <c r="S83" s="1">
        <f>intermediate_results[[#This Row], [Team1 laps '[laps']]] - intermediate_results[[#This Row], [Team9 laps '[laps']]]</f>
        <v>0.63130255827981507</v>
      </c>
      <c r="T83" s="1">
        <f>MAX(intermediate_results[[#This Row], [Team1 laps '[laps']]:[Team9 laps '[laps']]]) - intermediate_results[[#This Row], [Team1 laps '[laps']]]</f>
        <v>0</v>
      </c>
      <c r="U83" s="1">
        <f>MAX(intermediate_results[[#This Row], [Team1 laps '[laps']]:[Team9 laps '[laps']]]) - intermediate_results[[#This Row], [Team2 laps '[laps']]]</f>
        <v>3.1671222546895805E-2</v>
      </c>
      <c r="V83" s="1">
        <f>MAX(intermediate_results[[#This Row], [Team1 laps '[laps']]:[Team9 laps '[laps']]]) - intermediate_results[[#This Row], [Team3 laps '[laps']]]</f>
        <v>0.20378773673354722</v>
      </c>
      <c r="W83" s="1">
        <f>MAX(intermediate_results[[#This Row], [Team1 laps '[laps']]:[Team9 laps '[laps']]]) - intermediate_results[[#This Row], [Team4 laps '[laps']]]</f>
        <v>0.41733526722602754</v>
      </c>
      <c r="X83" s="1">
        <f>MAX(intermediate_results[[#This Row], [Team1 laps '[laps']]:[Team9 laps '[laps']]]) - intermediate_results[[#This Row], [Team5 laps '[laps']]]</f>
        <v>0.39140030161474471</v>
      </c>
      <c r="Y83" s="1">
        <f>MAX(intermediate_results[[#This Row], [Team1 laps '[laps']]:[Team9 laps '[laps']]]) - intermediate_results[[#This Row], [Team6 laps '[laps']]]</f>
        <v>0.49513445453728089</v>
      </c>
      <c r="Z83" s="1">
        <f>MAX(intermediate_results[[#This Row], [Team1 laps '[laps']]:[Team9 laps '[laps']]]) - intermediate_results[[#This Row], [Team7 laps '[laps']]]</f>
        <v>0.40118562700029159</v>
      </c>
      <c r="AA83" s="1">
        <f>MAX(intermediate_results[[#This Row], [Team1 laps '[laps']]:[Team9 laps '[laps']]]) - intermediate_results[[#This Row], [Team8 laps '[laps']]]</f>
        <v>0.67007266513626895</v>
      </c>
      <c r="AB83" s="1">
        <f>MAX(intermediate_results[[#This Row], [Team1 laps '[laps']]:[Team9 laps '[laps']]]) - intermediate_results[[#This Row], [Team9 laps '[laps']]]</f>
        <v>0.63130255827981507</v>
      </c>
      <c r="AC83" s="1">
        <f>9 * intermediate_results[[#This Row], [All cumulative times '[sec']]] / SUM(intermediate_results[[#This Row], [Team1 laps '[laps']]:[Team9 laps '[laps']]])</f>
        <v>55.048190777911984</v>
      </c>
      <c r="AD83" s="1">
        <f>intermediate_results[[#This Row], [All cumulative times '[sec']]] / intermediate_results[[#This Row], [Team1 laps '[laps']]] - intermediate_results[[#This Row], [Total running average '[sec']]]</f>
        <v>-1.9828907779119902</v>
      </c>
      <c r="AE83" s="1">
        <f>intermediate_results[[#This Row], [All cumulative times '[sec']]] / intermediate_results[[#This Row], [Team2 laps '[laps']]] - intermediate_results[[#This Row], [Total running average '[sec']]]</f>
        <v>-1.8142925140165289</v>
      </c>
      <c r="AF83" s="1">
        <f>intermediate_results[[#This Row], [All cumulative times '[sec']]] / intermediate_results[[#This Row], [Team3 laps '[laps']]] - intermediate_results[[#This Row], [Total running average '[sec']]]</f>
        <v>-0.87898887220942612</v>
      </c>
      <c r="AG83" s="1">
        <f>intermediate_results[[#This Row], [All cumulative times '[sec']]] / intermediate_results[[#This Row], [Team4 laps '[laps']]] - intermediate_results[[#This Row], [Total running average '[sec']]]</f>
        <v>0.32815962127259013</v>
      </c>
      <c r="AH83" s="1">
        <f>intermediate_results[[#This Row], [All cumulative times '[sec']]] / intermediate_results[[#This Row], [Team5 laps '[laps']]] - intermediate_results[[#This Row], [Total running average '[sec']]]</f>
        <v>0.17869104225346888</v>
      </c>
      <c r="AI83" s="1">
        <f>intermediate_results[[#This Row], [All cumulative times '[sec']]] / intermediate_results[[#This Row], [Team6 laps '[laps']]] - intermediate_results[[#This Row], [Total running average '[sec']]]</f>
        <v>0.78142590228551256</v>
      </c>
      <c r="AJ83" s="1">
        <f>intermediate_results[[#This Row], [All cumulative times '[sec']]] / intermediate_results[[#This Row], [Team7 laps '[laps']]] - intermediate_results[[#This Row], [Total running average '[sec']]]</f>
        <v>0.23499101719199444</v>
      </c>
      <c r="AK83" s="1">
        <f>intermediate_results[[#This Row], [All cumulative times '[sec']]] / intermediate_results[[#This Row], [Team8 laps '[laps']]] - intermediate_results[[#This Row], [Total running average '[sec']]]</f>
        <v>1.8282436201433114</v>
      </c>
      <c r="AL83" s="1">
        <f>intermediate_results[[#This Row], [All cumulative times '[sec']]] / intermediate_results[[#This Row], [Team9 laps '[laps']]] - intermediate_results[[#This Row], [Total running average '[sec']]]</f>
        <v>1.5928741407739579</v>
      </c>
    </row>
    <row r="84" spans="1:38" x14ac:dyDescent="0.25">
      <c r="A84" s="1">
        <v>532.33299999999997</v>
      </c>
      <c r="B84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10.031698113207549</v>
      </c>
      <c r="C84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10</v>
      </c>
      <c r="D84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9.8277142321395079</v>
      </c>
      <c r="E84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9.613509097251546</v>
      </c>
      <c r="F84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9.6394968183322902</v>
      </c>
      <c r="G84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9.5350840902958893</v>
      </c>
      <c r="H84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9.6293642711667147</v>
      </c>
      <c r="I84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9.3589243488616951</v>
      </c>
      <c r="J84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9.3985026434375332</v>
      </c>
      <c r="K84" s="1">
        <f>intermediate_results[[#This Row], [Team1 laps '[laps']]] - intermediate_results[[#This Row], [Team1 laps '[laps']]]</f>
        <v>0</v>
      </c>
      <c r="L84" s="1">
        <f>intermediate_results[[#This Row], [Team1 laps '[laps']]] - intermediate_results[[#This Row], [Team2 laps '[laps']]]</f>
        <v>3.1698113207548673E-2</v>
      </c>
      <c r="M84" s="1">
        <f>intermediate_results[[#This Row], [Team1 laps '[laps']]] - intermediate_results[[#This Row], [Team3 laps '[laps']]]</f>
        <v>0.20398388106804077</v>
      </c>
      <c r="N84" s="1">
        <f>intermediate_results[[#This Row], [Team1 laps '[laps']]] - intermediate_results[[#This Row], [Team4 laps '[laps']]]</f>
        <v>0.41818901595600266</v>
      </c>
      <c r="O84" s="1">
        <f>intermediate_results[[#This Row], [Team1 laps '[laps']]] - intermediate_results[[#This Row], [Team5 laps '[laps']]]</f>
        <v>0.39220129487525845</v>
      </c>
      <c r="P84" s="1">
        <f>intermediate_results[[#This Row], [Team1 laps '[laps']]] - intermediate_results[[#This Row], [Team6 laps '[laps']]]</f>
        <v>0.49661402291165935</v>
      </c>
      <c r="Q84" s="1">
        <f>intermediate_results[[#This Row], [Team1 laps '[laps']]] - intermediate_results[[#This Row], [Team7 laps '[laps']]]</f>
        <v>0.402333842040834</v>
      </c>
      <c r="R84" s="1">
        <f>intermediate_results[[#This Row], [Team1 laps '[laps']]] - intermediate_results[[#This Row], [Team8 laps '[laps']]]</f>
        <v>0.67277376434585356</v>
      </c>
      <c r="S84" s="1">
        <f>intermediate_results[[#This Row], [Team1 laps '[laps']]] - intermediate_results[[#This Row], [Team9 laps '[laps']]]</f>
        <v>0.63319546977001551</v>
      </c>
      <c r="T84" s="1">
        <f>MAX(intermediate_results[[#This Row], [Team1 laps '[laps']]:[Team9 laps '[laps']]]) - intermediate_results[[#This Row], [Team1 laps '[laps']]]</f>
        <v>0</v>
      </c>
      <c r="U84" s="1">
        <f>MAX(intermediate_results[[#This Row], [Team1 laps '[laps']]:[Team9 laps '[laps']]]) - intermediate_results[[#This Row], [Team2 laps '[laps']]]</f>
        <v>3.1698113207548673E-2</v>
      </c>
      <c r="V84" s="1">
        <f>MAX(intermediate_results[[#This Row], [Team1 laps '[laps']]:[Team9 laps '[laps']]]) - intermediate_results[[#This Row], [Team3 laps '[laps']]]</f>
        <v>0.20398388106804077</v>
      </c>
      <c r="W84" s="1">
        <f>MAX(intermediate_results[[#This Row], [Team1 laps '[laps']]:[Team9 laps '[laps']]]) - intermediate_results[[#This Row], [Team4 laps '[laps']]]</f>
        <v>0.41818901595600266</v>
      </c>
      <c r="X84" s="1">
        <f>MAX(intermediate_results[[#This Row], [Team1 laps '[laps']]:[Team9 laps '[laps']]]) - intermediate_results[[#This Row], [Team5 laps '[laps']]]</f>
        <v>0.39220129487525845</v>
      </c>
      <c r="Y84" s="1">
        <f>MAX(intermediate_results[[#This Row], [Team1 laps '[laps']]:[Team9 laps '[laps']]]) - intermediate_results[[#This Row], [Team6 laps '[laps']]]</f>
        <v>0.49661402291165935</v>
      </c>
      <c r="Z84" s="1">
        <f>MAX(intermediate_results[[#This Row], [Team1 laps '[laps']]:[Team9 laps '[laps']]]) - intermediate_results[[#This Row], [Team7 laps '[laps']]]</f>
        <v>0.402333842040834</v>
      </c>
      <c r="AA84" s="1">
        <f>MAX(intermediate_results[[#This Row], [Team1 laps '[laps']]:[Team9 laps '[laps']]]) - intermediate_results[[#This Row], [Team8 laps '[laps']]]</f>
        <v>0.67277376434585356</v>
      </c>
      <c r="AB84" s="1">
        <f>MAX(intermediate_results[[#This Row], [Team1 laps '[laps']]:[Team9 laps '[laps']]]) - intermediate_results[[#This Row], [Team9 laps '[laps']]]</f>
        <v>0.63319546977001551</v>
      </c>
      <c r="AC84" s="1">
        <f>9 * intermediate_results[[#This Row], [All cumulative times '[sec']]] / SUM(intermediate_results[[#This Row], [Team1 laps '[laps']]:[Team9 laps '[laps']]])</f>
        <v>55.047232545025281</v>
      </c>
      <c r="AD84" s="1">
        <f>intermediate_results[[#This Row], [All cumulative times '[sec']]] / intermediate_results[[#This Row], [Team1 laps '[laps']]] - intermediate_results[[#This Row], [Total running average '[sec']]]</f>
        <v>-1.9821388796626707</v>
      </c>
      <c r="AE84" s="1">
        <f>intermediate_results[[#This Row], [All cumulative times '[sec']]] / intermediate_results[[#This Row], [Team2 laps '[laps']]] - intermediate_results[[#This Row], [Total running average '[sec']]]</f>
        <v>-1.8139325450252812</v>
      </c>
      <c r="AF84" s="1">
        <f>intermediate_results[[#This Row], [All cumulative times '[sec']]] / intermediate_results[[#This Row], [Team3 laps '[laps']]] - intermediate_results[[#This Row], [Total running average '[sec']]]</f>
        <v>-0.88072063535711465</v>
      </c>
      <c r="AG84" s="1">
        <f>intermediate_results[[#This Row], [All cumulative times '[sec']]] / intermediate_results[[#This Row], [Team4 laps '[laps']]] - intermediate_results[[#This Row], [Total running average '[sec']]]</f>
        <v>0.32620025821524479</v>
      </c>
      <c r="AH84" s="1">
        <f>intermediate_results[[#This Row], [All cumulative times '[sec']]] / intermediate_results[[#This Row], [Team5 laps '[laps']]] - intermediate_results[[#This Row], [Total running average '[sec']]]</f>
        <v>0.17691556482365201</v>
      </c>
      <c r="AI84" s="1">
        <f>intermediate_results[[#This Row], [All cumulative times '[sec']]] / intermediate_results[[#This Row], [Team6 laps '[laps']]] - intermediate_results[[#This Row], [Total running average '[sec']]]</f>
        <v>0.78164058906375544</v>
      </c>
      <c r="AJ84" s="1">
        <f>intermediate_results[[#This Row], [All cumulative times '[sec']]] / intermediate_results[[#This Row], [Team7 laps '[laps']]] - intermediate_results[[#This Row], [Total running average '[sec']]]</f>
        <v>0.23502545345641579</v>
      </c>
      <c r="AK84" s="1">
        <f>intermediate_results[[#This Row], [All cumulative times '[sec']]] / intermediate_results[[#This Row], [Team8 laps '[laps']]] - intermediate_results[[#This Row], [Total running average '[sec']]]</f>
        <v>1.8324878327493792</v>
      </c>
      <c r="AL84" s="1">
        <f>intermediate_results[[#This Row], [All cumulative times '[sec']]] / intermediate_results[[#This Row], [Team9 laps '[laps']]] - intermediate_results[[#This Row], [Total running average '[sec']]]</f>
        <v>1.5929600681777742</v>
      </c>
    </row>
    <row r="85" spans="1:38" x14ac:dyDescent="0.25">
      <c r="A85" s="1">
        <v>541.52099999999996</v>
      </c>
      <c r="B85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10.205056603773587</v>
      </c>
      <c r="C85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10.173012465634768</v>
      </c>
      <c r="D85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10</v>
      </c>
      <c r="E85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9.7821983953586571</v>
      </c>
      <c r="F85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9.808474638614042</v>
      </c>
      <c r="G85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9.7003507509668125</v>
      </c>
      <c r="H85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9.796443118999127</v>
      </c>
      <c r="I85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9.5175103992267456</v>
      </c>
      <c r="J85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9.5615087109250254</v>
      </c>
      <c r="K85" s="1">
        <f>intermediate_results[[#This Row], [Team1 laps '[laps']]] - intermediate_results[[#This Row], [Team1 laps '[laps']]]</f>
        <v>0</v>
      </c>
      <c r="L85" s="1">
        <f>intermediate_results[[#This Row], [Team1 laps '[laps']]] - intermediate_results[[#This Row], [Team2 laps '[laps']]]</f>
        <v>3.2044138138818568E-2</v>
      </c>
      <c r="M85" s="1">
        <f>intermediate_results[[#This Row], [Team1 laps '[laps']]] - intermediate_results[[#This Row], [Team3 laps '[laps']]]</f>
        <v>0.20505660377358659</v>
      </c>
      <c r="N85" s="1">
        <f>intermediate_results[[#This Row], [Team1 laps '[laps']]] - intermediate_results[[#This Row], [Team4 laps '[laps']]]</f>
        <v>0.42285820841492949</v>
      </c>
      <c r="O85" s="1">
        <f>intermediate_results[[#This Row], [Team1 laps '[laps']]] - intermediate_results[[#This Row], [Team5 laps '[laps']]]</f>
        <v>0.39658196515954458</v>
      </c>
      <c r="P85" s="1">
        <f>intermediate_results[[#This Row], [Team1 laps '[laps']]] - intermediate_results[[#This Row], [Team6 laps '[laps']]]</f>
        <v>0.50470585280677405</v>
      </c>
      <c r="Q85" s="1">
        <f>intermediate_results[[#This Row], [Team1 laps '[laps']]] - intermediate_results[[#This Row], [Team7 laps '[laps']]]</f>
        <v>0.40861348477445958</v>
      </c>
      <c r="R85" s="1">
        <f>intermediate_results[[#This Row], [Team1 laps '[laps']]] - intermediate_results[[#This Row], [Team8 laps '[laps']]]</f>
        <v>0.68754620454684101</v>
      </c>
      <c r="S85" s="1">
        <f>intermediate_results[[#This Row], [Team1 laps '[laps']]] - intermediate_results[[#This Row], [Team9 laps '[laps']]]</f>
        <v>0.64354789284856118</v>
      </c>
      <c r="T85" s="1">
        <f>MAX(intermediate_results[[#This Row], [Team1 laps '[laps']]:[Team9 laps '[laps']]]) - intermediate_results[[#This Row], [Team1 laps '[laps']]]</f>
        <v>0</v>
      </c>
      <c r="U85" s="1">
        <f>MAX(intermediate_results[[#This Row], [Team1 laps '[laps']]:[Team9 laps '[laps']]]) - intermediate_results[[#This Row], [Team2 laps '[laps']]]</f>
        <v>3.2044138138818568E-2</v>
      </c>
      <c r="V85" s="1">
        <f>MAX(intermediate_results[[#This Row], [Team1 laps '[laps']]:[Team9 laps '[laps']]]) - intermediate_results[[#This Row], [Team3 laps '[laps']]]</f>
        <v>0.20505660377358659</v>
      </c>
      <c r="W85" s="1">
        <f>MAX(intermediate_results[[#This Row], [Team1 laps '[laps']]:[Team9 laps '[laps']]]) - intermediate_results[[#This Row], [Team4 laps '[laps']]]</f>
        <v>0.42285820841492949</v>
      </c>
      <c r="X85" s="1">
        <f>MAX(intermediate_results[[#This Row], [Team1 laps '[laps']]:[Team9 laps '[laps']]]) - intermediate_results[[#This Row], [Team5 laps '[laps']]]</f>
        <v>0.39658196515954458</v>
      </c>
      <c r="Y85" s="1">
        <f>MAX(intermediate_results[[#This Row], [Team1 laps '[laps']]:[Team9 laps '[laps']]]) - intermediate_results[[#This Row], [Team6 laps '[laps']]]</f>
        <v>0.50470585280677405</v>
      </c>
      <c r="Z85" s="1">
        <f>MAX(intermediate_results[[#This Row], [Team1 laps '[laps']]:[Team9 laps '[laps']]]) - intermediate_results[[#This Row], [Team7 laps '[laps']]]</f>
        <v>0.40861348477445958</v>
      </c>
      <c r="AA85" s="1">
        <f>MAX(intermediate_results[[#This Row], [Team1 laps '[laps']]:[Team9 laps '[laps']]]) - intermediate_results[[#This Row], [Team8 laps '[laps']]]</f>
        <v>0.68754620454684101</v>
      </c>
      <c r="AB85" s="1">
        <f>MAX(intermediate_results[[#This Row], [Team1 laps '[laps']]:[Team9 laps '[laps']]]) - intermediate_results[[#This Row], [Team9 laps '[laps']]]</f>
        <v>0.64354789284856118</v>
      </c>
      <c r="AC85" s="1">
        <f>9 * intermediate_results[[#This Row], [All cumulative times '[sec']]] / SUM(intermediate_results[[#This Row], [Team1 laps '[laps']]:[Team9 laps '[laps']]])</f>
        <v>55.042221347253275</v>
      </c>
      <c r="AD85" s="1">
        <f>intermediate_results[[#This Row], [All cumulative times '[sec']]] / intermediate_results[[#This Row], [Team1 laps '[laps']]] - intermediate_results[[#This Row], [Total running average '[sec']]]</f>
        <v>-1.9782334611147121</v>
      </c>
      <c r="AE85" s="1">
        <f>intermediate_results[[#This Row], [All cumulative times '[sec']]] / intermediate_results[[#This Row], [Team2 laps '[laps']]] - intermediate_results[[#This Row], [Total running average '[sec']]]</f>
        <v>-1.8110863388867529</v>
      </c>
      <c r="AF85" s="1">
        <f>intermediate_results[[#This Row], [All cumulative times '[sec']]] / intermediate_results[[#This Row], [Team3 laps '[laps']]] - intermediate_results[[#This Row], [Total running average '[sec']]]</f>
        <v>-0.89012134725327741</v>
      </c>
      <c r="AG85" s="1">
        <f>intermediate_results[[#This Row], [All cumulative times '[sec']]] / intermediate_results[[#This Row], [Team4 laps '[laps']]] - intermediate_results[[#This Row], [Total running average '[sec']]]</f>
        <v>0.31558045902929877</v>
      </c>
      <c r="AH85" s="1">
        <f>intermediate_results[[#This Row], [All cumulative times '[sec']]] / intermediate_results[[#This Row], [Team5 laps '[laps']]] - intermediate_results[[#This Row], [Total running average '[sec']]]</f>
        <v>0.16728063464898213</v>
      </c>
      <c r="AI85" s="1">
        <f>intermediate_results[[#This Row], [All cumulative times '[sec']]] / intermediate_results[[#This Row], [Team6 laps '[laps']]] - intermediate_results[[#This Row], [Total running average '[sec']]]</f>
        <v>0.78266724721613201</v>
      </c>
      <c r="AJ85" s="1">
        <f>intermediate_results[[#This Row], [All cumulative times '[sec']]] / intermediate_results[[#This Row], [Team7 laps '[laps']]] - intermediate_results[[#This Row], [Total running average '[sec']]]</f>
        <v>0.23508628594058933</v>
      </c>
      <c r="AK85" s="1">
        <f>intermediate_results[[#This Row], [All cumulative times '[sec']]] / intermediate_results[[#This Row], [Team8 laps '[laps']]] - intermediate_results[[#This Row], [Total running average '[sec']]]</f>
        <v>1.8551160114740739</v>
      </c>
      <c r="AL85" s="1">
        <f>intermediate_results[[#This Row], [All cumulative times '[sec']]] / intermediate_results[[#This Row], [Team9 laps '[laps']]] - intermediate_results[[#This Row], [Total running average '[sec']]]</f>
        <v>1.5932967882116316</v>
      </c>
    </row>
    <row r="86" spans="1:38" x14ac:dyDescent="0.25">
      <c r="A86" s="1">
        <v>551.93500000000006</v>
      </c>
      <c r="B86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10.401547169811323</v>
      </c>
      <c r="C86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10.369110834933908</v>
      </c>
      <c r="D86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10.194858169298707</v>
      </c>
      <c r="E86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9.9733967356380937</v>
      </c>
      <c r="F86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10</v>
      </c>
      <c r="G86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9.8876697544743237</v>
      </c>
      <c r="H86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9.9858161187081773</v>
      </c>
      <c r="I86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9.697257365759361</v>
      </c>
      <c r="J86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9.7462654791895833</v>
      </c>
      <c r="K86" s="1">
        <f>intermediate_results[[#This Row], [Team1 laps '[laps']]] - intermediate_results[[#This Row], [Team1 laps '[laps']]]</f>
        <v>0</v>
      </c>
      <c r="L86" s="1">
        <f>intermediate_results[[#This Row], [Team1 laps '[laps']]] - intermediate_results[[#This Row], [Team2 laps '[laps']]]</f>
        <v>3.2436334877415263E-2</v>
      </c>
      <c r="M86" s="1">
        <f>intermediate_results[[#This Row], [Team1 laps '[laps']]] - intermediate_results[[#This Row], [Team3 laps '[laps']]]</f>
        <v>0.20668900051261652</v>
      </c>
      <c r="N86" s="1">
        <f>intermediate_results[[#This Row], [Team1 laps '[laps']]] - intermediate_results[[#This Row], [Team4 laps '[laps']]]</f>
        <v>0.4281504341732294</v>
      </c>
      <c r="O86" s="1">
        <f>intermediate_results[[#This Row], [Team1 laps '[laps']]] - intermediate_results[[#This Row], [Team5 laps '[laps']]]</f>
        <v>0.4015471698113231</v>
      </c>
      <c r="P86" s="1">
        <f>intermediate_results[[#This Row], [Team1 laps '[laps']]] - intermediate_results[[#This Row], [Team6 laps '[laps']]]</f>
        <v>0.51387741533699938</v>
      </c>
      <c r="Q86" s="1">
        <f>intermediate_results[[#This Row], [Team1 laps '[laps']]] - intermediate_results[[#This Row], [Team7 laps '[laps']]]</f>
        <v>0.41573105110314579</v>
      </c>
      <c r="R86" s="1">
        <f>intermediate_results[[#This Row], [Team1 laps '[laps']]] - intermediate_results[[#This Row], [Team8 laps '[laps']]]</f>
        <v>0.70428980405196207</v>
      </c>
      <c r="S86" s="1">
        <f>intermediate_results[[#This Row], [Team1 laps '[laps']]] - intermediate_results[[#This Row], [Team9 laps '[laps']]]</f>
        <v>0.6552816906217398</v>
      </c>
      <c r="T86" s="1">
        <f>MAX(intermediate_results[[#This Row], [Team1 laps '[laps']]:[Team9 laps '[laps']]]) - intermediate_results[[#This Row], [Team1 laps '[laps']]]</f>
        <v>0</v>
      </c>
      <c r="U86" s="1">
        <f>MAX(intermediate_results[[#This Row], [Team1 laps '[laps']]:[Team9 laps '[laps']]]) - intermediate_results[[#This Row], [Team2 laps '[laps']]]</f>
        <v>3.2436334877415263E-2</v>
      </c>
      <c r="V86" s="1">
        <f>MAX(intermediate_results[[#This Row], [Team1 laps '[laps']]:[Team9 laps '[laps']]]) - intermediate_results[[#This Row], [Team3 laps '[laps']]]</f>
        <v>0.20668900051261652</v>
      </c>
      <c r="W86" s="1">
        <f>MAX(intermediate_results[[#This Row], [Team1 laps '[laps']]:[Team9 laps '[laps']]]) - intermediate_results[[#This Row], [Team4 laps '[laps']]]</f>
        <v>0.4281504341732294</v>
      </c>
      <c r="X86" s="1">
        <f>MAX(intermediate_results[[#This Row], [Team1 laps '[laps']]:[Team9 laps '[laps']]]) - intermediate_results[[#This Row], [Team5 laps '[laps']]]</f>
        <v>0.4015471698113231</v>
      </c>
      <c r="Y86" s="1">
        <f>MAX(intermediate_results[[#This Row], [Team1 laps '[laps']]:[Team9 laps '[laps']]]) - intermediate_results[[#This Row], [Team6 laps '[laps']]]</f>
        <v>0.51387741533699938</v>
      </c>
      <c r="Z86" s="1">
        <f>MAX(intermediate_results[[#This Row], [Team1 laps '[laps']]:[Team9 laps '[laps']]]) - intermediate_results[[#This Row], [Team7 laps '[laps']]]</f>
        <v>0.41573105110314579</v>
      </c>
      <c r="AA86" s="1">
        <f>MAX(intermediate_results[[#This Row], [Team1 laps '[laps']]:[Team9 laps '[laps']]]) - intermediate_results[[#This Row], [Team8 laps '[laps']]]</f>
        <v>0.70428980405196207</v>
      </c>
      <c r="AB86" s="1">
        <f>MAX(intermediate_results[[#This Row], [Team1 laps '[laps']]:[Team9 laps '[laps']]]) - intermediate_results[[#This Row], [Team9 laps '[laps']]]</f>
        <v>0.6552816906217398</v>
      </c>
      <c r="AC86" s="1">
        <f>9 * intermediate_results[[#This Row], [All cumulative times '[sec']]] / SUM(intermediate_results[[#This Row], [Team1 laps '[laps']]:[Team9 laps '[laps']]])</f>
        <v>55.036998242442529</v>
      </c>
      <c r="AD86" s="1">
        <f>intermediate_results[[#This Row], [All cumulative times '[sec']]] / intermediate_results[[#This Row], [Team1 laps '[laps']]] - intermediate_results[[#This Row], [Total running average '[sec']]]</f>
        <v>-1.9742191203235464</v>
      </c>
      <c r="AE86" s="1">
        <f>intermediate_results[[#This Row], [All cumulative times '[sec']]] / intermediate_results[[#This Row], [Team2 laps '[laps']]] - intermediate_results[[#This Row], [Total running average '[sec']]]</f>
        <v>-1.8082297601430497</v>
      </c>
      <c r="AF86" s="1">
        <f>intermediate_results[[#This Row], [All cumulative times '[sec']]] / intermediate_results[[#This Row], [Team3 laps '[laps']]] - intermediate_results[[#This Row], [Total running average '[sec']]]</f>
        <v>-0.89843242481065033</v>
      </c>
      <c r="AG86" s="1">
        <f>intermediate_results[[#This Row], [All cumulative times '[sec']]] / intermediate_results[[#This Row], [Team4 laps '[laps']]] - intermediate_results[[#This Row], [Total running average '[sec']]]</f>
        <v>0.30372614965571643</v>
      </c>
      <c r="AH86" s="1">
        <f>intermediate_results[[#This Row], [All cumulative times '[sec']]] / intermediate_results[[#This Row], [Team5 laps '[laps']]] - intermediate_results[[#This Row], [Total running average '[sec']]]</f>
        <v>0.15650175755747853</v>
      </c>
      <c r="AI86" s="1">
        <f>intermediate_results[[#This Row], [All cumulative times '[sec']]] / intermediate_results[[#This Row], [Team6 laps '[laps']]] - intermediate_results[[#This Row], [Total running average '[sec']]]</f>
        <v>0.78353518002952427</v>
      </c>
      <c r="AJ86" s="1">
        <f>intermediate_results[[#This Row], [All cumulative times '[sec']]] / intermediate_results[[#This Row], [Team7 laps '[laps']]] - intermediate_results[[#This Row], [Total running average '[sec']]]</f>
        <v>0.23489876014333078</v>
      </c>
      <c r="AK86" s="1">
        <f>intermediate_results[[#This Row], [All cumulative times '[sec']]] / intermediate_results[[#This Row], [Team8 laps '[laps']]] - intermediate_results[[#This Row], [Total running average '[sec']]]</f>
        <v>1.8796101533355483</v>
      </c>
      <c r="AL86" s="1">
        <f>intermediate_results[[#This Row], [All cumulative times '[sec']]] / intermediate_results[[#This Row], [Team9 laps '[laps']]] - intermediate_results[[#This Row], [Total running average '[sec']]]</f>
        <v>1.5934107258440875</v>
      </c>
    </row>
    <row r="87" spans="1:38" x14ac:dyDescent="0.25">
      <c r="A87" s="1">
        <v>552.71499999999992</v>
      </c>
      <c r="B87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10.416264150943396</v>
      </c>
      <c r="C87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10.383798440854139</v>
      </c>
      <c r="D87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10.209452885263078</v>
      </c>
      <c r="E87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9.9877173334312506</v>
      </c>
      <c r="F87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10.014172284099784</v>
      </c>
      <c r="G87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9.9016997931468644</v>
      </c>
      <c r="H87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10</v>
      </c>
      <c r="I87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9.7107202651155564</v>
      </c>
      <c r="J87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9.7601036085583495</v>
      </c>
      <c r="K87" s="1">
        <f>intermediate_results[[#This Row], [Team1 laps '[laps']]] - intermediate_results[[#This Row], [Team1 laps '[laps']]]</f>
        <v>0</v>
      </c>
      <c r="L87" s="1">
        <f>intermediate_results[[#This Row], [Team1 laps '[laps']]] - intermediate_results[[#This Row], [Team2 laps '[laps']]]</f>
        <v>3.2465710089256916E-2</v>
      </c>
      <c r="M87" s="1">
        <f>intermediate_results[[#This Row], [Team1 laps '[laps']]] - intermediate_results[[#This Row], [Team3 laps '[laps']]]</f>
        <v>0.20681126568031871</v>
      </c>
      <c r="N87" s="1">
        <f>intermediate_results[[#This Row], [Team1 laps '[laps']]] - intermediate_results[[#This Row], [Team4 laps '[laps']]]</f>
        <v>0.42854681751214585</v>
      </c>
      <c r="O87" s="1">
        <f>intermediate_results[[#This Row], [Team1 laps '[laps']]] - intermediate_results[[#This Row], [Team5 laps '[laps']]]</f>
        <v>0.40209186684361242</v>
      </c>
      <c r="P87" s="1">
        <f>intermediate_results[[#This Row], [Team1 laps '[laps']]] - intermediate_results[[#This Row], [Team6 laps '[laps']]]</f>
        <v>0.51456435779653198</v>
      </c>
      <c r="Q87" s="1">
        <f>intermediate_results[[#This Row], [Team1 laps '[laps']]] - intermediate_results[[#This Row], [Team7 laps '[laps']]]</f>
        <v>0.41626415094339642</v>
      </c>
      <c r="R87" s="1">
        <f>intermediate_results[[#This Row], [Team1 laps '[laps']]] - intermediate_results[[#This Row], [Team8 laps '[laps']]]</f>
        <v>0.70554388582784</v>
      </c>
      <c r="S87" s="1">
        <f>intermediate_results[[#This Row], [Team1 laps '[laps']]] - intermediate_results[[#This Row], [Team9 laps '[laps']]]</f>
        <v>0.65616054238504695</v>
      </c>
      <c r="T87" s="1">
        <f>MAX(intermediate_results[[#This Row], [Team1 laps '[laps']]:[Team9 laps '[laps']]]) - intermediate_results[[#This Row], [Team1 laps '[laps']]]</f>
        <v>0</v>
      </c>
      <c r="U87" s="1">
        <f>MAX(intermediate_results[[#This Row], [Team1 laps '[laps']]:[Team9 laps '[laps']]]) - intermediate_results[[#This Row], [Team2 laps '[laps']]]</f>
        <v>3.2465710089256916E-2</v>
      </c>
      <c r="V87" s="1">
        <f>MAX(intermediate_results[[#This Row], [Team1 laps '[laps']]:[Team9 laps '[laps']]]) - intermediate_results[[#This Row], [Team3 laps '[laps']]]</f>
        <v>0.20681126568031871</v>
      </c>
      <c r="W87" s="1">
        <f>MAX(intermediate_results[[#This Row], [Team1 laps '[laps']]:[Team9 laps '[laps']]]) - intermediate_results[[#This Row], [Team4 laps '[laps']]]</f>
        <v>0.42854681751214585</v>
      </c>
      <c r="X87" s="1">
        <f>MAX(intermediate_results[[#This Row], [Team1 laps '[laps']]:[Team9 laps '[laps']]]) - intermediate_results[[#This Row], [Team5 laps '[laps']]]</f>
        <v>0.40209186684361242</v>
      </c>
      <c r="Y87" s="1">
        <f>MAX(intermediate_results[[#This Row], [Team1 laps '[laps']]:[Team9 laps '[laps']]]) - intermediate_results[[#This Row], [Team6 laps '[laps']]]</f>
        <v>0.51456435779653198</v>
      </c>
      <c r="Z87" s="1">
        <f>MAX(intermediate_results[[#This Row], [Team1 laps '[laps']]:[Team9 laps '[laps']]]) - intermediate_results[[#This Row], [Team7 laps '[laps']]]</f>
        <v>0.41626415094339642</v>
      </c>
      <c r="AA87" s="1">
        <f>MAX(intermediate_results[[#This Row], [Team1 laps '[laps']]:[Team9 laps '[laps']]]) - intermediate_results[[#This Row], [Team8 laps '[laps']]]</f>
        <v>0.70554388582784</v>
      </c>
      <c r="AB87" s="1">
        <f>MAX(intermediate_results[[#This Row], [Team1 laps '[laps']]:[Team9 laps '[laps']]]) - intermediate_results[[#This Row], [Team9 laps '[laps']]]</f>
        <v>0.65616054238504695</v>
      </c>
      <c r="AC87" s="1">
        <f>9 * intermediate_results[[#This Row], [All cumulative times '[sec']]] / SUM(intermediate_results[[#This Row], [Team1 laps '[laps']]:[Team9 laps '[laps']]])</f>
        <v>55.036720224134946</v>
      </c>
      <c r="AD87" s="1">
        <f>intermediate_results[[#This Row], [All cumulative times '[sec']]] / intermediate_results[[#This Row], [Team1 laps '[laps']]] - intermediate_results[[#This Row], [Total running average '[sec']]]</f>
        <v>-1.9740298016824056</v>
      </c>
      <c r="AE87" s="1">
        <f>intermediate_results[[#This Row], [All cumulative times '[sec']]] / intermediate_results[[#This Row], [Team2 laps '[laps']]] - intermediate_results[[#This Row], [Total running average '[sec']]]</f>
        <v>-1.8081253945789797</v>
      </c>
      <c r="AF87" s="1">
        <f>intermediate_results[[#This Row], [All cumulative times '[sec']]] / intermediate_results[[#This Row], [Team3 laps '[laps']]] - intermediate_results[[#This Row], [Total running average '[sec']]]</f>
        <v>-0.89914730895737449</v>
      </c>
      <c r="AG87" s="1">
        <f>intermediate_results[[#This Row], [All cumulative times '[sec']]] / intermediate_results[[#This Row], [Team4 laps '[laps']]] - intermediate_results[[#This Row], [Total running average '[sec']]]</f>
        <v>0.30275140367456288</v>
      </c>
      <c r="AH87" s="1">
        <f>intermediate_results[[#This Row], [All cumulative times '[sec']]] / intermediate_results[[#This Row], [Team5 laps '[laps']]] - intermediate_results[[#This Row], [Total running average '[sec']]]</f>
        <v>0.15655829350998829</v>
      </c>
      <c r="AI87" s="1">
        <f>intermediate_results[[#This Row], [All cumulative times '[sec']]] / intermediate_results[[#This Row], [Team6 laps '[laps']]] - intermediate_results[[#This Row], [Total running average '[sec']]]</f>
        <v>0.78349363273672168</v>
      </c>
      <c r="AJ87" s="1">
        <f>intermediate_results[[#This Row], [All cumulative times '[sec']]] / intermediate_results[[#This Row], [Team7 laps '[laps']]] - intermediate_results[[#This Row], [Total running average '[sec']]]</f>
        <v>0.23477977586504295</v>
      </c>
      <c r="AK87" s="1">
        <f>intermediate_results[[#This Row], [All cumulative times '[sec']]] / intermediate_results[[#This Row], [Team8 laps '[laps']]] - intermediate_results[[#This Row], [Total running average '[sec']]]</f>
        <v>1.8813028380217816</v>
      </c>
      <c r="AL87" s="1">
        <f>intermediate_results[[#This Row], [All cumulative times '[sec']]] / intermediate_results[[#This Row], [Team9 laps '[laps']]] - intermediate_results[[#This Row], [Total running average '[sec']]]</f>
        <v>1.5933138582225723</v>
      </c>
    </row>
    <row r="88" spans="1:38" x14ac:dyDescent="0.25">
      <c r="A88" s="1">
        <v>553.38400000000001</v>
      </c>
      <c r="B88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10.428886792452833</v>
      </c>
      <c r="C88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10.396395887470343</v>
      </c>
      <c r="D88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10.221970660878679</v>
      </c>
      <c r="E88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10</v>
      </c>
      <c r="F88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10.026327743154605</v>
      </c>
      <c r="G88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9.91373324939293</v>
      </c>
      <c r="H88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10.012249382037904</v>
      </c>
      <c r="I88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9.7222672903326028</v>
      </c>
      <c r="J88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9.7719724656707943</v>
      </c>
      <c r="K88" s="1">
        <f>intermediate_results[[#This Row], [Team1 laps '[laps']]] - intermediate_results[[#This Row], [Team1 laps '[laps']]]</f>
        <v>0</v>
      </c>
      <c r="L88" s="1">
        <f>intermediate_results[[#This Row], [Team1 laps '[laps']]] - intermediate_results[[#This Row], [Team2 laps '[laps']]]</f>
        <v>3.2490904982489965E-2</v>
      </c>
      <c r="M88" s="1">
        <f>intermediate_results[[#This Row], [Team1 laps '[laps']]] - intermediate_results[[#This Row], [Team3 laps '[laps']]]</f>
        <v>0.20691613157415389</v>
      </c>
      <c r="N88" s="1">
        <f>intermediate_results[[#This Row], [Team1 laps '[laps']]] - intermediate_results[[#This Row], [Team4 laps '[laps']]]</f>
        <v>0.42888679245283257</v>
      </c>
      <c r="O88" s="1">
        <f>intermediate_results[[#This Row], [Team1 laps '[laps']]] - intermediate_results[[#This Row], [Team5 laps '[laps']]]</f>
        <v>0.40255904929822783</v>
      </c>
      <c r="P88" s="1">
        <f>intermediate_results[[#This Row], [Team1 laps '[laps']]] - intermediate_results[[#This Row], [Team6 laps '[laps']]]</f>
        <v>0.51515354305990257</v>
      </c>
      <c r="Q88" s="1">
        <f>intermediate_results[[#This Row], [Team1 laps '[laps']]] - intermediate_results[[#This Row], [Team7 laps '[laps']]]</f>
        <v>0.41663741041492841</v>
      </c>
      <c r="R88" s="1">
        <f>intermediate_results[[#This Row], [Team1 laps '[laps']]] - intermediate_results[[#This Row], [Team8 laps '[laps']]]</f>
        <v>0.70661950212022973</v>
      </c>
      <c r="S88" s="1">
        <f>intermediate_results[[#This Row], [Team1 laps '[laps']]] - intermediate_results[[#This Row], [Team9 laps '[laps']]]</f>
        <v>0.65691432678203832</v>
      </c>
      <c r="T88" s="1">
        <f>MAX(intermediate_results[[#This Row], [Team1 laps '[laps']]:[Team9 laps '[laps']]]) - intermediate_results[[#This Row], [Team1 laps '[laps']]]</f>
        <v>0</v>
      </c>
      <c r="U88" s="1">
        <f>MAX(intermediate_results[[#This Row], [Team1 laps '[laps']]:[Team9 laps '[laps']]]) - intermediate_results[[#This Row], [Team2 laps '[laps']]]</f>
        <v>3.2490904982489965E-2</v>
      </c>
      <c r="V88" s="1">
        <f>MAX(intermediate_results[[#This Row], [Team1 laps '[laps']]:[Team9 laps '[laps']]]) - intermediate_results[[#This Row], [Team3 laps '[laps']]]</f>
        <v>0.20691613157415389</v>
      </c>
      <c r="W88" s="1">
        <f>MAX(intermediate_results[[#This Row], [Team1 laps '[laps']]:[Team9 laps '[laps']]]) - intermediate_results[[#This Row], [Team4 laps '[laps']]]</f>
        <v>0.42888679245283257</v>
      </c>
      <c r="X88" s="1">
        <f>MAX(intermediate_results[[#This Row], [Team1 laps '[laps']]:[Team9 laps '[laps']]]) - intermediate_results[[#This Row], [Team5 laps '[laps']]]</f>
        <v>0.40255904929822783</v>
      </c>
      <c r="Y88" s="1">
        <f>MAX(intermediate_results[[#This Row], [Team1 laps '[laps']]:[Team9 laps '[laps']]]) - intermediate_results[[#This Row], [Team6 laps '[laps']]]</f>
        <v>0.51515354305990257</v>
      </c>
      <c r="Z88" s="1">
        <f>MAX(intermediate_results[[#This Row], [Team1 laps '[laps']]:[Team9 laps '[laps']]]) - intermediate_results[[#This Row], [Team7 laps '[laps']]]</f>
        <v>0.41663741041492841</v>
      </c>
      <c r="AA88" s="1">
        <f>MAX(intermediate_results[[#This Row], [Team1 laps '[laps']]:[Team9 laps '[laps']]]) - intermediate_results[[#This Row], [Team8 laps '[laps']]]</f>
        <v>0.70661950212022973</v>
      </c>
      <c r="AB88" s="1">
        <f>MAX(intermediate_results[[#This Row], [Team1 laps '[laps']]:[Team9 laps '[laps']]]) - intermediate_results[[#This Row], [Team9 laps '[laps']]]</f>
        <v>0.65691432678203832</v>
      </c>
      <c r="AC88" s="1">
        <f>9 * intermediate_results[[#This Row], [All cumulative times '[sec']]] / SUM(intermediate_results[[#This Row], [Team1 laps '[laps']]:[Team9 laps '[laps']]])</f>
        <v>55.036431323991742</v>
      </c>
      <c r="AD88" s="1">
        <f>intermediate_results[[#This Row], [All cumulative times '[sec']]] / intermediate_results[[#This Row], [Team1 laps '[laps']]] - intermediate_results[[#This Row], [Total running average '[sec']]]</f>
        <v>-1.9738167791227283</v>
      </c>
      <c r="AE88" s="1">
        <f>intermediate_results[[#This Row], [All cumulative times '[sec']]] / intermediate_results[[#This Row], [Team2 laps '[laps']]] - intermediate_results[[#This Row], [Total running average '[sec']]]</f>
        <v>-1.8079850441675731</v>
      </c>
      <c r="AF88" s="1">
        <f>intermediate_results[[#This Row], [All cumulative times '[sec']]] / intermediate_results[[#This Row], [Team3 laps '[laps']]] - intermediate_results[[#This Row], [Total running average '[sec']]]</f>
        <v>-0.89970775483690346</v>
      </c>
      <c r="AG88" s="1">
        <f>intermediate_results[[#This Row], [All cumulative times '[sec']]] / intermediate_results[[#This Row], [Team4 laps '[laps']]] - intermediate_results[[#This Row], [Total running average '[sec']]]</f>
        <v>0.30196867600825783</v>
      </c>
      <c r="AH88" s="1">
        <f>intermediate_results[[#This Row], [All cumulative times '[sec']]] / intermediate_results[[#This Row], [Team5 laps '[laps']]] - intermediate_results[[#This Row], [Total running average '[sec']]]</f>
        <v>0.15665772875925654</v>
      </c>
      <c r="AI88" s="1">
        <f>intermediate_results[[#This Row], [All cumulative times '[sec']]] / intermediate_results[[#This Row], [Team6 laps '[laps']]] - intermediate_results[[#This Row], [Total running average '[sec']]]</f>
        <v>0.78350916451056918</v>
      </c>
      <c r="AJ88" s="1">
        <f>intermediate_results[[#This Row], [All cumulative times '[sec']]] / intermediate_results[[#This Row], [Team7 laps '[laps']]] - intermediate_results[[#This Row], [Total running average '[sec']]]</f>
        <v>0.23426548793321444</v>
      </c>
      <c r="AK88" s="1">
        <f>intermediate_results[[#This Row], [All cumulative times '[sec']]] / intermediate_results[[#This Row], [Team8 laps '[laps']]] - intermediate_results[[#This Row], [Total running average '[sec']]]</f>
        <v>1.882801965372856</v>
      </c>
      <c r="AL88" s="1">
        <f>intermediate_results[[#This Row], [All cumulative times '[sec']]] / intermediate_results[[#This Row], [Team9 laps '[laps']]] - intermediate_results[[#This Row], [Total running average '[sec']]]</f>
        <v>1.593282067450275</v>
      </c>
    </row>
    <row r="89" spans="1:38" x14ac:dyDescent="0.25">
      <c r="A89" s="1">
        <v>558.18000000000006</v>
      </c>
      <c r="B89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10.519377358490569</v>
      </c>
      <c r="C89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10.486705833615789</v>
      </c>
      <c r="D89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10.311709452885266</v>
      </c>
      <c r="E89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10.087228547524646</v>
      </c>
      <c r="F89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10.113469120773297</v>
      </c>
      <c r="G89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10</v>
      </c>
      <c r="H89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10.100064084958348</v>
      </c>
      <c r="I89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9.8050468612458381</v>
      </c>
      <c r="J89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9.8570592200972236</v>
      </c>
      <c r="K89" s="1">
        <f>intermediate_results[[#This Row], [Team1 laps '[laps']]] - intermediate_results[[#This Row], [Team1 laps '[laps']]]</f>
        <v>0</v>
      </c>
      <c r="L89" s="1">
        <f>intermediate_results[[#This Row], [Team1 laps '[laps']]] - intermediate_results[[#This Row], [Team2 laps '[laps']]]</f>
        <v>3.2671524874780644E-2</v>
      </c>
      <c r="M89" s="1">
        <f>intermediate_results[[#This Row], [Team1 laps '[laps']]] - intermediate_results[[#This Row], [Team3 laps '[laps']]]</f>
        <v>0.20766790560530346</v>
      </c>
      <c r="N89" s="1">
        <f>intermediate_results[[#This Row], [Team1 laps '[laps']]] - intermediate_results[[#This Row], [Team4 laps '[laps']]]</f>
        <v>0.4321488109659235</v>
      </c>
      <c r="O89" s="1">
        <f>intermediate_results[[#This Row], [Team1 laps '[laps']]] - intermediate_results[[#This Row], [Team5 laps '[laps']]]</f>
        <v>0.4059082377172718</v>
      </c>
      <c r="P89" s="1">
        <f>intermediate_results[[#This Row], [Team1 laps '[laps']]] - intermediate_results[[#This Row], [Team6 laps '[laps']]]</f>
        <v>0.51937735849056921</v>
      </c>
      <c r="Q89" s="1">
        <f>intermediate_results[[#This Row], [Team1 laps '[laps']]] - intermediate_results[[#This Row], [Team7 laps '[laps']]]</f>
        <v>0.41931327353222159</v>
      </c>
      <c r="R89" s="1">
        <f>intermediate_results[[#This Row], [Team1 laps '[laps']]] - intermediate_results[[#This Row], [Team8 laps '[laps']]]</f>
        <v>0.71433049724473108</v>
      </c>
      <c r="S89" s="1">
        <f>intermediate_results[[#This Row], [Team1 laps '[laps']]] - intermediate_results[[#This Row], [Team9 laps '[laps']]]</f>
        <v>0.66231813839334563</v>
      </c>
      <c r="T89" s="1">
        <f>MAX(intermediate_results[[#This Row], [Team1 laps '[laps']]:[Team9 laps '[laps']]]) - intermediate_results[[#This Row], [Team1 laps '[laps']]]</f>
        <v>0</v>
      </c>
      <c r="U89" s="1">
        <f>MAX(intermediate_results[[#This Row], [Team1 laps '[laps']]:[Team9 laps '[laps']]]) - intermediate_results[[#This Row], [Team2 laps '[laps']]]</f>
        <v>3.2671524874780644E-2</v>
      </c>
      <c r="V89" s="1">
        <f>MAX(intermediate_results[[#This Row], [Team1 laps '[laps']]:[Team9 laps '[laps']]]) - intermediate_results[[#This Row], [Team3 laps '[laps']]]</f>
        <v>0.20766790560530346</v>
      </c>
      <c r="W89" s="1">
        <f>MAX(intermediate_results[[#This Row], [Team1 laps '[laps']]:[Team9 laps '[laps']]]) - intermediate_results[[#This Row], [Team4 laps '[laps']]]</f>
        <v>0.4321488109659235</v>
      </c>
      <c r="X89" s="1">
        <f>MAX(intermediate_results[[#This Row], [Team1 laps '[laps']]:[Team9 laps '[laps']]]) - intermediate_results[[#This Row], [Team5 laps '[laps']]]</f>
        <v>0.4059082377172718</v>
      </c>
      <c r="Y89" s="1">
        <f>MAX(intermediate_results[[#This Row], [Team1 laps '[laps']]:[Team9 laps '[laps']]]) - intermediate_results[[#This Row], [Team6 laps '[laps']]]</f>
        <v>0.51937735849056921</v>
      </c>
      <c r="Z89" s="1">
        <f>MAX(intermediate_results[[#This Row], [Team1 laps '[laps']]:[Team9 laps '[laps']]]) - intermediate_results[[#This Row], [Team7 laps '[laps']]]</f>
        <v>0.41931327353222159</v>
      </c>
      <c r="AA89" s="1">
        <f>MAX(intermediate_results[[#This Row], [Team1 laps '[laps']]:[Team9 laps '[laps']]]) - intermediate_results[[#This Row], [Team8 laps '[laps']]]</f>
        <v>0.71433049724473108</v>
      </c>
      <c r="AB89" s="1">
        <f>MAX(intermediate_results[[#This Row], [Team1 laps '[laps']]:[Team9 laps '[laps']]]) - intermediate_results[[#This Row], [Team9 laps '[laps']]]</f>
        <v>0.66231813839334563</v>
      </c>
      <c r="AC89" s="1">
        <f>9 * intermediate_results[[#This Row], [All cumulative times '[sec']]] / SUM(intermediate_results[[#This Row], [Team1 laps '[laps']]:[Team9 laps '[laps']]])</f>
        <v>55.034877854802652</v>
      </c>
      <c r="AD89" s="1">
        <f>intermediate_results[[#This Row], [All cumulative times '[sec']]] / intermediate_results[[#This Row], [Team1 laps '[laps']]] - intermediate_results[[#This Row], [Total running average '[sec']]]</f>
        <v>-1.9728019374031476</v>
      </c>
      <c r="AE89" s="1">
        <f>intermediate_results[[#This Row], [All cumulative times '[sec']]] / intermediate_results[[#This Row], [Team2 laps '[laps']]] - intermediate_results[[#This Row], [Total running average '[sec']]]</f>
        <v>-1.8074860640727834</v>
      </c>
      <c r="AF89" s="1">
        <f>intermediate_results[[#This Row], [All cumulative times '[sec']]] / intermediate_results[[#This Row], [Team3 laps '[laps']]] - intermediate_results[[#This Row], [Total running average '[sec']]]</f>
        <v>-0.90418278912480332</v>
      </c>
      <c r="AG89" s="1">
        <f>intermediate_results[[#This Row], [All cumulative times '[sec']]] / intermediate_results[[#This Row], [Team4 laps '[laps']]] - intermediate_results[[#This Row], [Total running average '[sec']]]</f>
        <v>0.30044020309686914</v>
      </c>
      <c r="AH89" s="1">
        <f>intermediate_results[[#This Row], [All cumulative times '[sec']]] / intermediate_results[[#This Row], [Team5 laps '[laps']]] - intermediate_results[[#This Row], [Total running average '[sec']]]</f>
        <v>0.1568662771377447</v>
      </c>
      <c r="AI89" s="1">
        <f>intermediate_results[[#This Row], [All cumulative times '[sec']]] / intermediate_results[[#This Row], [Team6 laps '[laps']]] - intermediate_results[[#This Row], [Total running average '[sec']]]</f>
        <v>0.78312214519735335</v>
      </c>
      <c r="AJ89" s="1">
        <f>intermediate_results[[#This Row], [All cumulative times '[sec']]] / intermediate_results[[#This Row], [Team7 laps '[laps']]] - intermediate_results[[#This Row], [Total running average '[sec']]]</f>
        <v>0.2301180209440119</v>
      </c>
      <c r="AK89" s="1">
        <f>intermediate_results[[#This Row], [All cumulative times '[sec']]] / intermediate_results[[#This Row], [Team8 laps '[laps']]] - intermediate_results[[#This Row], [Total running average '[sec']]]</f>
        <v>1.8929479780539182</v>
      </c>
      <c r="AL89" s="1">
        <f>intermediate_results[[#This Row], [All cumulative times '[sec']]] / intermediate_results[[#This Row], [Team9 laps '[laps']]] - intermediate_results[[#This Row], [Total running average '[sec']]]</f>
        <v>1.5925591460774697</v>
      </c>
    </row>
    <row r="90" spans="1:38" x14ac:dyDescent="0.25">
      <c r="A90" s="1">
        <v>566.23699999999997</v>
      </c>
      <c r="B90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10.671396226415096</v>
      </c>
      <c r="C90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10.638421270666214</v>
      </c>
      <c r="D90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10.462465384327521</v>
      </c>
      <c r="E90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10.233767414790295</v>
      </c>
      <c r="F90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10.2598615476861</v>
      </c>
      <c r="G90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10.146870100988004</v>
      </c>
      <c r="H90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10.247587659068023</v>
      </c>
      <c r="I90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9.9441117075444012</v>
      </c>
      <c r="J90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10</v>
      </c>
      <c r="K90" s="1">
        <f>intermediate_results[[#This Row], [Team1 laps '[laps']]] - intermediate_results[[#This Row], [Team1 laps '[laps']]]</f>
        <v>0</v>
      </c>
      <c r="L90" s="1">
        <f>intermediate_results[[#This Row], [Team1 laps '[laps']]] - intermediate_results[[#This Row], [Team2 laps '[laps']]]</f>
        <v>3.2974955748882095E-2</v>
      </c>
      <c r="M90" s="1">
        <f>intermediate_results[[#This Row], [Team1 laps '[laps']]] - intermediate_results[[#This Row], [Team3 laps '[laps']]]</f>
        <v>0.20893084208757529</v>
      </c>
      <c r="N90" s="1">
        <f>intermediate_results[[#This Row], [Team1 laps '[laps']]] - intermediate_results[[#This Row], [Team4 laps '[laps']]]</f>
        <v>0.43762881162480127</v>
      </c>
      <c r="O90" s="1">
        <f>intermediate_results[[#This Row], [Team1 laps '[laps']]] - intermediate_results[[#This Row], [Team5 laps '[laps']]]</f>
        <v>0.41153467872899618</v>
      </c>
      <c r="P90" s="1">
        <f>intermediate_results[[#This Row], [Team1 laps '[laps']]] - intermediate_results[[#This Row], [Team6 laps '[laps']]]</f>
        <v>0.52452612542709254</v>
      </c>
      <c r="Q90" s="1">
        <f>intermediate_results[[#This Row], [Team1 laps '[laps']]] - intermediate_results[[#This Row], [Team7 laps '[laps']]]</f>
        <v>0.42380856734707351</v>
      </c>
      <c r="R90" s="1">
        <f>intermediate_results[[#This Row], [Team1 laps '[laps']]] - intermediate_results[[#This Row], [Team8 laps '[laps']]]</f>
        <v>0.7272845188706949</v>
      </c>
      <c r="S90" s="1">
        <f>intermediate_results[[#This Row], [Team1 laps '[laps']]] - intermediate_results[[#This Row], [Team9 laps '[laps']]]</f>
        <v>0.67139622641509611</v>
      </c>
      <c r="T90" s="1">
        <f>MAX(intermediate_results[[#This Row], [Team1 laps '[laps']]:[Team9 laps '[laps']]]) - intermediate_results[[#This Row], [Team1 laps '[laps']]]</f>
        <v>0</v>
      </c>
      <c r="U90" s="1">
        <f>MAX(intermediate_results[[#This Row], [Team1 laps '[laps']]:[Team9 laps '[laps']]]) - intermediate_results[[#This Row], [Team2 laps '[laps']]]</f>
        <v>3.2974955748882095E-2</v>
      </c>
      <c r="V90" s="1">
        <f>MAX(intermediate_results[[#This Row], [Team1 laps '[laps']]:[Team9 laps '[laps']]]) - intermediate_results[[#This Row], [Team3 laps '[laps']]]</f>
        <v>0.20893084208757529</v>
      </c>
      <c r="W90" s="1">
        <f>MAX(intermediate_results[[#This Row], [Team1 laps '[laps']]:[Team9 laps '[laps']]]) - intermediate_results[[#This Row], [Team4 laps '[laps']]]</f>
        <v>0.43762881162480127</v>
      </c>
      <c r="X90" s="1">
        <f>MAX(intermediate_results[[#This Row], [Team1 laps '[laps']]:[Team9 laps '[laps']]]) - intermediate_results[[#This Row], [Team5 laps '[laps']]]</f>
        <v>0.41153467872899618</v>
      </c>
      <c r="Y90" s="1">
        <f>MAX(intermediate_results[[#This Row], [Team1 laps '[laps']]:[Team9 laps '[laps']]]) - intermediate_results[[#This Row], [Team6 laps '[laps']]]</f>
        <v>0.52452612542709254</v>
      </c>
      <c r="Z90" s="1">
        <f>MAX(intermediate_results[[#This Row], [Team1 laps '[laps']]:[Team9 laps '[laps']]]) - intermediate_results[[#This Row], [Team7 laps '[laps']]]</f>
        <v>0.42380856734707351</v>
      </c>
      <c r="AA90" s="1">
        <f>MAX(intermediate_results[[#This Row], [Team1 laps '[laps']]:[Team9 laps '[laps']]]) - intermediate_results[[#This Row], [Team8 laps '[laps']]]</f>
        <v>0.7272845188706949</v>
      </c>
      <c r="AB90" s="1">
        <f>MAX(intermediate_results[[#This Row], [Team1 laps '[laps']]:[Team9 laps '[laps']]]) - intermediate_results[[#This Row], [Team9 laps '[laps']]]</f>
        <v>0.67139622641509611</v>
      </c>
      <c r="AC90" s="1">
        <f>9 * intermediate_results[[#This Row], [All cumulative times '[sec']]] / SUM(intermediate_results[[#This Row], [Team1 laps '[laps']]:[Team9 laps '[laps']]])</f>
        <v>55.031170498742718</v>
      </c>
      <c r="AD90" s="1">
        <f>intermediate_results[[#This Row], [All cumulative times '[sec']]] / intermediate_results[[#This Row], [Team1 laps '[laps']]] - intermediate_results[[#This Row], [Total running average '[sec']]]</f>
        <v>-1.9699788808751819</v>
      </c>
      <c r="AE90" s="1">
        <f>intermediate_results[[#This Row], [All cumulative times '[sec']]] / intermediate_results[[#This Row], [Team2 laps '[laps']]] - intermediate_results[[#This Row], [Total running average '[sec']]]</f>
        <v>-1.8055098867391237</v>
      </c>
      <c r="AF90" s="1">
        <f>intermediate_results[[#This Row], [All cumulative times '[sec']]] / intermediate_results[[#This Row], [Team3 laps '[laps']]] - intermediate_results[[#This Row], [Total running average '[sec']]]</f>
        <v>-0.91037017110607366</v>
      </c>
      <c r="AG90" s="1">
        <f>intermediate_results[[#This Row], [All cumulative times '[sec']]] / intermediate_results[[#This Row], [Team4 laps '[laps']]] - intermediate_results[[#This Row], [Total running average '[sec']]]</f>
        <v>0.29908834431532938</v>
      </c>
      <c r="AH90" s="1">
        <f>intermediate_results[[#This Row], [All cumulative times '[sec']]] / intermediate_results[[#This Row], [Team5 laps '[laps']]] - intermediate_results[[#This Row], [Total running average '[sec']]]</f>
        <v>0.15836567269840884</v>
      </c>
      <c r="AI90" s="1">
        <f>intermediate_results[[#This Row], [All cumulative times '[sec']]] / intermediate_results[[#This Row], [Team6 laps '[laps']]] - intermediate_results[[#This Row], [Total running average '[sec']]]</f>
        <v>0.77293405413465877</v>
      </c>
      <c r="AJ90" s="1">
        <f>intermediate_results[[#This Row], [All cumulative times '[sec']]] / intermediate_results[[#This Row], [Team7 laps '[laps']]] - intermediate_results[[#This Row], [Total running average '[sec']]]</f>
        <v>0.22446808063948254</v>
      </c>
      <c r="AK90" s="1">
        <f>intermediate_results[[#This Row], [All cumulative times '[sec']]] / intermediate_results[[#This Row], [Team8 laps '[laps']]] - intermediate_results[[#This Row], [Total running average '[sec']]]</f>
        <v>1.9107682739690901</v>
      </c>
      <c r="AL90" s="1">
        <f>intermediate_results[[#This Row], [All cumulative times '[sec']]] / intermediate_results[[#This Row], [Team9 laps '[laps']]] - intermediate_results[[#This Row], [Total running average '[sec']]]</f>
        <v>1.5925295012572818</v>
      </c>
    </row>
    <row r="91" spans="1:38" x14ac:dyDescent="0.25">
      <c r="A91" s="1">
        <v>569.47499999999991</v>
      </c>
      <c r="B91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10.732490566037736</v>
      </c>
      <c r="C91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10.699393665499189</v>
      </c>
      <c r="D91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10.523052166753985</v>
      </c>
      <c r="E91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10.292659415808808</v>
      </c>
      <c r="F91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10.318694696295218</v>
      </c>
      <c r="G91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10.205895220387179</v>
      </c>
      <c r="H91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10.306875400530989</v>
      </c>
      <c r="I91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10</v>
      </c>
      <c r="J91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10.058390738269555</v>
      </c>
      <c r="K91" s="1">
        <f>intermediate_results[[#This Row], [Team1 laps '[laps']]] - intermediate_results[[#This Row], [Team1 laps '[laps']]]</f>
        <v>0</v>
      </c>
      <c r="L91" s="1">
        <f>intermediate_results[[#This Row], [Team1 laps '[laps']]] - intermediate_results[[#This Row], [Team2 laps '[laps']]]</f>
        <v>3.3096900538547303E-2</v>
      </c>
      <c r="M91" s="1">
        <f>intermediate_results[[#This Row], [Team1 laps '[laps']]] - intermediate_results[[#This Row], [Team3 laps '[laps']]]</f>
        <v>0.20943839928375141</v>
      </c>
      <c r="N91" s="1">
        <f>intermediate_results[[#This Row], [Team1 laps '[laps']]] - intermediate_results[[#This Row], [Team4 laps '[laps']]]</f>
        <v>0.43983115022892783</v>
      </c>
      <c r="O91" s="1">
        <f>intermediate_results[[#This Row], [Team1 laps '[laps']]] - intermediate_results[[#This Row], [Team5 laps '[laps']]]</f>
        <v>0.41379586974251836</v>
      </c>
      <c r="P91" s="1">
        <f>intermediate_results[[#This Row], [Team1 laps '[laps']]] - intermediate_results[[#This Row], [Team6 laps '[laps']]]</f>
        <v>0.52659534565055743</v>
      </c>
      <c r="Q91" s="1">
        <f>intermediate_results[[#This Row], [Team1 laps '[laps']]] - intermediate_results[[#This Row], [Team7 laps '[laps']]]</f>
        <v>0.42561516550674661</v>
      </c>
      <c r="R91" s="1">
        <f>intermediate_results[[#This Row], [Team1 laps '[laps']]] - intermediate_results[[#This Row], [Team8 laps '[laps']]]</f>
        <v>0.7324905660377361</v>
      </c>
      <c r="S91" s="1">
        <f>intermediate_results[[#This Row], [Team1 laps '[laps']]] - intermediate_results[[#This Row], [Team9 laps '[laps']]]</f>
        <v>0.67409982776818111</v>
      </c>
      <c r="T91" s="1">
        <f>MAX(intermediate_results[[#This Row], [Team1 laps '[laps']]:[Team9 laps '[laps']]]) - intermediate_results[[#This Row], [Team1 laps '[laps']]]</f>
        <v>0</v>
      </c>
      <c r="U91" s="1">
        <f>MAX(intermediate_results[[#This Row], [Team1 laps '[laps']]:[Team9 laps '[laps']]]) - intermediate_results[[#This Row], [Team2 laps '[laps']]]</f>
        <v>3.3096900538547303E-2</v>
      </c>
      <c r="V91" s="1">
        <f>MAX(intermediate_results[[#This Row], [Team1 laps '[laps']]:[Team9 laps '[laps']]]) - intermediate_results[[#This Row], [Team3 laps '[laps']]]</f>
        <v>0.20943839928375141</v>
      </c>
      <c r="W91" s="1">
        <f>MAX(intermediate_results[[#This Row], [Team1 laps '[laps']]:[Team9 laps '[laps']]]) - intermediate_results[[#This Row], [Team4 laps '[laps']]]</f>
        <v>0.43983115022892783</v>
      </c>
      <c r="X91" s="1">
        <f>MAX(intermediate_results[[#This Row], [Team1 laps '[laps']]:[Team9 laps '[laps']]]) - intermediate_results[[#This Row], [Team5 laps '[laps']]]</f>
        <v>0.41379586974251836</v>
      </c>
      <c r="Y91" s="1">
        <f>MAX(intermediate_results[[#This Row], [Team1 laps '[laps']]:[Team9 laps '[laps']]]) - intermediate_results[[#This Row], [Team6 laps '[laps']]]</f>
        <v>0.52659534565055743</v>
      </c>
      <c r="Z91" s="1">
        <f>MAX(intermediate_results[[#This Row], [Team1 laps '[laps']]:[Team9 laps '[laps']]]) - intermediate_results[[#This Row], [Team7 laps '[laps']]]</f>
        <v>0.42561516550674661</v>
      </c>
      <c r="AA91" s="1">
        <f>MAX(intermediate_results[[#This Row], [Team1 laps '[laps']]:[Team9 laps '[laps']]]) - intermediate_results[[#This Row], [Team8 laps '[laps']]]</f>
        <v>0.7324905660377361</v>
      </c>
      <c r="AB91" s="1">
        <f>MAX(intermediate_results[[#This Row], [Team1 laps '[laps']]:[Team9 laps '[laps']]]) - intermediate_results[[#This Row], [Team9 laps '[laps']]]</f>
        <v>0.67409982776818111</v>
      </c>
      <c r="AC91" s="1">
        <f>9 * intermediate_results[[#This Row], [All cumulative times '[sec']]] / SUM(intermediate_results[[#This Row], [Team1 laps '[laps']]:[Team9 laps '[laps']]])</f>
        <v>55.029152044837517</v>
      </c>
      <c r="AD91" s="1">
        <f>intermediate_results[[#This Row], [All cumulative times '[sec']]] / intermediate_results[[#This Row], [Team1 laps '[laps']]] - intermediate_results[[#This Row], [Total running average '[sec']]]</f>
        <v>-1.968308758185465</v>
      </c>
      <c r="AE91" s="1">
        <f>intermediate_results[[#This Row], [All cumulative times '[sec']]] / intermediate_results[[#This Row], [Team2 laps '[laps']]] - intermediate_results[[#This Row], [Total running average '[sec']]]</f>
        <v>-1.804173340081114</v>
      </c>
      <c r="AF91" s="1">
        <f>intermediate_results[[#This Row], [All cumulative times '[sec']]] / intermediate_results[[#This Row], [Team3 laps '[laps']]] - intermediate_results[[#This Row], [Total running average '[sec']]]</f>
        <v>-0.91224841499793996</v>
      </c>
      <c r="AG91" s="1">
        <f>intermediate_results[[#This Row], [All cumulative times '[sec']]] / intermediate_results[[#This Row], [Team4 laps '[laps']]] - intermediate_results[[#This Row], [Total running average '[sec']]]</f>
        <v>0.2991141489632767</v>
      </c>
      <c r="AH91" s="1">
        <f>intermediate_results[[#This Row], [All cumulative times '[sec']]] / intermediate_results[[#This Row], [Team5 laps '[laps']]] - intermediate_results[[#This Row], [Total running average '[sec']]]</f>
        <v>0.15951442520174908</v>
      </c>
      <c r="AI91" s="1">
        <f>intermediate_results[[#This Row], [All cumulative times '[sec']]] / intermediate_results[[#This Row], [Team6 laps '[laps']]] - intermediate_results[[#This Row], [Total running average '[sec']]]</f>
        <v>0.76948077498834522</v>
      </c>
      <c r="AJ91" s="1">
        <f>intermediate_results[[#This Row], [All cumulative times '[sec']]] / intermediate_results[[#This Row], [Team7 laps '[laps']]] - intermediate_results[[#This Row], [Total running average '[sec']]]</f>
        <v>0.22280142019241111</v>
      </c>
      <c r="AK91" s="1">
        <f>intermediate_results[[#This Row], [All cumulative times '[sec']]] / intermediate_results[[#This Row], [Team8 laps '[laps']]] - intermediate_results[[#This Row], [Total running average '[sec']]]</f>
        <v>1.9183479551624742</v>
      </c>
      <c r="AL91" s="1">
        <f>intermediate_results[[#This Row], [All cumulative times '[sec']]] / intermediate_results[[#This Row], [Team9 laps '[laps']]] - intermediate_results[[#This Row], [Total running average '[sec']]]</f>
        <v>1.5877576396606159</v>
      </c>
    </row>
    <row r="92" spans="1:38" x14ac:dyDescent="0.25">
      <c r="A92" s="1">
        <v>583.65299999999991</v>
      </c>
      <c r="B92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11</v>
      </c>
      <c r="C92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10.96636914849546</v>
      </c>
      <c r="D92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10.78833919616795</v>
      </c>
      <c r="E92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10.550525626568692</v>
      </c>
      <c r="F92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10.576303214201353</v>
      </c>
      <c r="G92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10.464344307120198</v>
      </c>
      <c r="H92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10.566474411791631</v>
      </c>
      <c r="I92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10.255238712464894</v>
      </c>
      <c r="J92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10.314062105528906</v>
      </c>
      <c r="K92" s="1">
        <f>intermediate_results[[#This Row], [Team1 laps '[laps']]] - intermediate_results[[#This Row], [Team1 laps '[laps']]]</f>
        <v>0</v>
      </c>
      <c r="L92" s="1">
        <f>intermediate_results[[#This Row], [Team1 laps '[laps']]] - intermediate_results[[#This Row], [Team2 laps '[laps']]]</f>
        <v>3.363085150454026E-2</v>
      </c>
      <c r="M92" s="1">
        <f>intermediate_results[[#This Row], [Team1 laps '[laps']]] - intermediate_results[[#This Row], [Team3 laps '[laps']]]</f>
        <v>0.21166080383204999</v>
      </c>
      <c r="N92" s="1">
        <f>intermediate_results[[#This Row], [Team1 laps '[laps']]] - intermediate_results[[#This Row], [Team4 laps '[laps']]]</f>
        <v>0.44947437343130758</v>
      </c>
      <c r="O92" s="1">
        <f>intermediate_results[[#This Row], [Team1 laps '[laps']]] - intermediate_results[[#This Row], [Team5 laps '[laps']]]</f>
        <v>0.42369678579864711</v>
      </c>
      <c r="P92" s="1">
        <f>intermediate_results[[#This Row], [Team1 laps '[laps']]] - intermediate_results[[#This Row], [Team6 laps '[laps']]]</f>
        <v>0.53565569287980175</v>
      </c>
      <c r="Q92" s="1">
        <f>intermediate_results[[#This Row], [Team1 laps '[laps']]] - intermediate_results[[#This Row], [Team7 laps '[laps']]]</f>
        <v>0.43352558820836862</v>
      </c>
      <c r="R92" s="1">
        <f>intermediate_results[[#This Row], [Team1 laps '[laps']]] - intermediate_results[[#This Row], [Team8 laps '[laps']]]</f>
        <v>0.74476128753510551</v>
      </c>
      <c r="S92" s="1">
        <f>intermediate_results[[#This Row], [Team1 laps '[laps']]] - intermediate_results[[#This Row], [Team9 laps '[laps']]]</f>
        <v>0.68593789447109366</v>
      </c>
      <c r="T92" s="1">
        <f>MAX(intermediate_results[[#This Row], [Team1 laps '[laps']]:[Team9 laps '[laps']]]) - intermediate_results[[#This Row], [Team1 laps '[laps']]]</f>
        <v>0</v>
      </c>
      <c r="U92" s="1">
        <f>MAX(intermediate_results[[#This Row], [Team1 laps '[laps']]:[Team9 laps '[laps']]]) - intermediate_results[[#This Row], [Team2 laps '[laps']]]</f>
        <v>3.363085150454026E-2</v>
      </c>
      <c r="V92" s="1">
        <f>MAX(intermediate_results[[#This Row], [Team1 laps '[laps']]:[Team9 laps '[laps']]]) - intermediate_results[[#This Row], [Team3 laps '[laps']]]</f>
        <v>0.21166080383204999</v>
      </c>
      <c r="W92" s="1">
        <f>MAX(intermediate_results[[#This Row], [Team1 laps '[laps']]:[Team9 laps '[laps']]]) - intermediate_results[[#This Row], [Team4 laps '[laps']]]</f>
        <v>0.44947437343130758</v>
      </c>
      <c r="X92" s="1">
        <f>MAX(intermediate_results[[#This Row], [Team1 laps '[laps']]:[Team9 laps '[laps']]]) - intermediate_results[[#This Row], [Team5 laps '[laps']]]</f>
        <v>0.42369678579864711</v>
      </c>
      <c r="Y92" s="1">
        <f>MAX(intermediate_results[[#This Row], [Team1 laps '[laps']]:[Team9 laps '[laps']]]) - intermediate_results[[#This Row], [Team6 laps '[laps']]]</f>
        <v>0.53565569287980175</v>
      </c>
      <c r="Z92" s="1">
        <f>MAX(intermediate_results[[#This Row], [Team1 laps '[laps']]:[Team9 laps '[laps']]]) - intermediate_results[[#This Row], [Team7 laps '[laps']]]</f>
        <v>0.43352558820836862</v>
      </c>
      <c r="AA92" s="1">
        <f>MAX(intermediate_results[[#This Row], [Team1 laps '[laps']]:[Team9 laps '[laps']]]) - intermediate_results[[#This Row], [Team8 laps '[laps']]]</f>
        <v>0.74476128753510551</v>
      </c>
      <c r="AB92" s="1">
        <f>MAX(intermediate_results[[#This Row], [Team1 laps '[laps']]:[Team9 laps '[laps']]]) - intermediate_results[[#This Row], [Team9 laps '[laps']]]</f>
        <v>0.68593789447109366</v>
      </c>
      <c r="AC92" s="1">
        <f>9 * intermediate_results[[#This Row], [All cumulative times '[sec']]] / SUM(intermediate_results[[#This Row], [Team1 laps '[laps']]:[Team9 laps '[laps']]])</f>
        <v>55.014514623215845</v>
      </c>
      <c r="AD92" s="1">
        <f>intermediate_results[[#This Row], [All cumulative times '[sec']]] / intermediate_results[[#This Row], [Team1 laps '[laps']]] - intermediate_results[[#This Row], [Total running average '[sec']]]</f>
        <v>-1.9551509868522174</v>
      </c>
      <c r="AE92" s="1">
        <f>intermediate_results[[#This Row], [All cumulative times '[sec']]] / intermediate_results[[#This Row], [Team2 laps '[laps']]] - intermediate_results[[#This Row], [Total running average '[sec']]]</f>
        <v>-1.7924324466301087</v>
      </c>
      <c r="AF92" s="1">
        <f>intermediate_results[[#This Row], [All cumulative times '[sec']]] / intermediate_results[[#This Row], [Team3 laps '[laps']]] - intermediate_results[[#This Row], [Total running average '[sec']]]</f>
        <v>-0.91415780394609669</v>
      </c>
      <c r="AG92" s="1">
        <f>intermediate_results[[#This Row], [All cumulative times '[sec']]] / intermediate_results[[#This Row], [Team4 laps '[laps']]] - intermediate_results[[#This Row], [Total running average '[sec']]]</f>
        <v>0.30528845182954001</v>
      </c>
      <c r="AH92" s="1">
        <f>intermediate_results[[#This Row], [All cumulative times '[sec']]] / intermediate_results[[#This Row], [Team5 laps '[laps']]] - intermediate_results[[#This Row], [Total running average '[sec']]]</f>
        <v>0.17045768509493087</v>
      </c>
      <c r="AI92" s="1">
        <f>intermediate_results[[#This Row], [All cumulative times '[sec']]] / intermediate_results[[#This Row], [Team6 laps '[laps']]] - intermediate_results[[#This Row], [Total running average '[sec']]]</f>
        <v>0.76088638331143699</v>
      </c>
      <c r="AJ92" s="1">
        <f>intermediate_results[[#This Row], [All cumulative times '[sec']]] / intermediate_results[[#This Row], [Team7 laps '[laps']]] - intermediate_results[[#This Row], [Total running average '[sec']]]</f>
        <v>0.22179005648637684</v>
      </c>
      <c r="AK92" s="1">
        <f>intermediate_results[[#This Row], [All cumulative times '[sec']]] / intermediate_results[[#This Row], [Team8 laps '[laps']]] - intermediate_results[[#This Row], [Total running average '[sec']]]</f>
        <v>1.8981537567595055</v>
      </c>
      <c r="AL92" s="1">
        <f>intermediate_results[[#This Row], [All cumulative times '[sec']]] / intermediate_results[[#This Row], [Team9 laps '[laps']]] - intermediate_results[[#This Row], [Total running average '[sec']]]</f>
        <v>1.5735681348984087</v>
      </c>
    </row>
    <row r="93" spans="1:38" x14ac:dyDescent="0.25">
      <c r="A93" s="1">
        <v>585.43899999999996</v>
      </c>
      <c r="B93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11.033960183301327</v>
      </c>
      <c r="C93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11</v>
      </c>
      <c r="D93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10.821757353491506</v>
      </c>
      <c r="E93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10.583008984758647</v>
      </c>
      <c r="F93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10.608754110870867</v>
      </c>
      <c r="G93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10.496901090087132</v>
      </c>
      <c r="H93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10.599176050535569</v>
      </c>
      <c r="I93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10.287391085187586</v>
      </c>
      <c r="J93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10.346268979694882</v>
      </c>
      <c r="K93" s="1">
        <f>intermediate_results[[#This Row], [Team1 laps '[laps']]] - intermediate_results[[#This Row], [Team1 laps '[laps']]]</f>
        <v>0</v>
      </c>
      <c r="L93" s="1">
        <f>intermediate_results[[#This Row], [Team1 laps '[laps']]] - intermediate_results[[#This Row], [Team2 laps '[laps']]]</f>
        <v>3.3960183301326552E-2</v>
      </c>
      <c r="M93" s="1">
        <f>intermediate_results[[#This Row], [Team1 laps '[laps']]] - intermediate_results[[#This Row], [Team3 laps '[laps']]]</f>
        <v>0.21220282980982041</v>
      </c>
      <c r="N93" s="1">
        <f>intermediate_results[[#This Row], [Team1 laps '[laps']]] - intermediate_results[[#This Row], [Team4 laps '[laps']]]</f>
        <v>0.45095119854267907</v>
      </c>
      <c r="O93" s="1">
        <f>intermediate_results[[#This Row], [Team1 laps '[laps']]] - intermediate_results[[#This Row], [Team5 laps '[laps']]]</f>
        <v>0.42520607243045916</v>
      </c>
      <c r="P93" s="1">
        <f>intermediate_results[[#This Row], [Team1 laps '[laps']]] - intermediate_results[[#This Row], [Team6 laps '[laps']]]</f>
        <v>0.53705909321419476</v>
      </c>
      <c r="Q93" s="1">
        <f>intermediate_results[[#This Row], [Team1 laps '[laps']]] - intermediate_results[[#This Row], [Team7 laps '[laps']]]</f>
        <v>0.434784132765758</v>
      </c>
      <c r="R93" s="1">
        <f>intermediate_results[[#This Row], [Team1 laps '[laps']]] - intermediate_results[[#This Row], [Team8 laps '[laps']]]</f>
        <v>0.74656909811374028</v>
      </c>
      <c r="S93" s="1">
        <f>intermediate_results[[#This Row], [Team1 laps '[laps']]] - intermediate_results[[#This Row], [Team9 laps '[laps']]]</f>
        <v>0.68769120360644465</v>
      </c>
      <c r="T93" s="1">
        <f>MAX(intermediate_results[[#This Row], [Team1 laps '[laps']]:[Team9 laps '[laps']]]) - intermediate_results[[#This Row], [Team1 laps '[laps']]]</f>
        <v>0</v>
      </c>
      <c r="U93" s="1">
        <f>MAX(intermediate_results[[#This Row], [Team1 laps '[laps']]:[Team9 laps '[laps']]]) - intermediate_results[[#This Row], [Team2 laps '[laps']]]</f>
        <v>3.3960183301326552E-2</v>
      </c>
      <c r="V93" s="1">
        <f>MAX(intermediate_results[[#This Row], [Team1 laps '[laps']]:[Team9 laps '[laps']]]) - intermediate_results[[#This Row], [Team3 laps '[laps']]]</f>
        <v>0.21220282980982041</v>
      </c>
      <c r="W93" s="1">
        <f>MAX(intermediate_results[[#This Row], [Team1 laps '[laps']]:[Team9 laps '[laps']]]) - intermediate_results[[#This Row], [Team4 laps '[laps']]]</f>
        <v>0.45095119854267907</v>
      </c>
      <c r="X93" s="1">
        <f>MAX(intermediate_results[[#This Row], [Team1 laps '[laps']]:[Team9 laps '[laps']]]) - intermediate_results[[#This Row], [Team5 laps '[laps']]]</f>
        <v>0.42520607243045916</v>
      </c>
      <c r="Y93" s="1">
        <f>MAX(intermediate_results[[#This Row], [Team1 laps '[laps']]:[Team9 laps '[laps']]]) - intermediate_results[[#This Row], [Team6 laps '[laps']]]</f>
        <v>0.53705909321419476</v>
      </c>
      <c r="Z93" s="1">
        <f>MAX(intermediate_results[[#This Row], [Team1 laps '[laps']]:[Team9 laps '[laps']]]) - intermediate_results[[#This Row], [Team7 laps '[laps']]]</f>
        <v>0.434784132765758</v>
      </c>
      <c r="AA93" s="1">
        <f>MAX(intermediate_results[[#This Row], [Team1 laps '[laps']]:[Team9 laps '[laps']]]) - intermediate_results[[#This Row], [Team8 laps '[laps']]]</f>
        <v>0.74656909811374028</v>
      </c>
      <c r="AB93" s="1">
        <f>MAX(intermediate_results[[#This Row], [Team1 laps '[laps']]:[Team9 laps '[laps']]]) - intermediate_results[[#This Row], [Team9 laps '[laps']]]</f>
        <v>0.68769120360644465</v>
      </c>
      <c r="AC93" s="1">
        <f>9 * intermediate_results[[#This Row], [All cumulative times '[sec']]] / SUM(intermediate_results[[#This Row], [Team1 laps '[laps']]:[Team9 laps '[laps']]])</f>
        <v>55.012571036632373</v>
      </c>
      <c r="AD93" s="1">
        <f>intermediate_results[[#This Row], [All cumulative times '[sec']]] / intermediate_results[[#This Row], [Team1 laps '[laps']]] - intermediate_results[[#This Row], [Total running average '[sec']]]</f>
        <v>-1.9546489239536555</v>
      </c>
      <c r="AE93" s="1">
        <f>intermediate_results[[#This Row], [All cumulative times '[sec']]] / intermediate_results[[#This Row], [Team2 laps '[laps']]] - intermediate_results[[#This Row], [Total running average '[sec']]]</f>
        <v>-1.7908437639051016</v>
      </c>
      <c r="AF93" s="1">
        <f>intermediate_results[[#This Row], [All cumulative times '[sec']]] / intermediate_results[[#This Row], [Team3 laps '[laps']]] - intermediate_results[[#This Row], [Total running average '[sec']]]</f>
        <v>-0.91424108182930297</v>
      </c>
      <c r="AG93" s="1">
        <f>intermediate_results[[#This Row], [All cumulative times '[sec']]] / intermediate_results[[#This Row], [Team4 laps '[laps']]] - intermediate_results[[#This Row], [Total running average '[sec']]]</f>
        <v>0.30619518979082727</v>
      </c>
      <c r="AH93" s="1">
        <f>intermediate_results[[#This Row], [All cumulative times '[sec']]] / intermediate_results[[#This Row], [Team5 laps '[laps']]] - intermediate_results[[#This Row], [Total running average '[sec']]]</f>
        <v>0.17194864227095508</v>
      </c>
      <c r="AI93" s="1">
        <f>intermediate_results[[#This Row], [All cumulative times '[sec']]] / intermediate_results[[#This Row], [Team6 laps '[laps']]] - intermediate_results[[#This Row], [Total running average '[sec']]]</f>
        <v>0.75998459436866028</v>
      </c>
      <c r="AJ93" s="1">
        <f>intermediate_results[[#This Row], [All cumulative times '[sec']]] / intermediate_results[[#This Row], [Team7 laps '[laps']]] - intermediate_results[[#This Row], [Total running average '[sec']]]</f>
        <v>0.22181673169025373</v>
      </c>
      <c r="AK93" s="1">
        <f>intermediate_results[[#This Row], [All cumulative times '[sec']]] / intermediate_results[[#This Row], [Team8 laps '[laps']]] - intermediate_results[[#This Row], [Total running average '[sec']]]</f>
        <v>1.8958321874805648</v>
      </c>
      <c r="AL93" s="1">
        <f>intermediate_results[[#This Row], [All cumulative times '[sec']]] / intermediate_results[[#This Row], [Team9 laps '[laps']]] - intermediate_results[[#This Row], [Total running average '[sec']]]</f>
        <v>1.5719814381733741</v>
      </c>
    </row>
    <row r="94" spans="1:38" x14ac:dyDescent="0.25">
      <c r="A94" s="1">
        <v>594.96499999999992</v>
      </c>
      <c r="B94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11.215093837348595</v>
      </c>
      <c r="C94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11.179627394780509</v>
      </c>
      <c r="D94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11</v>
      </c>
      <c r="E94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10.756265686952091</v>
      </c>
      <c r="F94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10.78183767283827</v>
      </c>
      <c r="G94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10.670549418498666</v>
      </c>
      <c r="H94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10.773596997161953</v>
      </c>
      <c r="I94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10.45888240800749</v>
      </c>
      <c r="J94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10.518050997222922</v>
      </c>
      <c r="K94" s="1">
        <f>intermediate_results[[#This Row], [Team1 laps '[laps']]] - intermediate_results[[#This Row], [Team1 laps '[laps']]]</f>
        <v>0</v>
      </c>
      <c r="L94" s="1">
        <f>intermediate_results[[#This Row], [Team1 laps '[laps']]] - intermediate_results[[#This Row], [Team2 laps '[laps']]]</f>
        <v>3.546644256808662E-2</v>
      </c>
      <c r="M94" s="1">
        <f>intermediate_results[[#This Row], [Team1 laps '[laps']]] - intermediate_results[[#This Row], [Team3 laps '[laps']]]</f>
        <v>0.21509383734859533</v>
      </c>
      <c r="N94" s="1">
        <f>intermediate_results[[#This Row], [Team1 laps '[laps']]] - intermediate_results[[#This Row], [Team4 laps '[laps']]]</f>
        <v>0.4588281503965046</v>
      </c>
      <c r="O94" s="1">
        <f>intermediate_results[[#This Row], [Team1 laps '[laps']]] - intermediate_results[[#This Row], [Team5 laps '[laps']]]</f>
        <v>0.43325616451032545</v>
      </c>
      <c r="P94" s="1">
        <f>intermediate_results[[#This Row], [Team1 laps '[laps']]] - intermediate_results[[#This Row], [Team6 laps '[laps']]]</f>
        <v>0.5445444188499291</v>
      </c>
      <c r="Q94" s="1">
        <f>intermediate_results[[#This Row], [Team1 laps '[laps']]] - intermediate_results[[#This Row], [Team7 laps '[laps']]]</f>
        <v>0.44149684018664281</v>
      </c>
      <c r="R94" s="1">
        <f>intermediate_results[[#This Row], [Team1 laps '[laps']]] - intermediate_results[[#This Row], [Team8 laps '[laps']]]</f>
        <v>0.7562114293411053</v>
      </c>
      <c r="S94" s="1">
        <f>intermediate_results[[#This Row], [Team1 laps '[laps']]] - intermediate_results[[#This Row], [Team9 laps '[laps']]]</f>
        <v>0.69704284012567364</v>
      </c>
      <c r="T94" s="1">
        <f>MAX(intermediate_results[[#This Row], [Team1 laps '[laps']]:[Team9 laps '[laps']]]) - intermediate_results[[#This Row], [Team1 laps '[laps']]]</f>
        <v>0</v>
      </c>
      <c r="U94" s="1">
        <f>MAX(intermediate_results[[#This Row], [Team1 laps '[laps']]:[Team9 laps '[laps']]]) - intermediate_results[[#This Row], [Team2 laps '[laps']]]</f>
        <v>3.546644256808662E-2</v>
      </c>
      <c r="V94" s="1">
        <f>MAX(intermediate_results[[#This Row], [Team1 laps '[laps']]:[Team9 laps '[laps']]]) - intermediate_results[[#This Row], [Team3 laps '[laps']]]</f>
        <v>0.21509383734859533</v>
      </c>
      <c r="W94" s="1">
        <f>MAX(intermediate_results[[#This Row], [Team1 laps '[laps']]:[Team9 laps '[laps']]]) - intermediate_results[[#This Row], [Team4 laps '[laps']]]</f>
        <v>0.4588281503965046</v>
      </c>
      <c r="X94" s="1">
        <f>MAX(intermediate_results[[#This Row], [Team1 laps '[laps']]:[Team9 laps '[laps']]]) - intermediate_results[[#This Row], [Team5 laps '[laps']]]</f>
        <v>0.43325616451032545</v>
      </c>
      <c r="Y94" s="1">
        <f>MAX(intermediate_results[[#This Row], [Team1 laps '[laps']]:[Team9 laps '[laps']]]) - intermediate_results[[#This Row], [Team6 laps '[laps']]]</f>
        <v>0.5445444188499291</v>
      </c>
      <c r="Z94" s="1">
        <f>MAX(intermediate_results[[#This Row], [Team1 laps '[laps']]:[Team9 laps '[laps']]]) - intermediate_results[[#This Row], [Team7 laps '[laps']]]</f>
        <v>0.44149684018664281</v>
      </c>
      <c r="AA94" s="1">
        <f>MAX(intermediate_results[[#This Row], [Team1 laps '[laps']]:[Team9 laps '[laps']]]) - intermediate_results[[#This Row], [Team8 laps '[laps']]]</f>
        <v>0.7562114293411053</v>
      </c>
      <c r="AB94" s="1">
        <f>MAX(intermediate_results[[#This Row], [Team1 laps '[laps']]:[Team9 laps '[laps']]]) - intermediate_results[[#This Row], [Team9 laps '[laps']]]</f>
        <v>0.69704284012567364</v>
      </c>
      <c r="AC94" s="1">
        <f>9 * intermediate_results[[#This Row], [All cumulative times '[sec']]] / SUM(intermediate_results[[#This Row], [Team1 laps '[laps']]:[Team9 laps '[laps']]])</f>
        <v>55.002262439259638</v>
      </c>
      <c r="AD94" s="1">
        <f>intermediate_results[[#This Row], [All cumulative times '[sec']]] / intermediate_results[[#This Row], [Team1 laps '[laps']]] - intermediate_results[[#This Row], [Total running average '[sec']]]</f>
        <v>-1.9518815303953119</v>
      </c>
      <c r="AE94" s="1">
        <f>intermediate_results[[#This Row], [All cumulative times '[sec']]] / intermediate_results[[#This Row], [Team2 laps '[laps']]] - intermediate_results[[#This Row], [Total running average '[sec']]]</f>
        <v>-1.7835835879613953</v>
      </c>
      <c r="AF94" s="1">
        <f>intermediate_results[[#This Row], [All cumulative times '[sec']]] / intermediate_results[[#This Row], [Team3 laps '[laps']]] - intermediate_results[[#This Row], [Total running average '[sec']]]</f>
        <v>-0.91453516653237443</v>
      </c>
      <c r="AG94" s="1">
        <f>intermediate_results[[#This Row], [All cumulative times '[sec']]] / intermediate_results[[#This Row], [Team4 laps '[laps']]] - intermediate_results[[#This Row], [Total running average '[sec']]]</f>
        <v>0.31107932039245156</v>
      </c>
      <c r="AH94" s="1">
        <f>intermediate_results[[#This Row], [All cumulative times '[sec']]] / intermediate_results[[#This Row], [Team5 laps '[laps']]] - intermediate_results[[#This Row], [Total running average '[sec']]]</f>
        <v>0.17988906899786627</v>
      </c>
      <c r="AI94" s="1">
        <f>intermediate_results[[#This Row], [All cumulative times '[sec']]] / intermediate_results[[#This Row], [Team6 laps '[laps']]] - intermediate_results[[#This Row], [Total running average '[sec']]]</f>
        <v>0.75541007276278549</v>
      </c>
      <c r="AJ94" s="1">
        <f>intermediate_results[[#This Row], [All cumulative times '[sec']]] / intermediate_results[[#This Row], [Team7 laps '[laps']]] - intermediate_results[[#This Row], [Total running average '[sec']]]</f>
        <v>0.22209764741607785</v>
      </c>
      <c r="AK94" s="1">
        <f>intermediate_results[[#This Row], [All cumulative times '[sec']]] / intermediate_results[[#This Row], [Team8 laps '[laps']]] - intermediate_results[[#This Row], [Total running average '[sec']]]</f>
        <v>1.8838346397633643</v>
      </c>
      <c r="AL94" s="1">
        <f>intermediate_results[[#This Row], [All cumulative times '[sec']]] / intermediate_results[[#This Row], [Team9 laps '[laps']]] - intermediate_results[[#This Row], [Total running average '[sec']]]</f>
        <v>1.5638257226144958</v>
      </c>
    </row>
    <row r="95" spans="1:38" x14ac:dyDescent="0.25">
      <c r="A95" s="1">
        <v>606.97200000000009</v>
      </c>
      <c r="B95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11.443402863607846</v>
      </c>
      <c r="C95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11.406037863931214</v>
      </c>
      <c r="D95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11.225475099526781</v>
      </c>
      <c r="E95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10.974646247862939</v>
      </c>
      <c r="F95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11</v>
      </c>
      <c r="G95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10.889423602756208</v>
      </c>
      <c r="H95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10.993445024260737</v>
      </c>
      <c r="I95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10.675037805141503</v>
      </c>
      <c r="J95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10.734572799076714</v>
      </c>
      <c r="K95" s="1">
        <f>intermediate_results[[#This Row], [Team1 laps '[laps']]] - intermediate_results[[#This Row], [Team1 laps '[laps']]]</f>
        <v>0</v>
      </c>
      <c r="L95" s="1">
        <f>intermediate_results[[#This Row], [Team1 laps '[laps']]] - intermediate_results[[#This Row], [Team2 laps '[laps']]]</f>
        <v>3.7364999676631427E-2</v>
      </c>
      <c r="M95" s="1">
        <f>intermediate_results[[#This Row], [Team1 laps '[laps']]] - intermediate_results[[#This Row], [Team3 laps '[laps']]]</f>
        <v>0.21792776408106462</v>
      </c>
      <c r="N95" s="1">
        <f>intermediate_results[[#This Row], [Team1 laps '[laps']]] - intermediate_results[[#This Row], [Team4 laps '[laps']]]</f>
        <v>0.46875661574490657</v>
      </c>
      <c r="O95" s="1">
        <f>intermediate_results[[#This Row], [Team1 laps '[laps']]] - intermediate_results[[#This Row], [Team5 laps '[laps']]]</f>
        <v>0.44340286360784553</v>
      </c>
      <c r="P95" s="1">
        <f>intermediate_results[[#This Row], [Team1 laps '[laps']]] - intermediate_results[[#This Row], [Team6 laps '[laps']]]</f>
        <v>0.55397926085163718</v>
      </c>
      <c r="Q95" s="1">
        <f>intermediate_results[[#This Row], [Team1 laps '[laps']]] - intermediate_results[[#This Row], [Team7 laps '[laps']]]</f>
        <v>0.44995783934710865</v>
      </c>
      <c r="R95" s="1">
        <f>intermediate_results[[#This Row], [Team1 laps '[laps']]] - intermediate_results[[#This Row], [Team8 laps '[laps']]]</f>
        <v>0.76836505846634218</v>
      </c>
      <c r="S95" s="1">
        <f>intermediate_results[[#This Row], [Team1 laps '[laps']]] - intermediate_results[[#This Row], [Team9 laps '[laps']]]</f>
        <v>0.7088300645311314</v>
      </c>
      <c r="T95" s="1">
        <f>MAX(intermediate_results[[#This Row], [Team1 laps '[laps']]:[Team9 laps '[laps']]]) - intermediate_results[[#This Row], [Team1 laps '[laps']]]</f>
        <v>0</v>
      </c>
      <c r="U95" s="1">
        <f>MAX(intermediate_results[[#This Row], [Team1 laps '[laps']]:[Team9 laps '[laps']]]) - intermediate_results[[#This Row], [Team2 laps '[laps']]]</f>
        <v>3.7364999676631427E-2</v>
      </c>
      <c r="V95" s="1">
        <f>MAX(intermediate_results[[#This Row], [Team1 laps '[laps']]:[Team9 laps '[laps']]]) - intermediate_results[[#This Row], [Team3 laps '[laps']]]</f>
        <v>0.21792776408106462</v>
      </c>
      <c r="W95" s="1">
        <f>MAX(intermediate_results[[#This Row], [Team1 laps '[laps']]:[Team9 laps '[laps']]]) - intermediate_results[[#This Row], [Team4 laps '[laps']]]</f>
        <v>0.46875661574490657</v>
      </c>
      <c r="X95" s="1">
        <f>MAX(intermediate_results[[#This Row], [Team1 laps '[laps']]:[Team9 laps '[laps']]]) - intermediate_results[[#This Row], [Team5 laps '[laps']]]</f>
        <v>0.44340286360784553</v>
      </c>
      <c r="Y95" s="1">
        <f>MAX(intermediate_results[[#This Row], [Team1 laps '[laps']]:[Team9 laps '[laps']]]) - intermediate_results[[#This Row], [Team6 laps '[laps']]]</f>
        <v>0.55397926085163718</v>
      </c>
      <c r="Z95" s="1">
        <f>MAX(intermediate_results[[#This Row], [Team1 laps '[laps']]:[Team9 laps '[laps']]]) - intermediate_results[[#This Row], [Team7 laps '[laps']]]</f>
        <v>0.44995783934710865</v>
      </c>
      <c r="AA95" s="1">
        <f>MAX(intermediate_results[[#This Row], [Team1 laps '[laps']]:[Team9 laps '[laps']]]) - intermediate_results[[#This Row], [Team8 laps '[laps']]]</f>
        <v>0.76836505846634218</v>
      </c>
      <c r="AB95" s="1">
        <f>MAX(intermediate_results[[#This Row], [Team1 laps '[laps']]:[Team9 laps '[laps']]]) - intermediate_results[[#This Row], [Team9 laps '[laps']]]</f>
        <v>0.7088300645311314</v>
      </c>
      <c r="AC95" s="1">
        <f>9 * intermediate_results[[#This Row], [All cumulative times '[sec']]] / SUM(intermediate_results[[#This Row], [Team1 laps '[laps']]:[Team9 laps '[laps']]])</f>
        <v>54.989286793133871</v>
      </c>
      <c r="AD95" s="1">
        <f>intermediate_results[[#This Row], [All cumulative times '[sec']]] / intermediate_results[[#This Row], [Team1 laps '[laps']]] - intermediate_results[[#This Row], [Total running average '[sec']]]</f>
        <v>-1.9480710608551277</v>
      </c>
      <c r="AE95" s="1">
        <f>intermediate_results[[#This Row], [All cumulative times '[sec']]] / intermediate_results[[#This Row], [Team2 laps '[laps']]] - intermediate_results[[#This Row], [Total running average '[sec']]]</f>
        <v>-1.7743135271411674</v>
      </c>
      <c r="AF95" s="1">
        <f>intermediate_results[[#This Row], [All cumulative times '[sec']]] / intermediate_results[[#This Row], [Team3 laps '[laps']]] - intermediate_results[[#This Row], [Total running average '[sec']]]</f>
        <v>-0.91834595379358319</v>
      </c>
      <c r="AG95" s="1">
        <f>intermediate_results[[#This Row], [All cumulative times '[sec']]] / intermediate_results[[#This Row], [Team4 laps '[laps']]] - intermediate_results[[#This Row], [Total running average '[sec']]]</f>
        <v>0.31746171533800549</v>
      </c>
      <c r="AH95" s="1">
        <f>intermediate_results[[#This Row], [All cumulative times '[sec']]] / intermediate_results[[#This Row], [Team5 laps '[laps']]] - intermediate_results[[#This Row], [Total running average '[sec']]]</f>
        <v>0.18998593413886766</v>
      </c>
      <c r="AI95" s="1">
        <f>intermediate_results[[#This Row], [All cumulative times '[sec']]] / intermediate_results[[#This Row], [Team6 laps '[laps']]] - intermediate_results[[#This Row], [Total running average '[sec']]]</f>
        <v>0.7503025682690776</v>
      </c>
      <c r="AJ95" s="1">
        <f>intermediate_results[[#This Row], [All cumulative times '[sec']]] / intermediate_results[[#This Row], [Team7 laps '[laps']]] - intermediate_results[[#This Row], [Total running average '[sec']]]</f>
        <v>0.22288724880767319</v>
      </c>
      <c r="AK95" s="1">
        <f>intermediate_results[[#This Row], [All cumulative times '[sec']]] / intermediate_results[[#This Row], [Team8 laps '[laps']]] - intermediate_results[[#This Row], [Total running average '[sec']]]</f>
        <v>1.8697155897578668</v>
      </c>
      <c r="AL95" s="1">
        <f>intermediate_results[[#This Row], [All cumulative times '[sec']]] / intermediate_results[[#This Row], [Team9 laps '[laps']]] - intermediate_results[[#This Row], [Total running average '[sec']]]</f>
        <v>1.5543699839859428</v>
      </c>
    </row>
    <row r="96" spans="1:38" x14ac:dyDescent="0.25">
      <c r="A96" s="1">
        <v>607.32999999999993</v>
      </c>
      <c r="B96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11.45021011199635</v>
      </c>
      <c r="C96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11.412788505053552</v>
      </c>
      <c r="D96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11.232197851723878</v>
      </c>
      <c r="E96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10.98115746971736</v>
      </c>
      <c r="F96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11.00654730335229</v>
      </c>
      <c r="G96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10.895949542455064</v>
      </c>
      <c r="H96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11</v>
      </c>
      <c r="I96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10.681482681644704</v>
      </c>
      <c r="J96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10.741028600281314</v>
      </c>
      <c r="K96" s="1">
        <f>intermediate_results[[#This Row], [Team1 laps '[laps']]] - intermediate_results[[#This Row], [Team1 laps '[laps']]]</f>
        <v>0</v>
      </c>
      <c r="L96" s="1">
        <f>intermediate_results[[#This Row], [Team1 laps '[laps']]] - intermediate_results[[#This Row], [Team2 laps '[laps']]]</f>
        <v>3.7421606942798391E-2</v>
      </c>
      <c r="M96" s="1">
        <f>intermediate_results[[#This Row], [Team1 laps '[laps']]] - intermediate_results[[#This Row], [Team3 laps '[laps']]]</f>
        <v>0.21801226027247189</v>
      </c>
      <c r="N96" s="1">
        <f>intermediate_results[[#This Row], [Team1 laps '[laps']]] - intermediate_results[[#This Row], [Team4 laps '[laps']]]</f>
        <v>0.46905264227899046</v>
      </c>
      <c r="O96" s="1">
        <f>intermediate_results[[#This Row], [Team1 laps '[laps']]] - intermediate_results[[#This Row], [Team5 laps '[laps']]]</f>
        <v>0.44366280864405994</v>
      </c>
      <c r="P96" s="1">
        <f>intermediate_results[[#This Row], [Team1 laps '[laps']]] - intermediate_results[[#This Row], [Team6 laps '[laps']]]</f>
        <v>0.55426056954128633</v>
      </c>
      <c r="Q96" s="1">
        <f>intermediate_results[[#This Row], [Team1 laps '[laps']]] - intermediate_results[[#This Row], [Team7 laps '[laps']]]</f>
        <v>0.45021011199635019</v>
      </c>
      <c r="R96" s="1">
        <f>intermediate_results[[#This Row], [Team1 laps '[laps']]] - intermediate_results[[#This Row], [Team8 laps '[laps']]]</f>
        <v>0.76872743035164603</v>
      </c>
      <c r="S96" s="1">
        <f>intermediate_results[[#This Row], [Team1 laps '[laps']]] - intermediate_results[[#This Row], [Team9 laps '[laps']]]</f>
        <v>0.70918151171503574</v>
      </c>
      <c r="T96" s="1">
        <f>MAX(intermediate_results[[#This Row], [Team1 laps '[laps']]:[Team9 laps '[laps']]]) - intermediate_results[[#This Row], [Team1 laps '[laps']]]</f>
        <v>0</v>
      </c>
      <c r="U96" s="1">
        <f>MAX(intermediate_results[[#This Row], [Team1 laps '[laps']]:[Team9 laps '[laps']]]) - intermediate_results[[#This Row], [Team2 laps '[laps']]]</f>
        <v>3.7421606942798391E-2</v>
      </c>
      <c r="V96" s="1">
        <f>MAX(intermediate_results[[#This Row], [Team1 laps '[laps']]:[Team9 laps '[laps']]]) - intermediate_results[[#This Row], [Team3 laps '[laps']]]</f>
        <v>0.21801226027247189</v>
      </c>
      <c r="W96" s="1">
        <f>MAX(intermediate_results[[#This Row], [Team1 laps '[laps']]:[Team9 laps '[laps']]]) - intermediate_results[[#This Row], [Team4 laps '[laps']]]</f>
        <v>0.46905264227899046</v>
      </c>
      <c r="X96" s="1">
        <f>MAX(intermediate_results[[#This Row], [Team1 laps '[laps']]:[Team9 laps '[laps']]]) - intermediate_results[[#This Row], [Team5 laps '[laps']]]</f>
        <v>0.44366280864405994</v>
      </c>
      <c r="Y96" s="1">
        <f>MAX(intermediate_results[[#This Row], [Team1 laps '[laps']]:[Team9 laps '[laps']]]) - intermediate_results[[#This Row], [Team6 laps '[laps']]]</f>
        <v>0.55426056954128633</v>
      </c>
      <c r="Z96" s="1">
        <f>MAX(intermediate_results[[#This Row], [Team1 laps '[laps']]:[Team9 laps '[laps']]]) - intermediate_results[[#This Row], [Team7 laps '[laps']]]</f>
        <v>0.45021011199635019</v>
      </c>
      <c r="AA96" s="1">
        <f>MAX(intermediate_results[[#This Row], [Team1 laps '[laps']]:[Team9 laps '[laps']]]) - intermediate_results[[#This Row], [Team8 laps '[laps']]]</f>
        <v>0.76872743035164603</v>
      </c>
      <c r="AB96" s="1">
        <f>MAX(intermediate_results[[#This Row], [Team1 laps '[laps']]:[Team9 laps '[laps']]]) - intermediate_results[[#This Row], [Team9 laps '[laps']]]</f>
        <v>0.70918151171503574</v>
      </c>
      <c r="AC96" s="1">
        <f>9 * intermediate_results[[#This Row], [All cumulative times '[sec']]] / SUM(intermediate_results[[#This Row], [Team1 laps '[laps']]:[Team9 laps '[laps']]])</f>
        <v>54.988884320904852</v>
      </c>
      <c r="AD96" s="1">
        <f>intermediate_results[[#This Row], [All cumulative times '[sec']]] / intermediate_results[[#This Row], [Team1 laps '[laps']]] - intermediate_results[[#This Row], [Total running average '[sec']]]</f>
        <v>-1.9479362457510021</v>
      </c>
      <c r="AE96" s="1">
        <f>intermediate_results[[#This Row], [All cumulative times '[sec']]] / intermediate_results[[#This Row], [Team2 laps '[laps']]] - intermediate_results[[#This Row], [Total running average '[sec']]]</f>
        <v>-1.7740192832257762</v>
      </c>
      <c r="AF96" s="1">
        <f>intermediate_results[[#This Row], [All cumulative times '[sec']]] / intermediate_results[[#This Row], [Team3 laps '[laps']]] - intermediate_results[[#This Row], [Total running average '[sec']]]</f>
        <v>-0.91843363820172641</v>
      </c>
      <c r="AG96" s="1">
        <f>intermediate_results[[#This Row], [All cumulative times '[sec']]] / intermediate_results[[#This Row], [Team4 laps '[laps']]] - intermediate_results[[#This Row], [Total running average '[sec']]]</f>
        <v>0.31767162957928008</v>
      </c>
      <c r="AH96" s="1">
        <f>intermediate_results[[#This Row], [All cumulative times '[sec']]] / intermediate_results[[#This Row], [Team5 laps '[laps']]] - intermediate_results[[#This Row], [Total running average '[sec']]]</f>
        <v>0.19009081646851911</v>
      </c>
      <c r="AI96" s="1">
        <f>intermediate_results[[#This Row], [All cumulative times '[sec']]] / intermediate_results[[#This Row], [Team6 laps '[laps']]] - intermediate_results[[#This Row], [Total running average '[sec']]]</f>
        <v>0.750177027864666</v>
      </c>
      <c r="AJ96" s="1">
        <f>intermediate_results[[#This Row], [All cumulative times '[sec']]] / intermediate_results[[#This Row], [Team7 laps '[laps']]] - intermediate_results[[#This Row], [Total running average '[sec']]]</f>
        <v>0.22293386091332223</v>
      </c>
      <c r="AK96" s="1">
        <f>intermediate_results[[#This Row], [All cumulative times '[sec']]] / intermediate_results[[#This Row], [Team8 laps '[laps']]] - intermediate_results[[#This Row], [Total running average '[sec']]]</f>
        <v>1.8693270436699549</v>
      </c>
      <c r="AL96" s="1">
        <f>intermediate_results[[#This Row], [All cumulative times '[sec']]] / intermediate_results[[#This Row], [Team9 laps '[laps']]] - intermediate_results[[#This Row], [Total running average '[sec']]]</f>
        <v>1.5541175275488044</v>
      </c>
    </row>
    <row r="97" spans="1:38" x14ac:dyDescent="0.25">
      <c r="A97" s="1">
        <v>608.36599999999999</v>
      </c>
      <c r="B97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11.469909300070356</v>
      </c>
      <c r="C97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11.432323879921558</v>
      </c>
      <c r="D97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11.251652520093144</v>
      </c>
      <c r="E97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11</v>
      </c>
      <c r="F97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11.025494248248869</v>
      </c>
      <c r="G97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10.914834664041706</v>
      </c>
      <c r="H97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11.019116860111085</v>
      </c>
      <c r="I97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10.700133218117665</v>
      </c>
      <c r="J97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10.759710751253291</v>
      </c>
      <c r="K97" s="1">
        <f>intermediate_results[[#This Row], [Team1 laps '[laps']]] - intermediate_results[[#This Row], [Team1 laps '[laps']]]</f>
        <v>0</v>
      </c>
      <c r="L97" s="1">
        <f>intermediate_results[[#This Row], [Team1 laps '[laps']]] - intermediate_results[[#This Row], [Team2 laps '[laps']]]</f>
        <v>3.758542014879751E-2</v>
      </c>
      <c r="M97" s="1">
        <f>intermediate_results[[#This Row], [Team1 laps '[laps']]] - intermediate_results[[#This Row], [Team3 laps '[laps']]]</f>
        <v>0.21825677997721193</v>
      </c>
      <c r="N97" s="1">
        <f>intermediate_results[[#This Row], [Team1 laps '[laps']]] - intermediate_results[[#This Row], [Team4 laps '[laps']]]</f>
        <v>0.46990930007035558</v>
      </c>
      <c r="O97" s="1">
        <f>intermediate_results[[#This Row], [Team1 laps '[laps']]] - intermediate_results[[#This Row], [Team5 laps '[laps']]]</f>
        <v>0.44441505182148688</v>
      </c>
      <c r="P97" s="1">
        <f>intermediate_results[[#This Row], [Team1 laps '[laps']]] - intermediate_results[[#This Row], [Team6 laps '[laps']]]</f>
        <v>0.55507463602864959</v>
      </c>
      <c r="Q97" s="1">
        <f>intermediate_results[[#This Row], [Team1 laps '[laps']]] - intermediate_results[[#This Row], [Team7 laps '[laps']]]</f>
        <v>0.45079243995927065</v>
      </c>
      <c r="R97" s="1">
        <f>intermediate_results[[#This Row], [Team1 laps '[laps']]] - intermediate_results[[#This Row], [Team8 laps '[laps']]]</f>
        <v>0.76977608195269021</v>
      </c>
      <c r="S97" s="1">
        <f>intermediate_results[[#This Row], [Team1 laps '[laps']]] - intermediate_results[[#This Row], [Team9 laps '[laps']]]</f>
        <v>0.71019854881706479</v>
      </c>
      <c r="T97" s="1">
        <f>MAX(intermediate_results[[#This Row], [Team1 laps '[laps']]:[Team9 laps '[laps']]]) - intermediate_results[[#This Row], [Team1 laps '[laps']]]</f>
        <v>0</v>
      </c>
      <c r="U97" s="1">
        <f>MAX(intermediate_results[[#This Row], [Team1 laps '[laps']]:[Team9 laps '[laps']]]) - intermediate_results[[#This Row], [Team2 laps '[laps']]]</f>
        <v>3.758542014879751E-2</v>
      </c>
      <c r="V97" s="1">
        <f>MAX(intermediate_results[[#This Row], [Team1 laps '[laps']]:[Team9 laps '[laps']]]) - intermediate_results[[#This Row], [Team3 laps '[laps']]]</f>
        <v>0.21825677997721193</v>
      </c>
      <c r="W97" s="1">
        <f>MAX(intermediate_results[[#This Row], [Team1 laps '[laps']]:[Team9 laps '[laps']]]) - intermediate_results[[#This Row], [Team4 laps '[laps']]]</f>
        <v>0.46990930007035558</v>
      </c>
      <c r="X97" s="1">
        <f>MAX(intermediate_results[[#This Row], [Team1 laps '[laps']]:[Team9 laps '[laps']]]) - intermediate_results[[#This Row], [Team5 laps '[laps']]]</f>
        <v>0.44441505182148688</v>
      </c>
      <c r="Y97" s="1">
        <f>MAX(intermediate_results[[#This Row], [Team1 laps '[laps']]:[Team9 laps '[laps']]]) - intermediate_results[[#This Row], [Team6 laps '[laps']]]</f>
        <v>0.55507463602864959</v>
      </c>
      <c r="Z97" s="1">
        <f>MAX(intermediate_results[[#This Row], [Team1 laps '[laps']]:[Team9 laps '[laps']]]) - intermediate_results[[#This Row], [Team7 laps '[laps']]]</f>
        <v>0.45079243995927065</v>
      </c>
      <c r="AA97" s="1">
        <f>MAX(intermediate_results[[#This Row], [Team1 laps '[laps']]:[Team9 laps '[laps']]]) - intermediate_results[[#This Row], [Team8 laps '[laps']]]</f>
        <v>0.76977608195269021</v>
      </c>
      <c r="AB97" s="1">
        <f>MAX(intermediate_results[[#This Row], [Team1 laps '[laps']]:[Team9 laps '[laps']]]) - intermediate_results[[#This Row], [Team9 laps '[laps']]]</f>
        <v>0.71019854881706479</v>
      </c>
      <c r="AC97" s="1">
        <f>9 * intermediate_results[[#This Row], [All cumulative times '[sec']]] / SUM(intermediate_results[[#This Row], [Team1 laps '[laps']]:[Team9 laps '[laps']]])</f>
        <v>54.987640754684072</v>
      </c>
      <c r="AD97" s="1">
        <f>intermediate_results[[#This Row], [All cumulative times '[sec']]] / intermediate_results[[#This Row], [Team1 laps '[laps']]] - intermediate_results[[#This Row], [Total running average '[sec']]]</f>
        <v>-1.9474654503973738</v>
      </c>
      <c r="AE97" s="1">
        <f>intermediate_results[[#This Row], [All cumulative times '[sec']]] / intermediate_results[[#This Row], [Team2 laps '[laps']]] - intermediate_results[[#This Row], [Total running average '[sec']]]</f>
        <v>-1.7730881938993619</v>
      </c>
      <c r="AF97" s="1">
        <f>intermediate_results[[#This Row], [All cumulative times '[sec']]] / intermediate_results[[#This Row], [Team3 laps '[laps']]] - intermediate_results[[#This Row], [Total running average '[sec']]]</f>
        <v>-0.91860521403054918</v>
      </c>
      <c r="AG97" s="1">
        <f>intermediate_results[[#This Row], [All cumulative times '[sec']]] / intermediate_results[[#This Row], [Team4 laps '[laps']]] - intermediate_results[[#This Row], [Total running average '[sec']]]</f>
        <v>0.31835924531592497</v>
      </c>
      <c r="AH97" s="1">
        <f>intermediate_results[[#This Row], [All cumulative times '[sec']]] / intermediate_results[[#This Row], [Team5 laps '[laps']]] - intermediate_results[[#This Row], [Total running average '[sec']]]</f>
        <v>0.1904751920567378</v>
      </c>
      <c r="AI97" s="1">
        <f>intermediate_results[[#This Row], [All cumulative times '[sec']]] / intermediate_results[[#This Row], [Team6 laps '[laps']]] - intermediate_results[[#This Row], [Total running average '[sec']]]</f>
        <v>0.74989615956958033</v>
      </c>
      <c r="AJ97" s="1">
        <f>intermediate_results[[#This Row], [All cumulative times '[sec']]] / intermediate_results[[#This Row], [Team7 laps '[laps']]] - intermediate_results[[#This Row], [Total running average '[sec']]]</f>
        <v>0.22240989849204595</v>
      </c>
      <c r="AK97" s="1">
        <f>intermediate_results[[#This Row], [All cumulative times '[sec']]] / intermediate_results[[#This Row], [Team8 laps '[laps']]] - intermediate_results[[#This Row], [Total running average '[sec']]]</f>
        <v>1.8682868864693418</v>
      </c>
      <c r="AL97" s="1">
        <f>intermediate_results[[#This Row], [All cumulative times '[sec']]] / intermediate_results[[#This Row], [Team9 laps '[laps']]] - intermediate_results[[#This Row], [Total running average '[sec']]]</f>
        <v>1.5534702532617075</v>
      </c>
    </row>
    <row r="98" spans="1:38" x14ac:dyDescent="0.25">
      <c r="A98" s="1">
        <v>613.03800000000001</v>
      </c>
      <c r="B98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11.558745793006409</v>
      </c>
      <c r="C98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11.520421632222055</v>
      </c>
      <c r="D98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11.339386314129049</v>
      </c>
      <c r="E98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11.085483221722107</v>
      </c>
      <c r="F98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11.110938385851972</v>
      </c>
      <c r="G98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11</v>
      </c>
      <c r="H98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11.105327256287714</v>
      </c>
      <c r="I98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10.784240656729317</v>
      </c>
      <c r="J98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10.843960760269773</v>
      </c>
      <c r="K98" s="1">
        <f>intermediate_results[[#This Row], [Team1 laps '[laps']]] - intermediate_results[[#This Row], [Team1 laps '[laps']]]</f>
        <v>0</v>
      </c>
      <c r="L98" s="1">
        <f>intermediate_results[[#This Row], [Team1 laps '[laps']]] - intermediate_results[[#This Row], [Team2 laps '[laps']]]</f>
        <v>3.8324160784354078E-2</v>
      </c>
      <c r="M98" s="1">
        <f>intermediate_results[[#This Row], [Team1 laps '[laps']]] - intermediate_results[[#This Row], [Team3 laps '[laps']]]</f>
        <v>0.21935947887735985</v>
      </c>
      <c r="N98" s="1">
        <f>intermediate_results[[#This Row], [Team1 laps '[laps']]] - intermediate_results[[#This Row], [Team4 laps '[laps']]]</f>
        <v>0.47326257128430171</v>
      </c>
      <c r="O98" s="1">
        <f>intermediate_results[[#This Row], [Team1 laps '[laps']]] - intermediate_results[[#This Row], [Team5 laps '[laps']]]</f>
        <v>0.44780740715443734</v>
      </c>
      <c r="P98" s="1">
        <f>intermediate_results[[#This Row], [Team1 laps '[laps']]] - intermediate_results[[#This Row], [Team6 laps '[laps']]]</f>
        <v>0.55874579300640903</v>
      </c>
      <c r="Q98" s="1">
        <f>intermediate_results[[#This Row], [Team1 laps '[laps']]] - intermediate_results[[#This Row], [Team7 laps '[laps']]]</f>
        <v>0.45341853671869536</v>
      </c>
      <c r="R98" s="1">
        <f>intermediate_results[[#This Row], [Team1 laps '[laps']]] - intermediate_results[[#This Row], [Team8 laps '[laps']]]</f>
        <v>0.77450513627709228</v>
      </c>
      <c r="S98" s="1">
        <f>intermediate_results[[#This Row], [Team1 laps '[laps']]] - intermediate_results[[#This Row], [Team9 laps '[laps']]]</f>
        <v>0.71478503273663563</v>
      </c>
      <c r="T98" s="1">
        <f>MAX(intermediate_results[[#This Row], [Team1 laps '[laps']]:[Team9 laps '[laps']]]) - intermediate_results[[#This Row], [Team1 laps '[laps']]]</f>
        <v>0</v>
      </c>
      <c r="U98" s="1">
        <f>MAX(intermediate_results[[#This Row], [Team1 laps '[laps']]:[Team9 laps '[laps']]]) - intermediate_results[[#This Row], [Team2 laps '[laps']]]</f>
        <v>3.8324160784354078E-2</v>
      </c>
      <c r="V98" s="1">
        <f>MAX(intermediate_results[[#This Row], [Team1 laps '[laps']]:[Team9 laps '[laps']]]) - intermediate_results[[#This Row], [Team3 laps '[laps']]]</f>
        <v>0.21935947887735985</v>
      </c>
      <c r="W98" s="1">
        <f>MAX(intermediate_results[[#This Row], [Team1 laps '[laps']]:[Team9 laps '[laps']]]) - intermediate_results[[#This Row], [Team4 laps '[laps']]]</f>
        <v>0.47326257128430171</v>
      </c>
      <c r="X98" s="1">
        <f>MAX(intermediate_results[[#This Row], [Team1 laps '[laps']]:[Team9 laps '[laps']]]) - intermediate_results[[#This Row], [Team5 laps '[laps']]]</f>
        <v>0.44780740715443734</v>
      </c>
      <c r="Y98" s="1">
        <f>MAX(intermediate_results[[#This Row], [Team1 laps '[laps']]:[Team9 laps '[laps']]]) - intermediate_results[[#This Row], [Team6 laps '[laps']]]</f>
        <v>0.55874579300640903</v>
      </c>
      <c r="Z98" s="1">
        <f>MAX(intermediate_results[[#This Row], [Team1 laps '[laps']]:[Team9 laps '[laps']]]) - intermediate_results[[#This Row], [Team7 laps '[laps']]]</f>
        <v>0.45341853671869536</v>
      </c>
      <c r="AA98" s="1">
        <f>MAX(intermediate_results[[#This Row], [Team1 laps '[laps']]:[Team9 laps '[laps']]]) - intermediate_results[[#This Row], [Team8 laps '[laps']]]</f>
        <v>0.77450513627709228</v>
      </c>
      <c r="AB98" s="1">
        <f>MAX(intermediate_results[[#This Row], [Team1 laps '[laps']]:[Team9 laps '[laps']]]) - intermediate_results[[#This Row], [Team9 laps '[laps']]]</f>
        <v>0.71478503273663563</v>
      </c>
      <c r="AC98" s="1">
        <f>9 * intermediate_results[[#This Row], [All cumulative times '[sec']]] / SUM(intermediate_results[[#This Row], [Team1 laps '[laps']]:[Team9 laps '[laps']]])</f>
        <v>54.981806195021669</v>
      </c>
      <c r="AD98" s="1">
        <f>intermediate_results[[#This Row], [All cumulative times '[sec']]] / intermediate_results[[#This Row], [Team1 laps '[laps']]] - intermediate_results[[#This Row], [Total running average '[sec']]]</f>
        <v>-1.9450830956247458</v>
      </c>
      <c r="AE98" s="1">
        <f>intermediate_results[[#This Row], [All cumulative times '[sec']]] / intermediate_results[[#This Row], [Team2 laps '[laps']]] - intermediate_results[[#This Row], [Total running average '[sec']]]</f>
        <v>-1.7686496309109643</v>
      </c>
      <c r="AF98" s="1">
        <f>intermediate_results[[#This Row], [All cumulative times '[sec']]] / intermediate_results[[#This Row], [Team3 laps '[laps']]] - intermediate_results[[#This Row], [Total running average '[sec']]]</f>
        <v>-0.91909212766995552</v>
      </c>
      <c r="AG98" s="1">
        <f>intermediate_results[[#This Row], [All cumulative times '[sec']]] / intermediate_results[[#This Row], [Team4 laps '[laps']]] - intermediate_results[[#This Row], [Total running average '[sec']]]</f>
        <v>0.31916605296715517</v>
      </c>
      <c r="AH98" s="1">
        <f>intermediate_results[[#This Row], [All cumulative times '[sec']]] / intermediate_results[[#This Row], [Team5 laps '[laps']]] - intermediate_results[[#This Row], [Total running average '[sec']]]</f>
        <v>0.19247150420554249</v>
      </c>
      <c r="AI98" s="1">
        <f>intermediate_results[[#This Row], [All cumulative times '[sec']]] / intermediate_results[[#This Row], [Team6 laps '[laps']]] - intermediate_results[[#This Row], [Total running average '[sec']]]</f>
        <v>0.74892107770560301</v>
      </c>
      <c r="AJ98" s="1">
        <f>intermediate_results[[#This Row], [All cumulative times '[sec']]] / intermediate_results[[#This Row], [Team7 laps '[laps']]] - intermediate_results[[#This Row], [Total running average '[sec']]]</f>
        <v>0.22034911768238885</v>
      </c>
      <c r="AK98" s="1">
        <f>intermediate_results[[#This Row], [All cumulative times '[sec']]] / intermediate_results[[#This Row], [Team8 laps '[laps']]] - intermediate_results[[#This Row], [Total running average '[sec']]]</f>
        <v>1.863920779502692</v>
      </c>
      <c r="AL98" s="1">
        <f>intermediate_results[[#This Row], [All cumulative times '[sec']]] / intermediate_results[[#This Row], [Team9 laps '[laps']]] - intermediate_results[[#This Row], [Total running average '[sec']]]</f>
        <v>1.550858718895725</v>
      </c>
    </row>
    <row r="99" spans="1:38" x14ac:dyDescent="0.25">
      <c r="A99" s="1">
        <v>621.69099999999992</v>
      </c>
      <c r="B99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11.723279648609077</v>
      </c>
      <c r="C99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11.683587268064564</v>
      </c>
      <c r="D99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11.501877863742207</v>
      </c>
      <c r="E99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11.243806491748087</v>
      </c>
      <c r="F99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11.269189268274838</v>
      </c>
      <c r="G99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11.155372405372404</v>
      </c>
      <c r="H99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11.264997324377687</v>
      </c>
      <c r="I99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10.940015842154533</v>
      </c>
      <c r="J99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11</v>
      </c>
      <c r="K99" s="1">
        <f>intermediate_results[[#This Row], [Team1 laps '[laps']]] - intermediate_results[[#This Row], [Team1 laps '[laps']]]</f>
        <v>0</v>
      </c>
      <c r="L99" s="1">
        <f>intermediate_results[[#This Row], [Team1 laps '[laps']]] - intermediate_results[[#This Row], [Team2 laps '[laps']]]</f>
        <v>3.9692380544513739E-2</v>
      </c>
      <c r="M99" s="1">
        <f>intermediate_results[[#This Row], [Team1 laps '[laps']]] - intermediate_results[[#This Row], [Team3 laps '[laps']]]</f>
        <v>0.22140178486687034</v>
      </c>
      <c r="N99" s="1">
        <f>intermediate_results[[#This Row], [Team1 laps '[laps']]] - intermediate_results[[#This Row], [Team4 laps '[laps']]]</f>
        <v>0.47947315686099046</v>
      </c>
      <c r="O99" s="1">
        <f>intermediate_results[[#This Row], [Team1 laps '[laps']]] - intermediate_results[[#This Row], [Team5 laps '[laps']]]</f>
        <v>0.45409038033423954</v>
      </c>
      <c r="P99" s="1">
        <f>intermediate_results[[#This Row], [Team1 laps '[laps']]] - intermediate_results[[#This Row], [Team6 laps '[laps']]]</f>
        <v>0.56790724323667341</v>
      </c>
      <c r="Q99" s="1">
        <f>intermediate_results[[#This Row], [Team1 laps '[laps']]] - intermediate_results[[#This Row], [Team7 laps '[laps']]]</f>
        <v>0.4582823242313907</v>
      </c>
      <c r="R99" s="1">
        <f>intermediate_results[[#This Row], [Team1 laps '[laps']]] - intermediate_results[[#This Row], [Team8 laps '[laps']]]</f>
        <v>0.78326380645454385</v>
      </c>
      <c r="S99" s="1">
        <f>intermediate_results[[#This Row], [Team1 laps '[laps']]] - intermediate_results[[#This Row], [Team9 laps '[laps']]]</f>
        <v>0.72327964860907734</v>
      </c>
      <c r="T99" s="1">
        <f>MAX(intermediate_results[[#This Row], [Team1 laps '[laps']]:[Team9 laps '[laps']]]) - intermediate_results[[#This Row], [Team1 laps '[laps']]]</f>
        <v>0</v>
      </c>
      <c r="U99" s="1">
        <f>MAX(intermediate_results[[#This Row], [Team1 laps '[laps']]:[Team9 laps '[laps']]]) - intermediate_results[[#This Row], [Team2 laps '[laps']]]</f>
        <v>3.9692380544513739E-2</v>
      </c>
      <c r="V99" s="1">
        <f>MAX(intermediate_results[[#This Row], [Team1 laps '[laps']]:[Team9 laps '[laps']]]) - intermediate_results[[#This Row], [Team3 laps '[laps']]]</f>
        <v>0.22140178486687034</v>
      </c>
      <c r="W99" s="1">
        <f>MAX(intermediate_results[[#This Row], [Team1 laps '[laps']]:[Team9 laps '[laps']]]) - intermediate_results[[#This Row], [Team4 laps '[laps']]]</f>
        <v>0.47947315686099046</v>
      </c>
      <c r="X99" s="1">
        <f>MAX(intermediate_results[[#This Row], [Team1 laps '[laps']]:[Team9 laps '[laps']]]) - intermediate_results[[#This Row], [Team5 laps '[laps']]]</f>
        <v>0.45409038033423954</v>
      </c>
      <c r="Y99" s="1">
        <f>MAX(intermediate_results[[#This Row], [Team1 laps '[laps']]:[Team9 laps '[laps']]]) - intermediate_results[[#This Row], [Team6 laps '[laps']]]</f>
        <v>0.56790724323667341</v>
      </c>
      <c r="Z99" s="1">
        <f>MAX(intermediate_results[[#This Row], [Team1 laps '[laps']]:[Team9 laps '[laps']]]) - intermediate_results[[#This Row], [Team7 laps '[laps']]]</f>
        <v>0.4582823242313907</v>
      </c>
      <c r="AA99" s="1">
        <f>MAX(intermediate_results[[#This Row], [Team1 laps '[laps']]:[Team9 laps '[laps']]]) - intermediate_results[[#This Row], [Team8 laps '[laps']]]</f>
        <v>0.78326380645454385</v>
      </c>
      <c r="AB99" s="1">
        <f>MAX(intermediate_results[[#This Row], [Team1 laps '[laps']]:[Team9 laps '[laps']]]) - intermediate_results[[#This Row], [Team9 laps '[laps']]]</f>
        <v>0.72327964860907734</v>
      </c>
      <c r="AC99" s="1">
        <f>9 * intermediate_results[[#This Row], [All cumulative times '[sec']]] / SUM(intermediate_results[[#This Row], [Team1 laps '[laps']]:[Team9 laps '[laps']]])</f>
        <v>54.97251053514249</v>
      </c>
      <c r="AD99" s="1">
        <f>intermediate_results[[#This Row], [All cumulative times '[sec']]] / intermediate_results[[#This Row], [Team1 laps '[laps']]] - intermediate_results[[#This Row], [Total running average '[sec']]]</f>
        <v>-1.9420430691752202</v>
      </c>
      <c r="AE99" s="1">
        <f>intermediate_results[[#This Row], [All cumulative times '[sec']]] / intermediate_results[[#This Row], [Team2 laps '[laps']]] - intermediate_results[[#This Row], [Total running average '[sec']]]</f>
        <v>-1.7618838897367155</v>
      </c>
      <c r="AF99" s="1">
        <f>intermediate_results[[#This Row], [All cumulative times '[sec']]] / intermediate_results[[#This Row], [Team3 laps '[laps']]] - intermediate_results[[#This Row], [Total running average '[sec']]]</f>
        <v>-0.92124974408685034</v>
      </c>
      <c r="AG99" s="1">
        <f>intermediate_results[[#This Row], [All cumulative times '[sec']]] / intermediate_results[[#This Row], [Team4 laps '[laps']]] - intermediate_results[[#This Row], [Total running average '[sec']]]</f>
        <v>0.31935174088152252</v>
      </c>
      <c r="AH99" s="1">
        <f>intermediate_results[[#This Row], [All cumulative times '[sec']]] / intermediate_results[[#This Row], [Team5 laps '[laps']]] - intermediate_results[[#This Row], [Total running average '[sec']]]</f>
        <v>0.19481208230543956</v>
      </c>
      <c r="AI99" s="1">
        <f>intermediate_results[[#This Row], [All cumulative times '[sec']]] / intermediate_results[[#This Row], [Team6 laps '[laps']]] - intermediate_results[[#This Row], [Total running average '[sec']]]</f>
        <v>0.75767734281619425</v>
      </c>
      <c r="AJ99" s="1">
        <f>intermediate_results[[#This Row], [All cumulative times '[sec']]] / intermediate_results[[#This Row], [Team7 laps '[laps']]] - intermediate_results[[#This Row], [Total running average '[sec']]]</f>
        <v>0.21534101051636156</v>
      </c>
      <c r="AK99" s="1">
        <f>intermediate_results[[#This Row], [All cumulative times '[sec']]] / intermediate_results[[#This Row], [Team8 laps '[laps']]] - intermediate_results[[#This Row], [Total running average '[sec']]]</f>
        <v>1.8547380694229432</v>
      </c>
      <c r="AL99" s="1">
        <f>intermediate_results[[#This Row], [All cumulative times '[sec']]] / intermediate_results[[#This Row], [Team9 laps '[laps']]] - intermediate_results[[#This Row], [Total running average '[sec']]]</f>
        <v>1.5448531012211362</v>
      </c>
    </row>
    <row r="100" spans="1:38" x14ac:dyDescent="0.25">
      <c r="A100" s="1">
        <v>625.02299999999991</v>
      </c>
      <c r="B100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11.786636496738986</v>
      </c>
      <c r="C100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11.746417257504902</v>
      </c>
      <c r="D100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11.56444828363254</v>
      </c>
      <c r="E100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11.304771837376952</v>
      </c>
      <c r="F100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11.330126739698967</v>
      </c>
      <c r="G100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11.215201465201464</v>
      </c>
      <c r="H100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11.326481279870094</v>
      </c>
      <c r="I100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11</v>
      </c>
      <c r="J100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11.060077169954203</v>
      </c>
      <c r="K100" s="1">
        <f>intermediate_results[[#This Row], [Team1 laps '[laps']]] - intermediate_results[[#This Row], [Team1 laps '[laps']]]</f>
        <v>0</v>
      </c>
      <c r="L100" s="1">
        <f>intermediate_results[[#This Row], [Team1 laps '[laps']]] - intermediate_results[[#This Row], [Team2 laps '[laps']]]</f>
        <v>4.0219239234083659E-2</v>
      </c>
      <c r="M100" s="1">
        <f>intermediate_results[[#This Row], [Team1 laps '[laps']]] - intermediate_results[[#This Row], [Team3 laps '[laps']]]</f>
        <v>0.22218821310644543</v>
      </c>
      <c r="N100" s="1">
        <f>intermediate_results[[#This Row], [Team1 laps '[laps']]] - intermediate_results[[#This Row], [Team4 laps '[laps']]]</f>
        <v>0.48186465936203327</v>
      </c>
      <c r="O100" s="1">
        <f>intermediate_results[[#This Row], [Team1 laps '[laps']]] - intermediate_results[[#This Row], [Team5 laps '[laps']]]</f>
        <v>0.45650975704001873</v>
      </c>
      <c r="P100" s="1">
        <f>intermediate_results[[#This Row], [Team1 laps '[laps']]] - intermediate_results[[#This Row], [Team6 laps '[laps']]]</f>
        <v>0.57143503153752206</v>
      </c>
      <c r="Q100" s="1">
        <f>intermediate_results[[#This Row], [Team1 laps '[laps']]] - intermediate_results[[#This Row], [Team7 laps '[laps']]]</f>
        <v>0.46015521686889116</v>
      </c>
      <c r="R100" s="1">
        <f>intermediate_results[[#This Row], [Team1 laps '[laps']]] - intermediate_results[[#This Row], [Team8 laps '[laps']]]</f>
        <v>0.78663649673898561</v>
      </c>
      <c r="S100" s="1">
        <f>intermediate_results[[#This Row], [Team1 laps '[laps']]] - intermediate_results[[#This Row], [Team9 laps '[laps']]]</f>
        <v>0.7265593267847823</v>
      </c>
      <c r="T100" s="1">
        <f>MAX(intermediate_results[[#This Row], [Team1 laps '[laps']]:[Team9 laps '[laps']]]) - intermediate_results[[#This Row], [Team1 laps '[laps']]]</f>
        <v>0</v>
      </c>
      <c r="U100" s="1">
        <f>MAX(intermediate_results[[#This Row], [Team1 laps '[laps']]:[Team9 laps '[laps']]]) - intermediate_results[[#This Row], [Team2 laps '[laps']]]</f>
        <v>4.0219239234083659E-2</v>
      </c>
      <c r="V100" s="1">
        <f>MAX(intermediate_results[[#This Row], [Team1 laps '[laps']]:[Team9 laps '[laps']]]) - intermediate_results[[#This Row], [Team3 laps '[laps']]]</f>
        <v>0.22218821310644543</v>
      </c>
      <c r="W100" s="1">
        <f>MAX(intermediate_results[[#This Row], [Team1 laps '[laps']]:[Team9 laps '[laps']]]) - intermediate_results[[#This Row], [Team4 laps '[laps']]]</f>
        <v>0.48186465936203327</v>
      </c>
      <c r="X100" s="1">
        <f>MAX(intermediate_results[[#This Row], [Team1 laps '[laps']]:[Team9 laps '[laps']]]) - intermediate_results[[#This Row], [Team5 laps '[laps']]]</f>
        <v>0.45650975704001873</v>
      </c>
      <c r="Y100" s="1">
        <f>MAX(intermediate_results[[#This Row], [Team1 laps '[laps']]:[Team9 laps '[laps']]]) - intermediate_results[[#This Row], [Team6 laps '[laps']]]</f>
        <v>0.57143503153752206</v>
      </c>
      <c r="Z100" s="1">
        <f>MAX(intermediate_results[[#This Row], [Team1 laps '[laps']]:[Team9 laps '[laps']]]) - intermediate_results[[#This Row], [Team7 laps '[laps']]]</f>
        <v>0.46015521686889116</v>
      </c>
      <c r="AA100" s="1">
        <f>MAX(intermediate_results[[#This Row], [Team1 laps '[laps']]:[Team9 laps '[laps']]]) - intermediate_results[[#This Row], [Team8 laps '[laps']]]</f>
        <v>0.78663649673898561</v>
      </c>
      <c r="AB100" s="1">
        <f>MAX(intermediate_results[[#This Row], [Team1 laps '[laps']]:[Team9 laps '[laps']]]) - intermediate_results[[#This Row], [Team9 laps '[laps']]]</f>
        <v>0.7265593267847823</v>
      </c>
      <c r="AC100" s="1">
        <f>9 * intermediate_results[[#This Row], [All cumulative times '[sec']]] / SUM(intermediate_results[[#This Row], [Team1 laps '[laps']]:[Team9 laps '[laps']]])</f>
        <v>54.969005177426872</v>
      </c>
      <c r="AD100" s="1">
        <f>intermediate_results[[#This Row], [All cumulative times '[sec']]] / intermediate_results[[#This Row], [Team1 laps '[laps']]] - intermediate_results[[#This Row], [Total running average '[sec']]]</f>
        <v>-1.9408999861854781</v>
      </c>
      <c r="AE100" s="1">
        <f>intermediate_results[[#This Row], [All cumulative times '[sec']]] / intermediate_results[[#This Row], [Team2 laps '[laps']]] - intermediate_results[[#This Row], [Total running average '[sec']]]</f>
        <v>-1.7593339816700109</v>
      </c>
      <c r="AF100" s="1">
        <f>intermediate_results[[#This Row], [All cumulative times '[sec']]] / intermediate_results[[#This Row], [Team3 laps '[laps']]] - intermediate_results[[#This Row], [Total running average '[sec']]]</f>
        <v>-0.92206885409089523</v>
      </c>
      <c r="AG100" s="1">
        <f>intermediate_results[[#This Row], [All cumulative times '[sec']]] / intermediate_results[[#This Row], [Team4 laps '[laps']]] - intermediate_results[[#This Row], [Total running average '[sec']]]</f>
        <v>0.31941718006708442</v>
      </c>
      <c r="AH100" s="1">
        <f>intermediate_results[[#This Row], [All cumulative times '[sec']]] / intermediate_results[[#This Row], [Team5 laps '[laps']]] - intermediate_results[[#This Row], [Total running average '[sec']]]</f>
        <v>0.19569106643935896</v>
      </c>
      <c r="AI100" s="1">
        <f>intermediate_results[[#This Row], [All cumulative times '[sec']]] / intermediate_results[[#This Row], [Team6 laps '[laps']]] - intermediate_results[[#This Row], [Total running average '[sec']]]</f>
        <v>0.76097898195909863</v>
      </c>
      <c r="AJ100" s="1">
        <f>intermediate_results[[#This Row], [All cumulative times '[sec']]] / intermediate_results[[#This Row], [Team7 laps '[laps']]] - intermediate_results[[#This Row], [Total running average '[sec']]]</f>
        <v>0.21344597894571393</v>
      </c>
      <c r="AK100" s="1">
        <f>intermediate_results[[#This Row], [All cumulative times '[sec']]] / intermediate_results[[#This Row], [Team8 laps '[laps']]] - intermediate_results[[#This Row], [Total running average '[sec']]]</f>
        <v>1.8512675498458435</v>
      </c>
      <c r="AL100" s="1">
        <f>intermediate_results[[#This Row], [All cumulative times '[sec']]] / intermediate_results[[#This Row], [Team9 laps '[laps']]] - intermediate_results[[#This Row], [Total running average '[sec']]]</f>
        <v>1.5426258352334088</v>
      </c>
    </row>
    <row r="101" spans="1:38" x14ac:dyDescent="0.25">
      <c r="A101" s="1">
        <v>636.24399999999991</v>
      </c>
      <c r="B101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12</v>
      </c>
      <c r="C101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11.95800648664957</v>
      </c>
      <c r="D101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11.775163374145572</v>
      </c>
      <c r="E101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11.510081604274159</v>
      </c>
      <c r="F101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11.535342636112581</v>
      </c>
      <c r="G101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11.416684622566974</v>
      </c>
      <c r="H101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11.533537541748935</v>
      </c>
      <c r="I101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11.20236613825317</v>
      </c>
      <c r="J101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11.262395874652915</v>
      </c>
      <c r="K101" s="1">
        <f>intermediate_results[[#This Row], [Team1 laps '[laps']]] - intermediate_results[[#This Row], [Team1 laps '[laps']]]</f>
        <v>0</v>
      </c>
      <c r="L101" s="1">
        <f>intermediate_results[[#This Row], [Team1 laps '[laps']]] - intermediate_results[[#This Row], [Team2 laps '[laps']]]</f>
        <v>4.1993513350430334E-2</v>
      </c>
      <c r="M101" s="1">
        <f>intermediate_results[[#This Row], [Team1 laps '[laps']]] - intermediate_results[[#This Row], [Team3 laps '[laps']]]</f>
        <v>0.22483662585442765</v>
      </c>
      <c r="N101" s="1">
        <f>intermediate_results[[#This Row], [Team1 laps '[laps']]] - intermediate_results[[#This Row], [Team4 laps '[laps']]]</f>
        <v>0.48991839572584084</v>
      </c>
      <c r="O101" s="1">
        <f>intermediate_results[[#This Row], [Team1 laps '[laps']]] - intermediate_results[[#This Row], [Team5 laps '[laps']]]</f>
        <v>0.46465736388741874</v>
      </c>
      <c r="P101" s="1">
        <f>intermediate_results[[#This Row], [Team1 laps '[laps']]] - intermediate_results[[#This Row], [Team6 laps '[laps']]]</f>
        <v>0.58331537743302597</v>
      </c>
      <c r="Q101" s="1">
        <f>intermediate_results[[#This Row], [Team1 laps '[laps']]] - intermediate_results[[#This Row], [Team7 laps '[laps']]]</f>
        <v>0.46646245825106547</v>
      </c>
      <c r="R101" s="1">
        <f>intermediate_results[[#This Row], [Team1 laps '[laps']]] - intermediate_results[[#This Row], [Team8 laps '[laps']]]</f>
        <v>0.79763386174682971</v>
      </c>
      <c r="S101" s="1">
        <f>intermediate_results[[#This Row], [Team1 laps '[laps']]] - intermediate_results[[#This Row], [Team9 laps '[laps']]]</f>
        <v>0.73760412534708486</v>
      </c>
      <c r="T101" s="1">
        <f>MAX(intermediate_results[[#This Row], [Team1 laps '[laps']]:[Team9 laps '[laps']]]) - intermediate_results[[#This Row], [Team1 laps '[laps']]]</f>
        <v>0</v>
      </c>
      <c r="U101" s="1">
        <f>MAX(intermediate_results[[#This Row], [Team1 laps '[laps']]:[Team9 laps '[laps']]]) - intermediate_results[[#This Row], [Team2 laps '[laps']]]</f>
        <v>4.1993513350430334E-2</v>
      </c>
      <c r="V101" s="1">
        <f>MAX(intermediate_results[[#This Row], [Team1 laps '[laps']]:[Team9 laps '[laps']]]) - intermediate_results[[#This Row], [Team3 laps '[laps']]]</f>
        <v>0.22483662585442765</v>
      </c>
      <c r="W101" s="1">
        <f>MAX(intermediate_results[[#This Row], [Team1 laps '[laps']]:[Team9 laps '[laps']]]) - intermediate_results[[#This Row], [Team4 laps '[laps']]]</f>
        <v>0.48991839572584084</v>
      </c>
      <c r="X101" s="1">
        <f>MAX(intermediate_results[[#This Row], [Team1 laps '[laps']]:[Team9 laps '[laps']]]) - intermediate_results[[#This Row], [Team5 laps '[laps']]]</f>
        <v>0.46465736388741874</v>
      </c>
      <c r="Y101" s="1">
        <f>MAX(intermediate_results[[#This Row], [Team1 laps '[laps']]:[Team9 laps '[laps']]]) - intermediate_results[[#This Row], [Team6 laps '[laps']]]</f>
        <v>0.58331537743302597</v>
      </c>
      <c r="Z101" s="1">
        <f>MAX(intermediate_results[[#This Row], [Team1 laps '[laps']]:[Team9 laps '[laps']]]) - intermediate_results[[#This Row], [Team7 laps '[laps']]]</f>
        <v>0.46646245825106547</v>
      </c>
      <c r="AA101" s="1">
        <f>MAX(intermediate_results[[#This Row], [Team1 laps '[laps']]:[Team9 laps '[laps']]]) - intermediate_results[[#This Row], [Team8 laps '[laps']]]</f>
        <v>0.79763386174682971</v>
      </c>
      <c r="AB101" s="1">
        <f>MAX(intermediate_results[[#This Row], [Team1 laps '[laps']]:[Team9 laps '[laps']]]) - intermediate_results[[#This Row], [Team9 laps '[laps']]]</f>
        <v>0.73760412534708486</v>
      </c>
      <c r="AC101" s="1">
        <f>9 * intermediate_results[[#This Row], [All cumulative times '[sec']]] / SUM(intermediate_results[[#This Row], [Team1 laps '[laps']]:[Team9 laps '[laps']]])</f>
        <v>54.957283304923834</v>
      </c>
      <c r="AD101" s="1">
        <f>intermediate_results[[#This Row], [All cumulative times '[sec']]] / intermediate_results[[#This Row], [Team1 laps '[laps']]] - intermediate_results[[#This Row], [Total running average '[sec']]]</f>
        <v>-1.9369499715905079</v>
      </c>
      <c r="AE101" s="1">
        <f>intermediate_results[[#This Row], [All cumulative times '[sec']]] / intermediate_results[[#This Row], [Team2 laps '[laps']]] - intermediate_results[[#This Row], [Total running average '[sec']]]</f>
        <v>-1.7507558866346784</v>
      </c>
      <c r="AF101" s="1">
        <f>intermediate_results[[#This Row], [All cumulative times '[sec']]] / intermediate_results[[#This Row], [Team3 laps '[laps']]] - intermediate_results[[#This Row], [Total running average '[sec']]]</f>
        <v>-0.92457226866044806</v>
      </c>
      <c r="AG101" s="1">
        <f>intermediate_results[[#This Row], [All cumulative times '[sec']]] / intermediate_results[[#This Row], [Team4 laps '[laps']]] - intermediate_results[[#This Row], [Total running average '[sec']]]</f>
        <v>0.3198226161789961</v>
      </c>
      <c r="AH101" s="1">
        <f>intermediate_results[[#This Row], [All cumulative times '[sec']]] / intermediate_results[[#This Row], [Team5 laps '[laps']]] - intermediate_results[[#This Row], [Total running average '[sec']]]</f>
        <v>0.19877231219952307</v>
      </c>
      <c r="AI101" s="1">
        <f>intermediate_results[[#This Row], [All cumulative times '[sec']]] / intermediate_results[[#This Row], [Team6 laps '[laps']]] - intermediate_results[[#This Row], [Total running average '[sec']]]</f>
        <v>0.7720305050029026</v>
      </c>
      <c r="AJ101" s="1">
        <f>intermediate_results[[#This Row], [All cumulative times '[sec']]] / intermediate_results[[#This Row], [Team7 laps '[laps']]] - intermediate_results[[#This Row], [Total running average '[sec']]]</f>
        <v>0.20740469274669238</v>
      </c>
      <c r="AK101" s="1">
        <f>intermediate_results[[#This Row], [All cumulative times '[sec']]] / intermediate_results[[#This Row], [Team8 laps '[laps']]] - intermediate_results[[#This Row], [Total running average '[sec']]]</f>
        <v>1.8382179443517046</v>
      </c>
      <c r="AL101" s="1">
        <f>intermediate_results[[#This Row], [All cumulative times '[sec']]] / intermediate_results[[#This Row], [Team9 laps '[laps']]] - intermediate_results[[#This Row], [Total running average '[sec']]]</f>
        <v>1.5354920406779939</v>
      </c>
    </row>
    <row r="102" spans="1:38" x14ac:dyDescent="0.25">
      <c r="A102" s="1">
        <v>638.471</v>
      </c>
      <c r="B102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12.04236739974127</v>
      </c>
      <c r="C102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12</v>
      </c>
      <c r="D102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11.816983399684521</v>
      </c>
      <c r="E102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11.550828850587331</v>
      </c>
      <c r="F102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11.576071252217487</v>
      </c>
      <c r="G102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11.456672412554765</v>
      </c>
      <c r="H102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11.574631409960698</v>
      </c>
      <c r="I102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11.242529170949883</v>
      </c>
      <c r="J102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11.302549493346797</v>
      </c>
      <c r="K102" s="1">
        <f>intermediate_results[[#This Row], [Team1 laps '[laps']]] - intermediate_results[[#This Row], [Team1 laps '[laps']]]</f>
        <v>0</v>
      </c>
      <c r="L102" s="1">
        <f>intermediate_results[[#This Row], [Team1 laps '[laps']]] - intermediate_results[[#This Row], [Team2 laps '[laps']]]</f>
        <v>4.2367399741269907E-2</v>
      </c>
      <c r="M102" s="1">
        <f>intermediate_results[[#This Row], [Team1 laps '[laps']]] - intermediate_results[[#This Row], [Team3 laps '[laps']]]</f>
        <v>0.2253840000567493</v>
      </c>
      <c r="N102" s="1">
        <f>intermediate_results[[#This Row], [Team1 laps '[laps']]] - intermediate_results[[#This Row], [Team4 laps '[laps']]]</f>
        <v>0.49153854915393858</v>
      </c>
      <c r="O102" s="1">
        <f>intermediate_results[[#This Row], [Team1 laps '[laps']]] - intermediate_results[[#This Row], [Team5 laps '[laps']]]</f>
        <v>0.46629614752378323</v>
      </c>
      <c r="P102" s="1">
        <f>intermediate_results[[#This Row], [Team1 laps '[laps']]] - intermediate_results[[#This Row], [Team6 laps '[laps']]]</f>
        <v>0.58569498718650514</v>
      </c>
      <c r="Q102" s="1">
        <f>intermediate_results[[#This Row], [Team1 laps '[laps']]] - intermediate_results[[#This Row], [Team7 laps '[laps']]]</f>
        <v>0.46773598978057151</v>
      </c>
      <c r="R102" s="1">
        <f>intermediate_results[[#This Row], [Team1 laps '[laps']]] - intermediate_results[[#This Row], [Team8 laps '[laps']]]</f>
        <v>0.799838228791387</v>
      </c>
      <c r="S102" s="1">
        <f>intermediate_results[[#This Row], [Team1 laps '[laps']]] - intermediate_results[[#This Row], [Team9 laps '[laps']]]</f>
        <v>0.73981790639447276</v>
      </c>
      <c r="T102" s="1">
        <f>MAX(intermediate_results[[#This Row], [Team1 laps '[laps']]:[Team9 laps '[laps']]]) - intermediate_results[[#This Row], [Team1 laps '[laps']]]</f>
        <v>0</v>
      </c>
      <c r="U102" s="1">
        <f>MAX(intermediate_results[[#This Row], [Team1 laps '[laps']]:[Team9 laps '[laps']]]) - intermediate_results[[#This Row], [Team2 laps '[laps']]]</f>
        <v>4.2367399741269907E-2</v>
      </c>
      <c r="V102" s="1">
        <f>MAX(intermediate_results[[#This Row], [Team1 laps '[laps']]:[Team9 laps '[laps']]]) - intermediate_results[[#This Row], [Team3 laps '[laps']]]</f>
        <v>0.2253840000567493</v>
      </c>
      <c r="W102" s="1">
        <f>MAX(intermediate_results[[#This Row], [Team1 laps '[laps']]:[Team9 laps '[laps']]]) - intermediate_results[[#This Row], [Team4 laps '[laps']]]</f>
        <v>0.49153854915393858</v>
      </c>
      <c r="X102" s="1">
        <f>MAX(intermediate_results[[#This Row], [Team1 laps '[laps']]:[Team9 laps '[laps']]]) - intermediate_results[[#This Row], [Team5 laps '[laps']]]</f>
        <v>0.46629614752378323</v>
      </c>
      <c r="Y102" s="1">
        <f>MAX(intermediate_results[[#This Row], [Team1 laps '[laps']]:[Team9 laps '[laps']]]) - intermediate_results[[#This Row], [Team6 laps '[laps']]]</f>
        <v>0.58569498718650514</v>
      </c>
      <c r="Z102" s="1">
        <f>MAX(intermediate_results[[#This Row], [Team1 laps '[laps']]:[Team9 laps '[laps']]]) - intermediate_results[[#This Row], [Team7 laps '[laps']]]</f>
        <v>0.46773598978057151</v>
      </c>
      <c r="AA102" s="1">
        <f>MAX(intermediate_results[[#This Row], [Team1 laps '[laps']]:[Team9 laps '[laps']]]) - intermediate_results[[#This Row], [Team8 laps '[laps']]]</f>
        <v>0.799838228791387</v>
      </c>
      <c r="AB102" s="1">
        <f>MAX(intermediate_results[[#This Row], [Team1 laps '[laps']]:[Team9 laps '[laps']]]) - intermediate_results[[#This Row], [Team9 laps '[laps']]]</f>
        <v>0.73981790639447276</v>
      </c>
      <c r="AC102" s="1">
        <f>9 * intermediate_results[[#This Row], [All cumulative times '[sec']]] / SUM(intermediate_results[[#This Row], [Team1 laps '[laps']]:[Team9 laps '[laps']]])</f>
        <v>54.954995047037087</v>
      </c>
      <c r="AD102" s="1">
        <f>intermediate_results[[#This Row], [All cumulative times '[sec']]] / intermediate_results[[#This Row], [Team1 laps '[laps']]] - intermediate_results[[#This Row], [Total running average '[sec']]]</f>
        <v>-1.9362671834678764</v>
      </c>
      <c r="AE102" s="1">
        <f>intermediate_results[[#This Row], [All cumulative times '[sec']]] / intermediate_results[[#This Row], [Team2 laps '[laps']]] - intermediate_results[[#This Row], [Total running average '[sec']]]</f>
        <v>-1.7490783803704204</v>
      </c>
      <c r="AF102" s="1">
        <f>intermediate_results[[#This Row], [All cumulative times '[sec']]] / intermediate_results[[#This Row], [Team3 laps '[laps']]] - intermediate_results[[#This Row], [Total running average '[sec']]]</f>
        <v>-0.92504692871737149</v>
      </c>
      <c r="AG102" s="1">
        <f>intermediate_results[[#This Row], [All cumulative times '[sec']]] / intermediate_results[[#This Row], [Team4 laps '[laps']]] - intermediate_results[[#This Row], [Total running average '[sec']]]</f>
        <v>0.31991277635562909</v>
      </c>
      <c r="AH102" s="1">
        <f>intermediate_results[[#This Row], [All cumulative times '[sec']]] / intermediate_results[[#This Row], [Team5 laps '[laps']]] - intermediate_results[[#This Row], [Total running average '[sec']]]</f>
        <v>0.19938212368876407</v>
      </c>
      <c r="AI102" s="1">
        <f>intermediate_results[[#This Row], [All cumulative times '[sec']]] / intermediate_results[[#This Row], [Team6 laps '[laps']]] - intermediate_results[[#This Row], [Total running average '[sec']]]</f>
        <v>0.77418852465456922</v>
      </c>
      <c r="AJ102" s="1">
        <f>intermediate_results[[#This Row], [All cumulative times '[sec']]] / intermediate_results[[#This Row], [Team7 laps '[laps']]] - intermediate_results[[#This Row], [Total running average '[sec']]]</f>
        <v>0.20624312859548866</v>
      </c>
      <c r="AK102" s="1">
        <f>intermediate_results[[#This Row], [All cumulative times '[sec']]] / intermediate_results[[#This Row], [Team8 laps '[laps']]] - intermediate_results[[#This Row], [Total running average '[sec']]]</f>
        <v>1.8356959346484416</v>
      </c>
      <c r="AL102" s="1">
        <f>intermediate_results[[#This Row], [All cumulative times '[sec']]] / intermediate_results[[#This Row], [Team9 laps '[laps']]] - intermediate_results[[#This Row], [Total running average '[sec']]]</f>
        <v>1.5341183495318518</v>
      </c>
    </row>
    <row r="103" spans="1:38" x14ac:dyDescent="0.25">
      <c r="A103" s="1">
        <v>648.21699999999987</v>
      </c>
      <c r="B103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12.227779468837987</v>
      </c>
      <c r="C103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12.183883322956168</v>
      </c>
      <c r="D103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12</v>
      </c>
      <c r="E103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11.729150656859513</v>
      </c>
      <c r="F103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11.754311527277379</v>
      </c>
      <c r="G103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11.631670616964731</v>
      </c>
      <c r="H103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11.754470134519217</v>
      </c>
      <c r="I103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11.418294288445237</v>
      </c>
      <c r="J103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11.478273412426525</v>
      </c>
      <c r="K103" s="1">
        <f>intermediate_results[[#This Row], [Team1 laps '[laps']]] - intermediate_results[[#This Row], [Team1 laps '[laps']]]</f>
        <v>0</v>
      </c>
      <c r="L103" s="1">
        <f>intermediate_results[[#This Row], [Team1 laps '[laps']]] - intermediate_results[[#This Row], [Team2 laps '[laps']]]</f>
        <v>4.3896145881818782E-2</v>
      </c>
      <c r="M103" s="1">
        <f>intermediate_results[[#This Row], [Team1 laps '[laps']]] - intermediate_results[[#This Row], [Team3 laps '[laps']]]</f>
        <v>0.22777946883798705</v>
      </c>
      <c r="N103" s="1">
        <f>intermediate_results[[#This Row], [Team1 laps '[laps']]] - intermediate_results[[#This Row], [Team4 laps '[laps']]]</f>
        <v>0.49862881197847386</v>
      </c>
      <c r="O103" s="1">
        <f>intermediate_results[[#This Row], [Team1 laps '[laps']]] - intermediate_results[[#This Row], [Team5 laps '[laps']]]</f>
        <v>0.47346794156060845</v>
      </c>
      <c r="P103" s="1">
        <f>intermediate_results[[#This Row], [Team1 laps '[laps']]] - intermediate_results[[#This Row], [Team6 laps '[laps']]]</f>
        <v>0.59610885187325557</v>
      </c>
      <c r="Q103" s="1">
        <f>intermediate_results[[#This Row], [Team1 laps '[laps']]] - intermediate_results[[#This Row], [Team7 laps '[laps']]]</f>
        <v>0.47330933431877042</v>
      </c>
      <c r="R103" s="1">
        <f>intermediate_results[[#This Row], [Team1 laps '[laps']]] - intermediate_results[[#This Row], [Team8 laps '[laps']]]</f>
        <v>0.80948518039275008</v>
      </c>
      <c r="S103" s="1">
        <f>intermediate_results[[#This Row], [Team1 laps '[laps']]] - intermediate_results[[#This Row], [Team9 laps '[laps']]]</f>
        <v>0.7495060564114624</v>
      </c>
      <c r="T103" s="1">
        <f>MAX(intermediate_results[[#This Row], [Team1 laps '[laps']]:[Team9 laps '[laps']]]) - intermediate_results[[#This Row], [Team1 laps '[laps']]]</f>
        <v>0</v>
      </c>
      <c r="U103" s="1">
        <f>MAX(intermediate_results[[#This Row], [Team1 laps '[laps']]:[Team9 laps '[laps']]]) - intermediate_results[[#This Row], [Team2 laps '[laps']]]</f>
        <v>4.3896145881818782E-2</v>
      </c>
      <c r="V103" s="1">
        <f>MAX(intermediate_results[[#This Row], [Team1 laps '[laps']]:[Team9 laps '[laps']]]) - intermediate_results[[#This Row], [Team3 laps '[laps']]]</f>
        <v>0.22777946883798705</v>
      </c>
      <c r="W103" s="1">
        <f>MAX(intermediate_results[[#This Row], [Team1 laps '[laps']]:[Team9 laps '[laps']]]) - intermediate_results[[#This Row], [Team4 laps '[laps']]]</f>
        <v>0.49862881197847386</v>
      </c>
      <c r="X103" s="1">
        <f>MAX(intermediate_results[[#This Row], [Team1 laps '[laps']]:[Team9 laps '[laps']]]) - intermediate_results[[#This Row], [Team5 laps '[laps']]]</f>
        <v>0.47346794156060845</v>
      </c>
      <c r="Y103" s="1">
        <f>MAX(intermediate_results[[#This Row], [Team1 laps '[laps']]:[Team9 laps '[laps']]]) - intermediate_results[[#This Row], [Team6 laps '[laps']]]</f>
        <v>0.59610885187325557</v>
      </c>
      <c r="Z103" s="1">
        <f>MAX(intermediate_results[[#This Row], [Team1 laps '[laps']]:[Team9 laps '[laps']]]) - intermediate_results[[#This Row], [Team7 laps '[laps']]]</f>
        <v>0.47330933431877042</v>
      </c>
      <c r="AA103" s="1">
        <f>MAX(intermediate_results[[#This Row], [Team1 laps '[laps']]:[Team9 laps '[laps']]]) - intermediate_results[[#This Row], [Team8 laps '[laps']]]</f>
        <v>0.80948518039275008</v>
      </c>
      <c r="AB103" s="1">
        <f>MAX(intermediate_results[[#This Row], [Team1 laps '[laps']]:[Team9 laps '[laps']]]) - intermediate_results[[#This Row], [Team9 laps '[laps']]]</f>
        <v>0.7495060564114624</v>
      </c>
      <c r="AC103" s="1">
        <f>9 * intermediate_results[[#This Row], [All cumulative times '[sec']]] / SUM(intermediate_results[[#This Row], [Team1 laps '[laps']]:[Team9 laps '[laps']]])</f>
        <v>54.945112474349841</v>
      </c>
      <c r="AD103" s="1">
        <f>intermediate_results[[#This Row], [All cumulative times '[sec']]] / intermediate_results[[#This Row], [Team1 laps '[laps']]] - intermediate_results[[#This Row], [Total running average '[sec']]]</f>
        <v>-1.9332797330123555</v>
      </c>
      <c r="AE103" s="1">
        <f>intermediate_results[[#This Row], [All cumulative times '[sec']]] / intermediate_results[[#This Row], [Team2 laps '[laps']]] - intermediate_results[[#This Row], [Total running average '[sec']]]</f>
        <v>-1.7422884799122969</v>
      </c>
      <c r="AF103" s="1">
        <f>intermediate_results[[#This Row], [All cumulative times '[sec']]] / intermediate_results[[#This Row], [Team3 laps '[laps']]] - intermediate_results[[#This Row], [Total running average '[sec']]]</f>
        <v>-0.92702914101651857</v>
      </c>
      <c r="AG103" s="1">
        <f>intermediate_results[[#This Row], [All cumulative times '[sec']]] / intermediate_results[[#This Row], [Team4 laps '[laps']]] - intermediate_results[[#This Row], [Total running average '[sec']]]</f>
        <v>0.32035550059731577</v>
      </c>
      <c r="AH103" s="1">
        <f>intermediate_results[[#This Row], [All cumulative times '[sec']]] / intermediate_results[[#This Row], [Team5 laps '[laps']]] - intermediate_results[[#This Row], [Total running average '[sec']]]</f>
        <v>0.2020561620887662</v>
      </c>
      <c r="AI103" s="1">
        <f>intermediate_results[[#This Row], [All cumulative times '[sec']]] / intermediate_results[[#This Row], [Team6 laps '[laps']]] - intermediate_results[[#This Row], [Total running average '[sec']]]</f>
        <v>0.78351167140087341</v>
      </c>
      <c r="AJ103" s="1">
        <f>intermediate_results[[#This Row], [All cumulative times '[sec']]] / intermediate_results[[#This Row], [Team7 laps '[laps']]] - intermediate_results[[#This Row], [Total running average '[sec']]]</f>
        <v>0.20131204174880679</v>
      </c>
      <c r="AK103" s="1">
        <f>intermediate_results[[#This Row], [All cumulative times '[sec']]] / intermediate_results[[#This Row], [Team8 laps '[laps']]] - intermediate_results[[#This Row], [Total running average '[sec']]]</f>
        <v>1.8249254687047696</v>
      </c>
      <c r="AL103" s="1">
        <f>intermediate_results[[#This Row], [All cumulative times '[sec']]] / intermediate_results[[#This Row], [Team9 laps '[laps']]] - intermediate_results[[#This Row], [Total running average '[sec']]]</f>
        <v>1.5282765719706575</v>
      </c>
    </row>
    <row r="104" spans="1:38" x14ac:dyDescent="0.25">
      <c r="A104" s="1">
        <v>661.52299999999991</v>
      </c>
      <c r="B104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12.480918499353169</v>
      </c>
      <c r="C104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12.434935189902076</v>
      </c>
      <c r="D104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12.249681002777153</v>
      </c>
      <c r="E104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11.972609507080907</v>
      </c>
      <c r="F104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11.9976590647232</v>
      </c>
      <c r="G104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11.870591826474177</v>
      </c>
      <c r="H104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12</v>
      </c>
      <c r="I104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11.658262547566231</v>
      </c>
      <c r="J104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11.718185424254445</v>
      </c>
      <c r="K104" s="1">
        <f>intermediate_results[[#This Row], [Team1 laps '[laps']]] - intermediate_results[[#This Row], [Team1 laps '[laps']]]</f>
        <v>0</v>
      </c>
      <c r="L104" s="1">
        <f>intermediate_results[[#This Row], [Team1 laps '[laps']]] - intermediate_results[[#This Row], [Team2 laps '[laps']]]</f>
        <v>4.5983309451093746E-2</v>
      </c>
      <c r="M104" s="1">
        <f>intermediate_results[[#This Row], [Team1 laps '[laps']]] - intermediate_results[[#This Row], [Team3 laps '[laps']]]</f>
        <v>0.231237496576016</v>
      </c>
      <c r="N104" s="1">
        <f>intermediate_results[[#This Row], [Team1 laps '[laps']]] - intermediate_results[[#This Row], [Team4 laps '[laps']]]</f>
        <v>0.50830899227226212</v>
      </c>
      <c r="O104" s="1">
        <f>intermediate_results[[#This Row], [Team1 laps '[laps']]] - intermediate_results[[#This Row], [Team5 laps '[laps']]]</f>
        <v>0.48325943462996968</v>
      </c>
      <c r="P104" s="1">
        <f>intermediate_results[[#This Row], [Team1 laps '[laps']]] - intermediate_results[[#This Row], [Team6 laps '[laps']]]</f>
        <v>0.61032667287899223</v>
      </c>
      <c r="Q104" s="1">
        <f>intermediate_results[[#This Row], [Team1 laps '[laps']]] - intermediate_results[[#This Row], [Team7 laps '[laps']]]</f>
        <v>0.48091849935316944</v>
      </c>
      <c r="R104" s="1">
        <f>intermediate_results[[#This Row], [Team1 laps '[laps']]] - intermediate_results[[#This Row], [Team8 laps '[laps']]]</f>
        <v>0.82265595178693829</v>
      </c>
      <c r="S104" s="1">
        <f>intermediate_results[[#This Row], [Team1 laps '[laps']]] - intermediate_results[[#This Row], [Team9 laps '[laps']]]</f>
        <v>0.76273307509872446</v>
      </c>
      <c r="T104" s="1">
        <f>MAX(intermediate_results[[#This Row], [Team1 laps '[laps']]:[Team9 laps '[laps']]]) - intermediate_results[[#This Row], [Team1 laps '[laps']]]</f>
        <v>0</v>
      </c>
      <c r="U104" s="1">
        <f>MAX(intermediate_results[[#This Row], [Team1 laps '[laps']]:[Team9 laps '[laps']]]) - intermediate_results[[#This Row], [Team2 laps '[laps']]]</f>
        <v>4.5983309451093746E-2</v>
      </c>
      <c r="V104" s="1">
        <f>MAX(intermediate_results[[#This Row], [Team1 laps '[laps']]:[Team9 laps '[laps']]]) - intermediate_results[[#This Row], [Team3 laps '[laps']]]</f>
        <v>0.231237496576016</v>
      </c>
      <c r="W104" s="1">
        <f>MAX(intermediate_results[[#This Row], [Team1 laps '[laps']]:[Team9 laps '[laps']]]) - intermediate_results[[#This Row], [Team4 laps '[laps']]]</f>
        <v>0.50830899227226212</v>
      </c>
      <c r="X104" s="1">
        <f>MAX(intermediate_results[[#This Row], [Team1 laps '[laps']]:[Team9 laps '[laps']]]) - intermediate_results[[#This Row], [Team5 laps '[laps']]]</f>
        <v>0.48325943462996968</v>
      </c>
      <c r="Y104" s="1">
        <f>MAX(intermediate_results[[#This Row], [Team1 laps '[laps']]:[Team9 laps '[laps']]]) - intermediate_results[[#This Row], [Team6 laps '[laps']]]</f>
        <v>0.61032667287899223</v>
      </c>
      <c r="Z104" s="1">
        <f>MAX(intermediate_results[[#This Row], [Team1 laps '[laps']]:[Team9 laps '[laps']]]) - intermediate_results[[#This Row], [Team7 laps '[laps']]]</f>
        <v>0.48091849935316944</v>
      </c>
      <c r="AA104" s="1">
        <f>MAX(intermediate_results[[#This Row], [Team1 laps '[laps']]:[Team9 laps '[laps']]]) - intermediate_results[[#This Row], [Team8 laps '[laps']]]</f>
        <v>0.82265595178693829</v>
      </c>
      <c r="AB104" s="1">
        <f>MAX(intermediate_results[[#This Row], [Team1 laps '[laps']]:[Team9 laps '[laps']]]) - intermediate_results[[#This Row], [Team9 laps '[laps']]]</f>
        <v>0.76273307509872446</v>
      </c>
      <c r="AC104" s="1">
        <f>9 * intermediate_results[[#This Row], [All cumulative times '[sec']]] / SUM(intermediate_results[[#This Row], [Team1 laps '[laps']]:[Team9 laps '[laps']]])</f>
        <v>54.932190665887852</v>
      </c>
      <c r="AD104" s="1">
        <f>intermediate_results[[#This Row], [All cumulative times '[sec']]] / intermediate_results[[#This Row], [Team1 laps '[laps']]] - intermediate_results[[#This Row], [Total running average '[sec']]]</f>
        <v>-1.9294409055810533</v>
      </c>
      <c r="AE104" s="1">
        <f>intermediate_results[[#This Row], [All cumulative times '[sec']]] / intermediate_results[[#This Row], [Team2 laps '[laps']]] - intermediate_results[[#This Row], [Total running average '[sec']]]</f>
        <v>-1.7334413441224399</v>
      </c>
      <c r="AF104" s="1">
        <f>intermediate_results[[#This Row], [All cumulative times '[sec']]] / intermediate_results[[#This Row], [Team3 laps '[laps']]] - intermediate_results[[#This Row], [Total running average '[sec']]]</f>
        <v>-0.92890683751513592</v>
      </c>
      <c r="AG104" s="1">
        <f>intermediate_results[[#This Row], [All cumulative times '[sec']]] / intermediate_results[[#This Row], [Team4 laps '[laps']]] - intermediate_results[[#This Row], [Total running average '[sec']]]</f>
        <v>0.32084332045892694</v>
      </c>
      <c r="AH104" s="1">
        <f>intermediate_results[[#This Row], [All cumulative times '[sec']]] / intermediate_results[[#This Row], [Team5 laps '[laps']]] - intermediate_results[[#This Row], [Total running average '[sec']]]</f>
        <v>0.20548214439232737</v>
      </c>
      <c r="AI104" s="1">
        <f>intermediate_results[[#This Row], [All cumulative times '[sec']]] / intermediate_results[[#This Row], [Team6 laps '[laps']]] - intermediate_results[[#This Row], [Total running average '[sec']]]</f>
        <v>0.79569634010371004</v>
      </c>
      <c r="AJ104" s="1">
        <f>intermediate_results[[#This Row], [All cumulative times '[sec']]] / intermediate_results[[#This Row], [Team7 laps '[laps']]] - intermediate_results[[#This Row], [Total running average '[sec']]]</f>
        <v>0.19472600077880742</v>
      </c>
      <c r="AK104" s="1">
        <f>intermediate_results[[#This Row], [All cumulative times '[sec']]] / intermediate_results[[#This Row], [Team8 laps '[laps']]] - intermediate_results[[#This Row], [Total running average '[sec']]]</f>
        <v>1.8106556459838004</v>
      </c>
      <c r="AL104" s="1">
        <f>intermediate_results[[#This Row], [All cumulative times '[sec']]] / intermediate_results[[#This Row], [Team9 laps '[laps']]] - intermediate_results[[#This Row], [Total running average '[sec']]]</f>
        <v>1.5204917290136208</v>
      </c>
    </row>
    <row r="105" spans="1:38" x14ac:dyDescent="0.25">
      <c r="A105" s="1">
        <v>661.65100000000007</v>
      </c>
      <c r="B105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12.483353626055859</v>
      </c>
      <c r="C105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12.437350238674743</v>
      </c>
      <c r="D105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12.252082864219775</v>
      </c>
      <c r="E105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11.974951513155489</v>
      </c>
      <c r="F105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12</v>
      </c>
      <c r="G105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11.872890181713712</v>
      </c>
      <c r="H105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12.002346342089346</v>
      </c>
      <c r="I105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11.660570975130303</v>
      </c>
      <c r="J105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11.72049331073528</v>
      </c>
      <c r="K105" s="1">
        <f>intermediate_results[[#This Row], [Team1 laps '[laps']]] - intermediate_results[[#This Row], [Team1 laps '[laps']]]</f>
        <v>0</v>
      </c>
      <c r="L105" s="1">
        <f>intermediate_results[[#This Row], [Team1 laps '[laps']]] - intermediate_results[[#This Row], [Team2 laps '[laps']]]</f>
        <v>4.6003387381116312E-2</v>
      </c>
      <c r="M105" s="1">
        <f>intermediate_results[[#This Row], [Team1 laps '[laps']]] - intermediate_results[[#This Row], [Team3 laps '[laps']]]</f>
        <v>0.2312707618360843</v>
      </c>
      <c r="N105" s="1">
        <f>intermediate_results[[#This Row], [Team1 laps '[laps']]] - intermediate_results[[#This Row], [Team4 laps '[laps']]]</f>
        <v>0.50840211290037018</v>
      </c>
      <c r="O105" s="1">
        <f>intermediate_results[[#This Row], [Team1 laps '[laps']]] - intermediate_results[[#This Row], [Team5 laps '[laps']]]</f>
        <v>0.48335362605585885</v>
      </c>
      <c r="P105" s="1">
        <f>intermediate_results[[#This Row], [Team1 laps '[laps']]] - intermediate_results[[#This Row], [Team6 laps '[laps']]]</f>
        <v>0.61046344434214639</v>
      </c>
      <c r="Q105" s="1">
        <f>intermediate_results[[#This Row], [Team1 laps '[laps']]] - intermediate_results[[#This Row], [Team7 laps '[laps']]]</f>
        <v>0.48100728396651249</v>
      </c>
      <c r="R105" s="1">
        <f>intermediate_results[[#This Row], [Team1 laps '[laps']]] - intermediate_results[[#This Row], [Team8 laps '[laps']]]</f>
        <v>0.82278265092555536</v>
      </c>
      <c r="S105" s="1">
        <f>intermediate_results[[#This Row], [Team1 laps '[laps']]] - intermediate_results[[#This Row], [Team9 laps '[laps']]]</f>
        <v>0.76286031532057841</v>
      </c>
      <c r="T105" s="1">
        <f>MAX(intermediate_results[[#This Row], [Team1 laps '[laps']]:[Team9 laps '[laps']]]) - intermediate_results[[#This Row], [Team1 laps '[laps']]]</f>
        <v>0</v>
      </c>
      <c r="U105" s="1">
        <f>MAX(intermediate_results[[#This Row], [Team1 laps '[laps']]:[Team9 laps '[laps']]]) - intermediate_results[[#This Row], [Team2 laps '[laps']]]</f>
        <v>4.6003387381116312E-2</v>
      </c>
      <c r="V105" s="1">
        <f>MAX(intermediate_results[[#This Row], [Team1 laps '[laps']]:[Team9 laps '[laps']]]) - intermediate_results[[#This Row], [Team3 laps '[laps']]]</f>
        <v>0.2312707618360843</v>
      </c>
      <c r="W105" s="1">
        <f>MAX(intermediate_results[[#This Row], [Team1 laps '[laps']]:[Team9 laps '[laps']]]) - intermediate_results[[#This Row], [Team4 laps '[laps']]]</f>
        <v>0.50840211290037018</v>
      </c>
      <c r="X105" s="1">
        <f>MAX(intermediate_results[[#This Row], [Team1 laps '[laps']]:[Team9 laps '[laps']]]) - intermediate_results[[#This Row], [Team5 laps '[laps']]]</f>
        <v>0.48335362605585885</v>
      </c>
      <c r="Y105" s="1">
        <f>MAX(intermediate_results[[#This Row], [Team1 laps '[laps']]:[Team9 laps '[laps']]]) - intermediate_results[[#This Row], [Team6 laps '[laps']]]</f>
        <v>0.61046344434214639</v>
      </c>
      <c r="Z105" s="1">
        <f>MAX(intermediate_results[[#This Row], [Team1 laps '[laps']]:[Team9 laps '[laps']]]) - intermediate_results[[#This Row], [Team7 laps '[laps']]]</f>
        <v>0.48100728396651249</v>
      </c>
      <c r="AA105" s="1">
        <f>MAX(intermediate_results[[#This Row], [Team1 laps '[laps']]:[Team9 laps '[laps']]]) - intermediate_results[[#This Row], [Team8 laps '[laps']]]</f>
        <v>0.82278265092555536</v>
      </c>
      <c r="AB105" s="1">
        <f>MAX(intermediate_results[[#This Row], [Team1 laps '[laps']]:[Team9 laps '[laps']]]) - intermediate_results[[#This Row], [Team9 laps '[laps']]]</f>
        <v>0.76286031532057841</v>
      </c>
      <c r="AC105" s="1">
        <f>9 * intermediate_results[[#This Row], [All cumulative times '[sec']]] / SUM(intermediate_results[[#This Row], [Team1 laps '[laps']]:[Team9 laps '[laps']]])</f>
        <v>54.93207681270917</v>
      </c>
      <c r="AD105" s="1">
        <f>intermediate_results[[#This Row], [All cumulative times '[sec']]] / intermediate_results[[#This Row], [Team1 laps '[laps']]] - intermediate_results[[#This Row], [Total running average '[sec']]]</f>
        <v>-1.9294126392798319</v>
      </c>
      <c r="AE105" s="1">
        <f>intermediate_results[[#This Row], [All cumulative times '[sec']]] / intermediate_results[[#This Row], [Team2 laps '[laps']]] - intermediate_results[[#This Row], [Total running average '[sec']]]</f>
        <v>-1.7333658893363122</v>
      </c>
      <c r="AF105" s="1">
        <f>intermediate_results[[#This Row], [All cumulative times '[sec']]] / intermediate_results[[#This Row], [Team3 laps '[laps']]] - intermediate_results[[#This Row], [Total running average '[sec']]]</f>
        <v>-0.92893242227701478</v>
      </c>
      <c r="AG105" s="1">
        <f>intermediate_results[[#This Row], [All cumulative times '[sec']]] / intermediate_results[[#This Row], [Team4 laps '[laps']]] - intermediate_results[[#This Row], [Total running average '[sec']]]</f>
        <v>0.32084001731898582</v>
      </c>
      <c r="AH105" s="1">
        <f>intermediate_results[[#This Row], [All cumulative times '[sec']]] / intermediate_results[[#This Row], [Team5 laps '[laps']]] - intermediate_results[[#This Row], [Total running average '[sec']]]</f>
        <v>0.2055065206241693</v>
      </c>
      <c r="AI105" s="1">
        <f>intermediate_results[[#This Row], [All cumulative times '[sec']]] / intermediate_results[[#This Row], [Team6 laps '[laps']]] - intermediate_results[[#This Row], [Total running average '[sec']]]</f>
        <v>0.79580324627226418</v>
      </c>
      <c r="AJ105" s="1">
        <f>intermediate_results[[#This Row], [All cumulative times '[sec']]] / intermediate_results[[#This Row], [Team7 laps '[laps']]] - intermediate_results[[#This Row], [Total running average '[sec']]]</f>
        <v>0.19472765882560594</v>
      </c>
      <c r="AK105" s="1">
        <f>intermediate_results[[#This Row], [All cumulative times '[sec']]] / intermediate_results[[#This Row], [Team8 laps '[laps']]] - intermediate_results[[#This Row], [Total running average '[sec']]]</f>
        <v>1.8105133581470483</v>
      </c>
      <c r="AL105" s="1">
        <f>intermediate_results[[#This Row], [All cumulative times '[sec']]] / intermediate_results[[#This Row], [Team9 laps '[laps']]] - intermediate_results[[#This Row], [Total running average '[sec']]]</f>
        <v>1.5204105065717357</v>
      </c>
    </row>
    <row r="106" spans="1:38" x14ac:dyDescent="0.25">
      <c r="A106" s="1">
        <v>663.02</v>
      </c>
      <c r="B106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12.50939806711818</v>
      </c>
      <c r="C106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12.463179940001131</v>
      </c>
      <c r="D106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12.277771522930273</v>
      </c>
      <c r="E106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12</v>
      </c>
      <c r="F106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12.025095781928835</v>
      </c>
      <c r="G106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11.897471809236514</v>
      </c>
      <c r="H106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12.027441203966786</v>
      </c>
      <c r="I106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11.685260329311621</v>
      </c>
      <c r="J106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11.74517687786232</v>
      </c>
      <c r="K106" s="1">
        <f>intermediate_results[[#This Row], [Team1 laps '[laps']]] - intermediate_results[[#This Row], [Team1 laps '[laps']]]</f>
        <v>0</v>
      </c>
      <c r="L106" s="1">
        <f>intermediate_results[[#This Row], [Team1 laps '[laps']]] - intermediate_results[[#This Row], [Team2 laps '[laps']]]</f>
        <v>4.6218127117048979E-2</v>
      </c>
      <c r="M106" s="1">
        <f>intermediate_results[[#This Row], [Team1 laps '[laps']]] - intermediate_results[[#This Row], [Team3 laps '[laps']]]</f>
        <v>0.23162654418790751</v>
      </c>
      <c r="N106" s="1">
        <f>intermediate_results[[#This Row], [Team1 laps '[laps']]] - intermediate_results[[#This Row], [Team4 laps '[laps']]]</f>
        <v>0.50939806711818036</v>
      </c>
      <c r="O106" s="1">
        <f>intermediate_results[[#This Row], [Team1 laps '[laps']]] - intermediate_results[[#This Row], [Team5 laps '[laps']]]</f>
        <v>0.48430228518934548</v>
      </c>
      <c r="P106" s="1">
        <f>intermediate_results[[#This Row], [Team1 laps '[laps']]] - intermediate_results[[#This Row], [Team6 laps '[laps']]]</f>
        <v>0.61192625788166666</v>
      </c>
      <c r="Q106" s="1">
        <f>intermediate_results[[#This Row], [Team1 laps '[laps']]] - intermediate_results[[#This Row], [Team7 laps '[laps']]]</f>
        <v>0.48195686315139419</v>
      </c>
      <c r="R106" s="1">
        <f>intermediate_results[[#This Row], [Team1 laps '[laps']]] - intermediate_results[[#This Row], [Team8 laps '[laps']]]</f>
        <v>0.8241377378065593</v>
      </c>
      <c r="S106" s="1">
        <f>intermediate_results[[#This Row], [Team1 laps '[laps']]] - intermediate_results[[#This Row], [Team9 laps '[laps']]]</f>
        <v>0.76422118925585991</v>
      </c>
      <c r="T106" s="1">
        <f>MAX(intermediate_results[[#This Row], [Team1 laps '[laps']]:[Team9 laps '[laps']]]) - intermediate_results[[#This Row], [Team1 laps '[laps']]]</f>
        <v>0</v>
      </c>
      <c r="U106" s="1">
        <f>MAX(intermediate_results[[#This Row], [Team1 laps '[laps']]:[Team9 laps '[laps']]]) - intermediate_results[[#This Row], [Team2 laps '[laps']]]</f>
        <v>4.6218127117048979E-2</v>
      </c>
      <c r="V106" s="1">
        <f>MAX(intermediate_results[[#This Row], [Team1 laps '[laps']]:[Team9 laps '[laps']]]) - intermediate_results[[#This Row], [Team3 laps '[laps']]]</f>
        <v>0.23162654418790751</v>
      </c>
      <c r="W106" s="1">
        <f>MAX(intermediate_results[[#This Row], [Team1 laps '[laps']]:[Team9 laps '[laps']]]) - intermediate_results[[#This Row], [Team4 laps '[laps']]]</f>
        <v>0.50939806711818036</v>
      </c>
      <c r="X106" s="1">
        <f>MAX(intermediate_results[[#This Row], [Team1 laps '[laps']]:[Team9 laps '[laps']]]) - intermediate_results[[#This Row], [Team5 laps '[laps']]]</f>
        <v>0.48430228518934548</v>
      </c>
      <c r="Y106" s="1">
        <f>MAX(intermediate_results[[#This Row], [Team1 laps '[laps']]:[Team9 laps '[laps']]]) - intermediate_results[[#This Row], [Team6 laps '[laps']]]</f>
        <v>0.61192625788166666</v>
      </c>
      <c r="Z106" s="1">
        <f>MAX(intermediate_results[[#This Row], [Team1 laps '[laps']]:[Team9 laps '[laps']]]) - intermediate_results[[#This Row], [Team7 laps '[laps']]]</f>
        <v>0.48195686315139419</v>
      </c>
      <c r="AA106" s="1">
        <f>MAX(intermediate_results[[#This Row], [Team1 laps '[laps']]:[Team9 laps '[laps']]]) - intermediate_results[[#This Row], [Team8 laps '[laps']]]</f>
        <v>0.8241377378065593</v>
      </c>
      <c r="AB106" s="1">
        <f>MAX(intermediate_results[[#This Row], [Team1 laps '[laps']]:[Team9 laps '[laps']]]) - intermediate_results[[#This Row], [Team9 laps '[laps']]]</f>
        <v>0.76422118925585991</v>
      </c>
      <c r="AC106" s="1">
        <f>9 * intermediate_results[[#This Row], [All cumulative times '[sec']]] / SUM(intermediate_results[[#This Row], [Team1 laps '[laps']]:[Team9 laps '[laps']]])</f>
        <v>54.930832189502624</v>
      </c>
      <c r="AD106" s="1">
        <f>intermediate_results[[#This Row], [All cumulative times '[sec']]] / intermediate_results[[#This Row], [Team1 laps '[laps']]] - intermediate_results[[#This Row], [Total running average '[sec']]]</f>
        <v>-1.9290813104739968</v>
      </c>
      <c r="AE106" s="1">
        <f>intermediate_results[[#This Row], [All cumulative times '[sec']]] / intermediate_results[[#This Row], [Team2 laps '[laps']]] - intermediate_results[[#This Row], [Total running average '[sec']]]</f>
        <v>-1.7325310182254796</v>
      </c>
      <c r="AF106" s="1">
        <f>intermediate_results[[#This Row], [All cumulative times '[sec']]] / intermediate_results[[#This Row], [Team3 laps '[laps']]] - intermediate_results[[#This Row], [Total running average '[sec']]]</f>
        <v>-0.92917571937469745</v>
      </c>
      <c r="AG106" s="1">
        <f>intermediate_results[[#This Row], [All cumulative times '[sec']]] / intermediate_results[[#This Row], [Team4 laps '[laps']]] - intermediate_results[[#This Row], [Total running average '[sec']]]</f>
        <v>0.32083447716404123</v>
      </c>
      <c r="AH106" s="1">
        <f>intermediate_results[[#This Row], [All cumulative times '[sec']]] / intermediate_results[[#This Row], [Team5 laps '[laps']]] - intermediate_results[[#This Row], [Total running average '[sec']]]</f>
        <v>0.20552697333899062</v>
      </c>
      <c r="AI106" s="1">
        <f>intermediate_results[[#This Row], [All cumulative times '[sec']]] / intermediate_results[[#This Row], [Team6 laps '[laps']]] - intermediate_results[[#This Row], [Total running average '[sec']]]</f>
        <v>0.79697373690178352</v>
      </c>
      <c r="AJ106" s="1">
        <f>intermediate_results[[#This Row], [All cumulative times '[sec']]] / intermediate_results[[#This Row], [Team7 laps '[laps']]] - intermediate_results[[#This Row], [Total running average '[sec']]]</f>
        <v>0.19477505780850635</v>
      </c>
      <c r="AK106" s="1">
        <f>intermediate_results[[#This Row], [All cumulative times '[sec']]] / intermediate_results[[#This Row], [Team8 laps '[laps']]] - intermediate_results[[#This Row], [Total running average '[sec']]]</f>
        <v>1.809024802545963</v>
      </c>
      <c r="AL106" s="1">
        <f>intermediate_results[[#This Row], [All cumulative times '[sec']]] / intermediate_results[[#This Row], [Team9 laps '[laps']]] - intermediate_results[[#This Row], [Total running average '[sec']]]</f>
        <v>1.5195735297744477</v>
      </c>
    </row>
    <row r="107" spans="1:38" x14ac:dyDescent="0.25">
      <c r="A107" s="1">
        <v>668.73</v>
      </c>
      <c r="B107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12.618027547370826</v>
      </c>
      <c r="C107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12.57091375634422</v>
      </c>
      <c r="D107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12.384917060722062</v>
      </c>
      <c r="E107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12.104490722102259</v>
      </c>
      <c r="F107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12.129768473538522</v>
      </c>
      <c r="G107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12</v>
      </c>
      <c r="H107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12.13211005810863</v>
      </c>
      <c r="I107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11.788237840177462</v>
      </c>
      <c r="J107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11.848130251343264</v>
      </c>
      <c r="K107" s="1">
        <f>intermediate_results[[#This Row], [Team1 laps '[laps']]] - intermediate_results[[#This Row], [Team1 laps '[laps']]]</f>
        <v>0</v>
      </c>
      <c r="L107" s="1">
        <f>intermediate_results[[#This Row], [Team1 laps '[laps']]] - intermediate_results[[#This Row], [Team2 laps '[laps']]]</f>
        <v>4.7113791026605512E-2</v>
      </c>
      <c r="M107" s="1">
        <f>intermediate_results[[#This Row], [Team1 laps '[laps']]] - intermediate_results[[#This Row], [Team3 laps '[laps']]]</f>
        <v>0.23311048664876388</v>
      </c>
      <c r="N107" s="1">
        <f>intermediate_results[[#This Row], [Team1 laps '[laps']]] - intermediate_results[[#This Row], [Team4 laps '[laps']]]</f>
        <v>0.51353682526856659</v>
      </c>
      <c r="O107" s="1">
        <f>intermediate_results[[#This Row], [Team1 laps '[laps']]] - intermediate_results[[#This Row], [Team5 laps '[laps']]]</f>
        <v>0.48825907383230316</v>
      </c>
      <c r="P107" s="1">
        <f>intermediate_results[[#This Row], [Team1 laps '[laps']]] - intermediate_results[[#This Row], [Team6 laps '[laps']]]</f>
        <v>0.61802754737082566</v>
      </c>
      <c r="Q107" s="1">
        <f>intermediate_results[[#This Row], [Team1 laps '[laps']]] - intermediate_results[[#This Row], [Team7 laps '[laps']]]</f>
        <v>0.4859174892621958</v>
      </c>
      <c r="R107" s="1">
        <f>intermediate_results[[#This Row], [Team1 laps '[laps']]] - intermediate_results[[#This Row], [Team8 laps '[laps']]]</f>
        <v>0.82978970719336331</v>
      </c>
      <c r="S107" s="1">
        <f>intermediate_results[[#This Row], [Team1 laps '[laps']]] - intermediate_results[[#This Row], [Team9 laps '[laps']]]</f>
        <v>0.76989729602756185</v>
      </c>
      <c r="T107" s="1">
        <f>MAX(intermediate_results[[#This Row], [Team1 laps '[laps']]:[Team9 laps '[laps']]]) - intermediate_results[[#This Row], [Team1 laps '[laps']]]</f>
        <v>0</v>
      </c>
      <c r="U107" s="1">
        <f>MAX(intermediate_results[[#This Row], [Team1 laps '[laps']]:[Team9 laps '[laps']]]) - intermediate_results[[#This Row], [Team2 laps '[laps']]]</f>
        <v>4.7113791026605512E-2</v>
      </c>
      <c r="V107" s="1">
        <f>MAX(intermediate_results[[#This Row], [Team1 laps '[laps']]:[Team9 laps '[laps']]]) - intermediate_results[[#This Row], [Team3 laps '[laps']]]</f>
        <v>0.23311048664876388</v>
      </c>
      <c r="W107" s="1">
        <f>MAX(intermediate_results[[#This Row], [Team1 laps '[laps']]:[Team9 laps '[laps']]]) - intermediate_results[[#This Row], [Team4 laps '[laps']]]</f>
        <v>0.51353682526856659</v>
      </c>
      <c r="X107" s="1">
        <f>MAX(intermediate_results[[#This Row], [Team1 laps '[laps']]:[Team9 laps '[laps']]]) - intermediate_results[[#This Row], [Team5 laps '[laps']]]</f>
        <v>0.48825907383230316</v>
      </c>
      <c r="Y107" s="1">
        <f>MAX(intermediate_results[[#This Row], [Team1 laps '[laps']]:[Team9 laps '[laps']]]) - intermediate_results[[#This Row], [Team6 laps '[laps']]]</f>
        <v>0.61802754737082566</v>
      </c>
      <c r="Z107" s="1">
        <f>MAX(intermediate_results[[#This Row], [Team1 laps '[laps']]:[Team9 laps '[laps']]]) - intermediate_results[[#This Row], [Team7 laps '[laps']]]</f>
        <v>0.4859174892621958</v>
      </c>
      <c r="AA107" s="1">
        <f>MAX(intermediate_results[[#This Row], [Team1 laps '[laps']]:[Team9 laps '[laps']]]) - intermediate_results[[#This Row], [Team8 laps '[laps']]]</f>
        <v>0.82978970719336331</v>
      </c>
      <c r="AB107" s="1">
        <f>MAX(intermediate_results[[#This Row], [Team1 laps '[laps']]:[Team9 laps '[laps']]]) - intermediate_results[[#This Row], [Team9 laps '[laps']]]</f>
        <v>0.76989729602756185</v>
      </c>
      <c r="AC107" s="1">
        <f>9 * intermediate_results[[#This Row], [All cumulative times '[sec']]] / SUM(intermediate_results[[#This Row], [Team1 laps '[laps']]:[Team9 laps '[laps']]])</f>
        <v>54.925688839106932</v>
      </c>
      <c r="AD107" s="1">
        <f>intermediate_results[[#This Row], [All cumulative times '[sec']]] / intermediate_results[[#This Row], [Team1 laps '[laps']]] - intermediate_results[[#This Row], [Total running average '[sec']]]</f>
        <v>-1.9277065879633355</v>
      </c>
      <c r="AE107" s="1">
        <f>intermediate_results[[#This Row], [All cumulative times '[sec']]] / intermediate_results[[#This Row], [Team2 laps '[laps']]] - intermediate_results[[#This Row], [Total running average '[sec']]]</f>
        <v>-1.729078555903854</v>
      </c>
      <c r="AF107" s="1">
        <f>intermediate_results[[#This Row], [All cumulative times '[sec']]] / intermediate_results[[#This Row], [Team3 laps '[laps']]] - intermediate_results[[#This Row], [Total running average '[sec']]]</f>
        <v>-0.93017181454545295</v>
      </c>
      <c r="AG107" s="1">
        <f>intermediate_results[[#This Row], [All cumulative times '[sec']]] / intermediate_results[[#This Row], [Team4 laps '[laps']]] - intermediate_results[[#This Row], [Total running average '[sec']]]</f>
        <v>0.32074947480981564</v>
      </c>
      <c r="AH107" s="1">
        <f>intermediate_results[[#This Row], [All cumulative times '[sec']]] / intermediate_results[[#This Row], [Team5 laps '[laps']]] - intermediate_results[[#This Row], [Total running average '[sec']]]</f>
        <v>0.20561902211530736</v>
      </c>
      <c r="AI107" s="1">
        <f>intermediate_results[[#This Row], [All cumulative times '[sec']]] / intermediate_results[[#This Row], [Team6 laps '[laps']]] - intermediate_results[[#This Row], [Total running average '[sec']]]</f>
        <v>0.8018111608930667</v>
      </c>
      <c r="AJ107" s="1">
        <f>intermediate_results[[#This Row], [All cumulative times '[sec']]] / intermediate_results[[#This Row], [Team7 laps '[laps']]] - intermediate_results[[#This Row], [Total running average '[sec']]]</f>
        <v>0.19497828285400942</v>
      </c>
      <c r="AK107" s="1">
        <f>intermediate_results[[#This Row], [All cumulative times '[sec']]] / intermediate_results[[#This Row], [Team8 laps '[laps']]] - intermediate_results[[#This Row], [Total running average '[sec']]]</f>
        <v>1.8028917228486137</v>
      </c>
      <c r="AL107" s="1">
        <f>intermediate_results[[#This Row], [All cumulative times '[sec']]] / intermediate_results[[#This Row], [Team9 laps '[laps']]] - intermediate_results[[#This Row], [Total running average '[sec']]]</f>
        <v>1.5161282082861618</v>
      </c>
    </row>
    <row r="108" spans="1:38" x14ac:dyDescent="0.25">
      <c r="A108" s="1">
        <v>677.15299999999991</v>
      </c>
      <c r="B108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12.778270299063998</v>
      </c>
      <c r="C108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12.729835286126676</v>
      </c>
      <c r="D108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12.542970802371839</v>
      </c>
      <c r="E108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12.258628261903889</v>
      </c>
      <c r="F108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12.284174442265034</v>
      </c>
      <c r="G108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12.152284355733938</v>
      </c>
      <c r="H108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12.286510366066027</v>
      </c>
      <c r="I108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11.940143194647334</v>
      </c>
      <c r="J108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12</v>
      </c>
      <c r="K108" s="1">
        <f>intermediate_results[[#This Row], [Team1 laps '[laps']]] - intermediate_results[[#This Row], [Team1 laps '[laps']]]</f>
        <v>0</v>
      </c>
      <c r="L108" s="1">
        <f>intermediate_results[[#This Row], [Team1 laps '[laps']]] - intermediate_results[[#This Row], [Team2 laps '[laps']]]</f>
        <v>4.8435012937321886E-2</v>
      </c>
      <c r="M108" s="1">
        <f>intermediate_results[[#This Row], [Team1 laps '[laps']]] - intermediate_results[[#This Row], [Team3 laps '[laps']]]</f>
        <v>0.23529949669215888</v>
      </c>
      <c r="N108" s="1">
        <f>intermediate_results[[#This Row], [Team1 laps '[laps']]] - intermediate_results[[#This Row], [Team4 laps '[laps']]]</f>
        <v>0.51964203716010893</v>
      </c>
      <c r="O108" s="1">
        <f>intermediate_results[[#This Row], [Team1 laps '[laps']]] - intermediate_results[[#This Row], [Team5 laps '[laps']]]</f>
        <v>0.49409585679896395</v>
      </c>
      <c r="P108" s="1">
        <f>intermediate_results[[#This Row], [Team1 laps '[laps']]] - intermediate_results[[#This Row], [Team6 laps '[laps']]]</f>
        <v>0.62598594333005941</v>
      </c>
      <c r="Q108" s="1">
        <f>intermediate_results[[#This Row], [Team1 laps '[laps']]] - intermediate_results[[#This Row], [Team7 laps '[laps']]]</f>
        <v>0.49175993299797049</v>
      </c>
      <c r="R108" s="1">
        <f>intermediate_results[[#This Row], [Team1 laps '[laps']]] - intermediate_results[[#This Row], [Team8 laps '[laps']]]</f>
        <v>0.83812710441666383</v>
      </c>
      <c r="S108" s="1">
        <f>intermediate_results[[#This Row], [Team1 laps '[laps']]] - intermediate_results[[#This Row], [Team9 laps '[laps']]]</f>
        <v>0.77827029906399758</v>
      </c>
      <c r="T108" s="1">
        <f>MAX(intermediate_results[[#This Row], [Team1 laps '[laps']]:[Team9 laps '[laps']]]) - intermediate_results[[#This Row], [Team1 laps '[laps']]]</f>
        <v>0</v>
      </c>
      <c r="U108" s="1">
        <f>MAX(intermediate_results[[#This Row], [Team1 laps '[laps']]:[Team9 laps '[laps']]]) - intermediate_results[[#This Row], [Team2 laps '[laps']]]</f>
        <v>4.8435012937321886E-2</v>
      </c>
      <c r="V108" s="1">
        <f>MAX(intermediate_results[[#This Row], [Team1 laps '[laps']]:[Team9 laps '[laps']]]) - intermediate_results[[#This Row], [Team3 laps '[laps']]]</f>
        <v>0.23529949669215888</v>
      </c>
      <c r="W108" s="1">
        <f>MAX(intermediate_results[[#This Row], [Team1 laps '[laps']]:[Team9 laps '[laps']]]) - intermediate_results[[#This Row], [Team4 laps '[laps']]]</f>
        <v>0.51964203716010893</v>
      </c>
      <c r="X108" s="1">
        <f>MAX(intermediate_results[[#This Row], [Team1 laps '[laps']]:[Team9 laps '[laps']]]) - intermediate_results[[#This Row], [Team5 laps '[laps']]]</f>
        <v>0.49409585679896395</v>
      </c>
      <c r="Y108" s="1">
        <f>MAX(intermediate_results[[#This Row], [Team1 laps '[laps']]:[Team9 laps '[laps']]]) - intermediate_results[[#This Row], [Team6 laps '[laps']]]</f>
        <v>0.62598594333005941</v>
      </c>
      <c r="Z108" s="1">
        <f>MAX(intermediate_results[[#This Row], [Team1 laps '[laps']]:[Team9 laps '[laps']]]) - intermediate_results[[#This Row], [Team7 laps '[laps']]]</f>
        <v>0.49175993299797049</v>
      </c>
      <c r="AA108" s="1">
        <f>MAX(intermediate_results[[#This Row], [Team1 laps '[laps']]:[Team9 laps '[laps']]]) - intermediate_results[[#This Row], [Team8 laps '[laps']]]</f>
        <v>0.83812710441666383</v>
      </c>
      <c r="AB108" s="1">
        <f>MAX(intermediate_results[[#This Row], [Team1 laps '[laps']]:[Team9 laps '[laps']]]) - intermediate_results[[#This Row], [Team9 laps '[laps']]]</f>
        <v>0.77827029906399758</v>
      </c>
      <c r="AC108" s="1">
        <f>9 * intermediate_results[[#This Row], [All cumulative times '[sec']]] / SUM(intermediate_results[[#This Row], [Team1 laps '[laps']]:[Team9 laps '[laps']]])</f>
        <v>54.91774620401717</v>
      </c>
      <c r="AD108" s="1">
        <f>intermediate_results[[#This Row], [All cumulative times '[sec']]] / intermediate_results[[#This Row], [Team1 laps '[laps']]] - intermediate_results[[#This Row], [Total running average '[sec']]]</f>
        <v>-1.9252062004142516</v>
      </c>
      <c r="AE108" s="1">
        <f>intermediate_results[[#This Row], [All cumulative times '[sec']]] / intermediate_results[[#This Row], [Team2 laps '[laps']]] - intermediate_results[[#This Row], [Total running average '[sec']]]</f>
        <v>-1.7235779544106862</v>
      </c>
      <c r="AF108" s="1">
        <f>intermediate_results[[#This Row], [All cumulative times '[sec']]] / intermediate_results[[#This Row], [Team3 laps '[laps']]] - intermediate_results[[#This Row], [Total running average '[sec']]]</f>
        <v>-0.93109418438938718</v>
      </c>
      <c r="AG108" s="1">
        <f>intermediate_results[[#This Row], [All cumulative times '[sec']]] / intermediate_results[[#This Row], [Team4 laps '[laps']]] - intermediate_results[[#This Row], [Total running average '[sec']]]</f>
        <v>0.32114231863970133</v>
      </c>
      <c r="AH108" s="1">
        <f>intermediate_results[[#This Row], [All cumulative times '[sec']]] / intermediate_results[[#This Row], [Team5 laps '[laps']]] - intermediate_results[[#This Row], [Total running average '[sec']]]</f>
        <v>0.20626747574478799</v>
      </c>
      <c r="AI108" s="1">
        <f>intermediate_results[[#This Row], [All cumulative times '[sec']]] / intermediate_results[[#This Row], [Team6 laps '[laps']]] - intermediate_results[[#This Row], [Total running average '[sec']]]</f>
        <v>0.80453449463121274</v>
      </c>
      <c r="AJ108" s="1">
        <f>intermediate_results[[#This Row], [All cumulative times '[sec']]] / intermediate_results[[#This Row], [Team7 laps '[laps']]] - intermediate_results[[#This Row], [Total running average '[sec']]]</f>
        <v>0.19578724240558643</v>
      </c>
      <c r="AK108" s="1">
        <f>intermediate_results[[#This Row], [All cumulative times '[sec']]] / intermediate_results[[#This Row], [Team8 laps '[laps']]] - intermediate_results[[#This Row], [Total running average '[sec']]]</f>
        <v>1.7945552283108697</v>
      </c>
      <c r="AL108" s="1">
        <f>intermediate_results[[#This Row], [All cumulative times '[sec']]] / intermediate_results[[#This Row], [Team9 laps '[laps']]] - intermediate_results[[#This Row], [Total running average '[sec']]]</f>
        <v>1.5116704626494908</v>
      </c>
    </row>
    <row r="109" spans="1:38" x14ac:dyDescent="0.25">
      <c r="A109" s="1">
        <v>680.47199999999987</v>
      </c>
      <c r="B109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12.841412373487557</v>
      </c>
      <c r="C109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12.792456746099127</v>
      </c>
      <c r="D109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12.605250318997223</v>
      </c>
      <c r="E109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12.319364637850892</v>
      </c>
      <c r="F109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12.345016589980014</v>
      </c>
      <c r="G109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12.212290502793293</v>
      </c>
      <c r="H109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12.347350283210822</v>
      </c>
      <c r="I109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12</v>
      </c>
      <c r="J109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12.058762083495626</v>
      </c>
      <c r="K109" s="1">
        <f>intermediate_results[[#This Row], [Team1 laps '[laps']]] - intermediate_results[[#This Row], [Team1 laps '[laps']]]</f>
        <v>0</v>
      </c>
      <c r="L109" s="1">
        <f>intermediate_results[[#This Row], [Team1 laps '[laps']]] - intermediate_results[[#This Row], [Team2 laps '[laps']]]</f>
        <v>4.8955627388430401E-2</v>
      </c>
      <c r="M109" s="1">
        <f>intermediate_results[[#This Row], [Team1 laps '[laps']]] - intermediate_results[[#This Row], [Team3 laps '[laps']]]</f>
        <v>0.23616205449033423</v>
      </c>
      <c r="N109" s="1">
        <f>intermediate_results[[#This Row], [Team1 laps '[laps']]] - intermediate_results[[#This Row], [Team4 laps '[laps']]]</f>
        <v>0.52204773563666507</v>
      </c>
      <c r="O109" s="1">
        <f>intermediate_results[[#This Row], [Team1 laps '[laps']]] - intermediate_results[[#This Row], [Team5 laps '[laps']]]</f>
        <v>0.49639578350754299</v>
      </c>
      <c r="P109" s="1">
        <f>intermediate_results[[#This Row], [Team1 laps '[laps']]] - intermediate_results[[#This Row], [Team6 laps '[laps']]]</f>
        <v>0.62912187069426473</v>
      </c>
      <c r="Q109" s="1">
        <f>intermediate_results[[#This Row], [Team1 laps '[laps']]] - intermediate_results[[#This Row], [Team7 laps '[laps']]]</f>
        <v>0.49406209027673498</v>
      </c>
      <c r="R109" s="1">
        <f>intermediate_results[[#This Row], [Team1 laps '[laps']]] - intermediate_results[[#This Row], [Team8 laps '[laps']]]</f>
        <v>0.84141237348755737</v>
      </c>
      <c r="S109" s="1">
        <f>intermediate_results[[#This Row], [Team1 laps '[laps']]] - intermediate_results[[#This Row], [Team9 laps '[laps']]]</f>
        <v>0.7826502899919312</v>
      </c>
      <c r="T109" s="1">
        <f>MAX(intermediate_results[[#This Row], [Team1 laps '[laps']]:[Team9 laps '[laps']]]) - intermediate_results[[#This Row], [Team1 laps '[laps']]]</f>
        <v>0</v>
      </c>
      <c r="U109" s="1">
        <f>MAX(intermediate_results[[#This Row], [Team1 laps '[laps']]:[Team9 laps '[laps']]]) - intermediate_results[[#This Row], [Team2 laps '[laps']]]</f>
        <v>4.8955627388430401E-2</v>
      </c>
      <c r="V109" s="1">
        <f>MAX(intermediate_results[[#This Row], [Team1 laps '[laps']]:[Team9 laps '[laps']]]) - intermediate_results[[#This Row], [Team3 laps '[laps']]]</f>
        <v>0.23616205449033423</v>
      </c>
      <c r="W109" s="1">
        <f>MAX(intermediate_results[[#This Row], [Team1 laps '[laps']]:[Team9 laps '[laps']]]) - intermediate_results[[#This Row], [Team4 laps '[laps']]]</f>
        <v>0.52204773563666507</v>
      </c>
      <c r="X109" s="1">
        <f>MAX(intermediate_results[[#This Row], [Team1 laps '[laps']]:[Team9 laps '[laps']]]) - intermediate_results[[#This Row], [Team5 laps '[laps']]]</f>
        <v>0.49639578350754299</v>
      </c>
      <c r="Y109" s="1">
        <f>MAX(intermediate_results[[#This Row], [Team1 laps '[laps']]:[Team9 laps '[laps']]]) - intermediate_results[[#This Row], [Team6 laps '[laps']]]</f>
        <v>0.62912187069426473</v>
      </c>
      <c r="Z109" s="1">
        <f>MAX(intermediate_results[[#This Row], [Team1 laps '[laps']]:[Team9 laps '[laps']]]) - intermediate_results[[#This Row], [Team7 laps '[laps']]]</f>
        <v>0.49406209027673498</v>
      </c>
      <c r="AA109" s="1">
        <f>MAX(intermediate_results[[#This Row], [Team1 laps '[laps']]:[Team9 laps '[laps']]]) - intermediate_results[[#This Row], [Team8 laps '[laps']]]</f>
        <v>0.84141237348755737</v>
      </c>
      <c r="AB109" s="1">
        <f>MAX(intermediate_results[[#This Row], [Team1 laps '[laps']]:[Team9 laps '[laps']]]) - intermediate_results[[#This Row], [Team9 laps '[laps']]]</f>
        <v>0.7826502899919312</v>
      </c>
      <c r="AC109" s="1">
        <f>9 * intermediate_results[[#This Row], [All cumulative times '[sec']]] / SUM(intermediate_results[[#This Row], [Team1 laps '[laps']]:[Team9 laps '[laps']]])</f>
        <v>54.915203254468707</v>
      </c>
      <c r="AD109" s="1">
        <f>intermediate_results[[#This Row], [All cumulative times '[sec']]] / intermediate_results[[#This Row], [Team1 laps '[laps']]] - intermediate_results[[#This Row], [Total running average '[sec']]]</f>
        <v>-1.9247704104222336</v>
      </c>
      <c r="AE109" s="1">
        <f>intermediate_results[[#This Row], [All cumulative times '[sec']]] / intermediate_results[[#This Row], [Team2 laps '[laps']]] - intermediate_results[[#This Row], [Total running average '[sec']]]</f>
        <v>-1.7219805994458639</v>
      </c>
      <c r="AF109" s="1">
        <f>intermediate_results[[#This Row], [All cumulative times '[sec']]] / intermediate_results[[#This Row], [Team3 laps '[laps']]] - intermediate_results[[#This Row], [Total running average '[sec']]]</f>
        <v>-0.93198334375669134</v>
      </c>
      <c r="AG109" s="1">
        <f>intermediate_results[[#This Row], [All cumulative times '[sec']]] / intermediate_results[[#This Row], [Team4 laps '[laps']]] - intermediate_results[[#This Row], [Total running average '[sec']]]</f>
        <v>0.32076223593242048</v>
      </c>
      <c r="AH109" s="1">
        <f>intermediate_results[[#This Row], [All cumulative times '[sec']]] / intermediate_results[[#This Row], [Team5 laps '[laps']]] - intermediate_results[[#This Row], [Total running average '[sec']]]</f>
        <v>0.20598633974483249</v>
      </c>
      <c r="AI109" s="1">
        <f>intermediate_results[[#This Row], [All cumulative times '[sec']]] / intermediate_results[[#This Row], [Team6 laps '[laps']]] - intermediate_results[[#This Row], [Total running average '[sec']]]</f>
        <v>0.80505658084694431</v>
      </c>
      <c r="AJ109" s="1">
        <f>intermediate_results[[#This Row], [All cumulative times '[sec']]] / intermediate_results[[#This Row], [Team7 laps '[laps']]] - intermediate_results[[#This Row], [Total running average '[sec']]]</f>
        <v>0.19556823836440884</v>
      </c>
      <c r="AK109" s="1">
        <f>intermediate_results[[#This Row], [All cumulative times '[sec']]] / intermediate_results[[#This Row], [Team8 laps '[laps']]] - intermediate_results[[#This Row], [Total running average '[sec']]]</f>
        <v>1.7907967455312814</v>
      </c>
      <c r="AL109" s="1">
        <f>intermediate_results[[#This Row], [All cumulative times '[sec']]] / intermediate_results[[#This Row], [Team9 laps '[laps']]] - intermediate_results[[#This Row], [Total running average '[sec']]]</f>
        <v>1.5144696496294898</v>
      </c>
    </row>
    <row r="110" spans="1:38" x14ac:dyDescent="0.25">
      <c r="A110" s="1">
        <v>688.80799999999988</v>
      </c>
      <c r="B110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13</v>
      </c>
      <c r="C110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12.949736797418915</v>
      </c>
      <c r="D110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12.761671545447722</v>
      </c>
      <c r="E110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12.471910112359549</v>
      </c>
      <c r="F110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12.497827720848377</v>
      </c>
      <c r="G110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12.363001934515736</v>
      </c>
      <c r="H110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12.50015581177937</v>
      </c>
      <c r="I110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12.147120594412383</v>
      </c>
      <c r="J110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12.206348925321342</v>
      </c>
      <c r="K110" s="1">
        <f>intermediate_results[[#This Row], [Team1 laps '[laps']]] - intermediate_results[[#This Row], [Team1 laps '[laps']]]</f>
        <v>0</v>
      </c>
      <c r="L110" s="1">
        <f>intermediate_results[[#This Row], [Team1 laps '[laps']]] - intermediate_results[[#This Row], [Team2 laps '[laps']]]</f>
        <v>5.0263202581085409E-2</v>
      </c>
      <c r="M110" s="1">
        <f>intermediate_results[[#This Row], [Team1 laps '[laps']]] - intermediate_results[[#This Row], [Team3 laps '[laps']]]</f>
        <v>0.23832845455227769</v>
      </c>
      <c r="N110" s="1">
        <f>intermediate_results[[#This Row], [Team1 laps '[laps']]] - intermediate_results[[#This Row], [Team4 laps '[laps']]]</f>
        <v>0.52808988764045139</v>
      </c>
      <c r="O110" s="1">
        <f>intermediate_results[[#This Row], [Team1 laps '[laps']]] - intermediate_results[[#This Row], [Team5 laps '[laps']]]</f>
        <v>0.50217227915162255</v>
      </c>
      <c r="P110" s="1">
        <f>intermediate_results[[#This Row], [Team1 laps '[laps']]] - intermediate_results[[#This Row], [Team6 laps '[laps']]]</f>
        <v>0.63699806548426352</v>
      </c>
      <c r="Q110" s="1">
        <f>intermediate_results[[#This Row], [Team1 laps '[laps']]] - intermediate_results[[#This Row], [Team7 laps '[laps']]]</f>
        <v>0.4998441882206297</v>
      </c>
      <c r="R110" s="1">
        <f>intermediate_results[[#This Row], [Team1 laps '[laps']]] - intermediate_results[[#This Row], [Team8 laps '[laps']]]</f>
        <v>0.85287940558761655</v>
      </c>
      <c r="S110" s="1">
        <f>intermediate_results[[#This Row], [Team1 laps '[laps']]] - intermediate_results[[#This Row], [Team9 laps '[laps']]]</f>
        <v>0.79365107467865847</v>
      </c>
      <c r="T110" s="1">
        <f>MAX(intermediate_results[[#This Row], [Team1 laps '[laps']]:[Team9 laps '[laps']]]) - intermediate_results[[#This Row], [Team1 laps '[laps']]]</f>
        <v>0</v>
      </c>
      <c r="U110" s="1">
        <f>MAX(intermediate_results[[#This Row], [Team1 laps '[laps']]:[Team9 laps '[laps']]]) - intermediate_results[[#This Row], [Team2 laps '[laps']]]</f>
        <v>5.0263202581085409E-2</v>
      </c>
      <c r="V110" s="1">
        <f>MAX(intermediate_results[[#This Row], [Team1 laps '[laps']]:[Team9 laps '[laps']]]) - intermediate_results[[#This Row], [Team3 laps '[laps']]]</f>
        <v>0.23832845455227769</v>
      </c>
      <c r="W110" s="1">
        <f>MAX(intermediate_results[[#This Row], [Team1 laps '[laps']]:[Team9 laps '[laps']]]) - intermediate_results[[#This Row], [Team4 laps '[laps']]]</f>
        <v>0.52808988764045139</v>
      </c>
      <c r="X110" s="1">
        <f>MAX(intermediate_results[[#This Row], [Team1 laps '[laps']]:[Team9 laps '[laps']]]) - intermediate_results[[#This Row], [Team5 laps '[laps']]]</f>
        <v>0.50217227915162255</v>
      </c>
      <c r="Y110" s="1">
        <f>MAX(intermediate_results[[#This Row], [Team1 laps '[laps']]:[Team9 laps '[laps']]]) - intermediate_results[[#This Row], [Team6 laps '[laps']]]</f>
        <v>0.63699806548426352</v>
      </c>
      <c r="Z110" s="1">
        <f>MAX(intermediate_results[[#This Row], [Team1 laps '[laps']]:[Team9 laps '[laps']]]) - intermediate_results[[#This Row], [Team7 laps '[laps']]]</f>
        <v>0.4998441882206297</v>
      </c>
      <c r="AA110" s="1">
        <f>MAX(intermediate_results[[#This Row], [Team1 laps '[laps']]:[Team9 laps '[laps']]]) - intermediate_results[[#This Row], [Team8 laps '[laps']]]</f>
        <v>0.85287940558761655</v>
      </c>
      <c r="AB110" s="1">
        <f>MAX(intermediate_results[[#This Row], [Team1 laps '[laps']]:[Team9 laps '[laps']]]) - intermediate_results[[#This Row], [Team9 laps '[laps']]]</f>
        <v>0.79365107467865847</v>
      </c>
      <c r="AC110" s="1">
        <f>9 * intermediate_results[[#This Row], [All cumulative times '[sec']]] / SUM(intermediate_results[[#This Row], [Team1 laps '[laps']]:[Team9 laps '[laps']]])</f>
        <v>54.91048947195695</v>
      </c>
      <c r="AD110" s="1">
        <f>intermediate_results[[#This Row], [All cumulative times '[sec']]] / intermediate_results[[#This Row], [Team1 laps '[laps']]] - intermediate_results[[#This Row], [Total running average '[sec']]]</f>
        <v>-1.9252587027261896</v>
      </c>
      <c r="AE110" s="1">
        <f>intermediate_results[[#This Row], [All cumulative times '[sec']]] / intermediate_results[[#This Row], [Team2 laps '[laps']]] - intermediate_results[[#This Row], [Total running average '[sec']]]</f>
        <v>-1.71960144268904</v>
      </c>
      <c r="AF110" s="1">
        <f>intermediate_results[[#This Row], [All cumulative times '[sec']]] / intermediate_results[[#This Row], [Team3 laps '[laps']]] - intermediate_results[[#This Row], [Total running average '[sec']]]</f>
        <v>-0.93574192051194416</v>
      </c>
      <c r="AG110" s="1">
        <f>intermediate_results[[#This Row], [All cumulative times '[sec']]] / intermediate_results[[#This Row], [Team4 laps '[laps']]] - intermediate_results[[#This Row], [Total running average '[sec']]]</f>
        <v>0.31826007759259767</v>
      </c>
      <c r="AH110" s="1">
        <f>intermediate_results[[#This Row], [All cumulative times '[sec']]] / intermediate_results[[#This Row], [Team5 laps '[laps']]] - intermediate_results[[#This Row], [Total running average '[sec']]]</f>
        <v>0.20372840535927139</v>
      </c>
      <c r="AI110" s="1">
        <f>intermediate_results[[#This Row], [All cumulative times '[sec']]] / intermediate_results[[#This Row], [Team6 laps '[laps']]] - intermediate_results[[#This Row], [Total running average '[sec']]]</f>
        <v>0.80478127284057877</v>
      </c>
      <c r="AJ110" s="1">
        <f>intermediate_results[[#This Row], [All cumulative times '[sec']]] / intermediate_results[[#This Row], [Team7 laps '[laps']]] - intermediate_results[[#This Row], [Total running average '[sec']]]</f>
        <v>0.19346366044401009</v>
      </c>
      <c r="AK110" s="1">
        <f>intermediate_results[[#This Row], [All cumulative times '[sec']]] / intermediate_results[[#This Row], [Team8 laps '[laps']]] - intermediate_results[[#This Row], [Total running average '[sec']]]</f>
        <v>1.7949655077892999</v>
      </c>
      <c r="AL110" s="1">
        <f>intermediate_results[[#This Row], [All cumulative times '[sec']]] / intermediate_results[[#This Row], [Team9 laps '[laps']]] - intermediate_results[[#This Row], [Total running average '[sec']]]</f>
        <v>1.5198161185303789</v>
      </c>
    </row>
    <row r="111" spans="1:38" x14ac:dyDescent="0.25">
      <c r="A111" s="1">
        <v>691.47199999999998</v>
      </c>
      <c r="B111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13.050354408846047</v>
      </c>
      <c r="C111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13</v>
      </c>
      <c r="D111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12.811660286722212</v>
      </c>
      <c r="E111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12.520660249606559</v>
      </c>
      <c r="F111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12.546662755953143</v>
      </c>
      <c r="G111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12.411165952523005</v>
      </c>
      <c r="H111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12.54898905651385</v>
      </c>
      <c r="I111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12.194137060764902</v>
      </c>
      <c r="J111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12.253514393966221</v>
      </c>
      <c r="K111" s="1">
        <f>intermediate_results[[#This Row], [Team1 laps '[laps']]] - intermediate_results[[#This Row], [Team1 laps '[laps']]]</f>
        <v>0</v>
      </c>
      <c r="L111" s="1">
        <f>intermediate_results[[#This Row], [Team1 laps '[laps']]] - intermediate_results[[#This Row], [Team2 laps '[laps']]]</f>
        <v>5.0354408846047249E-2</v>
      </c>
      <c r="M111" s="1">
        <f>intermediate_results[[#This Row], [Team1 laps '[laps']]] - intermediate_results[[#This Row], [Team3 laps '[laps']]]</f>
        <v>0.23869412212383523</v>
      </c>
      <c r="N111" s="1">
        <f>intermediate_results[[#This Row], [Team1 laps '[laps']]] - intermediate_results[[#This Row], [Team4 laps '[laps']]]</f>
        <v>0.52969415923948837</v>
      </c>
      <c r="O111" s="1">
        <f>intermediate_results[[#This Row], [Team1 laps '[laps']]] - intermediate_results[[#This Row], [Team5 laps '[laps']]]</f>
        <v>0.50369165289290407</v>
      </c>
      <c r="P111" s="1">
        <f>intermediate_results[[#This Row], [Team1 laps '[laps']]] - intermediate_results[[#This Row], [Team6 laps '[laps']]]</f>
        <v>0.63918845632304233</v>
      </c>
      <c r="Q111" s="1">
        <f>intermediate_results[[#This Row], [Team1 laps '[laps']]] - intermediate_results[[#This Row], [Team7 laps '[laps']]]</f>
        <v>0.50136535233219703</v>
      </c>
      <c r="R111" s="1">
        <f>intermediate_results[[#This Row], [Team1 laps '[laps']]] - intermediate_results[[#This Row], [Team8 laps '[laps']]]</f>
        <v>0.85621734808114525</v>
      </c>
      <c r="S111" s="1">
        <f>intermediate_results[[#This Row], [Team1 laps '[laps']]] - intermediate_results[[#This Row], [Team9 laps '[laps']]]</f>
        <v>0.7968400148798267</v>
      </c>
      <c r="T111" s="1">
        <f>MAX(intermediate_results[[#This Row], [Team1 laps '[laps']]:[Team9 laps '[laps']]]) - intermediate_results[[#This Row], [Team1 laps '[laps']]]</f>
        <v>0</v>
      </c>
      <c r="U111" s="1">
        <f>MAX(intermediate_results[[#This Row], [Team1 laps '[laps']]:[Team9 laps '[laps']]]) - intermediate_results[[#This Row], [Team2 laps '[laps']]]</f>
        <v>5.0354408846047249E-2</v>
      </c>
      <c r="V111" s="1">
        <f>MAX(intermediate_results[[#This Row], [Team1 laps '[laps']]:[Team9 laps '[laps']]]) - intermediate_results[[#This Row], [Team3 laps '[laps']]]</f>
        <v>0.23869412212383523</v>
      </c>
      <c r="W111" s="1">
        <f>MAX(intermediate_results[[#This Row], [Team1 laps '[laps']]:[Team9 laps '[laps']]]) - intermediate_results[[#This Row], [Team4 laps '[laps']]]</f>
        <v>0.52969415923948837</v>
      </c>
      <c r="X111" s="1">
        <f>MAX(intermediate_results[[#This Row], [Team1 laps '[laps']]:[Team9 laps '[laps']]]) - intermediate_results[[#This Row], [Team5 laps '[laps']]]</f>
        <v>0.50369165289290407</v>
      </c>
      <c r="Y111" s="1">
        <f>MAX(intermediate_results[[#This Row], [Team1 laps '[laps']]:[Team9 laps '[laps']]]) - intermediate_results[[#This Row], [Team6 laps '[laps']]]</f>
        <v>0.63918845632304233</v>
      </c>
      <c r="Z111" s="1">
        <f>MAX(intermediate_results[[#This Row], [Team1 laps '[laps']]:[Team9 laps '[laps']]]) - intermediate_results[[#This Row], [Team7 laps '[laps']]]</f>
        <v>0.50136535233219703</v>
      </c>
      <c r="AA111" s="1">
        <f>MAX(intermediate_results[[#This Row], [Team1 laps '[laps']]:[Team9 laps '[laps']]]) - intermediate_results[[#This Row], [Team8 laps '[laps']]]</f>
        <v>0.85621734808114525</v>
      </c>
      <c r="AB111" s="1">
        <f>MAX(intermediate_results[[#This Row], [Team1 laps '[laps']]:[Team9 laps '[laps']]]) - intermediate_results[[#This Row], [Team9 laps '[laps']]]</f>
        <v>0.7968400148798267</v>
      </c>
      <c r="AC111" s="1">
        <f>9 * intermediate_results[[#This Row], [All cumulative times '[sec']]] / SUM(intermediate_results[[#This Row], [Team1 laps '[laps']]:[Team9 laps '[laps']]])</f>
        <v>54.909165444875704</v>
      </c>
      <c r="AD111" s="1">
        <f>intermediate_results[[#This Row], [All cumulative times '[sec']]] / intermediate_results[[#This Row], [Team1 laps '[laps']]] - intermediate_results[[#This Row], [Total running average '[sec']]]</f>
        <v>-1.9242442437094809</v>
      </c>
      <c r="AE111" s="1">
        <f>intermediate_results[[#This Row], [All cumulative times '[sec']]] / intermediate_results[[#This Row], [Team2 laps '[laps']]] - intermediate_results[[#This Row], [Total running average '[sec']]]</f>
        <v>-1.7190115987218562</v>
      </c>
      <c r="AF111" s="1">
        <f>intermediate_results[[#This Row], [All cumulative times '[sec']]] / intermediate_results[[#This Row], [Team3 laps '[laps']]] - intermediate_results[[#This Row], [Total running average '[sec']]]</f>
        <v>-0.9370818487605419</v>
      </c>
      <c r="AG111" s="1">
        <f>intermediate_results[[#This Row], [All cumulative times '[sec']]] / intermediate_results[[#This Row], [Team4 laps '[laps']]] - intermediate_results[[#This Row], [Total running average '[sec']]]</f>
        <v>0.31731512524665106</v>
      </c>
      <c r="AH111" s="1">
        <f>intermediate_results[[#This Row], [All cumulative times '[sec']]] / intermediate_results[[#This Row], [Team5 laps '[laps']]] - intermediate_results[[#This Row], [Total running average '[sec']]]</f>
        <v>0.20286023477446236</v>
      </c>
      <c r="AI111" s="1">
        <f>intermediate_results[[#This Row], [All cumulative times '[sec']]] / intermediate_results[[#This Row], [Team6 laps '[laps']]] - intermediate_results[[#This Row], [Total running average '[sec']]]</f>
        <v>0.80453644623743514</v>
      </c>
      <c r="AJ111" s="1">
        <f>intermediate_results[[#This Row], [All cumulative times '[sec']]] / intermediate_results[[#This Row], [Team7 laps '[laps']]] - intermediate_results[[#This Row], [Total running average '[sec']]]</f>
        <v>0.19264370373257123</v>
      </c>
      <c r="AK111" s="1">
        <f>intermediate_results[[#This Row], [All cumulative times '[sec']]] / intermediate_results[[#This Row], [Team8 laps '[laps']]] - intermediate_results[[#This Row], [Total running average '[sec']]]</f>
        <v>1.7961181315109656</v>
      </c>
      <c r="AL111" s="1">
        <f>intermediate_results[[#This Row], [All cumulative times '[sec']]] / intermediate_results[[#This Row], [Team9 laps '[laps']]] - intermediate_results[[#This Row], [Total running average '[sec']]]</f>
        <v>1.5213391245308685</v>
      </c>
    </row>
    <row r="112" spans="1:38" x14ac:dyDescent="0.25">
      <c r="A112" s="1">
        <v>701.5089999999999</v>
      </c>
      <c r="B112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13.240071826859465</v>
      </c>
      <c r="C112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13.190141512114725</v>
      </c>
      <c r="D112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13</v>
      </c>
      <c r="E112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12.704333345533065</v>
      </c>
      <c r="F112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12.730655716668803</v>
      </c>
      <c r="G112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12.592630760608195</v>
      </c>
      <c r="H112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12.732975271754073</v>
      </c>
      <c r="I112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12.371278304301018</v>
      </c>
      <c r="J112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12.431217024892886</v>
      </c>
      <c r="K112" s="1">
        <f>intermediate_results[[#This Row], [Team1 laps '[laps']]] - intermediate_results[[#This Row], [Team1 laps '[laps']]]</f>
        <v>0</v>
      </c>
      <c r="L112" s="1">
        <f>intermediate_results[[#This Row], [Team1 laps '[laps']]] - intermediate_results[[#This Row], [Team2 laps '[laps']]]</f>
        <v>4.9930314744740301E-2</v>
      </c>
      <c r="M112" s="1">
        <f>intermediate_results[[#This Row], [Team1 laps '[laps']]] - intermediate_results[[#This Row], [Team3 laps '[laps']]]</f>
        <v>0.24007182685946482</v>
      </c>
      <c r="N112" s="1">
        <f>intermediate_results[[#This Row], [Team1 laps '[laps']]] - intermediate_results[[#This Row], [Team4 laps '[laps']]]</f>
        <v>0.53573848132639945</v>
      </c>
      <c r="O112" s="1">
        <f>intermediate_results[[#This Row], [Team1 laps '[laps']]] - intermediate_results[[#This Row], [Team5 laps '[laps']]]</f>
        <v>0.5094161101906618</v>
      </c>
      <c r="P112" s="1">
        <f>intermediate_results[[#This Row], [Team1 laps '[laps']]] - intermediate_results[[#This Row], [Team6 laps '[laps']]]</f>
        <v>0.64744106625126996</v>
      </c>
      <c r="Q112" s="1">
        <f>intermediate_results[[#This Row], [Team1 laps '[laps']]] - intermediate_results[[#This Row], [Team7 laps '[laps']]]</f>
        <v>0.50709655510539164</v>
      </c>
      <c r="R112" s="1">
        <f>intermediate_results[[#This Row], [Team1 laps '[laps']]] - intermediate_results[[#This Row], [Team8 laps '[laps']]]</f>
        <v>0.86879352255844644</v>
      </c>
      <c r="S112" s="1">
        <f>intermediate_results[[#This Row], [Team1 laps '[laps']]] - intermediate_results[[#This Row], [Team9 laps '[laps']]]</f>
        <v>0.80885480196657866</v>
      </c>
      <c r="T112" s="1">
        <f>MAX(intermediate_results[[#This Row], [Team1 laps '[laps']]:[Team9 laps '[laps']]]) - intermediate_results[[#This Row], [Team1 laps '[laps']]]</f>
        <v>0</v>
      </c>
      <c r="U112" s="1">
        <f>MAX(intermediate_results[[#This Row], [Team1 laps '[laps']]:[Team9 laps '[laps']]]) - intermediate_results[[#This Row], [Team2 laps '[laps']]]</f>
        <v>4.9930314744740301E-2</v>
      </c>
      <c r="V112" s="1">
        <f>MAX(intermediate_results[[#This Row], [Team1 laps '[laps']]:[Team9 laps '[laps']]]) - intermediate_results[[#This Row], [Team3 laps '[laps']]]</f>
        <v>0.24007182685946482</v>
      </c>
      <c r="W112" s="1">
        <f>MAX(intermediate_results[[#This Row], [Team1 laps '[laps']]:[Team9 laps '[laps']]]) - intermediate_results[[#This Row], [Team4 laps '[laps']]]</f>
        <v>0.53573848132639945</v>
      </c>
      <c r="X112" s="1">
        <f>MAX(intermediate_results[[#This Row], [Team1 laps '[laps']]:[Team9 laps '[laps']]]) - intermediate_results[[#This Row], [Team5 laps '[laps']]]</f>
        <v>0.5094161101906618</v>
      </c>
      <c r="Y112" s="1">
        <f>MAX(intermediate_results[[#This Row], [Team1 laps '[laps']]:[Team9 laps '[laps']]]) - intermediate_results[[#This Row], [Team6 laps '[laps']]]</f>
        <v>0.64744106625126996</v>
      </c>
      <c r="Z112" s="1">
        <f>MAX(intermediate_results[[#This Row], [Team1 laps '[laps']]:[Team9 laps '[laps']]]) - intermediate_results[[#This Row], [Team7 laps '[laps']]]</f>
        <v>0.50709655510539164</v>
      </c>
      <c r="AA112" s="1">
        <f>MAX(intermediate_results[[#This Row], [Team1 laps '[laps']]:[Team9 laps '[laps']]]) - intermediate_results[[#This Row], [Team8 laps '[laps']]]</f>
        <v>0.86879352255844644</v>
      </c>
      <c r="AB112" s="1">
        <f>MAX(intermediate_results[[#This Row], [Team1 laps '[laps']]:[Team9 laps '[laps']]]) - intermediate_results[[#This Row], [Team9 laps '[laps']]]</f>
        <v>0.80885480196657866</v>
      </c>
      <c r="AC112" s="1">
        <f>9 * intermediate_results[[#This Row], [All cumulative times '[sec']]] / SUM(intermediate_results[[#This Row], [Team1 laps '[laps']]:[Team9 laps '[laps']]])</f>
        <v>54.903901300435066</v>
      </c>
      <c r="AD112" s="1">
        <f>intermediate_results[[#This Row], [All cumulative times '[sec']]] / intermediate_results[[#This Row], [Team1 laps '[laps']]] - intermediate_results[[#This Row], [Total running average '[sec']]]</f>
        <v>-1.9201252927487644</v>
      </c>
      <c r="AE112" s="1">
        <f>intermediate_results[[#This Row], [All cumulative times '[sec']]] / intermediate_results[[#This Row], [Team2 laps '[laps']]] - intermediate_results[[#This Row], [Total running average '[sec']]]</f>
        <v>-1.7195590888154086</v>
      </c>
      <c r="AF112" s="1">
        <f>intermediate_results[[#This Row], [All cumulative times '[sec']]] / intermediate_results[[#This Row], [Team3 laps '[laps']]] - intermediate_results[[#This Row], [Total running average '[sec']]]</f>
        <v>-0.94167053120430211</v>
      </c>
      <c r="AG112" s="1">
        <f>intermediate_results[[#This Row], [All cumulative times '[sec']]] / intermediate_results[[#This Row], [Team4 laps '[laps']]] - intermediate_results[[#This Row], [Total running average '[sec']]]</f>
        <v>0.31418696286254999</v>
      </c>
      <c r="AH112" s="1">
        <f>intermediate_results[[#This Row], [All cumulative times '[sec']]] / intermediate_results[[#This Row], [Team5 laps '[laps']]] - intermediate_results[[#This Row], [Total running average '[sec']]]</f>
        <v>0.20001601636767674</v>
      </c>
      <c r="AI112" s="1">
        <f>intermediate_results[[#This Row], [All cumulative times '[sec']]] / intermediate_results[[#This Row], [Team6 laps '[laps']]] - intermediate_results[[#This Row], [Total running average '[sec']]]</f>
        <v>0.80399749656886144</v>
      </c>
      <c r="AJ112" s="1">
        <f>intermediate_results[[#This Row], [All cumulative times '[sec']]] / intermediate_results[[#This Row], [Team7 laps '[laps']]] - intermediate_results[[#This Row], [Total running average '[sec']]]</f>
        <v>0.18997778344076721</v>
      </c>
      <c r="AK112" s="1">
        <f>intermediate_results[[#This Row], [All cumulative times '[sec']]] / intermediate_results[[#This Row], [Team8 laps '[laps']]] - intermediate_results[[#This Row], [Total running average '[sec']]]</f>
        <v>1.8007481904839224</v>
      </c>
      <c r="AL112" s="1">
        <f>intermediate_results[[#This Row], [All cumulative times '[sec']]] / intermediate_results[[#This Row], [Team9 laps '[laps']]] - intermediate_results[[#This Row], [Total running average '[sec']]]</f>
        <v>1.5273393894558325</v>
      </c>
    </row>
    <row r="113" spans="1:38" x14ac:dyDescent="0.25">
      <c r="A113" s="1">
        <v>716.07599999999991</v>
      </c>
      <c r="B113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13.51541442207731</v>
      </c>
      <c r="C113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13.466099607857995</v>
      </c>
      <c r="D113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13.275155361628983</v>
      </c>
      <c r="E113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12.970903634300772</v>
      </c>
      <c r="F113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12.997690234826123</v>
      </c>
      <c r="G113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12.855996094809349</v>
      </c>
      <c r="H113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13</v>
      </c>
      <c r="I113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12.628368719224865</v>
      </c>
      <c r="J113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12.689122198222442</v>
      </c>
      <c r="K113" s="1">
        <f>intermediate_results[[#This Row], [Team1 laps '[laps']]] - intermediate_results[[#This Row], [Team1 laps '[laps']]]</f>
        <v>0</v>
      </c>
      <c r="L113" s="1">
        <f>intermediate_results[[#This Row], [Team1 laps '[laps']]] - intermediate_results[[#This Row], [Team2 laps '[laps']]]</f>
        <v>4.931481421931494E-2</v>
      </c>
      <c r="M113" s="1">
        <f>intermediate_results[[#This Row], [Team1 laps '[laps']]] - intermediate_results[[#This Row], [Team3 laps '[laps']]]</f>
        <v>0.24025906044832723</v>
      </c>
      <c r="N113" s="1">
        <f>intermediate_results[[#This Row], [Team1 laps '[laps']]] - intermediate_results[[#This Row], [Team4 laps '[laps']]]</f>
        <v>0.54451078777653805</v>
      </c>
      <c r="O113" s="1">
        <f>intermediate_results[[#This Row], [Team1 laps '[laps']]] - intermediate_results[[#This Row], [Team5 laps '[laps']]]</f>
        <v>0.51772418725118641</v>
      </c>
      <c r="P113" s="1">
        <f>intermediate_results[[#This Row], [Team1 laps '[laps']]] - intermediate_results[[#This Row], [Team6 laps '[laps']]]</f>
        <v>0.65941832726796079</v>
      </c>
      <c r="Q113" s="1">
        <f>intermediate_results[[#This Row], [Team1 laps '[laps']]] - intermediate_results[[#This Row], [Team7 laps '[laps']]]</f>
        <v>0.51541442207730981</v>
      </c>
      <c r="R113" s="1">
        <f>intermediate_results[[#This Row], [Team1 laps '[laps']]] - intermediate_results[[#This Row], [Team8 laps '[laps']]]</f>
        <v>0.88704570285244522</v>
      </c>
      <c r="S113" s="1">
        <f>intermediate_results[[#This Row], [Team1 laps '[laps']]] - intermediate_results[[#This Row], [Team9 laps '[laps']]]</f>
        <v>0.82629222385486756</v>
      </c>
      <c r="T113" s="1">
        <f>MAX(intermediate_results[[#This Row], [Team1 laps '[laps']]:[Team9 laps '[laps']]]) - intermediate_results[[#This Row], [Team1 laps '[laps']]]</f>
        <v>0</v>
      </c>
      <c r="U113" s="1">
        <f>MAX(intermediate_results[[#This Row], [Team1 laps '[laps']]:[Team9 laps '[laps']]]) - intermediate_results[[#This Row], [Team2 laps '[laps']]]</f>
        <v>4.931481421931494E-2</v>
      </c>
      <c r="V113" s="1">
        <f>MAX(intermediate_results[[#This Row], [Team1 laps '[laps']]:[Team9 laps '[laps']]]) - intermediate_results[[#This Row], [Team3 laps '[laps']]]</f>
        <v>0.24025906044832723</v>
      </c>
      <c r="W113" s="1">
        <f>MAX(intermediate_results[[#This Row], [Team1 laps '[laps']]:[Team9 laps '[laps']]]) - intermediate_results[[#This Row], [Team4 laps '[laps']]]</f>
        <v>0.54451078777653805</v>
      </c>
      <c r="X113" s="1">
        <f>MAX(intermediate_results[[#This Row], [Team1 laps '[laps']]:[Team9 laps '[laps']]]) - intermediate_results[[#This Row], [Team5 laps '[laps']]]</f>
        <v>0.51772418725118641</v>
      </c>
      <c r="Y113" s="1">
        <f>MAX(intermediate_results[[#This Row], [Team1 laps '[laps']]:[Team9 laps '[laps']]]) - intermediate_results[[#This Row], [Team6 laps '[laps']]]</f>
        <v>0.65941832726796079</v>
      </c>
      <c r="Z113" s="1">
        <f>MAX(intermediate_results[[#This Row], [Team1 laps '[laps']]:[Team9 laps '[laps']]]) - intermediate_results[[#This Row], [Team7 laps '[laps']]]</f>
        <v>0.51541442207730981</v>
      </c>
      <c r="AA113" s="1">
        <f>MAX(intermediate_results[[#This Row], [Team1 laps '[laps']]:[Team9 laps '[laps']]]) - intermediate_results[[#This Row], [Team8 laps '[laps']]]</f>
        <v>0.88704570285244522</v>
      </c>
      <c r="AB113" s="1">
        <f>MAX(intermediate_results[[#This Row], [Team1 laps '[laps']]:[Team9 laps '[laps']]]) - intermediate_results[[#This Row], [Team9 laps '[laps']]]</f>
        <v>0.82629222385486756</v>
      </c>
      <c r="AC113" s="1">
        <f>9 * intermediate_results[[#This Row], [All cumulative times '[sec']]] / SUM(intermediate_results[[#This Row], [Team1 laps '[laps']]:[Team9 laps '[laps']]])</f>
        <v>54.895678063150953</v>
      </c>
      <c r="AD113" s="1">
        <f>intermediate_results[[#This Row], [All cumulative times '[sec']]] / intermediate_results[[#This Row], [Team1 laps '[laps']]] - intermediate_results[[#This Row], [Total running average '[sec']]]</f>
        <v>-1.9135069186023941</v>
      </c>
      <c r="AE113" s="1">
        <f>intermediate_results[[#This Row], [All cumulative times '[sec']]] / intermediate_results[[#This Row], [Team2 laps '[laps']]] - intermediate_results[[#This Row], [Total running average '[sec']]]</f>
        <v>-1.7194785062917717</v>
      </c>
      <c r="AF113" s="1">
        <f>intermediate_results[[#This Row], [All cumulative times '[sec']]] / intermediate_results[[#This Row], [Team3 laps '[laps']]] - intermediate_results[[#This Row], [Total running average '[sec']]]</f>
        <v>-0.95461443765294973</v>
      </c>
      <c r="AG113" s="1">
        <f>intermediate_results[[#This Row], [All cumulative times '[sec']]] / intermediate_results[[#This Row], [Team4 laps '[laps']]] - intermediate_results[[#This Row], [Total running average '[sec']]]</f>
        <v>0.31065298277403031</v>
      </c>
      <c r="AH113" s="1">
        <f>intermediate_results[[#This Row], [All cumulative times '[sec']]] / intermediate_results[[#This Row], [Team5 laps '[laps']]] - intermediate_results[[#This Row], [Total running average '[sec']]]</f>
        <v>0.19687969617613987</v>
      </c>
      <c r="AI113" s="1">
        <f>intermediate_results[[#This Row], [All cumulative times '[sec']]] / intermediate_results[[#This Row], [Team6 laps '[laps']]] - intermediate_results[[#This Row], [Total running average '[sec']]]</f>
        <v>0.80408994542194989</v>
      </c>
      <c r="AJ113" s="1">
        <f>intermediate_results[[#This Row], [All cumulative times '[sec']]] / intermediate_results[[#This Row], [Team7 laps '[laps']]] - intermediate_results[[#This Row], [Total running average '[sec']]]</f>
        <v>0.18709116761827005</v>
      </c>
      <c r="AK113" s="1">
        <f>intermediate_results[[#This Row], [All cumulative times '[sec']]] / intermediate_results[[#This Row], [Team8 laps '[laps']]] - intermediate_results[[#This Row], [Total running average '[sec']]]</f>
        <v>1.8080828042267783</v>
      </c>
      <c r="AL113" s="1">
        <f>intermediate_results[[#This Row], [All cumulative times '[sec']]] / intermediate_results[[#This Row], [Team9 laps '[laps']]] - intermediate_results[[#This Row], [Total running average '[sec']]]</f>
        <v>1.5365943047762443</v>
      </c>
    </row>
    <row r="114" spans="1:38" x14ac:dyDescent="0.25">
      <c r="A114" s="1">
        <v>716.20200000000011</v>
      </c>
      <c r="B114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13.517796049522733</v>
      </c>
      <c r="C114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13.468486559190712</v>
      </c>
      <c r="D114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13.277535369562347</v>
      </c>
      <c r="E114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12.97320938403543</v>
      </c>
      <c r="F114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13</v>
      </c>
      <c r="G114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12.858274122688075</v>
      </c>
      <c r="H114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13.002308537925984</v>
      </c>
      <c r="I114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12.630592471011811</v>
      </c>
      <c r="J114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12.691352997415109</v>
      </c>
      <c r="K114" s="1">
        <f>intermediate_results[[#This Row], [Team1 laps '[laps']]] - intermediate_results[[#This Row], [Team1 laps '[laps']]]</f>
        <v>0</v>
      </c>
      <c r="L114" s="1">
        <f>intermediate_results[[#This Row], [Team1 laps '[laps']]] - intermediate_results[[#This Row], [Team2 laps '[laps']]]</f>
        <v>4.9309490332021255E-2</v>
      </c>
      <c r="M114" s="1">
        <f>intermediate_results[[#This Row], [Team1 laps '[laps']]] - intermediate_results[[#This Row], [Team3 laps '[laps']]]</f>
        <v>0.24026067996038591</v>
      </c>
      <c r="N114" s="1">
        <f>intermediate_results[[#This Row], [Team1 laps '[laps']]] - intermediate_results[[#This Row], [Team4 laps '[laps']]]</f>
        <v>0.54458666548730328</v>
      </c>
      <c r="O114" s="1">
        <f>intermediate_results[[#This Row], [Team1 laps '[laps']]] - intermediate_results[[#This Row], [Team5 laps '[laps']]]</f>
        <v>0.51779604952273317</v>
      </c>
      <c r="P114" s="1">
        <f>intermediate_results[[#This Row], [Team1 laps '[laps']]] - intermediate_results[[#This Row], [Team6 laps '[laps']]]</f>
        <v>0.6595219268346586</v>
      </c>
      <c r="Q114" s="1">
        <f>intermediate_results[[#This Row], [Team1 laps '[laps']]] - intermediate_results[[#This Row], [Team7 laps '[laps']]]</f>
        <v>0.51548751159674921</v>
      </c>
      <c r="R114" s="1">
        <f>intermediate_results[[#This Row], [Team1 laps '[laps']]] - intermediate_results[[#This Row], [Team8 laps '[laps']]]</f>
        <v>0.88720357851092224</v>
      </c>
      <c r="S114" s="1">
        <f>intermediate_results[[#This Row], [Team1 laps '[laps']]] - intermediate_results[[#This Row], [Team9 laps '[laps']]]</f>
        <v>0.82644305210762425</v>
      </c>
      <c r="T114" s="1">
        <f>MAX(intermediate_results[[#This Row], [Team1 laps '[laps']]:[Team9 laps '[laps']]]) - intermediate_results[[#This Row], [Team1 laps '[laps']]]</f>
        <v>0</v>
      </c>
      <c r="U114" s="1">
        <f>MAX(intermediate_results[[#This Row], [Team1 laps '[laps']]:[Team9 laps '[laps']]]) - intermediate_results[[#This Row], [Team2 laps '[laps']]]</f>
        <v>4.9309490332021255E-2</v>
      </c>
      <c r="V114" s="1">
        <f>MAX(intermediate_results[[#This Row], [Team1 laps '[laps']]:[Team9 laps '[laps']]]) - intermediate_results[[#This Row], [Team3 laps '[laps']]]</f>
        <v>0.24026067996038591</v>
      </c>
      <c r="W114" s="1">
        <f>MAX(intermediate_results[[#This Row], [Team1 laps '[laps']]:[Team9 laps '[laps']]]) - intermediate_results[[#This Row], [Team4 laps '[laps']]]</f>
        <v>0.54458666548730328</v>
      </c>
      <c r="X114" s="1">
        <f>MAX(intermediate_results[[#This Row], [Team1 laps '[laps']]:[Team9 laps '[laps']]]) - intermediate_results[[#This Row], [Team5 laps '[laps']]]</f>
        <v>0.51779604952273317</v>
      </c>
      <c r="Y114" s="1">
        <f>MAX(intermediate_results[[#This Row], [Team1 laps '[laps']]:[Team9 laps '[laps']]]) - intermediate_results[[#This Row], [Team6 laps '[laps']]]</f>
        <v>0.6595219268346586</v>
      </c>
      <c r="Z114" s="1">
        <f>MAX(intermediate_results[[#This Row], [Team1 laps '[laps']]:[Team9 laps '[laps']]]) - intermediate_results[[#This Row], [Team7 laps '[laps']]]</f>
        <v>0.51548751159674921</v>
      </c>
      <c r="AA114" s="1">
        <f>MAX(intermediate_results[[#This Row], [Team1 laps '[laps']]:[Team9 laps '[laps']]]) - intermediate_results[[#This Row], [Team8 laps '[laps']]]</f>
        <v>0.88720357851092224</v>
      </c>
      <c r="AB114" s="1">
        <f>MAX(intermediate_results[[#This Row], [Team1 laps '[laps']]:[Team9 laps '[laps']]]) - intermediate_results[[#This Row], [Team9 laps '[laps']]]</f>
        <v>0.82644305210762425</v>
      </c>
      <c r="AC114" s="1">
        <f>9 * intermediate_results[[#This Row], [All cumulative times '[sec']]] / SUM(intermediate_results[[#This Row], [Team1 laps '[laps']]:[Team9 laps '[laps']]])</f>
        <v>54.895608938621194</v>
      </c>
      <c r="AD114" s="1">
        <f>intermediate_results[[#This Row], [All cumulative times '[sec']]] / intermediate_results[[#This Row], [Team1 laps '[laps']]] - intermediate_results[[#This Row], [Total running average '[sec']]]</f>
        <v>-1.9134513904396044</v>
      </c>
      <c r="AE114" s="1">
        <f>intermediate_results[[#This Row], [All cumulative times '[sec']]] / intermediate_results[[#This Row], [Team2 laps '[laps']]] - intermediate_results[[#This Row], [Total running average '[sec']]]</f>
        <v>-1.7194783576188613</v>
      </c>
      <c r="AF114" s="1">
        <f>intermediate_results[[#This Row], [All cumulative times '[sec']]] / intermediate_results[[#This Row], [Team3 laps '[laps']]] - intermediate_results[[#This Row], [Total running average '[sec']]]</f>
        <v>-0.95472457526005172</v>
      </c>
      <c r="AG114" s="1">
        <f>intermediate_results[[#This Row], [All cumulative times '[sec']]] / intermediate_results[[#This Row], [Team4 laps '[laps']]] - intermediate_results[[#This Row], [Total running average '[sec']]]</f>
        <v>0.31062251875001579</v>
      </c>
      <c r="AH114" s="1">
        <f>intermediate_results[[#This Row], [All cumulative times '[sec']]] / intermediate_results[[#This Row], [Team5 laps '[laps']]] - intermediate_results[[#This Row], [Total running average '[sec']]]</f>
        <v>0.19685259984035497</v>
      </c>
      <c r="AI114" s="1">
        <f>intermediate_results[[#This Row], [All cumulative times '[sec']]] / intermediate_results[[#This Row], [Team6 laps '[laps']]] - intermediate_results[[#This Row], [Total running average '[sec']]]</f>
        <v>0.80409019411709437</v>
      </c>
      <c r="AJ114" s="1">
        <f>intermediate_results[[#This Row], [All cumulative times '[sec']]] / intermediate_results[[#This Row], [Team7 laps '[laps']]] - intermediate_results[[#This Row], [Total running average '[sec']]]</f>
        <v>0.18707102632005501</v>
      </c>
      <c r="AK114" s="1">
        <f>intermediate_results[[#This Row], [All cumulative times '[sec']]] / intermediate_results[[#This Row], [Team8 laps '[laps']]] - intermediate_results[[#This Row], [Total running average '[sec']]]</f>
        <v>1.8081444002454674</v>
      </c>
      <c r="AL114" s="1">
        <f>intermediate_results[[#This Row], [All cumulative times '[sec']]] / intermediate_results[[#This Row], [Team9 laps '[laps']]] - intermediate_results[[#This Row], [Total running average '[sec']]]</f>
        <v>1.5366721700889201</v>
      </c>
    </row>
    <row r="115" spans="1:38" x14ac:dyDescent="0.25">
      <c r="A115" s="1">
        <v>717.66599999999994</v>
      </c>
      <c r="B115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13.545468292221909</v>
      </c>
      <c r="C115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13.496220660389868</v>
      </c>
      <c r="D115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13.305188795073763</v>
      </c>
      <c r="E115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13</v>
      </c>
      <c r="F115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13.026832352779454</v>
      </c>
      <c r="G115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12.884742637088461</v>
      </c>
      <c r="H115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13.029131550018322</v>
      </c>
      <c r="I115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12.656430348917246</v>
      </c>
      <c r="J115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12.717272759463192</v>
      </c>
      <c r="K115" s="1">
        <f>intermediate_results[[#This Row], [Team1 laps '[laps']]] - intermediate_results[[#This Row], [Team1 laps '[laps']]]</f>
        <v>0</v>
      </c>
      <c r="L115" s="1">
        <f>intermediate_results[[#This Row], [Team1 laps '[laps']]] - intermediate_results[[#This Row], [Team2 laps '[laps']]]</f>
        <v>4.9247631832040284E-2</v>
      </c>
      <c r="M115" s="1">
        <f>intermediate_results[[#This Row], [Team1 laps '[laps']]] - intermediate_results[[#This Row], [Team3 laps '[laps']]]</f>
        <v>0.24027949714814589</v>
      </c>
      <c r="N115" s="1">
        <f>intermediate_results[[#This Row], [Team1 laps '[laps']]] - intermediate_results[[#This Row], [Team4 laps '[laps']]]</f>
        <v>0.54546829222190851</v>
      </c>
      <c r="O115" s="1">
        <f>intermediate_results[[#This Row], [Team1 laps '[laps']]] - intermediate_results[[#This Row], [Team5 laps '[laps']]]</f>
        <v>0.51863593944245423</v>
      </c>
      <c r="P115" s="1">
        <f>intermediate_results[[#This Row], [Team1 laps '[laps']]] - intermediate_results[[#This Row], [Team6 laps '[laps']]]</f>
        <v>0.66072565513344728</v>
      </c>
      <c r="Q115" s="1">
        <f>intermediate_results[[#This Row], [Team1 laps '[laps']]] - intermediate_results[[#This Row], [Team7 laps '[laps']]]</f>
        <v>0.5163367422035865</v>
      </c>
      <c r="R115" s="1">
        <f>intermediate_results[[#This Row], [Team1 laps '[laps']]] - intermediate_results[[#This Row], [Team8 laps '[laps']]]</f>
        <v>0.8890379433046629</v>
      </c>
      <c r="S115" s="1">
        <f>intermediate_results[[#This Row], [Team1 laps '[laps']]] - intermediate_results[[#This Row], [Team9 laps '[laps']]]</f>
        <v>0.82819553275871627</v>
      </c>
      <c r="T115" s="1">
        <f>MAX(intermediate_results[[#This Row], [Team1 laps '[laps']]:[Team9 laps '[laps']]]) - intermediate_results[[#This Row], [Team1 laps '[laps']]]</f>
        <v>0</v>
      </c>
      <c r="U115" s="1">
        <f>MAX(intermediate_results[[#This Row], [Team1 laps '[laps']]:[Team9 laps '[laps']]]) - intermediate_results[[#This Row], [Team2 laps '[laps']]]</f>
        <v>4.9247631832040284E-2</v>
      </c>
      <c r="V115" s="1">
        <f>MAX(intermediate_results[[#This Row], [Team1 laps '[laps']]:[Team9 laps '[laps']]]) - intermediate_results[[#This Row], [Team3 laps '[laps']]]</f>
        <v>0.24027949714814589</v>
      </c>
      <c r="W115" s="1">
        <f>MAX(intermediate_results[[#This Row], [Team1 laps '[laps']]:[Team9 laps '[laps']]]) - intermediate_results[[#This Row], [Team4 laps '[laps']]]</f>
        <v>0.54546829222190851</v>
      </c>
      <c r="X115" s="1">
        <f>MAX(intermediate_results[[#This Row], [Team1 laps '[laps']]:[Team9 laps '[laps']]]) - intermediate_results[[#This Row], [Team5 laps '[laps']]]</f>
        <v>0.51863593944245423</v>
      </c>
      <c r="Y115" s="1">
        <f>MAX(intermediate_results[[#This Row], [Team1 laps '[laps']]:[Team9 laps '[laps']]]) - intermediate_results[[#This Row], [Team6 laps '[laps']]]</f>
        <v>0.66072565513344728</v>
      </c>
      <c r="Z115" s="1">
        <f>MAX(intermediate_results[[#This Row], [Team1 laps '[laps']]:[Team9 laps '[laps']]]) - intermediate_results[[#This Row], [Team7 laps '[laps']]]</f>
        <v>0.5163367422035865</v>
      </c>
      <c r="AA115" s="1">
        <f>MAX(intermediate_results[[#This Row], [Team1 laps '[laps']]:[Team9 laps '[laps']]]) - intermediate_results[[#This Row], [Team8 laps '[laps']]]</f>
        <v>0.8890379433046629</v>
      </c>
      <c r="AB115" s="1">
        <f>MAX(intermediate_results[[#This Row], [Team1 laps '[laps']]:[Team9 laps '[laps']]]) - intermediate_results[[#This Row], [Team9 laps '[laps']]]</f>
        <v>0.82819553275871627</v>
      </c>
      <c r="AC115" s="1">
        <f>9 * intermediate_results[[#This Row], [All cumulative times '[sec']]] / SUM(intermediate_results[[#This Row], [Team1 laps '[laps']]:[Team9 laps '[laps']]])</f>
        <v>54.894809864388776</v>
      </c>
      <c r="AD115" s="1">
        <f>intermediate_results[[#This Row], [All cumulative times '[sec']]] / intermediate_results[[#This Row], [Team1 laps '[laps']]] - intermediate_results[[#This Row], [Total running average '[sec']]]</f>
        <v>-1.9128099425330802</v>
      </c>
      <c r="AE115" s="1">
        <f>intermediate_results[[#This Row], [All cumulative times '[sec']]] / intermediate_results[[#This Row], [Team2 laps '[laps']]] - intermediate_results[[#This Row], [Total running average '[sec']]]</f>
        <v>-1.7194789285007914</v>
      </c>
      <c r="AF115" s="1">
        <f>intermediate_results[[#This Row], [All cumulative times '[sec']]] / intermediate_results[[#This Row], [Team3 laps '[laps']]] - intermediate_results[[#This Row], [Total running average '[sec']]]</f>
        <v>-0.95600365476059324</v>
      </c>
      <c r="AG115" s="1">
        <f>intermediate_results[[#This Row], [All cumulative times '[sec']]] / intermediate_results[[#This Row], [Team4 laps '[laps']]] - intermediate_results[[#This Row], [Total running average '[sec']]]</f>
        <v>0.3102670586881402</v>
      </c>
      <c r="AH115" s="1">
        <f>intermediate_results[[#This Row], [All cumulative times '[sec']]] / intermediate_results[[#This Row], [Team5 laps '[laps']]] - intermediate_results[[#This Row], [Total running average '[sec']]]</f>
        <v>0.19655698250827669</v>
      </c>
      <c r="AI115" s="1">
        <f>intermediate_results[[#This Row], [All cumulative times '[sec']]] / intermediate_results[[#This Row], [Team6 laps '[laps']]] - intermediate_results[[#This Row], [Total running average '[sec']]]</f>
        <v>0.80409078219561536</v>
      </c>
      <c r="AJ115" s="1">
        <f>intermediate_results[[#This Row], [All cumulative times '[sec']]] / intermediate_results[[#This Row], [Team7 laps '[laps']]] - intermediate_results[[#This Row], [Total running average '[sec']]]</f>
        <v>0.18683523566324567</v>
      </c>
      <c r="AK115" s="1">
        <f>intermediate_results[[#This Row], [All cumulative times '[sec']]] / intermediate_results[[#This Row], [Team8 laps '[laps']]] - intermediate_results[[#This Row], [Total running average '[sec']]]</f>
        <v>1.8088561942954655</v>
      </c>
      <c r="AL115" s="1">
        <f>intermediate_results[[#This Row], [All cumulative times '[sec']]] / intermediate_results[[#This Row], [Team9 laps '[laps']]] - intermediate_results[[#This Row], [Total running average '[sec']]]</f>
        <v>1.5375725790851575</v>
      </c>
    </row>
    <row r="116" spans="1:38" x14ac:dyDescent="0.25">
      <c r="A116" s="1">
        <v>724.04100000000005</v>
      </c>
      <c r="B116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13.665967299877142</v>
      </c>
      <c r="C116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13.616989031390306</v>
      </c>
      <c r="D116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13.425605863130658</v>
      </c>
      <c r="E116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13.117034752437078</v>
      </c>
      <c r="F116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13.143674052894925</v>
      </c>
      <c r="G116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13</v>
      </c>
      <c r="H116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13.145932576035181</v>
      </c>
      <c r="I116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12.768941600042361</v>
      </c>
      <c r="J116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12.830140575758652</v>
      </c>
      <c r="K116" s="1">
        <f>intermediate_results[[#This Row], [Team1 laps '[laps']]] - intermediate_results[[#This Row], [Team1 laps '[laps']]]</f>
        <v>0</v>
      </c>
      <c r="L116" s="1">
        <f>intermediate_results[[#This Row], [Team1 laps '[laps']]] - intermediate_results[[#This Row], [Team2 laps '[laps']]]</f>
        <v>4.8978268486836285E-2</v>
      </c>
      <c r="M116" s="1">
        <f>intermediate_results[[#This Row], [Team1 laps '[laps']]] - intermediate_results[[#This Row], [Team3 laps '[laps']]]</f>
        <v>0.24036143674648436</v>
      </c>
      <c r="N116" s="1">
        <f>intermediate_results[[#This Row], [Team1 laps '[laps']]] - intermediate_results[[#This Row], [Team4 laps '[laps']]]</f>
        <v>0.5489325474400637</v>
      </c>
      <c r="O116" s="1">
        <f>intermediate_results[[#This Row], [Team1 laps '[laps']]] - intermediate_results[[#This Row], [Team5 laps '[laps']]]</f>
        <v>0.52229324698221724</v>
      </c>
      <c r="P116" s="1">
        <f>intermediate_results[[#This Row], [Team1 laps '[laps']]] - intermediate_results[[#This Row], [Team6 laps '[laps']]]</f>
        <v>0.66596729987714198</v>
      </c>
      <c r="Q116" s="1">
        <f>intermediate_results[[#This Row], [Team1 laps '[laps']]] - intermediate_results[[#This Row], [Team7 laps '[laps']]]</f>
        <v>0.52003472384196137</v>
      </c>
      <c r="R116" s="1">
        <f>intermediate_results[[#This Row], [Team1 laps '[laps']]] - intermediate_results[[#This Row], [Team8 laps '[laps']]]</f>
        <v>0.89702569983478142</v>
      </c>
      <c r="S116" s="1">
        <f>intermediate_results[[#This Row], [Team1 laps '[laps']]] - intermediate_results[[#This Row], [Team9 laps '[laps']]]</f>
        <v>0.83582672411849046</v>
      </c>
      <c r="T116" s="1">
        <f>MAX(intermediate_results[[#This Row], [Team1 laps '[laps']]:[Team9 laps '[laps']]]) - intermediate_results[[#This Row], [Team1 laps '[laps']]]</f>
        <v>0</v>
      </c>
      <c r="U116" s="1">
        <f>MAX(intermediate_results[[#This Row], [Team1 laps '[laps']]:[Team9 laps '[laps']]]) - intermediate_results[[#This Row], [Team2 laps '[laps']]]</f>
        <v>4.8978268486836285E-2</v>
      </c>
      <c r="V116" s="1">
        <f>MAX(intermediate_results[[#This Row], [Team1 laps '[laps']]:[Team9 laps '[laps']]]) - intermediate_results[[#This Row], [Team3 laps '[laps']]]</f>
        <v>0.24036143674648436</v>
      </c>
      <c r="W116" s="1">
        <f>MAX(intermediate_results[[#This Row], [Team1 laps '[laps']]:[Team9 laps '[laps']]]) - intermediate_results[[#This Row], [Team4 laps '[laps']]]</f>
        <v>0.5489325474400637</v>
      </c>
      <c r="X116" s="1">
        <f>MAX(intermediate_results[[#This Row], [Team1 laps '[laps']]:[Team9 laps '[laps']]]) - intermediate_results[[#This Row], [Team5 laps '[laps']]]</f>
        <v>0.52229324698221724</v>
      </c>
      <c r="Y116" s="1">
        <f>MAX(intermediate_results[[#This Row], [Team1 laps '[laps']]:[Team9 laps '[laps']]]) - intermediate_results[[#This Row], [Team6 laps '[laps']]]</f>
        <v>0.66596729987714198</v>
      </c>
      <c r="Z116" s="1">
        <f>MAX(intermediate_results[[#This Row], [Team1 laps '[laps']]:[Team9 laps '[laps']]]) - intermediate_results[[#This Row], [Team7 laps '[laps']]]</f>
        <v>0.52003472384196137</v>
      </c>
      <c r="AA116" s="1">
        <f>MAX(intermediate_results[[#This Row], [Team1 laps '[laps']]:[Team9 laps '[laps']]]) - intermediate_results[[#This Row], [Team8 laps '[laps']]]</f>
        <v>0.89702569983478142</v>
      </c>
      <c r="AB116" s="1">
        <f>MAX(intermediate_results[[#This Row], [Team1 laps '[laps']]:[Team9 laps '[laps']]]) - intermediate_results[[#This Row], [Team9 laps '[laps']]]</f>
        <v>0.83582672411849046</v>
      </c>
      <c r="AC116" s="1">
        <f>9 * intermediate_results[[#This Row], [All cumulative times '[sec']]] / SUM(intermediate_results[[#This Row], [Team1 laps '[laps']]:[Team9 laps '[laps']]])</f>
        <v>54.89119492861056</v>
      </c>
      <c r="AD116" s="1">
        <f>intermediate_results[[#This Row], [All cumulative times '[sec']]] / intermediate_results[[#This Row], [Team1 laps '[laps']]] - intermediate_results[[#This Row], [Total running average '[sec']]]</f>
        <v>-1.909873949852674</v>
      </c>
      <c r="AE116" s="1">
        <f>intermediate_results[[#This Row], [All cumulative times '[sec']]] / intermediate_results[[#This Row], [Team2 laps '[laps']]] - intermediate_results[[#This Row], [Total running average '[sec']]]</f>
        <v>-1.7193080796957005</v>
      </c>
      <c r="AF116" s="1">
        <f>intermediate_results[[#This Row], [All cumulative times '[sec']]] / intermediate_results[[#This Row], [Team3 laps '[laps']]] - intermediate_results[[#This Row], [Total running average '[sec']]]</f>
        <v>-0.96133825164982767</v>
      </c>
      <c r="AG116" s="1">
        <f>intermediate_results[[#This Row], [All cumulative times '[sec']]] / intermediate_results[[#This Row], [Team4 laps '[laps']]] - intermediate_results[[#This Row], [Total running average '[sec']]]</f>
        <v>0.30733230449575899</v>
      </c>
      <c r="AH116" s="1">
        <f>intermediate_results[[#This Row], [All cumulative times '[sec']]] / intermediate_results[[#This Row], [Team5 laps '[laps']]] - intermediate_results[[#This Row], [Total running average '[sec']]]</f>
        <v>0.19545718146122937</v>
      </c>
      <c r="AI116" s="1">
        <f>intermediate_results[[#This Row], [All cumulative times '[sec']]] / intermediate_results[[#This Row], [Team6 laps '[laps']]] - intermediate_results[[#This Row], [Total running average '[sec']]]</f>
        <v>0.80426660985098408</v>
      </c>
      <c r="AJ116" s="1">
        <f>intermediate_results[[#This Row], [All cumulative times '[sec']]] / intermediate_results[[#This Row], [Team7 laps '[laps']]] - intermediate_results[[#This Row], [Total running average '[sec']]]</f>
        <v>0.18599307704793233</v>
      </c>
      <c r="AK116" s="1">
        <f>intermediate_results[[#This Row], [All cumulative times '[sec']]] / intermediate_results[[#This Row], [Team8 laps '[laps']]] - intermediate_results[[#This Row], [Total running average '[sec']]]</f>
        <v>1.8120951857085501</v>
      </c>
      <c r="AL116" s="1">
        <f>intermediate_results[[#This Row], [All cumulative times '[sec']]] / intermediate_results[[#This Row], [Team9 laps '[laps']]] - intermediate_results[[#This Row], [Total running average '[sec']]]</f>
        <v>1.5416240046447527</v>
      </c>
    </row>
    <row r="117" spans="1:38" x14ac:dyDescent="0.25">
      <c r="A117" s="1">
        <v>733.63499999999988</v>
      </c>
      <c r="B117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13.847311218221339</v>
      </c>
      <c r="C117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13.798738325724134</v>
      </c>
      <c r="D117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13.606826467199335</v>
      </c>
      <c r="E117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13.293165170457673</v>
      </c>
      <c r="F117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13.319513938527516</v>
      </c>
      <c r="G117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13.173984005222781</v>
      </c>
      <c r="H117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13.321711249541956</v>
      </c>
      <c r="I117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12.938264414676762</v>
      </c>
      <c r="J117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13</v>
      </c>
      <c r="K117" s="1">
        <f>intermediate_results[[#This Row], [Team1 laps '[laps']]] - intermediate_results[[#This Row], [Team1 laps '[laps']]]</f>
        <v>0</v>
      </c>
      <c r="L117" s="1">
        <f>intermediate_results[[#This Row], [Team1 laps '[laps']]] - intermediate_results[[#This Row], [Team2 laps '[laps']]]</f>
        <v>4.8572892497205089E-2</v>
      </c>
      <c r="M117" s="1">
        <f>intermediate_results[[#This Row], [Team1 laps '[laps']]] - intermediate_results[[#This Row], [Team3 laps '[laps']]]</f>
        <v>0.24048475102200406</v>
      </c>
      <c r="N117" s="1">
        <f>intermediate_results[[#This Row], [Team1 laps '[laps']]] - intermediate_results[[#This Row], [Team4 laps '[laps']]]</f>
        <v>0.55414604776366616</v>
      </c>
      <c r="O117" s="1">
        <f>intermediate_results[[#This Row], [Team1 laps '[laps']]] - intermediate_results[[#This Row], [Team5 laps '[laps']]]</f>
        <v>0.52779727969382328</v>
      </c>
      <c r="P117" s="1">
        <f>intermediate_results[[#This Row], [Team1 laps '[laps']]] - intermediate_results[[#This Row], [Team6 laps '[laps']]]</f>
        <v>0.67332721299855791</v>
      </c>
      <c r="Q117" s="1">
        <f>intermediate_results[[#This Row], [Team1 laps '[laps']]] - intermediate_results[[#This Row], [Team7 laps '[laps']]]</f>
        <v>0.52559996867938352</v>
      </c>
      <c r="R117" s="1">
        <f>intermediate_results[[#This Row], [Team1 laps '[laps']]] - intermediate_results[[#This Row], [Team8 laps '[laps']]]</f>
        <v>0.90904680354457668</v>
      </c>
      <c r="S117" s="1">
        <f>intermediate_results[[#This Row], [Team1 laps '[laps']]] - intermediate_results[[#This Row], [Team9 laps '[laps']]]</f>
        <v>0.84731121822133915</v>
      </c>
      <c r="T117" s="1">
        <f>MAX(intermediate_results[[#This Row], [Team1 laps '[laps']]:[Team9 laps '[laps']]]) - intermediate_results[[#This Row], [Team1 laps '[laps']]]</f>
        <v>0</v>
      </c>
      <c r="U117" s="1">
        <f>MAX(intermediate_results[[#This Row], [Team1 laps '[laps']]:[Team9 laps '[laps']]]) - intermediate_results[[#This Row], [Team2 laps '[laps']]]</f>
        <v>4.8572892497205089E-2</v>
      </c>
      <c r="V117" s="1">
        <f>MAX(intermediate_results[[#This Row], [Team1 laps '[laps']]:[Team9 laps '[laps']]]) - intermediate_results[[#This Row], [Team3 laps '[laps']]]</f>
        <v>0.24048475102200406</v>
      </c>
      <c r="W117" s="1">
        <f>MAX(intermediate_results[[#This Row], [Team1 laps '[laps']]:[Team9 laps '[laps']]]) - intermediate_results[[#This Row], [Team4 laps '[laps']]]</f>
        <v>0.55414604776366616</v>
      </c>
      <c r="X117" s="1">
        <f>MAX(intermediate_results[[#This Row], [Team1 laps '[laps']]:[Team9 laps '[laps']]]) - intermediate_results[[#This Row], [Team5 laps '[laps']]]</f>
        <v>0.52779727969382328</v>
      </c>
      <c r="Y117" s="1">
        <f>MAX(intermediate_results[[#This Row], [Team1 laps '[laps']]:[Team9 laps '[laps']]]) - intermediate_results[[#This Row], [Team6 laps '[laps']]]</f>
        <v>0.67332721299855791</v>
      </c>
      <c r="Z117" s="1">
        <f>MAX(intermediate_results[[#This Row], [Team1 laps '[laps']]:[Team9 laps '[laps']]]) - intermediate_results[[#This Row], [Team7 laps '[laps']]]</f>
        <v>0.52559996867938352</v>
      </c>
      <c r="AA117" s="1">
        <f>MAX(intermediate_results[[#This Row], [Team1 laps '[laps']]:[Team9 laps '[laps']]]) - intermediate_results[[#This Row], [Team8 laps '[laps']]]</f>
        <v>0.90904680354457668</v>
      </c>
      <c r="AB117" s="1">
        <f>MAX(intermediate_results[[#This Row], [Team1 laps '[laps']]:[Team9 laps '[laps']]]) - intermediate_results[[#This Row], [Team9 laps '[laps']]]</f>
        <v>0.84731121822133915</v>
      </c>
      <c r="AC117" s="1">
        <f>9 * intermediate_results[[#This Row], [All cumulative times '[sec']]] / SUM(intermediate_results[[#This Row], [Team1 laps '[laps']]:[Team9 laps '[laps']]])</f>
        <v>54.88563284356966</v>
      </c>
      <c r="AD117" s="1">
        <f>intermediate_results[[#This Row], [All cumulative times '[sec']]] / intermediate_results[[#This Row], [Team1 laps '[laps']]] - intermediate_results[[#This Row], [Total running average '[sec']]]</f>
        <v>-1.9053113617625996</v>
      </c>
      <c r="AE117" s="1">
        <f>intermediate_results[[#This Row], [All cumulative times '[sec']]] / intermediate_results[[#This Row], [Team2 laps '[laps']]] - intermediate_results[[#This Row], [Total running average '[sec']]]</f>
        <v>-1.7188155098189668</v>
      </c>
      <c r="AF117" s="1">
        <f>intermediate_results[[#This Row], [All cumulative times '[sec']]] / intermediate_results[[#This Row], [Team3 laps '[laps']]] - intermediate_results[[#This Row], [Total running average '[sec']]]</f>
        <v>-0.96894611514675688</v>
      </c>
      <c r="AG117" s="1">
        <f>intermediate_results[[#This Row], [All cumulative times '[sec']]] / intermediate_results[[#This Row], [Team4 laps '[laps']]] - intermediate_results[[#This Row], [Total running average '[sec']]]</f>
        <v>0.30325487373698223</v>
      </c>
      <c r="AH117" s="1">
        <f>intermediate_results[[#This Row], [All cumulative times '[sec']]] / intermediate_results[[#This Row], [Team5 laps '[laps']]] - intermediate_results[[#This Row], [Total running average '[sec']]]</f>
        <v>0.19407977851900426</v>
      </c>
      <c r="AI117" s="1">
        <f>intermediate_results[[#This Row], [All cumulative times '[sec']]] / intermediate_results[[#This Row], [Team6 laps '[laps']]] - intermediate_results[[#This Row], [Total running average '[sec']]]</f>
        <v>0.80253253670959168</v>
      </c>
      <c r="AJ117" s="1">
        <f>intermediate_results[[#This Row], [All cumulative times '[sec']]] / intermediate_results[[#This Row], [Team7 laps '[laps']]] - intermediate_results[[#This Row], [Total running average '[sec']]]</f>
        <v>0.18499481511230442</v>
      </c>
      <c r="AK117" s="1">
        <f>intermediate_results[[#This Row], [All cumulative times '[sec']]] / intermediate_results[[#This Row], [Team8 laps '[laps']]] - intermediate_results[[#This Row], [Total running average '[sec']]]</f>
        <v>1.8171038208462633</v>
      </c>
      <c r="AL117" s="1">
        <f>intermediate_results[[#This Row], [All cumulative times '[sec']]] / intermediate_results[[#This Row], [Team9 laps '[laps']]] - intermediate_results[[#This Row], [Total running average '[sec']]]</f>
        <v>1.5478286948918694</v>
      </c>
    </row>
    <row r="118" spans="1:38" x14ac:dyDescent="0.25">
      <c r="A118" s="1">
        <v>737.13299999999981</v>
      </c>
      <c r="B118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13.913429732539456</v>
      </c>
      <c r="C118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13.865004641294256</v>
      </c>
      <c r="D118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13.672900020777845</v>
      </c>
      <c r="E118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13.357382827559617</v>
      </c>
      <c r="F118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13.383625666684988</v>
      </c>
      <c r="G118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13.237419074043846</v>
      </c>
      <c r="H118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13.385800659582262</v>
      </c>
      <c r="I118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13</v>
      </c>
      <c r="J118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13.06279959067162</v>
      </c>
      <c r="K118" s="1">
        <f>intermediate_results[[#This Row], [Team1 laps '[laps']]] - intermediate_results[[#This Row], [Team1 laps '[laps']]]</f>
        <v>0</v>
      </c>
      <c r="L118" s="1">
        <f>intermediate_results[[#This Row], [Team1 laps '[laps']]] - intermediate_results[[#This Row], [Team2 laps '[laps']]]</f>
        <v>4.8425091245199781E-2</v>
      </c>
      <c r="M118" s="1">
        <f>intermediate_results[[#This Row], [Team1 laps '[laps']]] - intermediate_results[[#This Row], [Team3 laps '[laps']]]</f>
        <v>0.24052971176161009</v>
      </c>
      <c r="N118" s="1">
        <f>intermediate_results[[#This Row], [Team1 laps '[laps']]] - intermediate_results[[#This Row], [Team4 laps '[laps']]]</f>
        <v>0.55604690497983889</v>
      </c>
      <c r="O118" s="1">
        <f>intermediate_results[[#This Row], [Team1 laps '[laps']]] - intermediate_results[[#This Row], [Team5 laps '[laps']]]</f>
        <v>0.52980406585446715</v>
      </c>
      <c r="P118" s="1">
        <f>intermediate_results[[#This Row], [Team1 laps '[laps']]] - intermediate_results[[#This Row], [Team6 laps '[laps']]]</f>
        <v>0.67601065849560982</v>
      </c>
      <c r="Q118" s="1">
        <f>intermediate_results[[#This Row], [Team1 laps '[laps']]] - intermediate_results[[#This Row], [Team7 laps '[laps']]]</f>
        <v>0.5276290729571933</v>
      </c>
      <c r="R118" s="1">
        <f>intermediate_results[[#This Row], [Team1 laps '[laps']]] - intermediate_results[[#This Row], [Team8 laps '[laps']]]</f>
        <v>0.91342973253945559</v>
      </c>
      <c r="S118" s="1">
        <f>intermediate_results[[#This Row], [Team1 laps '[laps']]] - intermediate_results[[#This Row], [Team9 laps '[laps']]]</f>
        <v>0.85063014186783548</v>
      </c>
      <c r="T118" s="1">
        <f>MAX(intermediate_results[[#This Row], [Team1 laps '[laps']]:[Team9 laps '[laps']]]) - intermediate_results[[#This Row], [Team1 laps '[laps']]]</f>
        <v>0</v>
      </c>
      <c r="U118" s="1">
        <f>MAX(intermediate_results[[#This Row], [Team1 laps '[laps']]:[Team9 laps '[laps']]]) - intermediate_results[[#This Row], [Team2 laps '[laps']]]</f>
        <v>4.8425091245199781E-2</v>
      </c>
      <c r="V118" s="1">
        <f>MAX(intermediate_results[[#This Row], [Team1 laps '[laps']]:[Team9 laps '[laps']]]) - intermediate_results[[#This Row], [Team3 laps '[laps']]]</f>
        <v>0.24052971176161009</v>
      </c>
      <c r="W118" s="1">
        <f>MAX(intermediate_results[[#This Row], [Team1 laps '[laps']]:[Team9 laps '[laps']]]) - intermediate_results[[#This Row], [Team4 laps '[laps']]]</f>
        <v>0.55604690497983889</v>
      </c>
      <c r="X118" s="1">
        <f>MAX(intermediate_results[[#This Row], [Team1 laps '[laps']]:[Team9 laps '[laps']]]) - intermediate_results[[#This Row], [Team5 laps '[laps']]]</f>
        <v>0.52980406585446715</v>
      </c>
      <c r="Y118" s="1">
        <f>MAX(intermediate_results[[#This Row], [Team1 laps '[laps']]:[Team9 laps '[laps']]]) - intermediate_results[[#This Row], [Team6 laps '[laps']]]</f>
        <v>0.67601065849560982</v>
      </c>
      <c r="Z118" s="1">
        <f>MAX(intermediate_results[[#This Row], [Team1 laps '[laps']]:[Team9 laps '[laps']]]) - intermediate_results[[#This Row], [Team7 laps '[laps']]]</f>
        <v>0.5276290729571933</v>
      </c>
      <c r="AA118" s="1">
        <f>MAX(intermediate_results[[#This Row], [Team1 laps '[laps']]:[Team9 laps '[laps']]]) - intermediate_results[[#This Row], [Team8 laps '[laps']]]</f>
        <v>0.91342973253945559</v>
      </c>
      <c r="AB118" s="1">
        <f>MAX(intermediate_results[[#This Row], [Team1 laps '[laps']]:[Team9 laps '[laps']]]) - intermediate_results[[#This Row], [Team9 laps '[laps']]]</f>
        <v>0.85063014186783548</v>
      </c>
      <c r="AC118" s="1">
        <f>9 * intermediate_results[[#This Row], [All cumulative times '[sec']]] / SUM(intermediate_results[[#This Row], [Team1 laps '[laps']]:[Team9 laps '[laps']]])</f>
        <v>54.883246914790433</v>
      </c>
      <c r="AD118" s="1">
        <f>intermediate_results[[#This Row], [All cumulative times '[sec']]] / intermediate_results[[#This Row], [Team1 laps '[laps']]] - intermediate_results[[#This Row], [Total running average '[sec']]]</f>
        <v>-1.9032833709303105</v>
      </c>
      <c r="AE118" s="1">
        <f>intermediate_results[[#This Row], [All cumulative times '[sec']]] / intermediate_results[[#This Row], [Team2 laps '[laps']]] - intermediate_results[[#This Row], [Total running average '[sec']]]</f>
        <v>-1.7182448776046257</v>
      </c>
      <c r="AF118" s="1">
        <f>intermediate_results[[#This Row], [All cumulative times '[sec']]] / intermediate_results[[#This Row], [Team3 laps '[laps']]] - intermediate_results[[#This Row], [Total running average '[sec']]]</f>
        <v>-0.97127513997856596</v>
      </c>
      <c r="AG118" s="1">
        <f>intermediate_results[[#This Row], [All cumulative times '[sec']]] / intermediate_results[[#This Row], [Team4 laps '[laps']]] - intermediate_results[[#This Row], [Total running average '[sec']]]</f>
        <v>0.30218944772141754</v>
      </c>
      <c r="AH118" s="1">
        <f>intermediate_results[[#This Row], [All cumulative times '[sec']]] / intermediate_results[[#This Row], [Team5 laps '[laps']]] - intermediate_results[[#This Row], [Total running average '[sec']]]</f>
        <v>0.19398091256118732</v>
      </c>
      <c r="AI118" s="1">
        <f>intermediate_results[[#This Row], [All cumulative times '[sec']]] / intermediate_results[[#This Row], [Team6 laps '[laps']]] - intermediate_results[[#This Row], [Total running average '[sec']]]</f>
        <v>0.80230597711601348</v>
      </c>
      <c r="AJ118" s="1">
        <f>intermediate_results[[#This Row], [All cumulative times '[sec']]] / intermediate_results[[#This Row], [Team7 laps '[laps']]] - intermediate_results[[#This Row], [Total running average '[sec']]]</f>
        <v>0.18503168476581777</v>
      </c>
      <c r="AK118" s="1">
        <f>intermediate_results[[#This Row], [All cumulative times '[sec']]] / intermediate_results[[#This Row], [Team8 laps '[laps']]] - intermediate_results[[#This Row], [Total running average '[sec']]]</f>
        <v>1.819291546748012</v>
      </c>
      <c r="AL118" s="1">
        <f>intermediate_results[[#This Row], [All cumulative times '[sec']]] / intermediate_results[[#This Row], [Team9 laps '[laps']]] - intermediate_results[[#This Row], [Total running average '[sec']]]</f>
        <v>1.5466933046399944</v>
      </c>
    </row>
    <row r="119" spans="1:38" x14ac:dyDescent="0.25">
      <c r="A119" s="1">
        <v>741.71299999999985</v>
      </c>
      <c r="B119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14</v>
      </c>
      <c r="C119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13.951768427832608</v>
      </c>
      <c r="D119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13.759411420260289</v>
      </c>
      <c r="E119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13.441464265388921</v>
      </c>
      <c r="F119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13.467568409669905</v>
      </c>
      <c r="G119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13.320475853689494</v>
      </c>
      <c r="H119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13.469714181018688</v>
      </c>
      <c r="I119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13.079832665156006</v>
      </c>
      <c r="J119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13.14502432631371</v>
      </c>
      <c r="K119" s="1">
        <f>intermediate_results[[#This Row], [Team1 laps '[laps']]] - intermediate_results[[#This Row], [Team1 laps '[laps']]]</f>
        <v>0</v>
      </c>
      <c r="L119" s="1">
        <f>intermediate_results[[#This Row], [Team1 laps '[laps']]] - intermediate_results[[#This Row], [Team2 laps '[laps']]]</f>
        <v>4.8231572167392045E-2</v>
      </c>
      <c r="M119" s="1">
        <f>intermediate_results[[#This Row], [Team1 laps '[laps']]] - intermediate_results[[#This Row], [Team3 laps '[laps']]]</f>
        <v>0.24058857973971115</v>
      </c>
      <c r="N119" s="1">
        <f>intermediate_results[[#This Row], [Team1 laps '[laps']]] - intermediate_results[[#This Row], [Team4 laps '[laps']]]</f>
        <v>0.55853573461107864</v>
      </c>
      <c r="O119" s="1">
        <f>intermediate_results[[#This Row], [Team1 laps '[laps']]] - intermediate_results[[#This Row], [Team5 laps '[laps']]]</f>
        <v>0.53243159033009491</v>
      </c>
      <c r="P119" s="1">
        <f>intermediate_results[[#This Row], [Team1 laps '[laps']]] - intermediate_results[[#This Row], [Team6 laps '[laps']]]</f>
        <v>0.67952414631050573</v>
      </c>
      <c r="Q119" s="1">
        <f>intermediate_results[[#This Row], [Team1 laps '[laps']]] - intermediate_results[[#This Row], [Team7 laps '[laps']]]</f>
        <v>0.53028581898131222</v>
      </c>
      <c r="R119" s="1">
        <f>intermediate_results[[#This Row], [Team1 laps '[laps']]] - intermediate_results[[#This Row], [Team8 laps '[laps']]]</f>
        <v>0.9201673348439936</v>
      </c>
      <c r="S119" s="1">
        <f>intermediate_results[[#This Row], [Team1 laps '[laps']]] - intermediate_results[[#This Row], [Team9 laps '[laps']]]</f>
        <v>0.85497567368629035</v>
      </c>
      <c r="T119" s="1">
        <f>MAX(intermediate_results[[#This Row], [Team1 laps '[laps']]:[Team9 laps '[laps']]]) - intermediate_results[[#This Row], [Team1 laps '[laps']]]</f>
        <v>0</v>
      </c>
      <c r="U119" s="1">
        <f>MAX(intermediate_results[[#This Row], [Team1 laps '[laps']]:[Team9 laps '[laps']]]) - intermediate_results[[#This Row], [Team2 laps '[laps']]]</f>
        <v>4.8231572167392045E-2</v>
      </c>
      <c r="V119" s="1">
        <f>MAX(intermediate_results[[#This Row], [Team1 laps '[laps']]:[Team9 laps '[laps']]]) - intermediate_results[[#This Row], [Team3 laps '[laps']]]</f>
        <v>0.24058857973971115</v>
      </c>
      <c r="W119" s="1">
        <f>MAX(intermediate_results[[#This Row], [Team1 laps '[laps']]:[Team9 laps '[laps']]]) - intermediate_results[[#This Row], [Team4 laps '[laps']]]</f>
        <v>0.55853573461107864</v>
      </c>
      <c r="X119" s="1">
        <f>MAX(intermediate_results[[#This Row], [Team1 laps '[laps']]:[Team9 laps '[laps']]]) - intermediate_results[[#This Row], [Team5 laps '[laps']]]</f>
        <v>0.53243159033009491</v>
      </c>
      <c r="Y119" s="1">
        <f>MAX(intermediate_results[[#This Row], [Team1 laps '[laps']]:[Team9 laps '[laps']]]) - intermediate_results[[#This Row], [Team6 laps '[laps']]]</f>
        <v>0.67952414631050573</v>
      </c>
      <c r="Z119" s="1">
        <f>MAX(intermediate_results[[#This Row], [Team1 laps '[laps']]:[Team9 laps '[laps']]]) - intermediate_results[[#This Row], [Team7 laps '[laps']]]</f>
        <v>0.53028581898131222</v>
      </c>
      <c r="AA119" s="1">
        <f>MAX(intermediate_results[[#This Row], [Team1 laps '[laps']]:[Team9 laps '[laps']]]) - intermediate_results[[#This Row], [Team8 laps '[laps']]]</f>
        <v>0.9201673348439936</v>
      </c>
      <c r="AB119" s="1">
        <f>MAX(intermediate_results[[#This Row], [Team1 laps '[laps']]:[Team9 laps '[laps']]]) - intermediate_results[[#This Row], [Team9 laps '[laps']]]</f>
        <v>0.85497567368629035</v>
      </c>
      <c r="AC119" s="1">
        <f>9 * intermediate_results[[#This Row], [All cumulative times '[sec']]] / SUM(intermediate_results[[#This Row], [Team1 laps '[laps']]:[Team9 laps '[laps']]])</f>
        <v>54.880608013934967</v>
      </c>
      <c r="AD119" s="1">
        <f>intermediate_results[[#This Row], [All cumulative times '[sec']]] / intermediate_results[[#This Row], [Team1 laps '[laps']]] - intermediate_results[[#This Row], [Total running average '[sec']]]</f>
        <v>-1.9011080139349801</v>
      </c>
      <c r="AE119" s="1">
        <f>intermediate_results[[#This Row], [All cumulative times '[sec']]] / intermediate_results[[#This Row], [Team2 laps '[laps']]] - intermediate_results[[#This Row], [Total running average '[sec']]]</f>
        <v>-1.7179567101515261</v>
      </c>
      <c r="AF119" s="1">
        <f>intermediate_results[[#This Row], [All cumulative times '[sec']]] / intermediate_results[[#This Row], [Team3 laps '[laps']]] - intermediate_results[[#This Row], [Total running average '[sec']]]</f>
        <v>-0.97474116065871641</v>
      </c>
      <c r="AG119" s="1">
        <f>intermediate_results[[#This Row], [All cumulative times '[sec']]] / intermediate_results[[#This Row], [Team4 laps '[laps']]] - intermediate_results[[#This Row], [Total running average '[sec']]]</f>
        <v>0.30035927918001448</v>
      </c>
      <c r="AH119" s="1">
        <f>intermediate_results[[#This Row], [All cumulative times '[sec']]] / intermediate_results[[#This Row], [Team5 laps '[laps']]] - intermediate_results[[#This Row], [Total running average '[sec']]]</f>
        <v>0.1934021887857682</v>
      </c>
      <c r="AI119" s="1">
        <f>intermediate_results[[#This Row], [All cumulative times '[sec']]] / intermediate_results[[#This Row], [Team6 laps '[laps']]] - intermediate_results[[#This Row], [Total running average '[sec']]]</f>
        <v>0.80156191354257089</v>
      </c>
      <c r="AJ119" s="1">
        <f>intermediate_results[[#This Row], [All cumulative times '[sec']]] / intermediate_results[[#This Row], [Team7 laps '[laps']]] - intermediate_results[[#This Row], [Total running average '[sec']]]</f>
        <v>0.1846287113706282</v>
      </c>
      <c r="AK119" s="1">
        <f>intermediate_results[[#This Row], [All cumulative times '[sec']]] / intermediate_results[[#This Row], [Team8 laps '[laps']]] - intermediate_results[[#This Row], [Total running average '[sec']]]</f>
        <v>1.8260042943313834</v>
      </c>
      <c r="AL119" s="1">
        <f>intermediate_results[[#This Row], [All cumulative times '[sec']]] / intermediate_results[[#This Row], [Team9 laps '[laps']]] - intermediate_results[[#This Row], [Total running average '[sec']]]</f>
        <v>1.5447725397730068</v>
      </c>
    </row>
    <row r="120" spans="1:38" x14ac:dyDescent="0.25">
      <c r="A120" s="1">
        <v>744.25900000000001</v>
      </c>
      <c r="B120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14.048663939753052</v>
      </c>
      <c r="C120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14</v>
      </c>
      <c r="D120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13.807502691675641</v>
      </c>
      <c r="E120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13.488204732793598</v>
      </c>
      <c r="F120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13.514231777276807</v>
      </c>
      <c r="G120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13.366646718531817</v>
      </c>
      <c r="H120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13.516361304507148</v>
      </c>
      <c r="I120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13.124211260240548</v>
      </c>
      <c r="J120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13.190732661891172</v>
      </c>
      <c r="K120" s="1">
        <f>intermediate_results[[#This Row], [Team1 laps '[laps']]] - intermediate_results[[#This Row], [Team1 laps '[laps']]]</f>
        <v>0</v>
      </c>
      <c r="L120" s="1">
        <f>intermediate_results[[#This Row], [Team1 laps '[laps']]] - intermediate_results[[#This Row], [Team2 laps '[laps']]]</f>
        <v>4.8663939753051721E-2</v>
      </c>
      <c r="M120" s="1">
        <f>intermediate_results[[#This Row], [Team1 laps '[laps']]] - intermediate_results[[#This Row], [Team3 laps '[laps']]]</f>
        <v>0.24116124807741102</v>
      </c>
      <c r="N120" s="1">
        <f>intermediate_results[[#This Row], [Team1 laps '[laps']]] - intermediate_results[[#This Row], [Team4 laps '[laps']]]</f>
        <v>0.56045920695945384</v>
      </c>
      <c r="O120" s="1">
        <f>intermediate_results[[#This Row], [Team1 laps '[laps']]] - intermediate_results[[#This Row], [Team5 laps '[laps']]]</f>
        <v>0.5344321624762447</v>
      </c>
      <c r="P120" s="1">
        <f>intermediate_results[[#This Row], [Team1 laps '[laps']]] - intermediate_results[[#This Row], [Team6 laps '[laps']]]</f>
        <v>0.6820172212212352</v>
      </c>
      <c r="Q120" s="1">
        <f>intermediate_results[[#This Row], [Team1 laps '[laps']]] - intermediate_results[[#This Row], [Team7 laps '[laps']]]</f>
        <v>0.53230263524590349</v>
      </c>
      <c r="R120" s="1">
        <f>intermediate_results[[#This Row], [Team1 laps '[laps']]] - intermediate_results[[#This Row], [Team8 laps '[laps']]]</f>
        <v>0.92445267951250365</v>
      </c>
      <c r="S120" s="1">
        <f>intermediate_results[[#This Row], [Team1 laps '[laps']]] - intermediate_results[[#This Row], [Team9 laps '[laps']]]</f>
        <v>0.85793127786187995</v>
      </c>
      <c r="T120" s="1">
        <f>MAX(intermediate_results[[#This Row], [Team1 laps '[laps']]:[Team9 laps '[laps']]]) - intermediate_results[[#This Row], [Team1 laps '[laps']]]</f>
        <v>0</v>
      </c>
      <c r="U120" s="1">
        <f>MAX(intermediate_results[[#This Row], [Team1 laps '[laps']]:[Team9 laps '[laps']]]) - intermediate_results[[#This Row], [Team2 laps '[laps']]]</f>
        <v>4.8663939753051721E-2</v>
      </c>
      <c r="V120" s="1">
        <f>MAX(intermediate_results[[#This Row], [Team1 laps '[laps']]:[Team9 laps '[laps']]]) - intermediate_results[[#This Row], [Team3 laps '[laps']]]</f>
        <v>0.24116124807741102</v>
      </c>
      <c r="W120" s="1">
        <f>MAX(intermediate_results[[#This Row], [Team1 laps '[laps']]:[Team9 laps '[laps']]]) - intermediate_results[[#This Row], [Team4 laps '[laps']]]</f>
        <v>0.56045920695945384</v>
      </c>
      <c r="X120" s="1">
        <f>MAX(intermediate_results[[#This Row], [Team1 laps '[laps']]:[Team9 laps '[laps']]]) - intermediate_results[[#This Row], [Team5 laps '[laps']]]</f>
        <v>0.5344321624762447</v>
      </c>
      <c r="Y120" s="1">
        <f>MAX(intermediate_results[[#This Row], [Team1 laps '[laps']]:[Team9 laps '[laps']]]) - intermediate_results[[#This Row], [Team6 laps '[laps']]]</f>
        <v>0.6820172212212352</v>
      </c>
      <c r="Z120" s="1">
        <f>MAX(intermediate_results[[#This Row], [Team1 laps '[laps']]:[Team9 laps '[laps']]]) - intermediate_results[[#This Row], [Team7 laps '[laps']]]</f>
        <v>0.53230263524590349</v>
      </c>
      <c r="AA120" s="1">
        <f>MAX(intermediate_results[[#This Row], [Team1 laps '[laps']]:[Team9 laps '[laps']]]) - intermediate_results[[#This Row], [Team8 laps '[laps']]]</f>
        <v>0.92445267951250365</v>
      </c>
      <c r="AB120" s="1">
        <f>MAX(intermediate_results[[#This Row], [Team1 laps '[laps']]:[Team9 laps '[laps']]]) - intermediate_results[[#This Row], [Team9 laps '[laps']]]</f>
        <v>0.85793127786187995</v>
      </c>
      <c r="AC120" s="1">
        <f>9 * intermediate_results[[#This Row], [All cumulative times '[sec']]] / SUM(intermediate_results[[#This Row], [Team1 laps '[laps']]:[Team9 laps '[laps']]])</f>
        <v>54.878912445494279</v>
      </c>
      <c r="AD120" s="1">
        <f>intermediate_results[[#This Row], [All cumulative times '[sec']]] / intermediate_results[[#This Row], [Team1 laps '[laps']]] - intermediate_results[[#This Row], [Total running average '[sec']]]</f>
        <v>-1.9017038517294083</v>
      </c>
      <c r="AE120" s="1">
        <f>intermediate_results[[#This Row], [All cumulative times '[sec']]] / intermediate_results[[#This Row], [Team2 laps '[laps']]] - intermediate_results[[#This Row], [Total running average '[sec']]]</f>
        <v>-1.7175553026371375</v>
      </c>
      <c r="AF120" s="1">
        <f>intermediate_results[[#This Row], [All cumulative times '[sec']]] / intermediate_results[[#This Row], [Team3 laps '[laps']]] - intermediate_results[[#This Row], [Total running average '[sec']]]</f>
        <v>-0.97640620526708233</v>
      </c>
      <c r="AG120" s="1">
        <f>intermediate_results[[#This Row], [All cumulative times '[sec']]] / intermediate_results[[#This Row], [Team4 laps '[laps']]] - intermediate_results[[#This Row], [Total running average '[sec']]]</f>
        <v>0.29959460893218903</v>
      </c>
      <c r="AH120" s="1">
        <f>intermediate_results[[#This Row], [All cumulative times '[sec']]] / intermediate_results[[#This Row], [Team5 laps '[laps']]] - intermediate_results[[#This Row], [Total running average '[sec']]]</f>
        <v>0.19332638138577352</v>
      </c>
      <c r="AI120" s="1">
        <f>intermediate_results[[#This Row], [All cumulative times '[sec']]] / intermediate_results[[#This Row], [Team6 laps '[laps']]] - intermediate_results[[#This Row], [Total running average '[sec']]]</f>
        <v>0.80139508953937622</v>
      </c>
      <c r="AJ120" s="1">
        <f>intermediate_results[[#This Row], [All cumulative times '[sec']]] / intermediate_results[[#This Row], [Team7 laps '[laps']]] - intermediate_results[[#This Row], [Total running average '[sec']]]</f>
        <v>0.18464965030589298</v>
      </c>
      <c r="AK120" s="1">
        <f>intermediate_results[[#This Row], [All cumulative times '[sec']]] / intermediate_results[[#This Row], [Team8 laps '[laps']]] - intermediate_results[[#This Row], [Total running average '[sec']]]</f>
        <v>1.8299430614810603</v>
      </c>
      <c r="AL120" s="1">
        <f>intermediate_results[[#This Row], [All cumulative times '[sec']]] / intermediate_results[[#This Row], [Team9 laps '[laps']]] - intermediate_results[[#This Row], [Total running average '[sec']]]</f>
        <v>1.5439579952212341</v>
      </c>
    </row>
    <row r="121" spans="1:38" x14ac:dyDescent="0.25">
      <c r="A121" s="1">
        <v>754.44999999999993</v>
      </c>
      <c r="B121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14.243453495928746</v>
      </c>
      <c r="C121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14.189882615986583</v>
      </c>
      <c r="D121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14</v>
      </c>
      <c r="E121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13.675295111160066</v>
      </c>
      <c r="F121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13.701013544473156</v>
      </c>
      <c r="G121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13.551457120577405</v>
      </c>
      <c r="H121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13.703078050567974</v>
      </c>
      <c r="I121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13.301847655569114</v>
      </c>
      <c r="J121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13.373691675194342</v>
      </c>
      <c r="K121" s="1">
        <f>intermediate_results[[#This Row], [Team1 laps '[laps']]] - intermediate_results[[#This Row], [Team1 laps '[laps']]]</f>
        <v>0</v>
      </c>
      <c r="L121" s="1">
        <f>intermediate_results[[#This Row], [Team1 laps '[laps']]] - intermediate_results[[#This Row], [Team2 laps '[laps']]]</f>
        <v>5.3570879942162364E-2</v>
      </c>
      <c r="M121" s="1">
        <f>intermediate_results[[#This Row], [Team1 laps '[laps']]] - intermediate_results[[#This Row], [Team3 laps '[laps']]]</f>
        <v>0.24345349592874577</v>
      </c>
      <c r="N121" s="1">
        <f>intermediate_results[[#This Row], [Team1 laps '[laps']]] - intermediate_results[[#This Row], [Team4 laps '[laps']]]</f>
        <v>0.56815838476867953</v>
      </c>
      <c r="O121" s="1">
        <f>intermediate_results[[#This Row], [Team1 laps '[laps']]] - intermediate_results[[#This Row], [Team5 laps '[laps']]]</f>
        <v>0.54243995145558976</v>
      </c>
      <c r="P121" s="1">
        <f>intermediate_results[[#This Row], [Team1 laps '[laps']]] - intermediate_results[[#This Row], [Team6 laps '[laps']]]</f>
        <v>0.69199637535134073</v>
      </c>
      <c r="Q121" s="1">
        <f>intermediate_results[[#This Row], [Team1 laps '[laps']]] - intermediate_results[[#This Row], [Team7 laps '[laps']]]</f>
        <v>0.54037544536077142</v>
      </c>
      <c r="R121" s="1">
        <f>intermediate_results[[#This Row], [Team1 laps '[laps']]] - intermediate_results[[#This Row], [Team8 laps '[laps']]]</f>
        <v>0.94160584035963169</v>
      </c>
      <c r="S121" s="1">
        <f>intermediate_results[[#This Row], [Team1 laps '[laps']]] - intermediate_results[[#This Row], [Team9 laps '[laps']]]</f>
        <v>0.86976182073440356</v>
      </c>
      <c r="T121" s="1">
        <f>MAX(intermediate_results[[#This Row], [Team1 laps '[laps']]:[Team9 laps '[laps']]]) - intermediate_results[[#This Row], [Team1 laps '[laps']]]</f>
        <v>0</v>
      </c>
      <c r="U121" s="1">
        <f>MAX(intermediate_results[[#This Row], [Team1 laps '[laps']]:[Team9 laps '[laps']]]) - intermediate_results[[#This Row], [Team2 laps '[laps']]]</f>
        <v>5.3570879942162364E-2</v>
      </c>
      <c r="V121" s="1">
        <f>MAX(intermediate_results[[#This Row], [Team1 laps '[laps']]:[Team9 laps '[laps']]]) - intermediate_results[[#This Row], [Team3 laps '[laps']]]</f>
        <v>0.24345349592874577</v>
      </c>
      <c r="W121" s="1">
        <f>MAX(intermediate_results[[#This Row], [Team1 laps '[laps']]:[Team9 laps '[laps']]]) - intermediate_results[[#This Row], [Team4 laps '[laps']]]</f>
        <v>0.56815838476867953</v>
      </c>
      <c r="X121" s="1">
        <f>MAX(intermediate_results[[#This Row], [Team1 laps '[laps']]:[Team9 laps '[laps']]]) - intermediate_results[[#This Row], [Team5 laps '[laps']]]</f>
        <v>0.54243995145558976</v>
      </c>
      <c r="Y121" s="1">
        <f>MAX(intermediate_results[[#This Row], [Team1 laps '[laps']]:[Team9 laps '[laps']]]) - intermediate_results[[#This Row], [Team6 laps '[laps']]]</f>
        <v>0.69199637535134073</v>
      </c>
      <c r="Z121" s="1">
        <f>MAX(intermediate_results[[#This Row], [Team1 laps '[laps']]:[Team9 laps '[laps']]]) - intermediate_results[[#This Row], [Team7 laps '[laps']]]</f>
        <v>0.54037544536077142</v>
      </c>
      <c r="AA121" s="1">
        <f>MAX(intermediate_results[[#This Row], [Team1 laps '[laps']]:[Team9 laps '[laps']]]) - intermediate_results[[#This Row], [Team8 laps '[laps']]]</f>
        <v>0.94160584035963169</v>
      </c>
      <c r="AB121" s="1">
        <f>MAX(intermediate_results[[#This Row], [Team1 laps '[laps']]:[Team9 laps '[laps']]]) - intermediate_results[[#This Row], [Team9 laps '[laps']]]</f>
        <v>0.86976182073440356</v>
      </c>
      <c r="AC121" s="1">
        <f>9 * intermediate_results[[#This Row], [All cumulative times '[sec']]] / SUM(intermediate_results[[#This Row], [Team1 laps '[laps']]:[Team9 laps '[laps']]])</f>
        <v>54.873649625904584</v>
      </c>
      <c r="AD121" s="1">
        <f>intermediate_results[[#This Row], [All cumulative times '[sec']]] / intermediate_results[[#This Row], [Team1 laps '[laps']]] - intermediate_results[[#This Row], [Total running average '[sec']]]</f>
        <v>-1.9054561877298539</v>
      </c>
      <c r="AE121" s="1">
        <f>intermediate_results[[#This Row], [All cumulative times '[sec']]] / intermediate_results[[#This Row], [Team2 laps '[laps']]] - intermediate_results[[#This Row], [Total running average '[sec']]]</f>
        <v>-1.7054860534996479</v>
      </c>
      <c r="AF121" s="1">
        <f>intermediate_results[[#This Row], [All cumulative times '[sec']]] / intermediate_results[[#This Row], [Team3 laps '[laps']]] - intermediate_results[[#This Row], [Total running average '[sec']]]</f>
        <v>-0.98436391161887116</v>
      </c>
      <c r="AG121" s="1">
        <f>intermediate_results[[#This Row], [All cumulative times '[sec']]] / intermediate_results[[#This Row], [Team4 laps '[laps']]] - intermediate_results[[#This Row], [Total running average '[sec']]]</f>
        <v>0.29517809352884683</v>
      </c>
      <c r="AH121" s="1">
        <f>intermediate_results[[#This Row], [All cumulative times '[sec']]] / intermediate_results[[#This Row], [Team5 laps '[laps']]] - intermediate_results[[#This Row], [Total running average '[sec']]]</f>
        <v>0.1916196369184604</v>
      </c>
      <c r="AI121" s="1">
        <f>intermediate_results[[#This Row], [All cumulative times '[sec']]] / intermediate_results[[#This Row], [Team6 laps '[laps']]] - intermediate_results[[#This Row], [Total running average '[sec']]]</f>
        <v>0.79933028224082392</v>
      </c>
      <c r="AJ121" s="1">
        <f>intermediate_results[[#This Row], [All cumulative times '[sec']]] / intermediate_results[[#This Row], [Team7 laps '[laps']]] - intermediate_results[[#This Row], [Total running average '[sec']]]</f>
        <v>0.18332350202187797</v>
      </c>
      <c r="AK121" s="1">
        <f>intermediate_results[[#This Row], [All cumulative times '[sec']]] / intermediate_results[[#This Row], [Team8 laps '[laps']]] - intermediate_results[[#This Row], [Total running average '[sec']]]</f>
        <v>1.8440349796721947</v>
      </c>
      <c r="AL121" s="1">
        <f>intermediate_results[[#This Row], [All cumulative times '[sec']]] / intermediate_results[[#This Row], [Team9 laps '[laps']]] - intermediate_results[[#This Row], [Total running average '[sec']]]</f>
        <v>1.5393452541375083</v>
      </c>
    </row>
    <row r="122" spans="1:38" x14ac:dyDescent="0.25">
      <c r="A122" s="1">
        <v>770.65599999999995</v>
      </c>
      <c r="B122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14.553213043312056</v>
      </c>
      <c r="C122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14.491839016210172</v>
      </c>
      <c r="D122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14.302046445744958</v>
      </c>
      <c r="E122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13.97281122064952</v>
      </c>
      <c r="F122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13.99803889224904</v>
      </c>
      <c r="G122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13.845347550913079</v>
      </c>
      <c r="H122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14</v>
      </c>
      <c r="I122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13.584329789088375</v>
      </c>
      <c r="J122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13.664637977774188</v>
      </c>
      <c r="K122" s="1">
        <f>intermediate_results[[#This Row], [Team1 laps '[laps']]] - intermediate_results[[#This Row], [Team1 laps '[laps']]]</f>
        <v>0</v>
      </c>
      <c r="L122" s="1">
        <f>intermediate_results[[#This Row], [Team1 laps '[laps']]] - intermediate_results[[#This Row], [Team2 laps '[laps']]]</f>
        <v>6.137402710188411E-2</v>
      </c>
      <c r="M122" s="1">
        <f>intermediate_results[[#This Row], [Team1 laps '[laps']]] - intermediate_results[[#This Row], [Team3 laps '[laps']]]</f>
        <v>0.25116659756709758</v>
      </c>
      <c r="N122" s="1">
        <f>intermediate_results[[#This Row], [Team1 laps '[laps']]] - intermediate_results[[#This Row], [Team4 laps '[laps']]]</f>
        <v>0.58040182266253559</v>
      </c>
      <c r="O122" s="1">
        <f>intermediate_results[[#This Row], [Team1 laps '[laps']]] - intermediate_results[[#This Row], [Team5 laps '[laps']]]</f>
        <v>0.55517415106301549</v>
      </c>
      <c r="P122" s="1">
        <f>intermediate_results[[#This Row], [Team1 laps '[laps']]] - intermediate_results[[#This Row], [Team6 laps '[laps']]]</f>
        <v>0.70786549239897667</v>
      </c>
      <c r="Q122" s="1">
        <f>intermediate_results[[#This Row], [Team1 laps '[laps']]] - intermediate_results[[#This Row], [Team7 laps '[laps']]]</f>
        <v>0.55321304331205567</v>
      </c>
      <c r="R122" s="1">
        <f>intermediate_results[[#This Row], [Team1 laps '[laps']]] - intermediate_results[[#This Row], [Team8 laps '[laps']]]</f>
        <v>0.96888325422368027</v>
      </c>
      <c r="S122" s="1">
        <f>intermediate_results[[#This Row], [Team1 laps '[laps']]] - intermediate_results[[#This Row], [Team9 laps '[laps']]]</f>
        <v>0.88857506553786791</v>
      </c>
      <c r="T122" s="1">
        <f>MAX(intermediate_results[[#This Row], [Team1 laps '[laps']]:[Team9 laps '[laps']]]) - intermediate_results[[#This Row], [Team1 laps '[laps']]]</f>
        <v>0</v>
      </c>
      <c r="U122" s="1">
        <f>MAX(intermediate_results[[#This Row], [Team1 laps '[laps']]:[Team9 laps '[laps']]]) - intermediate_results[[#This Row], [Team2 laps '[laps']]]</f>
        <v>6.137402710188411E-2</v>
      </c>
      <c r="V122" s="1">
        <f>MAX(intermediate_results[[#This Row], [Team1 laps '[laps']]:[Team9 laps '[laps']]]) - intermediate_results[[#This Row], [Team3 laps '[laps']]]</f>
        <v>0.25116659756709758</v>
      </c>
      <c r="W122" s="1">
        <f>MAX(intermediate_results[[#This Row], [Team1 laps '[laps']]:[Team9 laps '[laps']]]) - intermediate_results[[#This Row], [Team4 laps '[laps']]]</f>
        <v>0.58040182266253559</v>
      </c>
      <c r="X122" s="1">
        <f>MAX(intermediate_results[[#This Row], [Team1 laps '[laps']]:[Team9 laps '[laps']]]) - intermediate_results[[#This Row], [Team5 laps '[laps']]]</f>
        <v>0.55517415106301549</v>
      </c>
      <c r="Y122" s="1">
        <f>MAX(intermediate_results[[#This Row], [Team1 laps '[laps']]:[Team9 laps '[laps']]]) - intermediate_results[[#This Row], [Team6 laps '[laps']]]</f>
        <v>0.70786549239897667</v>
      </c>
      <c r="Z122" s="1">
        <f>MAX(intermediate_results[[#This Row], [Team1 laps '[laps']]:[Team9 laps '[laps']]]) - intermediate_results[[#This Row], [Team7 laps '[laps']]]</f>
        <v>0.55321304331205567</v>
      </c>
      <c r="AA122" s="1">
        <f>MAX(intermediate_results[[#This Row], [Team1 laps '[laps']]:[Team9 laps '[laps']]]) - intermediate_results[[#This Row], [Team8 laps '[laps']]]</f>
        <v>0.96888325422368027</v>
      </c>
      <c r="AB122" s="1">
        <f>MAX(intermediate_results[[#This Row], [Team1 laps '[laps']]:[Team9 laps '[laps']]]) - intermediate_results[[#This Row], [Team9 laps '[laps']]]</f>
        <v>0.88857506553786791</v>
      </c>
      <c r="AC122" s="1">
        <f>9 * intermediate_results[[#This Row], [All cumulative times '[sec']]] / SUM(intermediate_results[[#This Row], [Team1 laps '[laps']]:[Team9 laps '[laps']]])</f>
        <v>54.867334735138712</v>
      </c>
      <c r="AD122" s="1">
        <f>intermediate_results[[#This Row], [All cumulative times '[sec']]] / intermediate_results[[#This Row], [Team1 laps '[laps']]] - intermediate_results[[#This Row], [Total running average '[sec']]]</f>
        <v>-1.9129804144510416</v>
      </c>
      <c r="AE122" s="1">
        <f>intermediate_results[[#This Row], [All cumulative times '[sec']]] / intermediate_results[[#This Row], [Team2 laps '[laps']]] - intermediate_results[[#This Row], [Total running average '[sec']]]</f>
        <v>-1.6887147450901452</v>
      </c>
      <c r="AF122" s="1">
        <f>intermediate_results[[#This Row], [All cumulative times '[sec']]] / intermediate_results[[#This Row], [Team3 laps '[laps']]] - intermediate_results[[#This Row], [Total running average '[sec']]]</f>
        <v>-0.98301804497162237</v>
      </c>
      <c r="AG122" s="1">
        <f>intermediate_results[[#This Row], [All cumulative times '[sec']]] / intermediate_results[[#This Row], [Team4 laps '[laps']]] - intermediate_results[[#This Row], [Total running average '[sec']]]</f>
        <v>0.2866344862515362</v>
      </c>
      <c r="AH122" s="1">
        <f>intermediate_results[[#This Row], [All cumulative times '[sec']]] / intermediate_results[[#This Row], [Team5 laps '[laps']]] - intermediate_results[[#This Row], [Total running average '[sec']]]</f>
        <v>0.18723440359440957</v>
      </c>
      <c r="AI122" s="1">
        <f>intermediate_results[[#This Row], [All cumulative times '[sec']]] / intermediate_results[[#This Row], [Team6 laps '[laps']]] - intermediate_results[[#This Row], [Total running average '[sec']]]</f>
        <v>0.79439547178385794</v>
      </c>
      <c r="AJ122" s="1">
        <f>intermediate_results[[#This Row], [All cumulative times '[sec']]] / intermediate_results[[#This Row], [Team7 laps '[laps']]] - intermediate_results[[#This Row], [Total running average '[sec']]]</f>
        <v>0.17952240771843009</v>
      </c>
      <c r="AK122" s="1">
        <f>intermediate_results[[#This Row], [All cumulative times '[sec']]] / intermediate_results[[#This Row], [Team8 laps '[laps']]] - intermediate_results[[#This Row], [Total running average '[sec']]]</f>
        <v>1.8639145767728706</v>
      </c>
      <c r="AL122" s="1">
        <f>intermediate_results[[#This Row], [All cumulative times '[sec']]] / intermediate_results[[#This Row], [Team9 laps '[laps']]] - intermediate_results[[#This Row], [Total running average '[sec']]]</f>
        <v>1.5305004108408298</v>
      </c>
    </row>
    <row r="123" spans="1:38" x14ac:dyDescent="0.25">
      <c r="A123" s="1">
        <v>770.76300000000015</v>
      </c>
      <c r="B123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14.555258228525561</v>
      </c>
      <c r="C123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14.493832681199928</v>
      </c>
      <c r="D123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14.304040705259631</v>
      </c>
      <c r="E123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13.974775568651213</v>
      </c>
      <c r="F123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14</v>
      </c>
      <c r="G123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13.847287960393887</v>
      </c>
      <c r="H123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14.001943864111185</v>
      </c>
      <c r="I123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13.586194875370408</v>
      </c>
      <c r="J123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13.66655894867238</v>
      </c>
      <c r="K123" s="1">
        <f>intermediate_results[[#This Row], [Team1 laps '[laps']]] - intermediate_results[[#This Row], [Team1 laps '[laps']]]</f>
        <v>0</v>
      </c>
      <c r="L123" s="1">
        <f>intermediate_results[[#This Row], [Team1 laps '[laps']]] - intermediate_results[[#This Row], [Team2 laps '[laps']]]</f>
        <v>6.1425547325633545E-2</v>
      </c>
      <c r="M123" s="1">
        <f>intermediate_results[[#This Row], [Team1 laps '[laps']]] - intermediate_results[[#This Row], [Team3 laps '[laps']]]</f>
        <v>0.25121752326593061</v>
      </c>
      <c r="N123" s="1">
        <f>intermediate_results[[#This Row], [Team1 laps '[laps']]] - intermediate_results[[#This Row], [Team4 laps '[laps']]]</f>
        <v>0.58048265987434888</v>
      </c>
      <c r="O123" s="1">
        <f>intermediate_results[[#This Row], [Team1 laps '[laps']]] - intermediate_results[[#This Row], [Team5 laps '[laps']]]</f>
        <v>0.55525822852556139</v>
      </c>
      <c r="P123" s="1">
        <f>intermediate_results[[#This Row], [Team1 laps '[laps']]] - intermediate_results[[#This Row], [Team6 laps '[laps']]]</f>
        <v>0.70797026813167463</v>
      </c>
      <c r="Q123" s="1">
        <f>intermediate_results[[#This Row], [Team1 laps '[laps']]] - intermediate_results[[#This Row], [Team7 laps '[laps']]]</f>
        <v>0.55331436441437631</v>
      </c>
      <c r="R123" s="1">
        <f>intermediate_results[[#This Row], [Team1 laps '[laps']]] - intermediate_results[[#This Row], [Team8 laps '[laps']]]</f>
        <v>0.96906335315515335</v>
      </c>
      <c r="S123" s="1">
        <f>intermediate_results[[#This Row], [Team1 laps '[laps']]] - intermediate_results[[#This Row], [Team9 laps '[laps']]]</f>
        <v>0.88869927985318142</v>
      </c>
      <c r="T123" s="1">
        <f>MAX(intermediate_results[[#This Row], [Team1 laps '[laps']]:[Team9 laps '[laps']]]) - intermediate_results[[#This Row], [Team1 laps '[laps']]]</f>
        <v>0</v>
      </c>
      <c r="U123" s="1">
        <f>MAX(intermediate_results[[#This Row], [Team1 laps '[laps']]:[Team9 laps '[laps']]]) - intermediate_results[[#This Row], [Team2 laps '[laps']]]</f>
        <v>6.1425547325633545E-2</v>
      </c>
      <c r="V123" s="1">
        <f>MAX(intermediate_results[[#This Row], [Team1 laps '[laps']]:[Team9 laps '[laps']]]) - intermediate_results[[#This Row], [Team3 laps '[laps']]]</f>
        <v>0.25121752326593061</v>
      </c>
      <c r="W123" s="1">
        <f>MAX(intermediate_results[[#This Row], [Team1 laps '[laps']]:[Team9 laps '[laps']]]) - intermediate_results[[#This Row], [Team4 laps '[laps']]]</f>
        <v>0.58048265987434888</v>
      </c>
      <c r="X123" s="1">
        <f>MAX(intermediate_results[[#This Row], [Team1 laps '[laps']]:[Team9 laps '[laps']]]) - intermediate_results[[#This Row], [Team5 laps '[laps']]]</f>
        <v>0.55525822852556139</v>
      </c>
      <c r="Y123" s="1">
        <f>MAX(intermediate_results[[#This Row], [Team1 laps '[laps']]:[Team9 laps '[laps']]]) - intermediate_results[[#This Row], [Team6 laps '[laps']]]</f>
        <v>0.70797026813167463</v>
      </c>
      <c r="Z123" s="1">
        <f>MAX(intermediate_results[[#This Row], [Team1 laps '[laps']]:[Team9 laps '[laps']]]) - intermediate_results[[#This Row], [Team7 laps '[laps']]]</f>
        <v>0.55331436441437631</v>
      </c>
      <c r="AA123" s="1">
        <f>MAX(intermediate_results[[#This Row], [Team1 laps '[laps']]:[Team9 laps '[laps']]]) - intermediate_results[[#This Row], [Team8 laps '[laps']]]</f>
        <v>0.96906335315515335</v>
      </c>
      <c r="AB123" s="1">
        <f>MAX(intermediate_results[[#This Row], [Team1 laps '[laps']]:[Team9 laps '[laps']]]) - intermediate_results[[#This Row], [Team9 laps '[laps']]]</f>
        <v>0.88869927985318142</v>
      </c>
      <c r="AC123" s="1">
        <f>9 * intermediate_results[[#This Row], [All cumulative times '[sec']]] / SUM(intermediate_results[[#This Row], [Team1 laps '[laps']]:[Team9 laps '[laps']]])</f>
        <v>54.867301115311413</v>
      </c>
      <c r="AD123" s="1">
        <f>intermediate_results[[#This Row], [All cumulative times '[sec']]] / intermediate_results[[#This Row], [Team1 laps '[laps']]] - intermediate_results[[#This Row], [Total running average '[sec']]]</f>
        <v>-1.9130362099008025</v>
      </c>
      <c r="AE123" s="1">
        <f>intermediate_results[[#This Row], [All cumulative times '[sec']]] / intermediate_results[[#This Row], [Team2 laps '[laps']]] - intermediate_results[[#This Row], [Total running average '[sec']]]</f>
        <v>-1.6886135346438564</v>
      </c>
      <c r="AF123" s="1">
        <f>intermediate_results[[#This Row], [All cumulative times '[sec']]] / intermediate_results[[#This Row], [Team3 laps '[laps']]] - intermediate_results[[#This Row], [Total running average '[sec']]]</f>
        <v>-0.98301653573882675</v>
      </c>
      <c r="AG123" s="1">
        <f>intermediate_results[[#This Row], [All cumulative times '[sec']]] / intermediate_results[[#This Row], [Team4 laps '[laps']]] - intermediate_results[[#This Row], [Total running average '[sec']]]</f>
        <v>0.28657210530811739</v>
      </c>
      <c r="AH123" s="1">
        <f>intermediate_results[[#This Row], [All cumulative times '[sec']]] / intermediate_results[[#This Row], [Team5 laps '[laps']]] - intermediate_results[[#This Row], [Total running average '[sec']]]</f>
        <v>0.18719888468859835</v>
      </c>
      <c r="AI123" s="1">
        <f>intermediate_results[[#This Row], [All cumulative times '[sec']]] / intermediate_results[[#This Row], [Team6 laps '[laps']]] - intermediate_results[[#This Row], [Total running average '[sec']]]</f>
        <v>0.79435640235862337</v>
      </c>
      <c r="AJ123" s="1">
        <f>intermediate_results[[#This Row], [All cumulative times '[sec']]] / intermediate_results[[#This Row], [Team7 laps '[laps']]] - intermediate_results[[#This Row], [Total running average '[sec']]]</f>
        <v>0.17955576972200049</v>
      </c>
      <c r="AK123" s="1">
        <f>intermediate_results[[#This Row], [All cumulative times '[sec']]] / intermediate_results[[#This Row], [Team8 laps '[laps']]] - intermediate_results[[#This Row], [Total running average '[sec']]]</f>
        <v>1.8640358830463697</v>
      </c>
      <c r="AL123" s="1">
        <f>intermediate_results[[#This Row], [All cumulative times '[sec']]] / intermediate_results[[#This Row], [Team9 laps '[laps']]] - intermediate_results[[#This Row], [Total running average '[sec']]]</f>
        <v>1.5304360835520114</v>
      </c>
    </row>
    <row r="124" spans="1:38" x14ac:dyDescent="0.25">
      <c r="A124" s="1">
        <v>772.13699999999994</v>
      </c>
      <c r="B124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14.581520700332582</v>
      </c>
      <c r="C124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14.519433575554313</v>
      </c>
      <c r="D124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14.329649233980691</v>
      </c>
      <c r="E124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14</v>
      </c>
      <c r="F124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14.024674065294684</v>
      </c>
      <c r="G124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13.872204994287578</v>
      </c>
      <c r="H124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14.026905259333272</v>
      </c>
      <c r="I124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13.610144674917207</v>
      </c>
      <c r="J124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13.691226369365003</v>
      </c>
      <c r="K124" s="1">
        <f>intermediate_results[[#This Row], [Team1 laps '[laps']]] - intermediate_results[[#This Row], [Team1 laps '[laps']]]</f>
        <v>0</v>
      </c>
      <c r="L124" s="1">
        <f>intermediate_results[[#This Row], [Team1 laps '[laps']]] - intermediate_results[[#This Row], [Team2 laps '[laps']]]</f>
        <v>6.2087124778269498E-2</v>
      </c>
      <c r="M124" s="1">
        <f>intermediate_results[[#This Row], [Team1 laps '[laps']]] - intermediate_results[[#This Row], [Team3 laps '[laps']]]</f>
        <v>0.25187146635189173</v>
      </c>
      <c r="N124" s="1">
        <f>intermediate_results[[#This Row], [Team1 laps '[laps']]] - intermediate_results[[#This Row], [Team4 laps '[laps']]]</f>
        <v>0.58152070033258241</v>
      </c>
      <c r="O124" s="1">
        <f>intermediate_results[[#This Row], [Team1 laps '[laps']]] - intermediate_results[[#This Row], [Team5 laps '[laps']]]</f>
        <v>0.556846635037898</v>
      </c>
      <c r="P124" s="1">
        <f>intermediate_results[[#This Row], [Team1 laps '[laps']]] - intermediate_results[[#This Row], [Team6 laps '[laps']]]</f>
        <v>0.70931570604500394</v>
      </c>
      <c r="Q124" s="1">
        <f>intermediate_results[[#This Row], [Team1 laps '[laps']]] - intermediate_results[[#This Row], [Team7 laps '[laps']]]</f>
        <v>0.55461544099931004</v>
      </c>
      <c r="R124" s="1">
        <f>intermediate_results[[#This Row], [Team1 laps '[laps']]] - intermediate_results[[#This Row], [Team8 laps '[laps']]]</f>
        <v>0.97137602541537582</v>
      </c>
      <c r="S124" s="1">
        <f>intermediate_results[[#This Row], [Team1 laps '[laps']]] - intermediate_results[[#This Row], [Team9 laps '[laps']]]</f>
        <v>0.89029433096757948</v>
      </c>
      <c r="T124" s="1">
        <f>MAX(intermediate_results[[#This Row], [Team1 laps '[laps']]:[Team9 laps '[laps']]]) - intermediate_results[[#This Row], [Team1 laps '[laps']]]</f>
        <v>0</v>
      </c>
      <c r="U124" s="1">
        <f>MAX(intermediate_results[[#This Row], [Team1 laps '[laps']]:[Team9 laps '[laps']]]) - intermediate_results[[#This Row], [Team2 laps '[laps']]]</f>
        <v>6.2087124778269498E-2</v>
      </c>
      <c r="V124" s="1">
        <f>MAX(intermediate_results[[#This Row], [Team1 laps '[laps']]:[Team9 laps '[laps']]]) - intermediate_results[[#This Row], [Team3 laps '[laps']]]</f>
        <v>0.25187146635189173</v>
      </c>
      <c r="W124" s="1">
        <f>MAX(intermediate_results[[#This Row], [Team1 laps '[laps']]:[Team9 laps '[laps']]]) - intermediate_results[[#This Row], [Team4 laps '[laps']]]</f>
        <v>0.58152070033258241</v>
      </c>
      <c r="X124" s="1">
        <f>MAX(intermediate_results[[#This Row], [Team1 laps '[laps']]:[Team9 laps '[laps']]]) - intermediate_results[[#This Row], [Team5 laps '[laps']]]</f>
        <v>0.556846635037898</v>
      </c>
      <c r="Y124" s="1">
        <f>MAX(intermediate_results[[#This Row], [Team1 laps '[laps']]:[Team9 laps '[laps']]]) - intermediate_results[[#This Row], [Team6 laps '[laps']]]</f>
        <v>0.70931570604500394</v>
      </c>
      <c r="Z124" s="1">
        <f>MAX(intermediate_results[[#This Row], [Team1 laps '[laps']]:[Team9 laps '[laps']]]) - intermediate_results[[#This Row], [Team7 laps '[laps']]]</f>
        <v>0.55461544099931004</v>
      </c>
      <c r="AA124" s="1">
        <f>MAX(intermediate_results[[#This Row], [Team1 laps '[laps']]:[Team9 laps '[laps']]]) - intermediate_results[[#This Row], [Team8 laps '[laps']]]</f>
        <v>0.97137602541537582</v>
      </c>
      <c r="AB124" s="1">
        <f>MAX(intermediate_results[[#This Row], [Team1 laps '[laps']]:[Team9 laps '[laps']]]) - intermediate_results[[#This Row], [Team9 laps '[laps']]]</f>
        <v>0.89029433096757948</v>
      </c>
      <c r="AC124" s="1">
        <f>9 * intermediate_results[[#This Row], [All cumulative times '[sec']]] / SUM(intermediate_results[[#This Row], [Team1 laps '[laps']]:[Team9 laps '[laps']]])</f>
        <v>54.867090622894892</v>
      </c>
      <c r="AD124" s="1">
        <f>intermediate_results[[#This Row], [All cumulative times '[sec']]] / intermediate_results[[#This Row], [Team1 laps '[laps']]] - intermediate_results[[#This Row], [Total running average '[sec']]]</f>
        <v>-1.9139716808912155</v>
      </c>
      <c r="AE124" s="1">
        <f>intermediate_results[[#This Row], [All cumulative times '[sec']]] / intermediate_results[[#This Row], [Team2 laps '[laps']]] - intermediate_results[[#This Row], [Total running average '[sec']]]</f>
        <v>-1.6875367524181044</v>
      </c>
      <c r="AF124" s="1">
        <f>intermediate_results[[#This Row], [All cumulative times '[sec']]] / intermediate_results[[#This Row], [Team3 laps '[laps']]] - intermediate_results[[#This Row], [Total running average '[sec']]]</f>
        <v>-0.98321758509653989</v>
      </c>
      <c r="AG124" s="1">
        <f>intermediate_results[[#This Row], [All cumulative times '[sec']]] / intermediate_results[[#This Row], [Team4 laps '[laps']]] - intermediate_results[[#This Row], [Total running average '[sec']]]</f>
        <v>0.28555223424795884</v>
      </c>
      <c r="AH124" s="1">
        <f>intermediate_results[[#This Row], [All cumulative times '[sec']]] / intermediate_results[[#This Row], [Team5 laps '[laps']]] - intermediate_results[[#This Row], [Total running average '[sec']]]</f>
        <v>0.18852039559731537</v>
      </c>
      <c r="AI124" s="1">
        <f>intermediate_results[[#This Row], [All cumulative times '[sec']]] / intermediate_results[[#This Row], [Team6 laps '[laps']]] - intermediate_results[[#This Row], [Total running average '[sec']]]</f>
        <v>0.79363529039412839</v>
      </c>
      <c r="AJ124" s="1">
        <f>intermediate_results[[#This Row], [All cumulative times '[sec']]] / intermediate_results[[#This Row], [Team7 laps '[laps']]] - intermediate_results[[#This Row], [Total running average '[sec']]]</f>
        <v>0.17976295774312234</v>
      </c>
      <c r="AK124" s="1">
        <f>intermediate_results[[#This Row], [All cumulative times '[sec']]] / intermediate_results[[#This Row], [Team8 laps '[laps']]] - intermediate_results[[#This Row], [Total running average '[sec']]]</f>
        <v>1.8653702320590284</v>
      </c>
      <c r="AL124" s="1">
        <f>intermediate_results[[#This Row], [All cumulative times '[sec']]] / intermediate_results[[#This Row], [Team9 laps '[laps']]] - intermediate_results[[#This Row], [Total running average '[sec']]]</f>
        <v>1.5293912677052077</v>
      </c>
    </row>
    <row r="125" spans="1:38" x14ac:dyDescent="0.25">
      <c r="A125" s="1">
        <v>779.18400000000008</v>
      </c>
      <c r="B125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14.716216216216221</v>
      </c>
      <c r="C125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14.650735979131731</v>
      </c>
      <c r="D125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14.460990792857945</v>
      </c>
      <c r="E125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14.12953329779608</v>
      </c>
      <c r="F125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14.151222928563731</v>
      </c>
      <c r="G125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14</v>
      </c>
      <c r="H125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14.15492778635662</v>
      </c>
      <c r="I125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13.732978908837376</v>
      </c>
      <c r="J125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13.817741153659723</v>
      </c>
      <c r="K125" s="1">
        <f>intermediate_results[[#This Row], [Team1 laps '[laps']]] - intermediate_results[[#This Row], [Team1 laps '[laps']]]</f>
        <v>0</v>
      </c>
      <c r="L125" s="1">
        <f>intermediate_results[[#This Row], [Team1 laps '[laps']]] - intermediate_results[[#This Row], [Team2 laps '[laps']]]</f>
        <v>6.5480237084489801E-2</v>
      </c>
      <c r="M125" s="1">
        <f>intermediate_results[[#This Row], [Team1 laps '[laps']]] - intermediate_results[[#This Row], [Team3 laps '[laps']]]</f>
        <v>0.2552254233582758</v>
      </c>
      <c r="N125" s="1">
        <f>intermediate_results[[#This Row], [Team1 laps '[laps']]] - intermediate_results[[#This Row], [Team4 laps '[laps']]]</f>
        <v>0.58668291842014142</v>
      </c>
      <c r="O125" s="1">
        <f>intermediate_results[[#This Row], [Team1 laps '[laps']]] - intermediate_results[[#This Row], [Team5 laps '[laps']]]</f>
        <v>0.56499328765248968</v>
      </c>
      <c r="P125" s="1">
        <f>intermediate_results[[#This Row], [Team1 laps '[laps']]] - intermediate_results[[#This Row], [Team6 laps '[laps']]]</f>
        <v>0.71621621621622111</v>
      </c>
      <c r="Q125" s="1">
        <f>intermediate_results[[#This Row], [Team1 laps '[laps']]] - intermediate_results[[#This Row], [Team7 laps '[laps']]]</f>
        <v>0.56128842985960148</v>
      </c>
      <c r="R125" s="1">
        <f>intermediate_results[[#This Row], [Team1 laps '[laps']]] - intermediate_results[[#This Row], [Team8 laps '[laps']]]</f>
        <v>0.98323730737884496</v>
      </c>
      <c r="S125" s="1">
        <f>intermediate_results[[#This Row], [Team1 laps '[laps']]] - intermediate_results[[#This Row], [Team9 laps '[laps']]]</f>
        <v>0.89847506255649812</v>
      </c>
      <c r="T125" s="1">
        <f>MAX(intermediate_results[[#This Row], [Team1 laps '[laps']]:[Team9 laps '[laps']]]) - intermediate_results[[#This Row], [Team1 laps '[laps']]]</f>
        <v>0</v>
      </c>
      <c r="U125" s="1">
        <f>MAX(intermediate_results[[#This Row], [Team1 laps '[laps']]:[Team9 laps '[laps']]]) - intermediate_results[[#This Row], [Team2 laps '[laps']]]</f>
        <v>6.5480237084489801E-2</v>
      </c>
      <c r="V125" s="1">
        <f>MAX(intermediate_results[[#This Row], [Team1 laps '[laps']]:[Team9 laps '[laps']]]) - intermediate_results[[#This Row], [Team3 laps '[laps']]]</f>
        <v>0.2552254233582758</v>
      </c>
      <c r="W125" s="1">
        <f>MAX(intermediate_results[[#This Row], [Team1 laps '[laps']]:[Team9 laps '[laps']]]) - intermediate_results[[#This Row], [Team4 laps '[laps']]]</f>
        <v>0.58668291842014142</v>
      </c>
      <c r="X125" s="1">
        <f>MAX(intermediate_results[[#This Row], [Team1 laps '[laps']]:[Team9 laps '[laps']]]) - intermediate_results[[#This Row], [Team5 laps '[laps']]]</f>
        <v>0.56499328765248968</v>
      </c>
      <c r="Y125" s="1">
        <f>MAX(intermediate_results[[#This Row], [Team1 laps '[laps']]:[Team9 laps '[laps']]]) - intermediate_results[[#This Row], [Team6 laps '[laps']]]</f>
        <v>0.71621621621622111</v>
      </c>
      <c r="Z125" s="1">
        <f>MAX(intermediate_results[[#This Row], [Team1 laps '[laps']]:[Team9 laps '[laps']]]) - intermediate_results[[#This Row], [Team7 laps '[laps']]]</f>
        <v>0.56128842985960148</v>
      </c>
      <c r="AA125" s="1">
        <f>MAX(intermediate_results[[#This Row], [Team1 laps '[laps']]:[Team9 laps '[laps']]]) - intermediate_results[[#This Row], [Team8 laps '[laps']]]</f>
        <v>0.98323730737884496</v>
      </c>
      <c r="AB125" s="1">
        <f>MAX(intermediate_results[[#This Row], [Team1 laps '[laps']]:[Team9 laps '[laps']]]) - intermediate_results[[#This Row], [Team9 laps '[laps']]]</f>
        <v>0.89847506255649812</v>
      </c>
      <c r="AC125" s="1">
        <f>9 * intermediate_results[[#This Row], [All cumulative times '[sec']]] / SUM(intermediate_results[[#This Row], [Team1 laps '[laps']]:[Team9 laps '[laps']]])</f>
        <v>54.865953323068133</v>
      </c>
      <c r="AD125" s="1">
        <f>intermediate_results[[#This Row], [All cumulative times '[sec']]] / intermediate_results[[#This Row], [Team1 laps '[laps']]] - intermediate_results[[#This Row], [Total running average '[sec']]]</f>
        <v>-1.9186475379441816</v>
      </c>
      <c r="AE125" s="1">
        <f>intermediate_results[[#This Row], [All cumulative times '[sec']]] / intermediate_results[[#This Row], [Team2 laps '[laps']]] - intermediate_results[[#This Row], [Total running average '[sec']]]</f>
        <v>-1.682003990430033</v>
      </c>
      <c r="AF125" s="1">
        <f>intermediate_results[[#This Row], [All cumulative times '[sec']]] / intermediate_results[[#This Row], [Team3 laps '[laps']]] - intermediate_results[[#This Row], [Total running average '[sec']]]</f>
        <v>-0.98416810093613805</v>
      </c>
      <c r="AG125" s="1">
        <f>intermediate_results[[#This Row], [All cumulative times '[sec']]] / intermediate_results[[#This Row], [Team4 laps '[laps']]] - intermediate_results[[#This Row], [Total running average '[sec']]]</f>
        <v>0.27981714066947205</v>
      </c>
      <c r="AH125" s="1">
        <f>intermediate_results[[#This Row], [All cumulative times '[sec']]] / intermediate_results[[#This Row], [Team5 laps '[laps']]] - intermediate_results[[#This Row], [Total running average '[sec']]]</f>
        <v>0.19529501803780391</v>
      </c>
      <c r="AI125" s="1">
        <f>intermediate_results[[#This Row], [All cumulative times '[sec']]] / intermediate_results[[#This Row], [Team6 laps '[laps']]] - intermediate_results[[#This Row], [Total running average '[sec']]]</f>
        <v>0.79004667693187258</v>
      </c>
      <c r="AJ125" s="1">
        <f>intermediate_results[[#This Row], [All cumulative times '[sec']]] / intermediate_results[[#This Row], [Team7 laps '[laps']]] - intermediate_results[[#This Row], [Total running average '[sec']]]</f>
        <v>0.18088349308468565</v>
      </c>
      <c r="AK125" s="1">
        <f>intermediate_results[[#This Row], [All cumulative times '[sec']]] / intermediate_results[[#This Row], [Team8 laps '[laps']]] - intermediate_results[[#This Row], [Total running average '[sec']]]</f>
        <v>1.8722099823880214</v>
      </c>
      <c r="AL125" s="1">
        <f>intermediate_results[[#This Row], [All cumulative times '[sec']]] / intermediate_results[[#This Row], [Team9 laps '[laps']]] - intermediate_results[[#This Row], [Total running average '[sec']]]</f>
        <v>1.5241607581779064</v>
      </c>
    </row>
    <row r="126" spans="1:38" x14ac:dyDescent="0.25">
      <c r="A126" s="1">
        <v>789.3359999999999</v>
      </c>
      <c r="B126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14.910260331052411</v>
      </c>
      <c r="C126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14.839891932178123</v>
      </c>
      <c r="D126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14.650203153539344</v>
      </c>
      <c r="E126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14.31614065400805</v>
      </c>
      <c r="F126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14.333530869518366</v>
      </c>
      <c r="G126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14.184076444670085</v>
      </c>
      <c r="H126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14.339358706512852</v>
      </c>
      <c r="I126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13.909935506362212</v>
      </c>
      <c r="J126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14</v>
      </c>
      <c r="K126" s="1">
        <f>intermediate_results[[#This Row], [Team1 laps '[laps']]] - intermediate_results[[#This Row], [Team1 laps '[laps']]]</f>
        <v>0</v>
      </c>
      <c r="L126" s="1">
        <f>intermediate_results[[#This Row], [Team1 laps '[laps']]] - intermediate_results[[#This Row], [Team2 laps '[laps']]]</f>
        <v>7.0368398874288474E-2</v>
      </c>
      <c r="M126" s="1">
        <f>intermediate_results[[#This Row], [Team1 laps '[laps']]] - intermediate_results[[#This Row], [Team3 laps '[laps']]]</f>
        <v>0.26005717751306712</v>
      </c>
      <c r="N126" s="1">
        <f>intermediate_results[[#This Row], [Team1 laps '[laps']]] - intermediate_results[[#This Row], [Team4 laps '[laps']]]</f>
        <v>0.59411967704436108</v>
      </c>
      <c r="O126" s="1">
        <f>intermediate_results[[#This Row], [Team1 laps '[laps']]] - intermediate_results[[#This Row], [Team5 laps '[laps']]]</f>
        <v>0.57672946153404503</v>
      </c>
      <c r="P126" s="1">
        <f>intermediate_results[[#This Row], [Team1 laps '[laps']]] - intermediate_results[[#This Row], [Team6 laps '[laps']]]</f>
        <v>0.72618388638232645</v>
      </c>
      <c r="Q126" s="1">
        <f>intermediate_results[[#This Row], [Team1 laps '[laps']]] - intermediate_results[[#This Row], [Team7 laps '[laps']]]</f>
        <v>0.57090162453955884</v>
      </c>
      <c r="R126" s="1">
        <f>intermediate_results[[#This Row], [Team1 laps '[laps']]] - intermediate_results[[#This Row], [Team8 laps '[laps']]]</f>
        <v>1.0003248246901997</v>
      </c>
      <c r="S126" s="1">
        <f>intermediate_results[[#This Row], [Team1 laps '[laps']]] - intermediate_results[[#This Row], [Team9 laps '[laps']]]</f>
        <v>0.91026033105241133</v>
      </c>
      <c r="T126" s="1">
        <f>MAX(intermediate_results[[#This Row], [Team1 laps '[laps']]:[Team9 laps '[laps']]]) - intermediate_results[[#This Row], [Team1 laps '[laps']]]</f>
        <v>0</v>
      </c>
      <c r="U126" s="1">
        <f>MAX(intermediate_results[[#This Row], [Team1 laps '[laps']]:[Team9 laps '[laps']]]) - intermediate_results[[#This Row], [Team2 laps '[laps']]]</f>
        <v>7.0368398874288474E-2</v>
      </c>
      <c r="V126" s="1">
        <f>MAX(intermediate_results[[#This Row], [Team1 laps '[laps']]:[Team9 laps '[laps']]]) - intermediate_results[[#This Row], [Team3 laps '[laps']]]</f>
        <v>0.26005717751306712</v>
      </c>
      <c r="W126" s="1">
        <f>MAX(intermediate_results[[#This Row], [Team1 laps '[laps']]:[Team9 laps '[laps']]]) - intermediate_results[[#This Row], [Team4 laps '[laps']]]</f>
        <v>0.59411967704436108</v>
      </c>
      <c r="X126" s="1">
        <f>MAX(intermediate_results[[#This Row], [Team1 laps '[laps']]:[Team9 laps '[laps']]]) - intermediate_results[[#This Row], [Team5 laps '[laps']]]</f>
        <v>0.57672946153404503</v>
      </c>
      <c r="Y126" s="1">
        <f>MAX(intermediate_results[[#This Row], [Team1 laps '[laps']]:[Team9 laps '[laps']]]) - intermediate_results[[#This Row], [Team6 laps '[laps']]]</f>
        <v>0.72618388638232645</v>
      </c>
      <c r="Z126" s="1">
        <f>MAX(intermediate_results[[#This Row], [Team1 laps '[laps']]:[Team9 laps '[laps']]]) - intermediate_results[[#This Row], [Team7 laps '[laps']]]</f>
        <v>0.57090162453955884</v>
      </c>
      <c r="AA126" s="1">
        <f>MAX(intermediate_results[[#This Row], [Team1 laps '[laps']]:[Team9 laps '[laps']]]) - intermediate_results[[#This Row], [Team8 laps '[laps']]]</f>
        <v>1.0003248246901997</v>
      </c>
      <c r="AB126" s="1">
        <f>MAX(intermediate_results[[#This Row], [Team1 laps '[laps']]:[Team9 laps '[laps']]]) - intermediate_results[[#This Row], [Team9 laps '[laps']]]</f>
        <v>0.91026033105241133</v>
      </c>
      <c r="AC126" s="1">
        <f>9 * intermediate_results[[#This Row], [All cumulative times '[sec']]] / SUM(intermediate_results[[#This Row], [Team1 laps '[laps']]:[Team9 laps '[laps']]])</f>
        <v>54.864362009283788</v>
      </c>
      <c r="AD126" s="1">
        <f>intermediate_results[[#This Row], [All cumulative times '[sec']]] / intermediate_results[[#This Row], [Team1 laps '[laps']]] - intermediate_results[[#This Row], [Total running average '[sec']]]</f>
        <v>-1.9252460935064661</v>
      </c>
      <c r="AE126" s="1">
        <f>intermediate_results[[#This Row], [All cumulative times '[sec']]] / intermediate_results[[#This Row], [Team2 laps '[laps']]] - intermediate_results[[#This Row], [Total running average '[sec']]]</f>
        <v>-1.674217255706381</v>
      </c>
      <c r="AF126" s="1">
        <f>intermediate_results[[#This Row], [All cumulative times '[sec']]] / intermediate_results[[#This Row], [Team3 laps '[laps']]] - intermediate_results[[#This Row], [Total running average '[sec']]]</f>
        <v>-0.98551871083409281</v>
      </c>
      <c r="AG126" s="1">
        <f>intermediate_results[[#This Row], [All cumulative times '[sec']]] / intermediate_results[[#This Row], [Team4 laps '[laps']]] - intermediate_results[[#This Row], [Total running average '[sec']]]</f>
        <v>0.2717266249817385</v>
      </c>
      <c r="AH126" s="1">
        <f>intermediate_results[[#This Row], [All cumulative times '[sec']]] / intermediate_results[[#This Row], [Team5 laps '[laps']]] - intermediate_results[[#This Row], [Total running average '[sec']]]</f>
        <v>0.20483253779036659</v>
      </c>
      <c r="AI126" s="1">
        <f>intermediate_results[[#This Row], [All cumulative times '[sec']]] / intermediate_results[[#This Row], [Team6 laps '[laps']]] - intermediate_results[[#This Row], [Total running average '[sec']]]</f>
        <v>0.78508426091075023</v>
      </c>
      <c r="AJ126" s="1">
        <f>intermediate_results[[#This Row], [All cumulative times '[sec']]] / intermediate_results[[#This Row], [Team7 laps '[laps']]] - intermediate_results[[#This Row], [Total running average '[sec']]]</f>
        <v>0.1824511819845327</v>
      </c>
      <c r="AK126" s="1">
        <f>intermediate_results[[#This Row], [All cumulative times '[sec']]] / intermediate_results[[#This Row], [Team8 laps '[laps']]] - intermediate_results[[#This Row], [Total running average '[sec']]]</f>
        <v>1.8818392681389966</v>
      </c>
      <c r="AL126" s="1">
        <f>intermediate_results[[#This Row], [All cumulative times '[sec']]] / intermediate_results[[#This Row], [Team9 laps '[laps']]] - intermediate_results[[#This Row], [Total running average '[sec']]]</f>
        <v>1.5167808478590601</v>
      </c>
    </row>
    <row r="127" spans="1:38" x14ac:dyDescent="0.25">
      <c r="A127" s="1">
        <v>794.03099999999984</v>
      </c>
      <c r="B127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15</v>
      </c>
      <c r="C127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14.927370970747155</v>
      </c>
      <c r="D127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14.737708278972676</v>
      </c>
      <c r="E127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14.402441041854308</v>
      </c>
      <c r="F127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14.417842904859384</v>
      </c>
      <c r="G127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14.26920636071875</v>
      </c>
      <c r="H127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14.424652556998817</v>
      </c>
      <c r="I127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13.991772703503575</v>
      </c>
      <c r="J127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14.083343688424192</v>
      </c>
      <c r="K127" s="1">
        <f>intermediate_results[[#This Row], [Team1 laps '[laps']]] - intermediate_results[[#This Row], [Team1 laps '[laps']]]</f>
        <v>0</v>
      </c>
      <c r="L127" s="1">
        <f>intermediate_results[[#This Row], [Team1 laps '[laps']]] - intermediate_results[[#This Row], [Team2 laps '[laps']]]</f>
        <v>7.2629029252844646E-2</v>
      </c>
      <c r="M127" s="1">
        <f>intermediate_results[[#This Row], [Team1 laps '[laps']]] - intermediate_results[[#This Row], [Team3 laps '[laps']]]</f>
        <v>0.26229172102732434</v>
      </c>
      <c r="N127" s="1">
        <f>intermediate_results[[#This Row], [Team1 laps '[laps']]] - intermediate_results[[#This Row], [Team4 laps '[laps']]]</f>
        <v>0.59755895814569193</v>
      </c>
      <c r="O127" s="1">
        <f>intermediate_results[[#This Row], [Team1 laps '[laps']]] - intermediate_results[[#This Row], [Team5 laps '[laps']]]</f>
        <v>0.58215709514061587</v>
      </c>
      <c r="P127" s="1">
        <f>intermediate_results[[#This Row], [Team1 laps '[laps']]] - intermediate_results[[#This Row], [Team6 laps '[laps']]]</f>
        <v>0.73079363928125041</v>
      </c>
      <c r="Q127" s="1">
        <f>intermediate_results[[#This Row], [Team1 laps '[laps']]] - intermediate_results[[#This Row], [Team7 laps '[laps']]]</f>
        <v>0.57534744300118312</v>
      </c>
      <c r="R127" s="1">
        <f>intermediate_results[[#This Row], [Team1 laps '[laps']]] - intermediate_results[[#This Row], [Team8 laps '[laps']]]</f>
        <v>1.0082272964964254</v>
      </c>
      <c r="S127" s="1">
        <f>intermediate_results[[#This Row], [Team1 laps '[laps']]] - intermediate_results[[#This Row], [Team9 laps '[laps']]]</f>
        <v>0.9166563115758084</v>
      </c>
      <c r="T127" s="1">
        <f>MAX(intermediate_results[[#This Row], [Team1 laps '[laps']]:[Team9 laps '[laps']]]) - intermediate_results[[#This Row], [Team1 laps '[laps']]]</f>
        <v>0</v>
      </c>
      <c r="U127" s="1">
        <f>MAX(intermediate_results[[#This Row], [Team1 laps '[laps']]:[Team9 laps '[laps']]]) - intermediate_results[[#This Row], [Team2 laps '[laps']]]</f>
        <v>7.2629029252844646E-2</v>
      </c>
      <c r="V127" s="1">
        <f>MAX(intermediate_results[[#This Row], [Team1 laps '[laps']]:[Team9 laps '[laps']]]) - intermediate_results[[#This Row], [Team3 laps '[laps']]]</f>
        <v>0.26229172102732434</v>
      </c>
      <c r="W127" s="1">
        <f>MAX(intermediate_results[[#This Row], [Team1 laps '[laps']]:[Team9 laps '[laps']]]) - intermediate_results[[#This Row], [Team4 laps '[laps']]]</f>
        <v>0.59755895814569193</v>
      </c>
      <c r="X127" s="1">
        <f>MAX(intermediate_results[[#This Row], [Team1 laps '[laps']]:[Team9 laps '[laps']]]) - intermediate_results[[#This Row], [Team5 laps '[laps']]]</f>
        <v>0.58215709514061587</v>
      </c>
      <c r="Y127" s="1">
        <f>MAX(intermediate_results[[#This Row], [Team1 laps '[laps']]:[Team9 laps '[laps']]]) - intermediate_results[[#This Row], [Team6 laps '[laps']]]</f>
        <v>0.73079363928125041</v>
      </c>
      <c r="Z127" s="1">
        <f>MAX(intermediate_results[[#This Row], [Team1 laps '[laps']]:[Team9 laps '[laps']]]) - intermediate_results[[#This Row], [Team7 laps '[laps']]]</f>
        <v>0.57534744300118312</v>
      </c>
      <c r="AA127" s="1">
        <f>MAX(intermediate_results[[#This Row], [Team1 laps '[laps']]:[Team9 laps '[laps']]]) - intermediate_results[[#This Row], [Team8 laps '[laps']]]</f>
        <v>1.0082272964964254</v>
      </c>
      <c r="AB127" s="1">
        <f>MAX(intermediate_results[[#This Row], [Team1 laps '[laps']]:[Team9 laps '[laps']]]) - intermediate_results[[#This Row], [Team9 laps '[laps']]]</f>
        <v>0.9166563115758084</v>
      </c>
      <c r="AC127" s="1">
        <f>9 * intermediate_results[[#This Row], [All cumulative times '[sec']]] / SUM(intermediate_results[[#This Row], [Team1 laps '[laps']]:[Team9 laps '[laps']]])</f>
        <v>54.864038173027829</v>
      </c>
      <c r="AD127" s="1">
        <f>intermediate_results[[#This Row], [All cumulative times '[sec']]] / intermediate_results[[#This Row], [Team1 laps '[laps']]] - intermediate_results[[#This Row], [Total running average '[sec']]]</f>
        <v>-1.9286381730278421</v>
      </c>
      <c r="AE127" s="1">
        <f>intermediate_results[[#This Row], [All cumulative times '[sec']]] / intermediate_results[[#This Row], [Team2 laps '[laps']]] - intermediate_results[[#This Row], [Total running average '[sec']]]</f>
        <v>-1.6710813183984925</v>
      </c>
      <c r="AF127" s="1">
        <f>intermediate_results[[#This Row], [All cumulative times '[sec']]] / intermediate_results[[#This Row], [Team3 laps '[laps']]] - intermediate_results[[#This Row], [Total running average '[sec']]]</f>
        <v>-0.98652988139610187</v>
      </c>
      <c r="AG127" s="1">
        <f>intermediate_results[[#This Row], [All cumulative times '[sec']]] / intermediate_results[[#This Row], [Team4 laps '[laps']]] - intermediate_results[[#This Row], [Total running average '[sec']]]</f>
        <v>0.26765774521970087</v>
      </c>
      <c r="AH127" s="1">
        <f>intermediate_results[[#This Row], [All cumulative times '[sec']]] / intermediate_results[[#This Row], [Team5 laps '[laps']]] - intermediate_results[[#This Row], [Total running average '[sec']]]</f>
        <v>0.20876330217620165</v>
      </c>
      <c r="AI127" s="1">
        <f>intermediate_results[[#This Row], [All cumulative times '[sec']]] / intermediate_results[[#This Row], [Team6 laps '[laps']]] - intermediate_results[[#This Row], [Total running average '[sec']]]</f>
        <v>0.78243437262564441</v>
      </c>
      <c r="AJ127" s="1">
        <f>intermediate_results[[#This Row], [All cumulative times '[sec']]] / intermediate_results[[#This Row], [Team7 laps '[laps']]] - intermediate_results[[#This Row], [Total running average '[sec']]]</f>
        <v>0.18276429672991412</v>
      </c>
      <c r="AK127" s="1">
        <f>intermediate_results[[#This Row], [All cumulative times '[sec']]] / intermediate_results[[#This Row], [Team8 laps '[laps']]] - intermediate_results[[#This Row], [Total running average '[sec']]]</f>
        <v>1.885811672744218</v>
      </c>
      <c r="AL127" s="1">
        <f>intermediate_results[[#This Row], [All cumulative times '[sec']]] / intermediate_results[[#This Row], [Team9 laps '[laps']]] - intermediate_results[[#This Row], [Total running average '[sec']]]</f>
        <v>1.5168197799491949</v>
      </c>
    </row>
    <row r="128" spans="1:38" x14ac:dyDescent="0.25">
      <c r="A128" s="1">
        <v>794.50299999999982</v>
      </c>
      <c r="B128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15.008964692028641</v>
      </c>
      <c r="C128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14.936165455561763</v>
      </c>
      <c r="D128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14.746505386364481</v>
      </c>
      <c r="E128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14.411117033987093</v>
      </c>
      <c r="F128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14.426319002980994</v>
      </c>
      <c r="G128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14.277764682417358</v>
      </c>
      <c r="H128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14.433227359433189</v>
      </c>
      <c r="I128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14</v>
      </c>
      <c r="J128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14.091722436227432</v>
      </c>
      <c r="K128" s="1">
        <f>intermediate_results[[#This Row], [Team1 laps '[laps']]] - intermediate_results[[#This Row], [Team1 laps '[laps']]]</f>
        <v>0</v>
      </c>
      <c r="L128" s="1">
        <f>intermediate_results[[#This Row], [Team1 laps '[laps']]] - intermediate_results[[#This Row], [Team2 laps '[laps']]]</f>
        <v>7.2799236466877915E-2</v>
      </c>
      <c r="M128" s="1">
        <f>intermediate_results[[#This Row], [Team1 laps '[laps']]] - intermediate_results[[#This Row], [Team3 laps '[laps']]]</f>
        <v>0.26245930566416042</v>
      </c>
      <c r="N128" s="1">
        <f>intermediate_results[[#This Row], [Team1 laps '[laps']]] - intermediate_results[[#This Row], [Team4 laps '[laps']]]</f>
        <v>0.59784765804154816</v>
      </c>
      <c r="O128" s="1">
        <f>intermediate_results[[#This Row], [Team1 laps '[laps']]] - intermediate_results[[#This Row], [Team5 laps '[laps']]]</f>
        <v>0.5826456890476468</v>
      </c>
      <c r="P128" s="1">
        <f>intermediate_results[[#This Row], [Team1 laps '[laps']]] - intermediate_results[[#This Row], [Team6 laps '[laps']]]</f>
        <v>0.73120000961128362</v>
      </c>
      <c r="Q128" s="1">
        <f>intermediate_results[[#This Row], [Team1 laps '[laps']]] - intermediate_results[[#This Row], [Team7 laps '[laps']]]</f>
        <v>0.57573733259545179</v>
      </c>
      <c r="R128" s="1">
        <f>intermediate_results[[#This Row], [Team1 laps '[laps']]] - intermediate_results[[#This Row], [Team8 laps '[laps']]]</f>
        <v>1.0089646920286413</v>
      </c>
      <c r="S128" s="1">
        <f>intermediate_results[[#This Row], [Team1 laps '[laps']]] - intermediate_results[[#This Row], [Team9 laps '[laps']]]</f>
        <v>0.91724225580120944</v>
      </c>
      <c r="T128" s="1">
        <f>MAX(intermediate_results[[#This Row], [Team1 laps '[laps']]:[Team9 laps '[laps']]]) - intermediate_results[[#This Row], [Team1 laps '[laps']]]</f>
        <v>0</v>
      </c>
      <c r="U128" s="1">
        <f>MAX(intermediate_results[[#This Row], [Team1 laps '[laps']]:[Team9 laps '[laps']]]) - intermediate_results[[#This Row], [Team2 laps '[laps']]]</f>
        <v>7.2799236466877915E-2</v>
      </c>
      <c r="V128" s="1">
        <f>MAX(intermediate_results[[#This Row], [Team1 laps '[laps']]:[Team9 laps '[laps']]]) - intermediate_results[[#This Row], [Team3 laps '[laps']]]</f>
        <v>0.26245930566416042</v>
      </c>
      <c r="W128" s="1">
        <f>MAX(intermediate_results[[#This Row], [Team1 laps '[laps']]:[Team9 laps '[laps']]]) - intermediate_results[[#This Row], [Team4 laps '[laps']]]</f>
        <v>0.59784765804154816</v>
      </c>
      <c r="X128" s="1">
        <f>MAX(intermediate_results[[#This Row], [Team1 laps '[laps']]:[Team9 laps '[laps']]]) - intermediate_results[[#This Row], [Team5 laps '[laps']]]</f>
        <v>0.5826456890476468</v>
      </c>
      <c r="Y128" s="1">
        <f>MAX(intermediate_results[[#This Row], [Team1 laps '[laps']]:[Team9 laps '[laps']]]) - intermediate_results[[#This Row], [Team6 laps '[laps']]]</f>
        <v>0.73120000961128362</v>
      </c>
      <c r="Z128" s="1">
        <f>MAX(intermediate_results[[#This Row], [Team1 laps '[laps']]:[Team9 laps '[laps']]]) - intermediate_results[[#This Row], [Team7 laps '[laps']]]</f>
        <v>0.57573733259545179</v>
      </c>
      <c r="AA128" s="1">
        <f>MAX(intermediate_results[[#This Row], [Team1 laps '[laps']]:[Team9 laps '[laps']]]) - intermediate_results[[#This Row], [Team8 laps '[laps']]]</f>
        <v>1.0089646920286413</v>
      </c>
      <c r="AB128" s="1">
        <f>MAX(intermediate_results[[#This Row], [Team1 laps '[laps']]:[Team9 laps '[laps']]]) - intermediate_results[[#This Row], [Team9 laps '[laps']]]</f>
        <v>0.91724225580120944</v>
      </c>
      <c r="AC128" s="1">
        <f>9 * intermediate_results[[#This Row], [All cumulative times '[sec']]] / SUM(intermediate_results[[#This Row], [Team1 laps '[laps']]:[Team9 laps '[laps']]])</f>
        <v>54.864029848494582</v>
      </c>
      <c r="AD128" s="1">
        <f>intermediate_results[[#This Row], [All cumulative times '[sec']]] / intermediate_results[[#This Row], [Team1 laps '[laps']]] - intermediate_results[[#This Row], [Total running average '[sec']]]</f>
        <v>-1.9287997175338845</v>
      </c>
      <c r="AE128" s="1">
        <f>intermediate_results[[#This Row], [All cumulative times '[sec']]] / intermediate_results[[#This Row], [Team2 laps '[laps']]] - intermediate_results[[#This Row], [Total running average '[sec']]]</f>
        <v>-1.6707921086065554</v>
      </c>
      <c r="AF128" s="1">
        <f>intermediate_results[[#This Row], [All cumulative times '[sec']]] / intermediate_results[[#This Row], [Team3 laps '[laps']]] - intermediate_results[[#This Row], [Total running average '[sec']]]</f>
        <v>-0.98665489194075207</v>
      </c>
      <c r="AG128" s="1">
        <f>intermediate_results[[#This Row], [All cumulative times '[sec']]] / intermediate_results[[#This Row], [Team4 laps '[laps']]] - intermediate_results[[#This Row], [Total running average '[sec']]]</f>
        <v>0.26722736954400972</v>
      </c>
      <c r="AH128" s="1">
        <f>intermediate_results[[#This Row], [All cumulative times '[sec']]] / intermediate_results[[#This Row], [Team5 laps '[laps']]] - intermediate_results[[#This Row], [Total running average '[sec']]]</f>
        <v>0.20913190786384916</v>
      </c>
      <c r="AI128" s="1">
        <f>intermediate_results[[#This Row], [All cumulative times '[sec']]] / intermediate_results[[#This Row], [Team6 laps '[laps']]] - intermediate_results[[#This Row], [Total running average '[sec']]]</f>
        <v>0.78214570294917252</v>
      </c>
      <c r="AJ128" s="1">
        <f>intermediate_results[[#This Row], [All cumulative times '[sec']]] / intermediate_results[[#This Row], [Team7 laps '[laps']]] - intermediate_results[[#This Row], [Total running average '[sec']]]</f>
        <v>0.18277155041312199</v>
      </c>
      <c r="AK128" s="1">
        <f>intermediate_results[[#This Row], [All cumulative times '[sec']]] / intermediate_results[[#This Row], [Team8 laps '[laps']]] - intermediate_results[[#This Row], [Total running average '[sec']]]</f>
        <v>1.8861844372196899</v>
      </c>
      <c r="AL128" s="1">
        <f>intermediate_results[[#This Row], [All cumulative times '[sec']]] / intermediate_results[[#This Row], [Team9 laps '[laps']]] - intermediate_results[[#This Row], [Total running average '[sec']]]</f>
        <v>1.5167996487900908</v>
      </c>
    </row>
    <row r="129" spans="1:38" x14ac:dyDescent="0.25">
      <c r="A129" s="1">
        <v>797.92899999999997</v>
      </c>
      <c r="B129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15.074034681202638</v>
      </c>
      <c r="C129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15</v>
      </c>
      <c r="D129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14.810358966712641</v>
      </c>
      <c r="E129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14.474091502306859</v>
      </c>
      <c r="F129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14.487842545702687</v>
      </c>
      <c r="G129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14.339885042882267</v>
      </c>
      <c r="H129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14.495467344899629</v>
      </c>
      <c r="I129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14.061457324292329</v>
      </c>
      <c r="J129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14.152539364138251</v>
      </c>
      <c r="K129" s="1">
        <f>intermediate_results[[#This Row], [Team1 laps '[laps']]] - intermediate_results[[#This Row], [Team1 laps '[laps']]]</f>
        <v>0</v>
      </c>
      <c r="L129" s="1">
        <f>intermediate_results[[#This Row], [Team1 laps '[laps']]] - intermediate_results[[#This Row], [Team2 laps '[laps']]]</f>
        <v>7.4034681202638453E-2</v>
      </c>
      <c r="M129" s="1">
        <f>intermediate_results[[#This Row], [Team1 laps '[laps']]] - intermediate_results[[#This Row], [Team3 laps '[laps']]]</f>
        <v>0.26367571448999705</v>
      </c>
      <c r="N129" s="1">
        <f>intermediate_results[[#This Row], [Team1 laps '[laps']]] - intermediate_results[[#This Row], [Team4 laps '[laps']]]</f>
        <v>0.59994317889577964</v>
      </c>
      <c r="O129" s="1">
        <f>intermediate_results[[#This Row], [Team1 laps '[laps']]] - intermediate_results[[#This Row], [Team5 laps '[laps']]]</f>
        <v>0.58619213549995131</v>
      </c>
      <c r="P129" s="1">
        <f>intermediate_results[[#This Row], [Team1 laps '[laps']]] - intermediate_results[[#This Row], [Team6 laps '[laps']]]</f>
        <v>0.73414963832037117</v>
      </c>
      <c r="Q129" s="1">
        <f>intermediate_results[[#This Row], [Team1 laps '[laps']]] - intermediate_results[[#This Row], [Team7 laps '[laps']]]</f>
        <v>0.57856733630300994</v>
      </c>
      <c r="R129" s="1">
        <f>intermediate_results[[#This Row], [Team1 laps '[laps']]] - intermediate_results[[#This Row], [Team8 laps '[laps']]]</f>
        <v>1.0125773569103096</v>
      </c>
      <c r="S129" s="1">
        <f>intermediate_results[[#This Row], [Team1 laps '[laps']]] - intermediate_results[[#This Row], [Team9 laps '[laps']]]</f>
        <v>0.92149531706438736</v>
      </c>
      <c r="T129" s="1">
        <f>MAX(intermediate_results[[#This Row], [Team1 laps '[laps']]:[Team9 laps '[laps']]]) - intermediate_results[[#This Row], [Team1 laps '[laps']]]</f>
        <v>0</v>
      </c>
      <c r="U129" s="1">
        <f>MAX(intermediate_results[[#This Row], [Team1 laps '[laps']]:[Team9 laps '[laps']]]) - intermediate_results[[#This Row], [Team2 laps '[laps']]]</f>
        <v>7.4034681202638453E-2</v>
      </c>
      <c r="V129" s="1">
        <f>MAX(intermediate_results[[#This Row], [Team1 laps '[laps']]:[Team9 laps '[laps']]]) - intermediate_results[[#This Row], [Team3 laps '[laps']]]</f>
        <v>0.26367571448999705</v>
      </c>
      <c r="W129" s="1">
        <f>MAX(intermediate_results[[#This Row], [Team1 laps '[laps']]:[Team9 laps '[laps']]]) - intermediate_results[[#This Row], [Team4 laps '[laps']]]</f>
        <v>0.59994317889577964</v>
      </c>
      <c r="X129" s="1">
        <f>MAX(intermediate_results[[#This Row], [Team1 laps '[laps']]:[Team9 laps '[laps']]]) - intermediate_results[[#This Row], [Team5 laps '[laps']]]</f>
        <v>0.58619213549995131</v>
      </c>
      <c r="Y129" s="1">
        <f>MAX(intermediate_results[[#This Row], [Team1 laps '[laps']]:[Team9 laps '[laps']]]) - intermediate_results[[#This Row], [Team6 laps '[laps']]]</f>
        <v>0.73414963832037117</v>
      </c>
      <c r="Z129" s="1">
        <f>MAX(intermediate_results[[#This Row], [Team1 laps '[laps']]:[Team9 laps '[laps']]]) - intermediate_results[[#This Row], [Team7 laps '[laps']]]</f>
        <v>0.57856733630300994</v>
      </c>
      <c r="AA129" s="1">
        <f>MAX(intermediate_results[[#This Row], [Team1 laps '[laps']]:[Team9 laps '[laps']]]) - intermediate_results[[#This Row], [Team8 laps '[laps']]]</f>
        <v>1.0125773569103096</v>
      </c>
      <c r="AB129" s="1">
        <f>MAX(intermediate_results[[#This Row], [Team1 laps '[laps']]:[Team9 laps '[laps']]]) - intermediate_results[[#This Row], [Team9 laps '[laps']]]</f>
        <v>0.92149531706438736</v>
      </c>
      <c r="AC129" s="1">
        <f>9 * intermediate_results[[#This Row], [All cumulative times '[sec']]] / SUM(intermediate_results[[#This Row], [Team1 laps '[laps']]:[Team9 laps '[laps']]])</f>
        <v>54.863240536975759</v>
      </c>
      <c r="AD129" s="1">
        <f>intermediate_results[[#This Row], [All cumulative times '[sec']]] / intermediate_results[[#This Row], [Team1 laps '[laps']]] - intermediate_results[[#This Row], [Total running average '[sec']]]</f>
        <v>-1.9292373404049314</v>
      </c>
      <c r="AE129" s="1">
        <f>intermediate_results[[#This Row], [All cumulative times '[sec']]] / intermediate_results[[#This Row], [Team2 laps '[laps']]] - intermediate_results[[#This Row], [Total running average '[sec']]]</f>
        <v>-1.6679738703090976</v>
      </c>
      <c r="AF129" s="1">
        <f>intermediate_results[[#This Row], [All cumulative times '[sec']]] / intermediate_results[[#This Row], [Team3 laps '[laps']]] - intermediate_results[[#This Row], [Total running average '[sec']]]</f>
        <v>-0.98682864220646849</v>
      </c>
      <c r="AG129" s="1">
        <f>intermediate_results[[#This Row], [All cumulative times '[sec']]] / intermediate_results[[#This Row], [Team4 laps '[laps']]] - intermediate_results[[#This Row], [Total running average '[sec']]]</f>
        <v>0.26484814982211446</v>
      </c>
      <c r="AH129" s="1">
        <f>intermediate_results[[#This Row], [All cumulative times '[sec']]] / intermediate_results[[#This Row], [Team5 laps '[laps']]] - intermediate_results[[#This Row], [Total running average '[sec']]]</f>
        <v>0.21252367587301535</v>
      </c>
      <c r="AI129" s="1">
        <f>intermediate_results[[#This Row], [All cumulative times '[sec']]] / intermediate_results[[#This Row], [Team6 laps '[laps']]] - intermediate_results[[#This Row], [Total running average '[sec']]]</f>
        <v>0.78078991472296622</v>
      </c>
      <c r="AJ129" s="1">
        <f>intermediate_results[[#This Row], [All cumulative times '[sec']]] / intermediate_results[[#This Row], [Team7 laps '[laps']]] - intermediate_results[[#This Row], [Total running average '[sec']]]</f>
        <v>0.18355312716636973</v>
      </c>
      <c r="AK129" s="1">
        <f>intermediate_results[[#This Row], [All cumulative times '[sec']]] / intermediate_results[[#This Row], [Team8 laps '[laps']]] - intermediate_results[[#This Row], [Total running average '[sec']]]</f>
        <v>1.8825847070060107</v>
      </c>
      <c r="AL129" s="1">
        <f>intermediate_results[[#This Row], [All cumulative times '[sec']]] / intermediate_results[[#This Row], [Team9 laps '[laps']]] - intermediate_results[[#This Row], [Total running average '[sec']]]</f>
        <v>1.5173834252446028</v>
      </c>
    </row>
    <row r="130" spans="1:38" x14ac:dyDescent="0.25">
      <c r="A130" s="1">
        <v>808.10399999999993</v>
      </c>
      <c r="B130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15.267288370591254</v>
      </c>
      <c r="C130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15.191507782650429</v>
      </c>
      <c r="D130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15</v>
      </c>
      <c r="E130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14.661121629321912</v>
      </c>
      <c r="F130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14.670563516862403</v>
      </c>
      <c r="G130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14.524378524414786</v>
      </c>
      <c r="H130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14.680316105004996</v>
      </c>
      <c r="I130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14.24398163096904</v>
      </c>
      <c r="J130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14.333161734684822</v>
      </c>
      <c r="K130" s="1">
        <f>intermediate_results[[#This Row], [Team1 laps '[laps']]] - intermediate_results[[#This Row], [Team1 laps '[laps']]]</f>
        <v>0</v>
      </c>
      <c r="L130" s="1">
        <f>intermediate_results[[#This Row], [Team1 laps '[laps']]] - intermediate_results[[#This Row], [Team2 laps '[laps']]]</f>
        <v>7.5780587940824873E-2</v>
      </c>
      <c r="M130" s="1">
        <f>intermediate_results[[#This Row], [Team1 laps '[laps']]] - intermediate_results[[#This Row], [Team3 laps '[laps']]]</f>
        <v>0.26728837059125432</v>
      </c>
      <c r="N130" s="1">
        <f>intermediate_results[[#This Row], [Team1 laps '[laps']]] - intermediate_results[[#This Row], [Team4 laps '[laps']]]</f>
        <v>0.60616674126934278</v>
      </c>
      <c r="O130" s="1">
        <f>intermediate_results[[#This Row], [Team1 laps '[laps']]] - intermediate_results[[#This Row], [Team5 laps '[laps']]]</f>
        <v>0.5967248537288512</v>
      </c>
      <c r="P130" s="1">
        <f>intermediate_results[[#This Row], [Team1 laps '[laps']]] - intermediate_results[[#This Row], [Team6 laps '[laps']]]</f>
        <v>0.74290984617646849</v>
      </c>
      <c r="Q130" s="1">
        <f>intermediate_results[[#This Row], [Team1 laps '[laps']]] - intermediate_results[[#This Row], [Team7 laps '[laps']]]</f>
        <v>0.58697226558625815</v>
      </c>
      <c r="R130" s="1">
        <f>intermediate_results[[#This Row], [Team1 laps '[laps']]] - intermediate_results[[#This Row], [Team8 laps '[laps']]]</f>
        <v>1.023306739622214</v>
      </c>
      <c r="S130" s="1">
        <f>intermediate_results[[#This Row], [Team1 laps '[laps']]] - intermediate_results[[#This Row], [Team9 laps '[laps']]]</f>
        <v>0.93412663590643241</v>
      </c>
      <c r="T130" s="1">
        <f>MAX(intermediate_results[[#This Row], [Team1 laps '[laps']]:[Team9 laps '[laps']]]) - intermediate_results[[#This Row], [Team1 laps '[laps']]]</f>
        <v>0</v>
      </c>
      <c r="U130" s="1">
        <f>MAX(intermediate_results[[#This Row], [Team1 laps '[laps']]:[Team9 laps '[laps']]]) - intermediate_results[[#This Row], [Team2 laps '[laps']]]</f>
        <v>7.5780587940824873E-2</v>
      </c>
      <c r="V130" s="1">
        <f>MAX(intermediate_results[[#This Row], [Team1 laps '[laps']]:[Team9 laps '[laps']]]) - intermediate_results[[#This Row], [Team3 laps '[laps']]]</f>
        <v>0.26728837059125432</v>
      </c>
      <c r="W130" s="1">
        <f>MAX(intermediate_results[[#This Row], [Team1 laps '[laps']]:[Team9 laps '[laps']]]) - intermediate_results[[#This Row], [Team4 laps '[laps']]]</f>
        <v>0.60616674126934278</v>
      </c>
      <c r="X130" s="1">
        <f>MAX(intermediate_results[[#This Row], [Team1 laps '[laps']]:[Team9 laps '[laps']]]) - intermediate_results[[#This Row], [Team5 laps '[laps']]]</f>
        <v>0.5967248537288512</v>
      </c>
      <c r="Y130" s="1">
        <f>MAX(intermediate_results[[#This Row], [Team1 laps '[laps']]:[Team9 laps '[laps']]]) - intermediate_results[[#This Row], [Team6 laps '[laps']]]</f>
        <v>0.74290984617646849</v>
      </c>
      <c r="Z130" s="1">
        <f>MAX(intermediate_results[[#This Row], [Team1 laps '[laps']]:[Team9 laps '[laps']]]) - intermediate_results[[#This Row], [Team7 laps '[laps']]]</f>
        <v>0.58697226558625815</v>
      </c>
      <c r="AA130" s="1">
        <f>MAX(intermediate_results[[#This Row], [Team1 laps '[laps']]:[Team9 laps '[laps']]]) - intermediate_results[[#This Row], [Team8 laps '[laps']]]</f>
        <v>1.023306739622214</v>
      </c>
      <c r="AB130" s="1">
        <f>MAX(intermediate_results[[#This Row], [Team1 laps '[laps']]:[Team9 laps '[laps']]]) - intermediate_results[[#This Row], [Team9 laps '[laps']]]</f>
        <v>0.93412663590643241</v>
      </c>
      <c r="AC130" s="1">
        <f>9 * intermediate_results[[#This Row], [All cumulative times '[sec']]] / SUM(intermediate_results[[#This Row], [Team1 laps '[laps']]:[Team9 laps '[laps']]])</f>
        <v>54.860140025488327</v>
      </c>
      <c r="AD130" s="1">
        <f>intermediate_results[[#This Row], [All cumulative times '[sec']]] / intermediate_results[[#This Row], [Team1 laps '[laps']]] - intermediate_results[[#This Row], [Total running average '[sec']]]</f>
        <v>-1.9297190899266994</v>
      </c>
      <c r="AE130" s="1">
        <f>intermediate_results[[#This Row], [All cumulative times '[sec']]] / intermediate_results[[#This Row], [Team2 laps '[laps']]] - intermediate_results[[#This Row], [Total running average '[sec']]]</f>
        <v>-1.6656835198015827</v>
      </c>
      <c r="AF130" s="1">
        <f>intermediate_results[[#This Row], [All cumulative times '[sec']]] / intermediate_results[[#This Row], [Team3 laps '[laps']]] - intermediate_results[[#This Row], [Total running average '[sec']]]</f>
        <v>-0.9865400254883312</v>
      </c>
      <c r="AG130" s="1">
        <f>intermediate_results[[#This Row], [All cumulative times '[sec']]] / intermediate_results[[#This Row], [Team4 laps '[laps']]] - intermediate_results[[#This Row], [Total running average '[sec']]]</f>
        <v>0.25869879403351348</v>
      </c>
      <c r="AH130" s="1">
        <f>intermediate_results[[#This Row], [All cumulative times '[sec']]] / intermediate_results[[#This Row], [Team5 laps '[laps']]] - intermediate_results[[#This Row], [Total running average '[sec']]]</f>
        <v>0.22322463675944704</v>
      </c>
      <c r="AI130" s="1">
        <f>intermediate_results[[#This Row], [All cumulative times '[sec']]] / intermediate_results[[#This Row], [Team6 laps '[laps']]] - intermediate_results[[#This Row], [Total running average '[sec']]]</f>
        <v>0.77762778961066203</v>
      </c>
      <c r="AJ130" s="1">
        <f>intermediate_results[[#This Row], [All cumulative times '[sec']]] / intermediate_results[[#This Row], [Team7 laps '[laps']]] - intermediate_results[[#This Row], [Total running average '[sec']]]</f>
        <v>0.18663105354116993</v>
      </c>
      <c r="AK130" s="1">
        <f>intermediate_results[[#This Row], [All cumulative times '[sec']]] / intermediate_results[[#This Row], [Team8 laps '[laps']]] - intermediate_results[[#This Row], [Total running average '[sec']]]</f>
        <v>1.8728733226216505</v>
      </c>
      <c r="AL130" s="1">
        <f>intermediate_results[[#This Row], [All cumulative times '[sec']]] / intermediate_results[[#This Row], [Team9 laps '[laps']]] - intermediate_results[[#This Row], [Total running average '[sec']]]</f>
        <v>1.5198837932947171</v>
      </c>
    </row>
    <row r="131" spans="1:38" x14ac:dyDescent="0.25">
      <c r="A131" s="1">
        <v>825.70099999999991</v>
      </c>
      <c r="B131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15.601508043531938</v>
      </c>
      <c r="C131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15.522708023564396</v>
      </c>
      <c r="D131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15.326456783481438</v>
      </c>
      <c r="E131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14.984578056357186</v>
      </c>
      <c r="F131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14.986567539417443</v>
      </c>
      <c r="G131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14.843447988250436</v>
      </c>
      <c r="H131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15</v>
      </c>
      <c r="I131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14.559645535105659</v>
      </c>
      <c r="J131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14.645536364120497</v>
      </c>
      <c r="K131" s="1">
        <f>intermediate_results[[#This Row], [Team1 laps '[laps']]] - intermediate_results[[#This Row], [Team1 laps '[laps']]]</f>
        <v>0</v>
      </c>
      <c r="L131" s="1">
        <f>intermediate_results[[#This Row], [Team1 laps '[laps']]] - intermediate_results[[#This Row], [Team2 laps '[laps']]]</f>
        <v>7.8800019967541601E-2</v>
      </c>
      <c r="M131" s="1">
        <f>intermediate_results[[#This Row], [Team1 laps '[laps']]] - intermediate_results[[#This Row], [Team3 laps '[laps']]]</f>
        <v>0.27505126005049974</v>
      </c>
      <c r="N131" s="1">
        <f>intermediate_results[[#This Row], [Team1 laps '[laps']]] - intermediate_results[[#This Row], [Team4 laps '[laps']]]</f>
        <v>0.61692998717475156</v>
      </c>
      <c r="O131" s="1">
        <f>intermediate_results[[#This Row], [Team1 laps '[laps']]] - intermediate_results[[#This Row], [Team5 laps '[laps']]]</f>
        <v>0.61494050411449486</v>
      </c>
      <c r="P131" s="1">
        <f>intermediate_results[[#This Row], [Team1 laps '[laps']]] - intermediate_results[[#This Row], [Team6 laps '[laps']]]</f>
        <v>0.75806005528150244</v>
      </c>
      <c r="Q131" s="1">
        <f>intermediate_results[[#This Row], [Team1 laps '[laps']]] - intermediate_results[[#This Row], [Team7 laps '[laps']]]</f>
        <v>0.60150804353193799</v>
      </c>
      <c r="R131" s="1">
        <f>intermediate_results[[#This Row], [Team1 laps '[laps']]] - intermediate_results[[#This Row], [Team8 laps '[laps']]]</f>
        <v>1.0418625084262789</v>
      </c>
      <c r="S131" s="1">
        <f>intermediate_results[[#This Row], [Team1 laps '[laps']]] - intermediate_results[[#This Row], [Team9 laps '[laps']]]</f>
        <v>0.95597167941144079</v>
      </c>
      <c r="T131" s="1">
        <f>MAX(intermediate_results[[#This Row], [Team1 laps '[laps']]:[Team9 laps '[laps']]]) - intermediate_results[[#This Row], [Team1 laps '[laps']]]</f>
        <v>0</v>
      </c>
      <c r="U131" s="1">
        <f>MAX(intermediate_results[[#This Row], [Team1 laps '[laps']]:[Team9 laps '[laps']]]) - intermediate_results[[#This Row], [Team2 laps '[laps']]]</f>
        <v>7.8800019967541601E-2</v>
      </c>
      <c r="V131" s="1">
        <f>MAX(intermediate_results[[#This Row], [Team1 laps '[laps']]:[Team9 laps '[laps']]]) - intermediate_results[[#This Row], [Team3 laps '[laps']]]</f>
        <v>0.27505126005049974</v>
      </c>
      <c r="W131" s="1">
        <f>MAX(intermediate_results[[#This Row], [Team1 laps '[laps']]:[Team9 laps '[laps']]]) - intermediate_results[[#This Row], [Team4 laps '[laps']]]</f>
        <v>0.61692998717475156</v>
      </c>
      <c r="X131" s="1">
        <f>MAX(intermediate_results[[#This Row], [Team1 laps '[laps']]:[Team9 laps '[laps']]]) - intermediate_results[[#This Row], [Team5 laps '[laps']]]</f>
        <v>0.61494050411449486</v>
      </c>
      <c r="Y131" s="1">
        <f>MAX(intermediate_results[[#This Row], [Team1 laps '[laps']]:[Team9 laps '[laps']]]) - intermediate_results[[#This Row], [Team6 laps '[laps']]]</f>
        <v>0.75806005528150244</v>
      </c>
      <c r="Z131" s="1">
        <f>MAX(intermediate_results[[#This Row], [Team1 laps '[laps']]:[Team9 laps '[laps']]]) - intermediate_results[[#This Row], [Team7 laps '[laps']]]</f>
        <v>0.60150804353193799</v>
      </c>
      <c r="AA131" s="1">
        <f>MAX(intermediate_results[[#This Row], [Team1 laps '[laps']]:[Team9 laps '[laps']]]) - intermediate_results[[#This Row], [Team8 laps '[laps']]]</f>
        <v>1.0418625084262789</v>
      </c>
      <c r="AB131" s="1">
        <f>MAX(intermediate_results[[#This Row], [Team1 laps '[laps']]:[Team9 laps '[laps']]]) - intermediate_results[[#This Row], [Team9 laps '[laps']]]</f>
        <v>0.95597167941144079</v>
      </c>
      <c r="AC131" s="1">
        <f>9 * intermediate_results[[#This Row], [All cumulative times '[sec']]] / SUM(intermediate_results[[#This Row], [Team1 laps '[laps']]:[Team9 laps '[laps']]])</f>
        <v>54.8555724986428</v>
      </c>
      <c r="AD131" s="1">
        <f>intermediate_results[[#This Row], [All cumulative times '[sec']]] / intermediate_results[[#This Row], [Team1 laps '[laps']]] - intermediate_results[[#This Row], [Total running average '[sec']]]</f>
        <v>-1.931137393004505</v>
      </c>
      <c r="AE131" s="1">
        <f>intermediate_results[[#This Row], [All cumulative times '[sec']]] / intermediate_results[[#This Row], [Team2 laps '[laps']]] - intermediate_results[[#This Row], [Total running average '[sec']]]</f>
        <v>-1.6624699326126589</v>
      </c>
      <c r="AF131" s="1">
        <f>intermediate_results[[#This Row], [All cumulative times '[sec']]] / intermediate_results[[#This Row], [Team3 laps '[laps']]] - intermediate_results[[#This Row], [Total running average '[sec']]]</f>
        <v>-0.9813462724008275</v>
      </c>
      <c r="AG131" s="1">
        <f>intermediate_results[[#This Row], [All cumulative times '[sec']]] / intermediate_results[[#This Row], [Team4 laps '[laps']]] - intermediate_results[[#This Row], [Total running average '[sec']]]</f>
        <v>0.24781425636145116</v>
      </c>
      <c r="AH131" s="1">
        <f>intermediate_results[[#This Row], [All cumulative times '[sec']]] / intermediate_results[[#This Row], [Team5 laps '[laps']]] - intermediate_results[[#This Row], [Total running average '[sec']]]</f>
        <v>0.24049922213339414</v>
      </c>
      <c r="AI131" s="1">
        <f>intermediate_results[[#This Row], [All cumulative times '[sec']]] / intermediate_results[[#This Row], [Team6 laps '[laps']]] - intermediate_results[[#This Row], [Total running average '[sec']]]</f>
        <v>0.77173192911526201</v>
      </c>
      <c r="AJ131" s="1">
        <f>intermediate_results[[#This Row], [All cumulative times '[sec']]] / intermediate_results[[#This Row], [Team7 laps '[laps']]] - intermediate_results[[#This Row], [Total running average '[sec']]]</f>
        <v>0.19116083469052825</v>
      </c>
      <c r="AK131" s="1">
        <f>intermediate_results[[#This Row], [All cumulative times '[sec']]] / intermediate_results[[#This Row], [Team8 laps '[laps']]] - intermediate_results[[#This Row], [Total running average '[sec']]]</f>
        <v>1.8560416686871193</v>
      </c>
      <c r="AL131" s="1">
        <f>intermediate_results[[#This Row], [All cumulative times '[sec']]] / intermediate_results[[#This Row], [Team9 laps '[laps']]] - intermediate_results[[#This Row], [Total running average '[sec']]]</f>
        <v>1.5234483491597501</v>
      </c>
    </row>
    <row r="132" spans="1:38" x14ac:dyDescent="0.25">
      <c r="A132" s="1">
        <v>826.44900000000018</v>
      </c>
      <c r="B132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15.615714801238349</v>
      </c>
      <c r="C132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15.536786433532217</v>
      </c>
      <c r="D132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15.340333562139403</v>
      </c>
      <c r="E132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14.998327298126945</v>
      </c>
      <c r="F132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15</v>
      </c>
      <c r="G132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14.857010752298237</v>
      </c>
      <c r="H132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15.013902053712485</v>
      </c>
      <c r="I132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14.573063538191088</v>
      </c>
      <c r="J132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14.658814549198521</v>
      </c>
      <c r="K132" s="1">
        <f>intermediate_results[[#This Row], [Team1 laps '[laps']]] - intermediate_results[[#This Row], [Team1 laps '[laps']]]</f>
        <v>0</v>
      </c>
      <c r="L132" s="1">
        <f>intermediate_results[[#This Row], [Team1 laps '[laps']]] - intermediate_results[[#This Row], [Team2 laps '[laps']]]</f>
        <v>7.8928367706131652E-2</v>
      </c>
      <c r="M132" s="1">
        <f>intermediate_results[[#This Row], [Team1 laps '[laps']]] - intermediate_results[[#This Row], [Team3 laps '[laps']]]</f>
        <v>0.2753812390989463</v>
      </c>
      <c r="N132" s="1">
        <f>intermediate_results[[#This Row], [Team1 laps '[laps']]] - intermediate_results[[#This Row], [Team4 laps '[laps']]]</f>
        <v>0.617387503111404</v>
      </c>
      <c r="O132" s="1">
        <f>intermediate_results[[#This Row], [Team1 laps '[laps']]] - intermediate_results[[#This Row], [Team5 laps '[laps']]]</f>
        <v>0.6157148012383491</v>
      </c>
      <c r="P132" s="1">
        <f>intermediate_results[[#This Row], [Team1 laps '[laps']]] - intermediate_results[[#This Row], [Team6 laps '[laps']]]</f>
        <v>0.75870404894011223</v>
      </c>
      <c r="Q132" s="1">
        <f>intermediate_results[[#This Row], [Team1 laps '[laps']]] - intermediate_results[[#This Row], [Team7 laps '[laps']]]</f>
        <v>0.60181274752586411</v>
      </c>
      <c r="R132" s="1">
        <f>intermediate_results[[#This Row], [Team1 laps '[laps']]] - intermediate_results[[#This Row], [Team8 laps '[laps']]]</f>
        <v>1.0426512630472615</v>
      </c>
      <c r="S132" s="1">
        <f>intermediate_results[[#This Row], [Team1 laps '[laps']]] - intermediate_results[[#This Row], [Team9 laps '[laps']]]</f>
        <v>0.9569002520398282</v>
      </c>
      <c r="T132" s="1">
        <f>MAX(intermediate_results[[#This Row], [Team1 laps '[laps']]:[Team9 laps '[laps']]]) - intermediate_results[[#This Row], [Team1 laps '[laps']]]</f>
        <v>0</v>
      </c>
      <c r="U132" s="1">
        <f>MAX(intermediate_results[[#This Row], [Team1 laps '[laps']]:[Team9 laps '[laps']]]) - intermediate_results[[#This Row], [Team2 laps '[laps']]]</f>
        <v>7.8928367706131652E-2</v>
      </c>
      <c r="V132" s="1">
        <f>MAX(intermediate_results[[#This Row], [Team1 laps '[laps']]:[Team9 laps '[laps']]]) - intermediate_results[[#This Row], [Team3 laps '[laps']]]</f>
        <v>0.2753812390989463</v>
      </c>
      <c r="W132" s="1">
        <f>MAX(intermediate_results[[#This Row], [Team1 laps '[laps']]:[Team9 laps '[laps']]]) - intermediate_results[[#This Row], [Team4 laps '[laps']]]</f>
        <v>0.617387503111404</v>
      </c>
      <c r="X132" s="1">
        <f>MAX(intermediate_results[[#This Row], [Team1 laps '[laps']]:[Team9 laps '[laps']]]) - intermediate_results[[#This Row], [Team5 laps '[laps']]]</f>
        <v>0.6157148012383491</v>
      </c>
      <c r="Y132" s="1">
        <f>MAX(intermediate_results[[#This Row], [Team1 laps '[laps']]:[Team9 laps '[laps']]]) - intermediate_results[[#This Row], [Team6 laps '[laps']]]</f>
        <v>0.75870404894011223</v>
      </c>
      <c r="Z132" s="1">
        <f>MAX(intermediate_results[[#This Row], [Team1 laps '[laps']]:[Team9 laps '[laps']]]) - intermediate_results[[#This Row], [Team7 laps '[laps']]]</f>
        <v>0.60181274752586411</v>
      </c>
      <c r="AA132" s="1">
        <f>MAX(intermediate_results[[#This Row], [Team1 laps '[laps']]:[Team9 laps '[laps']]]) - intermediate_results[[#This Row], [Team8 laps '[laps']]]</f>
        <v>1.0426512630472615</v>
      </c>
      <c r="AB132" s="1">
        <f>MAX(intermediate_results[[#This Row], [Team1 laps '[laps']]:[Team9 laps '[laps']]]) - intermediate_results[[#This Row], [Team9 laps '[laps']]]</f>
        <v>0.9569002520398282</v>
      </c>
      <c r="AC132" s="1">
        <f>9 * intermediate_results[[#This Row], [All cumulative times '[sec']]] / SUM(intermediate_results[[#This Row], [Team1 laps '[laps']]:[Team9 laps '[laps']]])</f>
        <v>54.85525597615905</v>
      </c>
      <c r="AD132" s="1">
        <f>intermediate_results[[#This Row], [All cumulative times '[sec']]] / intermediate_results[[#This Row], [Team1 laps '[laps']]] - intermediate_results[[#This Row], [Total running average '[sec']]]</f>
        <v>-1.9310696344322196</v>
      </c>
      <c r="AE132" s="1">
        <f>intermediate_results[[#This Row], [All cumulative times '[sec']]] / intermediate_results[[#This Row], [Team2 laps '[laps']]] - intermediate_results[[#This Row], [Total running average '[sec']]]</f>
        <v>-1.6622096833736038</v>
      </c>
      <c r="AF132" s="1">
        <f>intermediate_results[[#This Row], [All cumulative times '[sec']]] / intermediate_results[[#This Row], [Team3 laps '[laps']]] - intermediate_results[[#This Row], [Total running average '[sec']]]</f>
        <v>-0.98100372132467584</v>
      </c>
      <c r="AG132" s="1">
        <f>intermediate_results[[#This Row], [All cumulative times '[sec']]] / intermediate_results[[#This Row], [Team4 laps '[laps']]] - intermediate_results[[#This Row], [Total running average '[sec']]]</f>
        <v>0.24748872145870848</v>
      </c>
      <c r="AH132" s="1">
        <f>intermediate_results[[#This Row], [All cumulative times '[sec']]] / intermediate_results[[#This Row], [Team5 laps '[laps']]] - intermediate_results[[#This Row], [Total running average '[sec']]]</f>
        <v>0.24134402384095921</v>
      </c>
      <c r="AI132" s="1">
        <f>intermediate_results[[#This Row], [All cumulative times '[sec']]] / intermediate_results[[#This Row], [Team6 laps '[laps']]] - intermediate_results[[#This Row], [Total running average '[sec']]]</f>
        <v>0.77161363973299046</v>
      </c>
      <c r="AJ132" s="1">
        <f>intermediate_results[[#This Row], [All cumulative times '[sec']]] / intermediate_results[[#This Row], [Team7 laps '[laps']]] - intermediate_results[[#This Row], [Total running average '[sec']]]</f>
        <v>0.19032757989220528</v>
      </c>
      <c r="AK132" s="1">
        <f>intermediate_results[[#This Row], [All cumulative times '[sec']]] / intermediate_results[[#This Row], [Team8 laps '[laps']]] - intermediate_results[[#This Row], [Total running average '[sec']]]</f>
        <v>1.8554691115451192</v>
      </c>
      <c r="AL132" s="1">
        <f>intermediate_results[[#This Row], [All cumulative times '[sec']]] / intermediate_results[[#This Row], [Team9 laps '[laps']]] - intermediate_results[[#This Row], [Total running average '[sec']]]</f>
        <v>1.5237231852347861</v>
      </c>
    </row>
    <row r="133" spans="1:38" x14ac:dyDescent="0.25">
      <c r="A133" s="1">
        <v>826.54</v>
      </c>
      <c r="B133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15.61744316347268</v>
      </c>
      <c r="C133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15.538499181268939</v>
      </c>
      <c r="D133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15.342021779863829</v>
      </c>
      <c r="E133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15</v>
      </c>
      <c r="F133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15.001687341232312</v>
      </c>
      <c r="G133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14.858660767710465</v>
      </c>
      <c r="H133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15.015593346343278</v>
      </c>
      <c r="I133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14.574695942309765</v>
      </c>
      <c r="J133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14.660429943372447</v>
      </c>
      <c r="K133" s="1">
        <f>intermediate_results[[#This Row], [Team1 laps '[laps']]] - intermediate_results[[#This Row], [Team1 laps '[laps']]]</f>
        <v>0</v>
      </c>
      <c r="L133" s="1">
        <f>intermediate_results[[#This Row], [Team1 laps '[laps']]] - intermediate_results[[#This Row], [Team2 laps '[laps']]]</f>
        <v>7.8943982203741214E-2</v>
      </c>
      <c r="M133" s="1">
        <f>intermediate_results[[#This Row], [Team1 laps '[laps']]] - intermediate_results[[#This Row], [Team3 laps '[laps']]]</f>
        <v>0.27542138360885104</v>
      </c>
      <c r="N133" s="1">
        <f>intermediate_results[[#This Row], [Team1 laps '[laps']]] - intermediate_results[[#This Row], [Team4 laps '[laps']]]</f>
        <v>0.61744316347268047</v>
      </c>
      <c r="O133" s="1">
        <f>intermediate_results[[#This Row], [Team1 laps '[laps']]] - intermediate_results[[#This Row], [Team5 laps '[laps']]]</f>
        <v>0.61575582224036829</v>
      </c>
      <c r="P133" s="1">
        <f>intermediate_results[[#This Row], [Team1 laps '[laps']]] - intermediate_results[[#This Row], [Team6 laps '[laps']]]</f>
        <v>0.75878239576221596</v>
      </c>
      <c r="Q133" s="1">
        <f>intermediate_results[[#This Row], [Team1 laps '[laps']]] - intermediate_results[[#This Row], [Team7 laps '[laps']]]</f>
        <v>0.601849817129402</v>
      </c>
      <c r="R133" s="1">
        <f>intermediate_results[[#This Row], [Team1 laps '[laps']]] - intermediate_results[[#This Row], [Team8 laps '[laps']]]</f>
        <v>1.0427472211629158</v>
      </c>
      <c r="S133" s="1">
        <f>intermediate_results[[#This Row], [Team1 laps '[laps']]] - intermediate_results[[#This Row], [Team9 laps '[laps']]]</f>
        <v>0.95701322010023304</v>
      </c>
      <c r="T133" s="1">
        <f>MAX(intermediate_results[[#This Row], [Team1 laps '[laps']]:[Team9 laps '[laps']]]) - intermediate_results[[#This Row], [Team1 laps '[laps']]]</f>
        <v>0</v>
      </c>
      <c r="U133" s="1">
        <f>MAX(intermediate_results[[#This Row], [Team1 laps '[laps']]:[Team9 laps '[laps']]]) - intermediate_results[[#This Row], [Team2 laps '[laps']]]</f>
        <v>7.8943982203741214E-2</v>
      </c>
      <c r="V133" s="1">
        <f>MAX(intermediate_results[[#This Row], [Team1 laps '[laps']]:[Team9 laps '[laps']]]) - intermediate_results[[#This Row], [Team3 laps '[laps']]]</f>
        <v>0.27542138360885104</v>
      </c>
      <c r="W133" s="1">
        <f>MAX(intermediate_results[[#This Row], [Team1 laps '[laps']]:[Team9 laps '[laps']]]) - intermediate_results[[#This Row], [Team4 laps '[laps']]]</f>
        <v>0.61744316347268047</v>
      </c>
      <c r="X133" s="1">
        <f>MAX(intermediate_results[[#This Row], [Team1 laps '[laps']]:[Team9 laps '[laps']]]) - intermediate_results[[#This Row], [Team5 laps '[laps']]]</f>
        <v>0.61575582224036829</v>
      </c>
      <c r="Y133" s="1">
        <f>MAX(intermediate_results[[#This Row], [Team1 laps '[laps']]:[Team9 laps '[laps']]]) - intermediate_results[[#This Row], [Team6 laps '[laps']]]</f>
        <v>0.75878239576221596</v>
      </c>
      <c r="Z133" s="1">
        <f>MAX(intermediate_results[[#This Row], [Team1 laps '[laps']]:[Team9 laps '[laps']]]) - intermediate_results[[#This Row], [Team7 laps '[laps']]]</f>
        <v>0.601849817129402</v>
      </c>
      <c r="AA133" s="1">
        <f>MAX(intermediate_results[[#This Row], [Team1 laps '[laps']]:[Team9 laps '[laps']]]) - intermediate_results[[#This Row], [Team8 laps '[laps']]]</f>
        <v>1.0427472211629158</v>
      </c>
      <c r="AB133" s="1">
        <f>MAX(intermediate_results[[#This Row], [Team1 laps '[laps']]:[Team9 laps '[laps']]]) - intermediate_results[[#This Row], [Team9 laps '[laps']]]</f>
        <v>0.95701322010023304</v>
      </c>
      <c r="AC133" s="1">
        <f>9 * intermediate_results[[#This Row], [All cumulative times '[sec']]] / SUM(intermediate_results[[#This Row], [Team1 laps '[laps']]:[Team9 laps '[laps']]])</f>
        <v>54.855195996945532</v>
      </c>
      <c r="AD133" s="1">
        <f>intermediate_results[[#This Row], [All cumulative times '[sec']]] / intermediate_results[[#This Row], [Team1 laps '[laps']]] - intermediate_results[[#This Row], [Total running average '[sec']]]</f>
        <v>-1.931039888397784</v>
      </c>
      <c r="AE133" s="1">
        <f>intermediate_results[[#This Row], [All cumulative times '[sec']]] / intermediate_results[[#This Row], [Team2 laps '[laps']]] - intermediate_results[[#This Row], [Total running average '[sec']]]</f>
        <v>-1.6621565432792451</v>
      </c>
      <c r="AF133" s="1">
        <f>intermediate_results[[#This Row], [All cumulative times '[sec']]] / intermediate_results[[#This Row], [Team3 laps '[laps']]] - intermediate_results[[#This Row], [Total running average '[sec']]]</f>
        <v>-0.98094057874366314</v>
      </c>
      <c r="AG133" s="1">
        <f>intermediate_results[[#This Row], [All cumulative times '[sec']]] / intermediate_results[[#This Row], [Team4 laps '[laps']]] - intermediate_results[[#This Row], [Total running average '[sec']]]</f>
        <v>0.24747066972113174</v>
      </c>
      <c r="AH133" s="1">
        <f>intermediate_results[[#This Row], [All cumulative times '[sec']]] / intermediate_results[[#This Row], [Team5 laps '[laps']]] - intermediate_results[[#This Row], [Total running average '[sec']]]</f>
        <v>0.241272900139478</v>
      </c>
      <c r="AI133" s="1">
        <f>intermediate_results[[#This Row], [All cumulative times '[sec']]] / intermediate_results[[#This Row], [Team6 laps '[laps']]] - intermediate_results[[#This Row], [Total running average '[sec']]]</f>
        <v>0.77162077487040648</v>
      </c>
      <c r="AJ133" s="1">
        <f>intermediate_results[[#This Row], [All cumulative times '[sec']]] / intermediate_results[[#This Row], [Team7 laps '[laps']]] - intermediate_results[[#This Row], [Total running average '[sec']]]</f>
        <v>0.19024782504541093</v>
      </c>
      <c r="AK133" s="1">
        <f>intermediate_results[[#This Row], [All cumulative times '[sec']]] / intermediate_results[[#This Row], [Team8 laps '[laps']]] - intermediate_results[[#This Row], [Total running average '[sec']]]</f>
        <v>1.8554210390220689</v>
      </c>
      <c r="AL133" s="1">
        <f>intermediate_results[[#This Row], [All cumulative times '[sec']]] / intermediate_results[[#This Row], [Team9 laps '[laps']]] - intermediate_results[[#This Row], [Total running average '[sec']]]</f>
        <v>1.5237780981255753</v>
      </c>
    </row>
    <row r="134" spans="1:38" x14ac:dyDescent="0.25">
      <c r="A134" s="1">
        <v>834.33500000000004</v>
      </c>
      <c r="B134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15.765493532886369</v>
      </c>
      <c r="C134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15.685212023112685</v>
      </c>
      <c r="D134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15.486633397027997</v>
      </c>
      <c r="E134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15.144904636204782</v>
      </c>
      <c r="F134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15.146223878659766</v>
      </c>
      <c r="G134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15</v>
      </c>
      <c r="H134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15.160468357959299</v>
      </c>
      <c r="I134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14.714526602805586</v>
      </c>
      <c r="J134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14.798803543216234</v>
      </c>
      <c r="K134" s="1">
        <f>intermediate_results[[#This Row], [Team1 laps '[laps']]] - intermediate_results[[#This Row], [Team1 laps '[laps']]]</f>
        <v>0</v>
      </c>
      <c r="L134" s="1">
        <f>intermediate_results[[#This Row], [Team1 laps '[laps']]] - intermediate_results[[#This Row], [Team2 laps '[laps']]]</f>
        <v>8.0281509773683979E-2</v>
      </c>
      <c r="M134" s="1">
        <f>intermediate_results[[#This Row], [Team1 laps '[laps']]] - intermediate_results[[#This Row], [Team3 laps '[laps']]]</f>
        <v>0.27886013585837155</v>
      </c>
      <c r="N134" s="1">
        <f>intermediate_results[[#This Row], [Team1 laps '[laps']]] - intermediate_results[[#This Row], [Team4 laps '[laps']]]</f>
        <v>0.62058889668158734</v>
      </c>
      <c r="O134" s="1">
        <f>intermediate_results[[#This Row], [Team1 laps '[laps']]] - intermediate_results[[#This Row], [Team5 laps '[laps']]]</f>
        <v>0.61926965422660274</v>
      </c>
      <c r="P134" s="1">
        <f>intermediate_results[[#This Row], [Team1 laps '[laps']]] - intermediate_results[[#This Row], [Team6 laps '[laps']]]</f>
        <v>0.76549353288636901</v>
      </c>
      <c r="Q134" s="1">
        <f>intermediate_results[[#This Row], [Team1 laps '[laps']]] - intermediate_results[[#This Row], [Team7 laps '[laps']]]</f>
        <v>0.60502517492706964</v>
      </c>
      <c r="R134" s="1">
        <f>intermediate_results[[#This Row], [Team1 laps '[laps']]] - intermediate_results[[#This Row], [Team8 laps '[laps']]]</f>
        <v>1.0509669300807829</v>
      </c>
      <c r="S134" s="1">
        <f>intermediate_results[[#This Row], [Team1 laps '[laps']]] - intermediate_results[[#This Row], [Team9 laps '[laps']]]</f>
        <v>0.96668998967013486</v>
      </c>
      <c r="T134" s="1">
        <f>MAX(intermediate_results[[#This Row], [Team1 laps '[laps']]:[Team9 laps '[laps']]]) - intermediate_results[[#This Row], [Team1 laps '[laps']]]</f>
        <v>0</v>
      </c>
      <c r="U134" s="1">
        <f>MAX(intermediate_results[[#This Row], [Team1 laps '[laps']]:[Team9 laps '[laps']]]) - intermediate_results[[#This Row], [Team2 laps '[laps']]]</f>
        <v>8.0281509773683979E-2</v>
      </c>
      <c r="V134" s="1">
        <f>MAX(intermediate_results[[#This Row], [Team1 laps '[laps']]:[Team9 laps '[laps']]]) - intermediate_results[[#This Row], [Team3 laps '[laps']]]</f>
        <v>0.27886013585837155</v>
      </c>
      <c r="W134" s="1">
        <f>MAX(intermediate_results[[#This Row], [Team1 laps '[laps']]:[Team9 laps '[laps']]]) - intermediate_results[[#This Row], [Team4 laps '[laps']]]</f>
        <v>0.62058889668158734</v>
      </c>
      <c r="X134" s="1">
        <f>MAX(intermediate_results[[#This Row], [Team1 laps '[laps']]:[Team9 laps '[laps']]]) - intermediate_results[[#This Row], [Team5 laps '[laps']]]</f>
        <v>0.61926965422660274</v>
      </c>
      <c r="Y134" s="1">
        <f>MAX(intermediate_results[[#This Row], [Team1 laps '[laps']]:[Team9 laps '[laps']]]) - intermediate_results[[#This Row], [Team6 laps '[laps']]]</f>
        <v>0.76549353288636901</v>
      </c>
      <c r="Z134" s="1">
        <f>MAX(intermediate_results[[#This Row], [Team1 laps '[laps']]:[Team9 laps '[laps']]]) - intermediate_results[[#This Row], [Team7 laps '[laps']]]</f>
        <v>0.60502517492706964</v>
      </c>
      <c r="AA134" s="1">
        <f>MAX(intermediate_results[[#This Row], [Team1 laps '[laps']]:[Team9 laps '[laps']]]) - intermediate_results[[#This Row], [Team8 laps '[laps']]]</f>
        <v>1.0509669300807829</v>
      </c>
      <c r="AB134" s="1">
        <f>MAX(intermediate_results[[#This Row], [Team1 laps '[laps']]:[Team9 laps '[laps']]]) - intermediate_results[[#This Row], [Team9 laps '[laps']]]</f>
        <v>0.96668998967013486</v>
      </c>
      <c r="AC134" s="1">
        <f>9 * intermediate_results[[#This Row], [All cumulative times '[sec']]] / SUM(intermediate_results[[#This Row], [Team1 laps '[laps']]:[Team9 laps '[laps']]])</f>
        <v>54.849457360645623</v>
      </c>
      <c r="AD134" s="1">
        <f>intermediate_results[[#This Row], [All cumulative times '[sec']]] / intermediate_results[[#This Row], [Team1 laps '[laps']]] - intermediate_results[[#This Row], [Total running average '[sec']]]</f>
        <v>-1.9278664025445593</v>
      </c>
      <c r="AE134" s="1">
        <f>intermediate_results[[#This Row], [All cumulative times '[sec']]] / intermediate_results[[#This Row], [Team2 laps '[laps']]] - intermediate_results[[#This Row], [Total running average '[sec']]]</f>
        <v>-1.656998197799787</v>
      </c>
      <c r="AF134" s="1">
        <f>intermediate_results[[#This Row], [All cumulative times '[sec']]] / intermediate_results[[#This Row], [Team3 laps '[laps']]] - intermediate_results[[#This Row], [Total running average '[sec']]]</f>
        <v>-0.97493353030072427</v>
      </c>
      <c r="AG134" s="1">
        <f>intermediate_results[[#This Row], [All cumulative times '[sec']]] / intermediate_results[[#This Row], [Team4 laps '[laps']]] - intermediate_results[[#This Row], [Total running average '[sec']]]</f>
        <v>0.24068813987297233</v>
      </c>
      <c r="AH134" s="1">
        <f>intermediate_results[[#This Row], [All cumulative times '[sec']]] / intermediate_results[[#This Row], [Team5 laps '[laps']]] - intermediate_results[[#This Row], [Total running average '[sec']]]</f>
        <v>0.2358897650847851</v>
      </c>
      <c r="AI134" s="1">
        <f>intermediate_results[[#This Row], [All cumulative times '[sec']]] / intermediate_results[[#This Row], [Team6 laps '[laps']]] - intermediate_results[[#This Row], [Total running average '[sec']]]</f>
        <v>0.77287597268771435</v>
      </c>
      <c r="AJ134" s="1">
        <f>intermediate_results[[#This Row], [All cumulative times '[sec']]] / intermediate_results[[#This Row], [Team7 laps '[laps']]] - intermediate_results[[#This Row], [Total running average '[sec']]]</f>
        <v>0.184132651233611</v>
      </c>
      <c r="AK134" s="1">
        <f>intermediate_results[[#This Row], [All cumulative times '[sec']]] / intermediate_results[[#This Row], [Team8 laps '[laps']]] - intermediate_results[[#This Row], [Total running average '[sec']]]</f>
        <v>1.8519930170321217</v>
      </c>
      <c r="AL134" s="1">
        <f>intermediate_results[[#This Row], [All cumulative times '[sec']]] / intermediate_results[[#This Row], [Team9 laps '[laps']]] - intermediate_results[[#This Row], [Total running average '[sec']]]</f>
        <v>1.5290868617661175</v>
      </c>
    </row>
    <row r="135" spans="1:38" x14ac:dyDescent="0.25">
      <c r="A135" s="1">
        <v>845.66899999999987</v>
      </c>
      <c r="B135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15.980760099523277</v>
      </c>
      <c r="C135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15.898533812651745</v>
      </c>
      <c r="D135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15.696899987013708</v>
      </c>
      <c r="E135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15.355597278506895</v>
      </c>
      <c r="F135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15.356381302034075</v>
      </c>
      <c r="G135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15.206832366144747</v>
      </c>
      <c r="H135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15.371117925843322</v>
      </c>
      <c r="I135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14.917841638861981</v>
      </c>
      <c r="J135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15</v>
      </c>
      <c r="K135" s="1">
        <f>intermediate_results[[#This Row], [Team1 laps '[laps']]] - intermediate_results[[#This Row], [Team1 laps '[laps']]]</f>
        <v>0</v>
      </c>
      <c r="L135" s="1">
        <f>intermediate_results[[#This Row], [Team1 laps '[laps']]] - intermediate_results[[#This Row], [Team2 laps '[laps']]]</f>
        <v>8.2226286871531329E-2</v>
      </c>
      <c r="M135" s="1">
        <f>intermediate_results[[#This Row], [Team1 laps '[laps']]] - intermediate_results[[#This Row], [Team3 laps '[laps']]]</f>
        <v>0.28386011250956855</v>
      </c>
      <c r="N135" s="1">
        <f>intermediate_results[[#This Row], [Team1 laps '[laps']]] - intermediate_results[[#This Row], [Team4 laps '[laps']]]</f>
        <v>0.62516282101638154</v>
      </c>
      <c r="O135" s="1">
        <f>intermediate_results[[#This Row], [Team1 laps '[laps']]] - intermediate_results[[#This Row], [Team5 laps '[laps']]]</f>
        <v>0.62437879748920189</v>
      </c>
      <c r="P135" s="1">
        <f>intermediate_results[[#This Row], [Team1 laps '[laps']]] - intermediate_results[[#This Row], [Team6 laps '[laps']]]</f>
        <v>0.77392773337852994</v>
      </c>
      <c r="Q135" s="1">
        <f>intermediate_results[[#This Row], [Team1 laps '[laps']]] - intermediate_results[[#This Row], [Team7 laps '[laps']]]</f>
        <v>0.60964217367995488</v>
      </c>
      <c r="R135" s="1">
        <f>intermediate_results[[#This Row], [Team1 laps '[laps']]] - intermediate_results[[#This Row], [Team8 laps '[laps']]]</f>
        <v>1.0629184606612956</v>
      </c>
      <c r="S135" s="1">
        <f>intermediate_results[[#This Row], [Team1 laps '[laps']]] - intermediate_results[[#This Row], [Team9 laps '[laps']]]</f>
        <v>0.98076009952327681</v>
      </c>
      <c r="T135" s="1">
        <f>MAX(intermediate_results[[#This Row], [Team1 laps '[laps']]:[Team9 laps '[laps']]]) - intermediate_results[[#This Row], [Team1 laps '[laps']]]</f>
        <v>0</v>
      </c>
      <c r="U135" s="1">
        <f>MAX(intermediate_results[[#This Row], [Team1 laps '[laps']]:[Team9 laps '[laps']]]) - intermediate_results[[#This Row], [Team2 laps '[laps']]]</f>
        <v>8.2226286871531329E-2</v>
      </c>
      <c r="V135" s="1">
        <f>MAX(intermediate_results[[#This Row], [Team1 laps '[laps']]:[Team9 laps '[laps']]]) - intermediate_results[[#This Row], [Team3 laps '[laps']]]</f>
        <v>0.28386011250956855</v>
      </c>
      <c r="W135" s="1">
        <f>MAX(intermediate_results[[#This Row], [Team1 laps '[laps']]:[Team9 laps '[laps']]]) - intermediate_results[[#This Row], [Team4 laps '[laps']]]</f>
        <v>0.62516282101638154</v>
      </c>
      <c r="X135" s="1">
        <f>MAX(intermediate_results[[#This Row], [Team1 laps '[laps']]:[Team9 laps '[laps']]]) - intermediate_results[[#This Row], [Team5 laps '[laps']]]</f>
        <v>0.62437879748920189</v>
      </c>
      <c r="Y135" s="1">
        <f>MAX(intermediate_results[[#This Row], [Team1 laps '[laps']]:[Team9 laps '[laps']]]) - intermediate_results[[#This Row], [Team6 laps '[laps']]]</f>
        <v>0.77392773337852994</v>
      </c>
      <c r="Z135" s="1">
        <f>MAX(intermediate_results[[#This Row], [Team1 laps '[laps']]:[Team9 laps '[laps']]]) - intermediate_results[[#This Row], [Team7 laps '[laps']]]</f>
        <v>0.60964217367995488</v>
      </c>
      <c r="AA135" s="1">
        <f>MAX(intermediate_results[[#This Row], [Team1 laps '[laps']]:[Team9 laps '[laps']]]) - intermediate_results[[#This Row], [Team8 laps '[laps']]]</f>
        <v>1.0629184606612956</v>
      </c>
      <c r="AB135" s="1">
        <f>MAX(intermediate_results[[#This Row], [Team1 laps '[laps']]:[Team9 laps '[laps']]]) - intermediate_results[[#This Row], [Team9 laps '[laps']]]</f>
        <v>0.98076009952327681</v>
      </c>
      <c r="AC135" s="1">
        <f>9 * intermediate_results[[#This Row], [All cumulative times '[sec']]] / SUM(intermediate_results[[#This Row], [Team1 laps '[laps']]:[Team9 laps '[laps']]])</f>
        <v>54.840781010430604</v>
      </c>
      <c r="AD135" s="1">
        <f>intermediate_results[[#This Row], [All cumulative times '[sec']]] / intermediate_results[[#This Row], [Team1 laps '[laps']]] - intermediate_results[[#This Row], [Total running average '[sec']]]</f>
        <v>-1.922835009524988</v>
      </c>
      <c r="AE135" s="1">
        <f>intermediate_results[[#This Row], [All cumulative times '[sec']]] / intermediate_results[[#This Row], [Team2 laps '[laps']]] - intermediate_results[[#This Row], [Total running average '[sec']]]</f>
        <v>-1.6491464883193387</v>
      </c>
      <c r="AF135" s="1">
        <f>intermediate_results[[#This Row], [All cumulative times '[sec']]] / intermediate_results[[#This Row], [Team3 laps '[laps']]] - intermediate_results[[#This Row], [Total running average '[sec']]]</f>
        <v>-0.96587572979333913</v>
      </c>
      <c r="AG135" s="1">
        <f>intermediate_results[[#This Row], [All cumulative times '[sec']]] / intermediate_results[[#This Row], [Team4 laps '[laps']]] - intermediate_results[[#This Row], [Total running average '[sec']]]</f>
        <v>0.23158020495994691</v>
      </c>
      <c r="AH135" s="1">
        <f>intermediate_results[[#This Row], [All cumulative times '[sec']]] / intermediate_results[[#This Row], [Team5 laps '[laps']]] - intermediate_results[[#This Row], [Total running average '[sec']]]</f>
        <v>0.22876847307852444</v>
      </c>
      <c r="AI135" s="1">
        <f>intermediate_results[[#This Row], [All cumulative times '[sec']]] / intermediate_results[[#This Row], [Team6 laps '[laps']]] - intermediate_results[[#This Row], [Total running average '[sec']]]</f>
        <v>0.77034033544077118</v>
      </c>
      <c r="AJ135" s="1">
        <f>intermediate_results[[#This Row], [All cumulative times '[sec']]] / intermediate_results[[#This Row], [Team7 laps '[laps']]] - intermediate_results[[#This Row], [Total running average '[sec']]]</f>
        <v>0.17597210276906594</v>
      </c>
      <c r="AK135" s="1">
        <f>intermediate_results[[#This Row], [All cumulative times '[sec']]] / intermediate_results[[#This Row], [Team8 laps '[laps']]] - intermediate_results[[#This Row], [Total running average '[sec']]]</f>
        <v>1.8476475486295243</v>
      </c>
      <c r="AL135" s="1">
        <f>intermediate_results[[#This Row], [All cumulative times '[sec']]] / intermediate_results[[#This Row], [Team9 laps '[laps']]] - intermediate_results[[#This Row], [Total running average '[sec']]]</f>
        <v>1.5371523229027204</v>
      </c>
    </row>
    <row r="136" spans="1:38" x14ac:dyDescent="0.25">
      <c r="A136" s="1">
        <v>846.68199999999979</v>
      </c>
      <c r="B136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16</v>
      </c>
      <c r="C136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15.917599894600135</v>
      </c>
      <c r="D136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15.715693004099954</v>
      </c>
      <c r="E136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15.374428374911696</v>
      </c>
      <c r="F136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15.375164562125672</v>
      </c>
      <c r="G136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15.22531844227891</v>
      </c>
      <c r="H136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15.389945172381747</v>
      </c>
      <c r="I136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14.936013346249057</v>
      </c>
      <c r="J136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15.017955899035734</v>
      </c>
      <c r="K136" s="1">
        <f>intermediate_results[[#This Row], [Team1 laps '[laps']]] - intermediate_results[[#This Row], [Team1 laps '[laps']]]</f>
        <v>0</v>
      </c>
      <c r="L136" s="1">
        <f>intermediate_results[[#This Row], [Team1 laps '[laps']]] - intermediate_results[[#This Row], [Team2 laps '[laps']]]</f>
        <v>8.2400105399864643E-2</v>
      </c>
      <c r="M136" s="1">
        <f>intermediate_results[[#This Row], [Team1 laps '[laps']]] - intermediate_results[[#This Row], [Team3 laps '[laps']]]</f>
        <v>0.28430699590004593</v>
      </c>
      <c r="N136" s="1">
        <f>intermediate_results[[#This Row], [Team1 laps '[laps']]] - intermediate_results[[#This Row], [Team4 laps '[laps']]]</f>
        <v>0.62557162508830366</v>
      </c>
      <c r="O136" s="1">
        <f>intermediate_results[[#This Row], [Team1 laps '[laps']]] - intermediate_results[[#This Row], [Team5 laps '[laps']]]</f>
        <v>0.62483543787432794</v>
      </c>
      <c r="P136" s="1">
        <f>intermediate_results[[#This Row], [Team1 laps '[laps']]] - intermediate_results[[#This Row], [Team6 laps '[laps']]]</f>
        <v>0.77468155772108993</v>
      </c>
      <c r="Q136" s="1">
        <f>intermediate_results[[#This Row], [Team1 laps '[laps']]] - intermediate_results[[#This Row], [Team7 laps '[laps']]]</f>
        <v>0.61005482761825292</v>
      </c>
      <c r="R136" s="1">
        <f>intermediate_results[[#This Row], [Team1 laps '[laps']]] - intermediate_results[[#This Row], [Team8 laps '[laps']]]</f>
        <v>1.063986653750943</v>
      </c>
      <c r="S136" s="1">
        <f>intermediate_results[[#This Row], [Team1 laps '[laps']]] - intermediate_results[[#This Row], [Team9 laps '[laps']]]</f>
        <v>0.98204410096426642</v>
      </c>
      <c r="T136" s="1">
        <f>MAX(intermediate_results[[#This Row], [Team1 laps '[laps']]:[Team9 laps '[laps']]]) - intermediate_results[[#This Row], [Team1 laps '[laps']]]</f>
        <v>0</v>
      </c>
      <c r="U136" s="1">
        <f>MAX(intermediate_results[[#This Row], [Team1 laps '[laps']]:[Team9 laps '[laps']]]) - intermediate_results[[#This Row], [Team2 laps '[laps']]]</f>
        <v>8.2400105399864643E-2</v>
      </c>
      <c r="V136" s="1">
        <f>MAX(intermediate_results[[#This Row], [Team1 laps '[laps']]:[Team9 laps '[laps']]]) - intermediate_results[[#This Row], [Team3 laps '[laps']]]</f>
        <v>0.28430699590004593</v>
      </c>
      <c r="W136" s="1">
        <f>MAX(intermediate_results[[#This Row], [Team1 laps '[laps']]:[Team9 laps '[laps']]]) - intermediate_results[[#This Row], [Team4 laps '[laps']]]</f>
        <v>0.62557162508830366</v>
      </c>
      <c r="X136" s="1">
        <f>MAX(intermediate_results[[#This Row], [Team1 laps '[laps']]:[Team9 laps '[laps']]]) - intermediate_results[[#This Row], [Team5 laps '[laps']]]</f>
        <v>0.62483543787432794</v>
      </c>
      <c r="Y136" s="1">
        <f>MAX(intermediate_results[[#This Row], [Team1 laps '[laps']]:[Team9 laps '[laps']]]) - intermediate_results[[#This Row], [Team6 laps '[laps']]]</f>
        <v>0.77468155772108993</v>
      </c>
      <c r="Z136" s="1">
        <f>MAX(intermediate_results[[#This Row], [Team1 laps '[laps']]:[Team9 laps '[laps']]]) - intermediate_results[[#This Row], [Team7 laps '[laps']]]</f>
        <v>0.61005482761825292</v>
      </c>
      <c r="AA136" s="1">
        <f>MAX(intermediate_results[[#This Row], [Team1 laps '[laps']]:[Team9 laps '[laps']]]) - intermediate_results[[#This Row], [Team8 laps '[laps']]]</f>
        <v>1.063986653750943</v>
      </c>
      <c r="AB136" s="1">
        <f>MAX(intermediate_results[[#This Row], [Team1 laps '[laps']]:[Team9 laps '[laps']]]) - intermediate_results[[#This Row], [Team9 laps '[laps']]]</f>
        <v>0.98204410096426642</v>
      </c>
      <c r="AC136" s="1">
        <f>9 * intermediate_results[[#This Row], [All cumulative times '[sec']]] / SUM(intermediate_results[[#This Row], [Team1 laps '[laps']]:[Team9 laps '[laps']]])</f>
        <v>54.840027424761743</v>
      </c>
      <c r="AD136" s="1">
        <f>intermediate_results[[#This Row], [All cumulative times '[sec']]] / intermediate_results[[#This Row], [Team1 laps '[laps']]] - intermediate_results[[#This Row], [Total running average '[sec']]]</f>
        <v>-1.9224024247617564</v>
      </c>
      <c r="AE136" s="1">
        <f>intermediate_results[[#This Row], [All cumulative times '[sec']]] / intermediate_results[[#This Row], [Team2 laps '[laps']]] - intermediate_results[[#This Row], [Total running average '[sec']]]</f>
        <v>-1.6484655306079006</v>
      </c>
      <c r="AF136" s="1">
        <f>intermediate_results[[#This Row], [All cumulative times '[sec']]] / intermediate_results[[#This Row], [Team3 laps '[laps']]] - intermediate_results[[#This Row], [Total running average '[sec']]]</f>
        <v>-0.96508854811691691</v>
      </c>
      <c r="AG136" s="1">
        <f>intermediate_results[[#This Row], [All cumulative times '[sec']]] / intermediate_results[[#This Row], [Team4 laps '[laps']]] - intermediate_results[[#This Row], [Total running average '[sec']]]</f>
        <v>0.23076801252636159</v>
      </c>
      <c r="AH136" s="1">
        <f>intermediate_results[[#This Row], [All cumulative times '[sec']]] / intermediate_results[[#This Row], [Team5 laps '[laps']]] - intermediate_results[[#This Row], [Total running average '[sec']]]</f>
        <v>0.22813113567859489</v>
      </c>
      <c r="AI136" s="1">
        <f>intermediate_results[[#This Row], [All cumulative times '[sec']]] / intermediate_results[[#This Row], [Team6 laps '[laps']]] - intermediate_results[[#This Row], [Total running average '[sec']]]</f>
        <v>0.77010665616913343</v>
      </c>
      <c r="AJ136" s="1">
        <f>intermediate_results[[#This Row], [All cumulative times '[sec']]] / intermediate_results[[#This Row], [Team7 laps '[laps']]] - intermediate_results[[#This Row], [Total running average '[sec']]]</f>
        <v>0.17524329364376712</v>
      </c>
      <c r="AK136" s="1">
        <f>intermediate_results[[#This Row], [All cumulative times '[sec']]] / intermediate_results[[#This Row], [Team8 laps '[laps']]] - intermediate_results[[#This Row], [Total running average '[sec']]]</f>
        <v>1.8472545407856771</v>
      </c>
      <c r="AL136" s="1">
        <f>intermediate_results[[#This Row], [All cumulative times '[sec']]] / intermediate_results[[#This Row], [Team9 laps '[laps']]] - intermediate_results[[#This Row], [Total running average '[sec']]]</f>
        <v>1.5379514221706287</v>
      </c>
    </row>
    <row r="137" spans="1:38" x14ac:dyDescent="0.25">
      <c r="A137" s="1">
        <v>850.2489999999998</v>
      </c>
      <c r="B137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16.068003736678552</v>
      </c>
      <c r="C137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15.984735841599063</v>
      </c>
      <c r="D137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15.781867428529022</v>
      </c>
      <c r="E137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15.440736885154475</v>
      </c>
      <c r="F137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15.441304629990166</v>
      </c>
      <c r="G137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15.29041205883426</v>
      </c>
      <c r="H137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15.456240126382305</v>
      </c>
      <c r="I137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15</v>
      </c>
      <c r="J137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15.08118264322178</v>
      </c>
      <c r="K137" s="1">
        <f>intermediate_results[[#This Row], [Team1 laps '[laps']]] - intermediate_results[[#This Row], [Team1 laps '[laps']]]</f>
        <v>0</v>
      </c>
      <c r="L137" s="1">
        <f>intermediate_results[[#This Row], [Team1 laps '[laps']]] - intermediate_results[[#This Row], [Team2 laps '[laps']]]</f>
        <v>8.3267895079488952E-2</v>
      </c>
      <c r="M137" s="1">
        <f>intermediate_results[[#This Row], [Team1 laps '[laps']]] - intermediate_results[[#This Row], [Team3 laps '[laps']]]</f>
        <v>0.28613630814952984</v>
      </c>
      <c r="N137" s="1">
        <f>intermediate_results[[#This Row], [Team1 laps '[laps']]] - intermediate_results[[#This Row], [Team4 laps '[laps']]]</f>
        <v>0.62726685152407669</v>
      </c>
      <c r="O137" s="1">
        <f>intermediate_results[[#This Row], [Team1 laps '[laps']]] - intermediate_results[[#This Row], [Team5 laps '[laps']]]</f>
        <v>0.62669910668838646</v>
      </c>
      <c r="P137" s="1">
        <f>intermediate_results[[#This Row], [Team1 laps '[laps']]] - intermediate_results[[#This Row], [Team6 laps '[laps']]]</f>
        <v>0.77759167784429195</v>
      </c>
      <c r="Q137" s="1">
        <f>intermediate_results[[#This Row], [Team1 laps '[laps']]] - intermediate_results[[#This Row], [Team7 laps '[laps']]]</f>
        <v>0.61176361029624715</v>
      </c>
      <c r="R137" s="1">
        <f>intermediate_results[[#This Row], [Team1 laps '[laps']]] - intermediate_results[[#This Row], [Team8 laps '[laps']]]</f>
        <v>1.068003736678552</v>
      </c>
      <c r="S137" s="1">
        <f>intermediate_results[[#This Row], [Team1 laps '[laps']]] - intermediate_results[[#This Row], [Team9 laps '[laps']]]</f>
        <v>0.98682109345677205</v>
      </c>
      <c r="T137" s="1">
        <f>MAX(intermediate_results[[#This Row], [Team1 laps '[laps']]:[Team9 laps '[laps']]]) - intermediate_results[[#This Row], [Team1 laps '[laps']]]</f>
        <v>0</v>
      </c>
      <c r="U137" s="1">
        <f>MAX(intermediate_results[[#This Row], [Team1 laps '[laps']]:[Team9 laps '[laps']]]) - intermediate_results[[#This Row], [Team2 laps '[laps']]]</f>
        <v>8.3267895079488952E-2</v>
      </c>
      <c r="V137" s="1">
        <f>MAX(intermediate_results[[#This Row], [Team1 laps '[laps']]:[Team9 laps '[laps']]]) - intermediate_results[[#This Row], [Team3 laps '[laps']]]</f>
        <v>0.28613630814952984</v>
      </c>
      <c r="W137" s="1">
        <f>MAX(intermediate_results[[#This Row], [Team1 laps '[laps']]:[Team9 laps '[laps']]]) - intermediate_results[[#This Row], [Team4 laps '[laps']]]</f>
        <v>0.62726685152407669</v>
      </c>
      <c r="X137" s="1">
        <f>MAX(intermediate_results[[#This Row], [Team1 laps '[laps']]:[Team9 laps '[laps']]]) - intermediate_results[[#This Row], [Team5 laps '[laps']]]</f>
        <v>0.62669910668838646</v>
      </c>
      <c r="Y137" s="1">
        <f>MAX(intermediate_results[[#This Row], [Team1 laps '[laps']]:[Team9 laps '[laps']]]) - intermediate_results[[#This Row], [Team6 laps '[laps']]]</f>
        <v>0.77759167784429195</v>
      </c>
      <c r="Z137" s="1">
        <f>MAX(intermediate_results[[#This Row], [Team1 laps '[laps']]:[Team9 laps '[laps']]]) - intermediate_results[[#This Row], [Team7 laps '[laps']]]</f>
        <v>0.61176361029624715</v>
      </c>
      <c r="AA137" s="1">
        <f>MAX(intermediate_results[[#This Row], [Team1 laps '[laps']]:[Team9 laps '[laps']]]) - intermediate_results[[#This Row], [Team8 laps '[laps']]]</f>
        <v>1.068003736678552</v>
      </c>
      <c r="AB137" s="1">
        <f>MAX(intermediate_results[[#This Row], [Team1 laps '[laps']]:[Team9 laps '[laps']]]) - intermediate_results[[#This Row], [Team9 laps '[laps']]]</f>
        <v>0.98682109345677205</v>
      </c>
      <c r="AC137" s="1">
        <f>9 * intermediate_results[[#This Row], [All cumulative times '[sec']]] / SUM(intermediate_results[[#This Row], [Team1 laps '[laps']]:[Team9 laps '[laps']]])</f>
        <v>54.83728784021924</v>
      </c>
      <c r="AD137" s="1">
        <f>intermediate_results[[#This Row], [All cumulative times '[sec']]] / intermediate_results[[#This Row], [Team1 laps '[laps']]] - intermediate_results[[#This Row], [Total running average '[sec']]]</f>
        <v>-1.9216292472896086</v>
      </c>
      <c r="AE137" s="1">
        <f>intermediate_results[[#This Row], [All cumulative times '[sec']]] / intermediate_results[[#This Row], [Team2 laps '[laps']]] - intermediate_results[[#This Row], [Total running average '[sec']]]</f>
        <v>-1.6459803062347689</v>
      </c>
      <c r="AF137" s="1">
        <f>intermediate_results[[#This Row], [All cumulative times '[sec']]] / intermediate_results[[#This Row], [Team3 laps '[laps']]] - intermediate_results[[#This Row], [Total running average '[sec']]]</f>
        <v>-0.9622313014095738</v>
      </c>
      <c r="AG137" s="1">
        <f>intermediate_results[[#This Row], [All cumulative times '[sec']]] / intermediate_results[[#This Row], [Team4 laps '[laps']]] - intermediate_results[[#This Row], [Total running average '[sec']]]</f>
        <v>0.228024542473662</v>
      </c>
      <c r="AH137" s="1">
        <f>intermediate_results[[#This Row], [All cumulative times '[sec']]] / intermediate_results[[#This Row], [Team5 laps '[laps']]] - intermediate_results[[#This Row], [Total running average '[sec']]]</f>
        <v>0.22599990482289201</v>
      </c>
      <c r="AI137" s="1">
        <f>intermediate_results[[#This Row], [All cumulative times '[sec']]] / intermediate_results[[#This Row], [Team6 laps '[laps']]] - intermediate_results[[#This Row], [Total running average '[sec']]]</f>
        <v>0.76938886204503376</v>
      </c>
      <c r="AJ137" s="1">
        <f>intermediate_results[[#This Row], [All cumulative times '[sec']]] / intermediate_results[[#This Row], [Team7 laps '[laps']]] - intermediate_results[[#This Row], [Total running average '[sec']]]</f>
        <v>0.17279178119574823</v>
      </c>
      <c r="AK137" s="1">
        <f>intermediate_results[[#This Row], [All cumulative times '[sec']]] / intermediate_results[[#This Row], [Team8 laps '[laps']]] - intermediate_results[[#This Row], [Total running average '[sec']]]</f>
        <v>1.8459788264474142</v>
      </c>
      <c r="AL137" s="1">
        <f>intermediate_results[[#This Row], [All cumulative times '[sec']]] / intermediate_results[[#This Row], [Team9 laps '[laps']]] - intermediate_results[[#This Row], [Total running average '[sec']]]</f>
        <v>1.5408504075887492</v>
      </c>
    </row>
    <row r="138" spans="1:38" x14ac:dyDescent="0.25">
      <c r="A138" s="1">
        <v>851.06</v>
      </c>
      <c r="B138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16.083465197414831</v>
      </c>
      <c r="C138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16</v>
      </c>
      <c r="D138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15.796912973303899</v>
      </c>
      <c r="E138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15.45581291593858</v>
      </c>
      <c r="F138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15.456342363390254</v>
      </c>
      <c r="G138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15.305211869046314</v>
      </c>
      <c r="H138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15.471313074993031</v>
      </c>
      <c r="I138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15.014749477130129</v>
      </c>
      <c r="J138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15.095557997731142</v>
      </c>
      <c r="K138" s="1">
        <f>intermediate_results[[#This Row], [Team1 laps '[laps']]] - intermediate_results[[#This Row], [Team1 laps '[laps']]]</f>
        <v>0</v>
      </c>
      <c r="L138" s="1">
        <f>intermediate_results[[#This Row], [Team1 laps '[laps']]] - intermediate_results[[#This Row], [Team2 laps '[laps']]]</f>
        <v>8.3465197414831493E-2</v>
      </c>
      <c r="M138" s="1">
        <f>intermediate_results[[#This Row], [Team1 laps '[laps']]] - intermediate_results[[#This Row], [Team3 laps '[laps']]]</f>
        <v>0.28655222411093284</v>
      </c>
      <c r="N138" s="1">
        <f>intermediate_results[[#This Row], [Team1 laps '[laps']]] - intermediate_results[[#This Row], [Team4 laps '[laps']]]</f>
        <v>0.62765228147625152</v>
      </c>
      <c r="O138" s="1">
        <f>intermediate_results[[#This Row], [Team1 laps '[laps']]] - intermediate_results[[#This Row], [Team5 laps '[laps']]]</f>
        <v>0.62712283402457736</v>
      </c>
      <c r="P138" s="1">
        <f>intermediate_results[[#This Row], [Team1 laps '[laps']]] - intermediate_results[[#This Row], [Team6 laps '[laps']]]</f>
        <v>0.77825332836851757</v>
      </c>
      <c r="Q138" s="1">
        <f>intermediate_results[[#This Row], [Team1 laps '[laps']]] - intermediate_results[[#This Row], [Team7 laps '[laps']]]</f>
        <v>0.61215212242180073</v>
      </c>
      <c r="R138" s="1">
        <f>intermediate_results[[#This Row], [Team1 laps '[laps']]] - intermediate_results[[#This Row], [Team8 laps '[laps']]]</f>
        <v>1.0687157202847022</v>
      </c>
      <c r="S138" s="1">
        <f>intermediate_results[[#This Row], [Team1 laps '[laps']]] - intermediate_results[[#This Row], [Team9 laps '[laps']]]</f>
        <v>0.9879071996836899</v>
      </c>
      <c r="T138" s="1">
        <f>MAX(intermediate_results[[#This Row], [Team1 laps '[laps']]:[Team9 laps '[laps']]]) - intermediate_results[[#This Row], [Team1 laps '[laps']]]</f>
        <v>0</v>
      </c>
      <c r="U138" s="1">
        <f>MAX(intermediate_results[[#This Row], [Team1 laps '[laps']]:[Team9 laps '[laps']]]) - intermediate_results[[#This Row], [Team2 laps '[laps']]]</f>
        <v>8.3465197414831493E-2</v>
      </c>
      <c r="V138" s="1">
        <f>MAX(intermediate_results[[#This Row], [Team1 laps '[laps']]:[Team9 laps '[laps']]]) - intermediate_results[[#This Row], [Team3 laps '[laps']]]</f>
        <v>0.28655222411093284</v>
      </c>
      <c r="W138" s="1">
        <f>MAX(intermediate_results[[#This Row], [Team1 laps '[laps']]:[Team9 laps '[laps']]]) - intermediate_results[[#This Row], [Team4 laps '[laps']]]</f>
        <v>0.62765228147625152</v>
      </c>
      <c r="X138" s="1">
        <f>MAX(intermediate_results[[#This Row], [Team1 laps '[laps']]:[Team9 laps '[laps']]]) - intermediate_results[[#This Row], [Team5 laps '[laps']]]</f>
        <v>0.62712283402457736</v>
      </c>
      <c r="Y138" s="1">
        <f>MAX(intermediate_results[[#This Row], [Team1 laps '[laps']]:[Team9 laps '[laps']]]) - intermediate_results[[#This Row], [Team6 laps '[laps']]]</f>
        <v>0.77825332836851757</v>
      </c>
      <c r="Z138" s="1">
        <f>MAX(intermediate_results[[#This Row], [Team1 laps '[laps']]:[Team9 laps '[laps']]]) - intermediate_results[[#This Row], [Team7 laps '[laps']]]</f>
        <v>0.61215212242180073</v>
      </c>
      <c r="AA138" s="1">
        <f>MAX(intermediate_results[[#This Row], [Team1 laps '[laps']]:[Team9 laps '[laps']]]) - intermediate_results[[#This Row], [Team8 laps '[laps']]]</f>
        <v>1.0687157202847022</v>
      </c>
      <c r="AB138" s="1">
        <f>MAX(intermediate_results[[#This Row], [Team1 laps '[laps']]:[Team9 laps '[laps']]]) - intermediate_results[[#This Row], [Team9 laps '[laps']]]</f>
        <v>0.9879071996836899</v>
      </c>
      <c r="AC138" s="1">
        <f>9 * intermediate_results[[#This Row], [All cumulative times '[sec']]] / SUM(intermediate_results[[#This Row], [Team1 laps '[laps']]:[Team9 laps '[laps']]])</f>
        <v>54.836589157960773</v>
      </c>
      <c r="AD138" s="1">
        <f>intermediate_results[[#This Row], [All cumulative times '[sec']]] / intermediate_results[[#This Row], [Team1 laps '[laps']]] - intermediate_results[[#This Row], [Total running average '[sec']]]</f>
        <v>-1.921375330980581</v>
      </c>
      <c r="AE138" s="1">
        <f>intermediate_results[[#This Row], [All cumulative times '[sec']]] / intermediate_results[[#This Row], [Team2 laps '[laps']]] - intermediate_results[[#This Row], [Total running average '[sec']]]</f>
        <v>-1.6453391579607768</v>
      </c>
      <c r="AF138" s="1">
        <f>intermediate_results[[#This Row], [All cumulative times '[sec']]] / intermediate_results[[#This Row], [Team3 laps '[laps']]] - intermediate_results[[#This Row], [Total running average '[sec']]]</f>
        <v>-0.96150600479948167</v>
      </c>
      <c r="AG138" s="1">
        <f>intermediate_results[[#This Row], [All cumulative times '[sec']]] / intermediate_results[[#This Row], [Team4 laps '[laps']]] - intermediate_results[[#This Row], [Total running average '[sec']]]</f>
        <v>0.22748315119333284</v>
      </c>
      <c r="AH138" s="1">
        <f>intermediate_results[[#This Row], [All cumulative times '[sec']]] / intermediate_results[[#This Row], [Team5 laps '[laps']]] - intermediate_results[[#This Row], [Total running average '[sec']]]</f>
        <v>0.22559696544010421</v>
      </c>
      <c r="AI138" s="1">
        <f>intermediate_results[[#This Row], [All cumulative times '[sec']]] / intermediate_results[[#This Row], [Team6 laps '[laps']]] - intermediate_results[[#This Row], [Total running average '[sec']]]</f>
        <v>0.76930557135084143</v>
      </c>
      <c r="AJ138" s="1">
        <f>intermediate_results[[#This Row], [All cumulative times '[sec']]] / intermediate_results[[#This Row], [Team7 laps '[laps']]] - intermediate_results[[#This Row], [Total running average '[sec']]]</f>
        <v>0.17231641293133038</v>
      </c>
      <c r="AK138" s="1">
        <f>intermediate_results[[#This Row], [All cumulative times '[sec']]] / intermediate_results[[#This Row], [Team8 laps '[laps']]] - intermediate_results[[#This Row], [Total running average '[sec']]]</f>
        <v>1.845009246081915</v>
      </c>
      <c r="AL138" s="1">
        <f>intermediate_results[[#This Row], [All cumulative times '[sec']]] / intermediate_results[[#This Row], [Team9 laps '[laps']]] - intermediate_results[[#This Row], [Total running average '[sec']]]</f>
        <v>1.5415851452292131</v>
      </c>
    </row>
    <row r="139" spans="1:38" x14ac:dyDescent="0.25">
      <c r="A139" s="1">
        <v>862.00699999999995</v>
      </c>
      <c r="B139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16.292166320324867</v>
      </c>
      <c r="C139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16.207180438320904</v>
      </c>
      <c r="D139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16</v>
      </c>
      <c r="E139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15.659311447373312</v>
      </c>
      <c r="F139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15.65932395097439</v>
      </c>
      <c r="G139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15.504981933647212</v>
      </c>
      <c r="H139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15.674770002787845</v>
      </c>
      <c r="I139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15.213840138219517</v>
      </c>
      <c r="J139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15.28959869540556</v>
      </c>
      <c r="K139" s="1">
        <f>intermediate_results[[#This Row], [Team1 laps '[laps']]] - intermediate_results[[#This Row], [Team1 laps '[laps']]]</f>
        <v>0</v>
      </c>
      <c r="L139" s="1">
        <f>intermediate_results[[#This Row], [Team1 laps '[laps']]] - intermediate_results[[#This Row], [Team2 laps '[laps']]]</f>
        <v>8.4985882003962843E-2</v>
      </c>
      <c r="M139" s="1">
        <f>intermediate_results[[#This Row], [Team1 laps '[laps']]] - intermediate_results[[#This Row], [Team3 laps '[laps']]]</f>
        <v>0.292166320324867</v>
      </c>
      <c r="N139" s="1">
        <f>intermediate_results[[#This Row], [Team1 laps '[laps']]] - intermediate_results[[#This Row], [Team4 laps '[laps']]]</f>
        <v>0.63285487295155463</v>
      </c>
      <c r="O139" s="1">
        <f>intermediate_results[[#This Row], [Team1 laps '[laps']]] - intermediate_results[[#This Row], [Team5 laps '[laps']]]</f>
        <v>0.63284236935047744</v>
      </c>
      <c r="P139" s="1">
        <f>intermediate_results[[#This Row], [Team1 laps '[laps']]] - intermediate_results[[#This Row], [Team6 laps '[laps']]]</f>
        <v>0.78718438667765511</v>
      </c>
      <c r="Q139" s="1">
        <f>intermediate_results[[#This Row], [Team1 laps '[laps']]] - intermediate_results[[#This Row], [Team7 laps '[laps']]]</f>
        <v>0.61739631753702184</v>
      </c>
      <c r="R139" s="1">
        <f>intermediate_results[[#This Row], [Team1 laps '[laps']]] - intermediate_results[[#This Row], [Team8 laps '[laps']]]</f>
        <v>1.07832618210535</v>
      </c>
      <c r="S139" s="1">
        <f>intermediate_results[[#This Row], [Team1 laps '[laps']]] - intermediate_results[[#This Row], [Team9 laps '[laps']]]</f>
        <v>1.0025676249193065</v>
      </c>
      <c r="T139" s="1">
        <f>MAX(intermediate_results[[#This Row], [Team1 laps '[laps']]:[Team9 laps '[laps']]]) - intermediate_results[[#This Row], [Team1 laps '[laps']]]</f>
        <v>0</v>
      </c>
      <c r="U139" s="1">
        <f>MAX(intermediate_results[[#This Row], [Team1 laps '[laps']]:[Team9 laps '[laps']]]) - intermediate_results[[#This Row], [Team2 laps '[laps']]]</f>
        <v>8.4985882003962843E-2</v>
      </c>
      <c r="V139" s="1">
        <f>MAX(intermediate_results[[#This Row], [Team1 laps '[laps']]:[Team9 laps '[laps']]]) - intermediate_results[[#This Row], [Team3 laps '[laps']]]</f>
        <v>0.292166320324867</v>
      </c>
      <c r="W139" s="1">
        <f>MAX(intermediate_results[[#This Row], [Team1 laps '[laps']]:[Team9 laps '[laps']]]) - intermediate_results[[#This Row], [Team4 laps '[laps']]]</f>
        <v>0.63285487295155463</v>
      </c>
      <c r="X139" s="1">
        <f>MAX(intermediate_results[[#This Row], [Team1 laps '[laps']]:[Team9 laps '[laps']]]) - intermediate_results[[#This Row], [Team5 laps '[laps']]]</f>
        <v>0.63284236935047744</v>
      </c>
      <c r="Y139" s="1">
        <f>MAX(intermediate_results[[#This Row], [Team1 laps '[laps']]:[Team9 laps '[laps']]]) - intermediate_results[[#This Row], [Team6 laps '[laps']]]</f>
        <v>0.78718438667765511</v>
      </c>
      <c r="Z139" s="1">
        <f>MAX(intermediate_results[[#This Row], [Team1 laps '[laps']]:[Team9 laps '[laps']]]) - intermediate_results[[#This Row], [Team7 laps '[laps']]]</f>
        <v>0.61739631753702184</v>
      </c>
      <c r="AA139" s="1">
        <f>MAX(intermediate_results[[#This Row], [Team1 laps '[laps']]:[Team9 laps '[laps']]]) - intermediate_results[[#This Row], [Team8 laps '[laps']]]</f>
        <v>1.07832618210535</v>
      </c>
      <c r="AB139" s="1">
        <f>MAX(intermediate_results[[#This Row], [Team1 laps '[laps']]:[Team9 laps '[laps']]]) - intermediate_results[[#This Row], [Team9 laps '[laps']]]</f>
        <v>1.0025676249193065</v>
      </c>
      <c r="AC139" s="1">
        <f>9 * intermediate_results[[#This Row], [All cumulative times '[sec']]] / SUM(intermediate_results[[#This Row], [Team1 laps '[laps']]:[Team9 laps '[laps']]])</f>
        <v>54.826845880630394</v>
      </c>
      <c r="AD139" s="1">
        <f>intermediate_results[[#This Row], [All cumulative times '[sec']]] / intermediate_results[[#This Row], [Team1 laps '[laps']]] - intermediate_results[[#This Row], [Total running average '[sec']]]</f>
        <v>-1.917552969433828</v>
      </c>
      <c r="AE139" s="1">
        <f>intermediate_results[[#This Row], [All cumulative times '[sec']]] / intermediate_results[[#This Row], [Team2 laps '[laps']]] - intermediate_results[[#This Row], [Total running average '[sec']]]</f>
        <v>-1.6401115636707218</v>
      </c>
      <c r="AF139" s="1">
        <f>intermediate_results[[#This Row], [All cumulative times '[sec']]] / intermediate_results[[#This Row], [Team3 laps '[laps']]] - intermediate_results[[#This Row], [Total running average '[sec']]]</f>
        <v>-0.95140838063039723</v>
      </c>
      <c r="AG139" s="1">
        <f>intermediate_results[[#This Row], [All cumulative times '[sec']]] / intermediate_results[[#This Row], [Team4 laps '[laps']]] - intermediate_results[[#This Row], [Total running average '[sec']]]</f>
        <v>0.22072137013737603</v>
      </c>
      <c r="AH139" s="1">
        <f>intermediate_results[[#This Row], [All cumulative times '[sec']]] / intermediate_results[[#This Row], [Team5 laps '[laps']]] - intermediate_results[[#This Row], [Total running average '[sec']]]</f>
        <v>0.22067741595242296</v>
      </c>
      <c r="AI139" s="1">
        <f>intermediate_results[[#This Row], [All cumulative times '[sec']]] / intermediate_results[[#This Row], [Team6 laps '[laps']]] - intermediate_results[[#This Row], [Total running average '[sec']]]</f>
        <v>0.76863973095660754</v>
      </c>
      <c r="AJ139" s="1">
        <f>intermediate_results[[#This Row], [All cumulative times '[sec']]] / intermediate_results[[#This Row], [Team7 laps '[laps']]] - intermediate_results[[#This Row], [Total running average '[sec']]]</f>
        <v>0.16643311782937076</v>
      </c>
      <c r="AK139" s="1">
        <f>intermediate_results[[#This Row], [All cumulative times '[sec']]] / intermediate_results[[#This Row], [Team8 laps '[laps']]] - intermediate_results[[#This Row], [Total running average '[sec']]]</f>
        <v>1.8325505747395567</v>
      </c>
      <c r="AL139" s="1">
        <f>intermediate_results[[#This Row], [All cumulative times '[sec']]] / intermediate_results[[#This Row], [Team9 laps '[laps']]] - intermediate_results[[#This Row], [Total running average '[sec']]]</f>
        <v>1.551808469468952</v>
      </c>
    </row>
    <row r="140" spans="1:38" x14ac:dyDescent="0.25">
      <c r="A140" s="1">
        <v>879.50599999999986</v>
      </c>
      <c r="B140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16.625779269059922</v>
      </c>
      <c r="C140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16.538362542109844</v>
      </c>
      <c r="D140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16.330656437776348</v>
      </c>
      <c r="E140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15.984607948841877</v>
      </c>
      <c r="F140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15.983794107285229</v>
      </c>
      <c r="G140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15.824318405781229</v>
      </c>
      <c r="H140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16</v>
      </c>
      <c r="I140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15.532090570155498</v>
      </c>
      <c r="J140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15.599776659103799</v>
      </c>
      <c r="K140" s="1">
        <f>intermediate_results[[#This Row], [Team1 laps '[laps']]] - intermediate_results[[#This Row], [Team1 laps '[laps']]]</f>
        <v>0</v>
      </c>
      <c r="L140" s="1">
        <f>intermediate_results[[#This Row], [Team1 laps '[laps']]] - intermediate_results[[#This Row], [Team2 laps '[laps']]]</f>
        <v>8.7416726950078072E-2</v>
      </c>
      <c r="M140" s="1">
        <f>intermediate_results[[#This Row], [Team1 laps '[laps']]] - intermediate_results[[#This Row], [Team3 laps '[laps']]]</f>
        <v>0.29512283128357453</v>
      </c>
      <c r="N140" s="1">
        <f>intermediate_results[[#This Row], [Team1 laps '[laps']]] - intermediate_results[[#This Row], [Team4 laps '[laps']]]</f>
        <v>0.64117132021804579</v>
      </c>
      <c r="O140" s="1">
        <f>intermediate_results[[#This Row], [Team1 laps '[laps']]] - intermediate_results[[#This Row], [Team5 laps '[laps']]]</f>
        <v>0.64198516177469322</v>
      </c>
      <c r="P140" s="1">
        <f>intermediate_results[[#This Row], [Team1 laps '[laps']]] - intermediate_results[[#This Row], [Team6 laps '[laps']]]</f>
        <v>0.80146086327869348</v>
      </c>
      <c r="Q140" s="1">
        <f>intermediate_results[[#This Row], [Team1 laps '[laps']]] - intermediate_results[[#This Row], [Team7 laps '[laps']]]</f>
        <v>0.62577926905992243</v>
      </c>
      <c r="R140" s="1">
        <f>intermediate_results[[#This Row], [Team1 laps '[laps']]] - intermediate_results[[#This Row], [Team8 laps '[laps']]]</f>
        <v>1.0936886989044243</v>
      </c>
      <c r="S140" s="1">
        <f>intermediate_results[[#This Row], [Team1 laps '[laps']]] - intermediate_results[[#This Row], [Team9 laps '[laps']]]</f>
        <v>1.026002609956123</v>
      </c>
      <c r="T140" s="1">
        <f>MAX(intermediate_results[[#This Row], [Team1 laps '[laps']]:[Team9 laps '[laps']]]) - intermediate_results[[#This Row], [Team1 laps '[laps']]]</f>
        <v>0</v>
      </c>
      <c r="U140" s="1">
        <f>MAX(intermediate_results[[#This Row], [Team1 laps '[laps']]:[Team9 laps '[laps']]]) - intermediate_results[[#This Row], [Team2 laps '[laps']]]</f>
        <v>8.7416726950078072E-2</v>
      </c>
      <c r="V140" s="1">
        <f>MAX(intermediate_results[[#This Row], [Team1 laps '[laps']]:[Team9 laps '[laps']]]) - intermediate_results[[#This Row], [Team3 laps '[laps']]]</f>
        <v>0.29512283128357453</v>
      </c>
      <c r="W140" s="1">
        <f>MAX(intermediate_results[[#This Row], [Team1 laps '[laps']]:[Team9 laps '[laps']]]) - intermediate_results[[#This Row], [Team4 laps '[laps']]]</f>
        <v>0.64117132021804579</v>
      </c>
      <c r="X140" s="1">
        <f>MAX(intermediate_results[[#This Row], [Team1 laps '[laps']]:[Team9 laps '[laps']]]) - intermediate_results[[#This Row], [Team5 laps '[laps']]]</f>
        <v>0.64198516177469322</v>
      </c>
      <c r="Y140" s="1">
        <f>MAX(intermediate_results[[#This Row], [Team1 laps '[laps']]:[Team9 laps '[laps']]]) - intermediate_results[[#This Row], [Team6 laps '[laps']]]</f>
        <v>0.80146086327869348</v>
      </c>
      <c r="Z140" s="1">
        <f>MAX(intermediate_results[[#This Row], [Team1 laps '[laps']]:[Team9 laps '[laps']]]) - intermediate_results[[#This Row], [Team7 laps '[laps']]]</f>
        <v>0.62577926905992243</v>
      </c>
      <c r="AA140" s="1">
        <f>MAX(intermediate_results[[#This Row], [Team1 laps '[laps']]:[Team9 laps '[laps']]]) - intermediate_results[[#This Row], [Team8 laps '[laps']]]</f>
        <v>1.0936886989044243</v>
      </c>
      <c r="AB140" s="1">
        <f>MAX(intermediate_results[[#This Row], [Team1 laps '[laps']]:[Team9 laps '[laps']]]) - intermediate_results[[#This Row], [Team9 laps '[laps']]]</f>
        <v>1.026002609956123</v>
      </c>
      <c r="AC140" s="1">
        <f>9 * intermediate_results[[#This Row], [All cumulative times '[sec']]] / SUM(intermediate_results[[#This Row], [Team1 laps '[laps']]:[Team9 laps '[laps']]])</f>
        <v>54.809497689474547</v>
      </c>
      <c r="AD140" s="1">
        <f>intermediate_results[[#This Row], [All cumulative times '[sec']]] / intermediate_results[[#This Row], [Team1 laps '[laps']]] - intermediate_results[[#This Row], [Total running average '[sec']]]</f>
        <v>-1.9093607535334911</v>
      </c>
      <c r="AE140" s="1">
        <f>intermediate_results[[#This Row], [All cumulative times '[sec']]] / intermediate_results[[#This Row], [Team2 laps '[laps']]] - intermediate_results[[#This Row], [Total running average '[sec']]]</f>
        <v>-1.6297468066039613</v>
      </c>
      <c r="AF140" s="1">
        <f>intermediate_results[[#This Row], [All cumulative times '[sec']]] / intermediate_results[[#This Row], [Team3 laps '[laps']]] - intermediate_results[[#This Row], [Total running average '[sec']]]</f>
        <v>-0.95336500116987821</v>
      </c>
      <c r="AG140" s="1">
        <f>intermediate_results[[#This Row], [All cumulative times '[sec']]] / intermediate_results[[#This Row], [Team4 laps '[laps']]] - intermediate_results[[#This Row], [Total running average '[sec']]]</f>
        <v>0.2125587047032127</v>
      </c>
      <c r="AH140" s="1">
        <f>intermediate_results[[#This Row], [All cumulative times '[sec']]] / intermediate_results[[#This Row], [Team5 laps '[laps']]] - intermediate_results[[#This Row], [Total running average '[sec']]]</f>
        <v>0.21536024454570679</v>
      </c>
      <c r="AI140" s="1">
        <f>intermediate_results[[#This Row], [All cumulative times '[sec']]] / intermediate_results[[#This Row], [Team6 laps '[laps']]] - intermediate_results[[#This Row], [Total running average '[sec']]]</f>
        <v>0.7698945754512323</v>
      </c>
      <c r="AJ140" s="1">
        <f>intermediate_results[[#This Row], [All cumulative times '[sec']]] / intermediate_results[[#This Row], [Team7 laps '[laps']]] - intermediate_results[[#This Row], [Total running average '[sec']]]</f>
        <v>0.15962731052544399</v>
      </c>
      <c r="AK140" s="1">
        <f>intermediate_results[[#This Row], [All cumulative times '[sec']]] / intermediate_results[[#This Row], [Team8 laps '[laps']]] - intermediate_results[[#This Row], [Total running average '[sec']]]</f>
        <v>1.8155906093245449</v>
      </c>
      <c r="AL140" s="1">
        <f>intermediate_results[[#This Row], [All cumulative times '[sec']]] / intermediate_results[[#This Row], [Team9 laps '[laps']]] - intermediate_results[[#This Row], [Total running average '[sec']]]</f>
        <v>1.5698992223865673</v>
      </c>
    </row>
    <row r="141" spans="1:38" x14ac:dyDescent="0.25">
      <c r="A141" s="1">
        <v>880.33399999999995</v>
      </c>
      <c r="B141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16.641564829466382</v>
      </c>
      <c r="C141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16.554033082251411</v>
      </c>
      <c r="D141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16.346302104984694</v>
      </c>
      <c r="E141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16</v>
      </c>
      <c r="F141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15.999147058278165</v>
      </c>
      <c r="G141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15.839428446293658</v>
      </c>
      <c r="H141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16.015344415411132</v>
      </c>
      <c r="I141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15.547149222515234</v>
      </c>
      <c r="J141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15.61445334656835</v>
      </c>
      <c r="K141" s="1">
        <f>intermediate_results[[#This Row], [Team1 laps '[laps']]] - intermediate_results[[#This Row], [Team1 laps '[laps']]]</f>
        <v>0</v>
      </c>
      <c r="L141" s="1">
        <f>intermediate_results[[#This Row], [Team1 laps '[laps']]] - intermediate_results[[#This Row], [Team2 laps '[laps']]]</f>
        <v>8.7531747214971034E-2</v>
      </c>
      <c r="M141" s="1">
        <f>intermediate_results[[#This Row], [Team1 laps '[laps']]] - intermediate_results[[#This Row], [Team3 laps '[laps']]]</f>
        <v>0.29526272448168811</v>
      </c>
      <c r="N141" s="1">
        <f>intermediate_results[[#This Row], [Team1 laps '[laps']]] - intermediate_results[[#This Row], [Team4 laps '[laps']]]</f>
        <v>0.64156482946638249</v>
      </c>
      <c r="O141" s="1">
        <f>intermediate_results[[#This Row], [Team1 laps '[laps']]] - intermediate_results[[#This Row], [Team5 laps '[laps']]]</f>
        <v>0.6424177711882173</v>
      </c>
      <c r="P141" s="1">
        <f>intermediate_results[[#This Row], [Team1 laps '[laps']]] - intermediate_results[[#This Row], [Team6 laps '[laps']]]</f>
        <v>0.80213638317272462</v>
      </c>
      <c r="Q141" s="1">
        <f>intermediate_results[[#This Row], [Team1 laps '[laps']]] - intermediate_results[[#This Row], [Team7 laps '[laps']]]</f>
        <v>0.62622041405525053</v>
      </c>
      <c r="R141" s="1">
        <f>intermediate_results[[#This Row], [Team1 laps '[laps']]] - intermediate_results[[#This Row], [Team8 laps '[laps']]]</f>
        <v>1.0944156069511486</v>
      </c>
      <c r="S141" s="1">
        <f>intermediate_results[[#This Row], [Team1 laps '[laps']]] - intermediate_results[[#This Row], [Team9 laps '[laps']]]</f>
        <v>1.0271114828980323</v>
      </c>
      <c r="T141" s="1">
        <f>MAX(intermediate_results[[#This Row], [Team1 laps '[laps']]:[Team9 laps '[laps']]]) - intermediate_results[[#This Row], [Team1 laps '[laps']]]</f>
        <v>0</v>
      </c>
      <c r="U141" s="1">
        <f>MAX(intermediate_results[[#This Row], [Team1 laps '[laps']]:[Team9 laps '[laps']]]) - intermediate_results[[#This Row], [Team2 laps '[laps']]]</f>
        <v>8.7531747214971034E-2</v>
      </c>
      <c r="V141" s="1">
        <f>MAX(intermediate_results[[#This Row], [Team1 laps '[laps']]:[Team9 laps '[laps']]]) - intermediate_results[[#This Row], [Team3 laps '[laps']]]</f>
        <v>0.29526272448168811</v>
      </c>
      <c r="W141" s="1">
        <f>MAX(intermediate_results[[#This Row], [Team1 laps '[laps']]:[Team9 laps '[laps']]]) - intermediate_results[[#This Row], [Team4 laps '[laps']]]</f>
        <v>0.64156482946638249</v>
      </c>
      <c r="X141" s="1">
        <f>MAX(intermediate_results[[#This Row], [Team1 laps '[laps']]:[Team9 laps '[laps']]]) - intermediate_results[[#This Row], [Team5 laps '[laps']]]</f>
        <v>0.6424177711882173</v>
      </c>
      <c r="Y141" s="1">
        <f>MAX(intermediate_results[[#This Row], [Team1 laps '[laps']]:[Team9 laps '[laps']]]) - intermediate_results[[#This Row], [Team6 laps '[laps']]]</f>
        <v>0.80213638317272462</v>
      </c>
      <c r="Z141" s="1">
        <f>MAX(intermediate_results[[#This Row], [Team1 laps '[laps']]:[Team9 laps '[laps']]]) - intermediate_results[[#This Row], [Team7 laps '[laps']]]</f>
        <v>0.62622041405525053</v>
      </c>
      <c r="AA141" s="1">
        <f>MAX(intermediate_results[[#This Row], [Team1 laps '[laps']]:[Team9 laps '[laps']]]) - intermediate_results[[#This Row], [Team8 laps '[laps']]]</f>
        <v>1.0944156069511486</v>
      </c>
      <c r="AB141" s="1">
        <f>MAX(intermediate_results[[#This Row], [Team1 laps '[laps']]:[Team9 laps '[laps']]]) - intermediate_results[[#This Row], [Team9 laps '[laps']]]</f>
        <v>1.0271114828980323</v>
      </c>
      <c r="AC141" s="1">
        <f>9 * intermediate_results[[#This Row], [All cumulative times '[sec']]] / SUM(intermediate_results[[#This Row], [Team1 laps '[laps']]:[Team9 laps '[laps']]])</f>
        <v>54.808711048260463</v>
      </c>
      <c r="AD141" s="1">
        <f>intermediate_results[[#This Row], [All cumulative times '[sec']]] / intermediate_results[[#This Row], [Team1 laps '[laps']]] - intermediate_results[[#This Row], [Total running average '[sec']]]</f>
        <v>-1.9089982495435578</v>
      </c>
      <c r="AE141" s="1">
        <f>intermediate_results[[#This Row], [All cumulative times '[sec']]] / intermediate_results[[#This Row], [Team2 laps '[laps']]] - intermediate_results[[#This Row], [Total running average '[sec']]]</f>
        <v>-1.629283676941526</v>
      </c>
      <c r="AF141" s="1">
        <f>intermediate_results[[#This Row], [All cumulative times '[sec']]] / intermediate_results[[#This Row], [Team3 laps '[laps']]] - intermediate_results[[#This Row], [Total running average '[sec']]]</f>
        <v>-0.95347245386619761</v>
      </c>
      <c r="AG141" s="1">
        <f>intermediate_results[[#This Row], [All cumulative times '[sec']]] / intermediate_results[[#This Row], [Team4 laps '[laps']]] - intermediate_results[[#This Row], [Total running average '[sec']]]</f>
        <v>0.21216395173953373</v>
      </c>
      <c r="AH141" s="1">
        <f>intermediate_results[[#This Row], [All cumulative times '[sec']]] / intermediate_results[[#This Row], [Team5 laps '[laps']]] - intermediate_results[[#This Row], [Total running average '[sec']]]</f>
        <v>0.21509720809928723</v>
      </c>
      <c r="AI141" s="1">
        <f>intermediate_results[[#This Row], [All cumulative times '[sec']]] / intermediate_results[[#This Row], [Team6 laps '[laps']]] - intermediate_results[[#This Row], [Total running average '[sec']]]</f>
        <v>0.76993580663873473</v>
      </c>
      <c r="AJ141" s="1">
        <f>intermediate_results[[#This Row], [All cumulative times '[sec']]] / intermediate_results[[#This Row], [Team7 laps '[laps']]] - intermediate_results[[#This Row], [Total running average '[sec']]]</f>
        <v>0.15944806000563005</v>
      </c>
      <c r="AK141" s="1">
        <f>intermediate_results[[#This Row], [All cumulative times '[sec']]] / intermediate_results[[#This Row], [Team8 laps '[laps']]] - intermediate_results[[#This Row], [Total running average '[sec']]]</f>
        <v>1.8147886943874454</v>
      </c>
      <c r="AL141" s="1">
        <f>intermediate_results[[#This Row], [All cumulative times '[sec']]] / intermediate_results[[#This Row], [Team9 laps '[laps']]] - intermediate_results[[#This Row], [Total running average '[sec']]]</f>
        <v>1.5707202683968333</v>
      </c>
    </row>
    <row r="142" spans="1:38" x14ac:dyDescent="0.25">
      <c r="A142" s="1">
        <v>880.38000000000022</v>
      </c>
      <c r="B142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16.642441805044523</v>
      </c>
      <c r="C142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16.554903667814834</v>
      </c>
      <c r="D142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16.347171308718497</v>
      </c>
      <c r="E142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16.000856164383567</v>
      </c>
      <c r="F142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16</v>
      </c>
      <c r="G142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15.840267892988798</v>
      </c>
      <c r="H142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16.016196882933979</v>
      </c>
      <c r="I142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15.547985814313002</v>
      </c>
      <c r="J142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15.615268718094164</v>
      </c>
      <c r="K142" s="1">
        <f>intermediate_results[[#This Row], [Team1 laps '[laps']]] - intermediate_results[[#This Row], [Team1 laps '[laps']]]</f>
        <v>0</v>
      </c>
      <c r="L142" s="1">
        <f>intermediate_results[[#This Row], [Team1 laps '[laps']]] - intermediate_results[[#This Row], [Team2 laps '[laps']]]</f>
        <v>8.7538137229689283E-2</v>
      </c>
      <c r="M142" s="1">
        <f>intermediate_results[[#This Row], [Team1 laps '[laps']]] - intermediate_results[[#This Row], [Team3 laps '[laps']]]</f>
        <v>0.29527049632602598</v>
      </c>
      <c r="N142" s="1">
        <f>intermediate_results[[#This Row], [Team1 laps '[laps']]] - intermediate_results[[#This Row], [Team4 laps '[laps']]]</f>
        <v>0.64158564066095636</v>
      </c>
      <c r="O142" s="1">
        <f>intermediate_results[[#This Row], [Team1 laps '[laps']]] - intermediate_results[[#This Row], [Team5 laps '[laps']]]</f>
        <v>0.64244180504452331</v>
      </c>
      <c r="P142" s="1">
        <f>intermediate_results[[#This Row], [Team1 laps '[laps']]] - intermediate_results[[#This Row], [Team6 laps '[laps']]]</f>
        <v>0.80217391205572497</v>
      </c>
      <c r="Q142" s="1">
        <f>intermediate_results[[#This Row], [Team1 laps '[laps']]] - intermediate_results[[#This Row], [Team7 laps '[laps']]]</f>
        <v>0.62624492211054417</v>
      </c>
      <c r="R142" s="1">
        <f>intermediate_results[[#This Row], [Team1 laps '[laps']]] - intermediate_results[[#This Row], [Team8 laps '[laps']]]</f>
        <v>1.0944559907315217</v>
      </c>
      <c r="S142" s="1">
        <f>intermediate_results[[#This Row], [Team1 laps '[laps']]] - intermediate_results[[#This Row], [Team9 laps '[laps']]]</f>
        <v>1.0271730869503592</v>
      </c>
      <c r="T142" s="1">
        <f>MAX(intermediate_results[[#This Row], [Team1 laps '[laps']]:[Team9 laps '[laps']]]) - intermediate_results[[#This Row], [Team1 laps '[laps']]]</f>
        <v>0</v>
      </c>
      <c r="U142" s="1">
        <f>MAX(intermediate_results[[#This Row], [Team1 laps '[laps']]:[Team9 laps '[laps']]]) - intermediate_results[[#This Row], [Team2 laps '[laps']]]</f>
        <v>8.7538137229689283E-2</v>
      </c>
      <c r="V142" s="1">
        <f>MAX(intermediate_results[[#This Row], [Team1 laps '[laps']]:[Team9 laps '[laps']]]) - intermediate_results[[#This Row], [Team3 laps '[laps']]]</f>
        <v>0.29527049632602598</v>
      </c>
      <c r="W142" s="1">
        <f>MAX(intermediate_results[[#This Row], [Team1 laps '[laps']]:[Team9 laps '[laps']]]) - intermediate_results[[#This Row], [Team4 laps '[laps']]]</f>
        <v>0.64158564066095636</v>
      </c>
      <c r="X142" s="1">
        <f>MAX(intermediate_results[[#This Row], [Team1 laps '[laps']]:[Team9 laps '[laps']]]) - intermediate_results[[#This Row], [Team5 laps '[laps']]]</f>
        <v>0.64244180504452331</v>
      </c>
      <c r="Y142" s="1">
        <f>MAX(intermediate_results[[#This Row], [Team1 laps '[laps']]:[Team9 laps '[laps']]]) - intermediate_results[[#This Row], [Team6 laps '[laps']]]</f>
        <v>0.80217391205572497</v>
      </c>
      <c r="Z142" s="1">
        <f>MAX(intermediate_results[[#This Row], [Team1 laps '[laps']]:[Team9 laps '[laps']]]) - intermediate_results[[#This Row], [Team7 laps '[laps']]]</f>
        <v>0.62624492211054417</v>
      </c>
      <c r="AA142" s="1">
        <f>MAX(intermediate_results[[#This Row], [Team1 laps '[laps']]:[Team9 laps '[laps']]]) - intermediate_results[[#This Row], [Team8 laps '[laps']]]</f>
        <v>1.0944559907315217</v>
      </c>
      <c r="AB142" s="1">
        <f>MAX(intermediate_results[[#This Row], [Team1 laps '[laps']]:[Team9 laps '[laps']]]) - intermediate_results[[#This Row], [Team9 laps '[laps']]]</f>
        <v>1.0271730869503592</v>
      </c>
      <c r="AC142" s="1">
        <f>9 * intermediate_results[[#This Row], [All cumulative times '[sec']]] / SUM(intermediate_results[[#This Row], [Team1 laps '[laps']]:[Team9 laps '[laps']]])</f>
        <v>54.808666991770252</v>
      </c>
      <c r="AD142" s="1">
        <f>intermediate_results[[#This Row], [All cumulative times '[sec']]] / intermediate_results[[#This Row], [Team1 laps '[laps']]] - intermediate_results[[#This Row], [Total running average '[sec']]]</f>
        <v>-1.9089777326408282</v>
      </c>
      <c r="AE142" s="1">
        <f>intermediate_results[[#This Row], [All cumulative times '[sec']]] / intermediate_results[[#This Row], [Team2 laps '[laps']]] - intermediate_results[[#This Row], [Total running average '[sec']]]</f>
        <v>-1.6292575753573786</v>
      </c>
      <c r="AF142" s="1">
        <f>intermediate_results[[#This Row], [All cumulative times '[sec']]] / intermediate_results[[#This Row], [Team3 laps '[laps']]] - intermediate_results[[#This Row], [Total running average '[sec']]]</f>
        <v>-0.95347801907845309</v>
      </c>
      <c r="AG142" s="1">
        <f>intermediate_results[[#This Row], [All cumulative times '[sec']]] / intermediate_results[[#This Row], [Team4 laps '[laps']]] - intermediate_results[[#This Row], [Total running average '[sec']]]</f>
        <v>0.21213882983603582</v>
      </c>
      <c r="AH142" s="1">
        <f>intermediate_results[[#This Row], [All cumulative times '[sec']]] / intermediate_results[[#This Row], [Team5 laps '[laps']]] - intermediate_results[[#This Row], [Total running average '[sec']]]</f>
        <v>0.21508300822976167</v>
      </c>
      <c r="AI142" s="1">
        <f>intermediate_results[[#This Row], [All cumulative times '[sec']]] / intermediate_results[[#This Row], [Team6 laps '[laps']]] - intermediate_results[[#This Row], [Total running average '[sec']]]</f>
        <v>0.76993849315800844</v>
      </c>
      <c r="AJ142" s="1">
        <f>intermediate_results[[#This Row], [All cumulative times '[sec']]] / intermediate_results[[#This Row], [Team7 laps '[laps']]] - intermediate_results[[#This Row], [Total running average '[sec']]]</f>
        <v>0.15943851010997889</v>
      </c>
      <c r="AK142" s="1">
        <f>intermediate_results[[#This Row], [All cumulative times '[sec']]] / intermediate_results[[#This Row], [Team8 laps '[laps']]] - intermediate_results[[#This Row], [Total running average '[sec']]]</f>
        <v>1.8147445879823607</v>
      </c>
      <c r="AL142" s="1">
        <f>intermediate_results[[#This Row], [All cumulative times '[sec']]] / intermediate_results[[#This Row], [Team9 laps '[laps']]] - intermediate_results[[#This Row], [Total running average '[sec']]]</f>
        <v>1.5707662343683069</v>
      </c>
    </row>
    <row r="143" spans="1:38" x14ac:dyDescent="0.25">
      <c r="A143" s="1">
        <v>889.13300000000004</v>
      </c>
      <c r="B143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16.809315005814735</v>
      </c>
      <c r="C143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16.720560959915215</v>
      </c>
      <c r="D143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16.512565662673371</v>
      </c>
      <c r="E143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16.163769356759978</v>
      </c>
      <c r="F143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16.162519959894535</v>
      </c>
      <c r="G143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16</v>
      </c>
      <c r="H143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16.1784066270084</v>
      </c>
      <c r="I143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15.707174684004732</v>
      </c>
      <c r="J143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15.770419739081115</v>
      </c>
      <c r="K143" s="1">
        <f>intermediate_results[[#This Row], [Team1 laps '[laps']]] - intermediate_results[[#This Row], [Team1 laps '[laps']]]</f>
        <v>0</v>
      </c>
      <c r="L143" s="1">
        <f>intermediate_results[[#This Row], [Team1 laps '[laps']]] - intermediate_results[[#This Row], [Team2 laps '[laps']]]</f>
        <v>8.8754045899520406E-2</v>
      </c>
      <c r="M143" s="1">
        <f>intermediate_results[[#This Row], [Team1 laps '[laps']]] - intermediate_results[[#This Row], [Team3 laps '[laps']]]</f>
        <v>0.29674934314136436</v>
      </c>
      <c r="N143" s="1">
        <f>intermediate_results[[#This Row], [Team1 laps '[laps']]] - intermediate_results[[#This Row], [Team4 laps '[laps']]]</f>
        <v>0.64554564905475686</v>
      </c>
      <c r="O143" s="1">
        <f>intermediate_results[[#This Row], [Team1 laps '[laps']]] - intermediate_results[[#This Row], [Team5 laps '[laps']]]</f>
        <v>0.6467950459202001</v>
      </c>
      <c r="P143" s="1">
        <f>intermediate_results[[#This Row], [Team1 laps '[laps']]] - intermediate_results[[#This Row], [Team6 laps '[laps']]]</f>
        <v>0.80931500581473514</v>
      </c>
      <c r="Q143" s="1">
        <f>intermediate_results[[#This Row], [Team1 laps '[laps']]] - intermediate_results[[#This Row], [Team7 laps '[laps']]]</f>
        <v>0.63090837880633543</v>
      </c>
      <c r="R143" s="1">
        <f>intermediate_results[[#This Row], [Team1 laps '[laps']]] - intermediate_results[[#This Row], [Team8 laps '[laps']]]</f>
        <v>1.102140321810003</v>
      </c>
      <c r="S143" s="1">
        <f>intermediate_results[[#This Row], [Team1 laps '[laps']]] - intermediate_results[[#This Row], [Team9 laps '[laps']]]</f>
        <v>1.0388952667336202</v>
      </c>
      <c r="T143" s="1">
        <f>MAX(intermediate_results[[#This Row], [Team1 laps '[laps']]:[Team9 laps '[laps']]]) - intermediate_results[[#This Row], [Team1 laps '[laps']]]</f>
        <v>0</v>
      </c>
      <c r="U143" s="1">
        <f>MAX(intermediate_results[[#This Row], [Team1 laps '[laps']]:[Team9 laps '[laps']]]) - intermediate_results[[#This Row], [Team2 laps '[laps']]]</f>
        <v>8.8754045899520406E-2</v>
      </c>
      <c r="V143" s="1">
        <f>MAX(intermediate_results[[#This Row], [Team1 laps '[laps']]:[Team9 laps '[laps']]]) - intermediate_results[[#This Row], [Team3 laps '[laps']]]</f>
        <v>0.29674934314136436</v>
      </c>
      <c r="W143" s="1">
        <f>MAX(intermediate_results[[#This Row], [Team1 laps '[laps']]:[Team9 laps '[laps']]]) - intermediate_results[[#This Row], [Team4 laps '[laps']]]</f>
        <v>0.64554564905475686</v>
      </c>
      <c r="X143" s="1">
        <f>MAX(intermediate_results[[#This Row], [Team1 laps '[laps']]:[Team9 laps '[laps']]]) - intermediate_results[[#This Row], [Team5 laps '[laps']]]</f>
        <v>0.6467950459202001</v>
      </c>
      <c r="Y143" s="1">
        <f>MAX(intermediate_results[[#This Row], [Team1 laps '[laps']]:[Team9 laps '[laps']]]) - intermediate_results[[#This Row], [Team6 laps '[laps']]]</f>
        <v>0.80931500581473514</v>
      </c>
      <c r="Z143" s="1">
        <f>MAX(intermediate_results[[#This Row], [Team1 laps '[laps']]:[Team9 laps '[laps']]]) - intermediate_results[[#This Row], [Team7 laps '[laps']]]</f>
        <v>0.63090837880633543</v>
      </c>
      <c r="AA143" s="1">
        <f>MAX(intermediate_results[[#This Row], [Team1 laps '[laps']]:[Team9 laps '[laps']]]) - intermediate_results[[#This Row], [Team8 laps '[laps']]]</f>
        <v>1.102140321810003</v>
      </c>
      <c r="AB143" s="1">
        <f>MAX(intermediate_results[[#This Row], [Team1 laps '[laps']]:[Team9 laps '[laps']]]) - intermediate_results[[#This Row], [Team9 laps '[laps']]]</f>
        <v>1.0388952667336202</v>
      </c>
      <c r="AC143" s="1">
        <f>9 * intermediate_results[[#This Row], [All cumulative times '[sec']]] / SUM(intermediate_results[[#This Row], [Team1 laps '[laps']]:[Team9 laps '[laps']]])</f>
        <v>54.800285476748336</v>
      </c>
      <c r="AD143" s="1">
        <f>intermediate_results[[#This Row], [All cumulative times '[sec']]] / intermediate_results[[#This Row], [Team1 laps '[laps']]] - intermediate_results[[#This Row], [Total running average '[sec']]]</f>
        <v>-1.9050306913850932</v>
      </c>
      <c r="AE143" s="1">
        <f>intermediate_results[[#This Row], [All cumulative times '[sec']]] / intermediate_results[[#This Row], [Team2 laps '[laps']]] - intermediate_results[[#This Row], [Total running average '[sec']]]</f>
        <v>-1.6242585401192571</v>
      </c>
      <c r="AF143" s="1">
        <f>intermediate_results[[#This Row], [All cumulative times '[sec']]] / intermediate_results[[#This Row], [Team3 laps '[laps']]] - intermediate_results[[#This Row], [Total running average '[sec']]]</f>
        <v>-0.95444357890905707</v>
      </c>
      <c r="AG143" s="1">
        <f>intermediate_results[[#This Row], [All cumulative times '[sec']]] / intermediate_results[[#This Row], [Team4 laps '[laps']]] - intermediate_results[[#This Row], [Total running average '[sec']]]</f>
        <v>0.20749027007328635</v>
      </c>
      <c r="AH143" s="1">
        <f>intermediate_results[[#This Row], [All cumulative times '[sec']]] / intermediate_results[[#This Row], [Team5 laps '[laps']]] - intermediate_results[[#This Row], [Total running average '[sec']]]</f>
        <v>0.21174248710154586</v>
      </c>
      <c r="AI143" s="1">
        <f>intermediate_results[[#This Row], [All cumulative times '[sec']]] / intermediate_results[[#This Row], [Team6 laps '[laps']]] - intermediate_results[[#This Row], [Total running average '[sec']]]</f>
        <v>0.77052702325166678</v>
      </c>
      <c r="AJ143" s="1">
        <f>intermediate_results[[#This Row], [All cumulative times '[sec']]] / intermediate_results[[#This Row], [Team7 laps '[laps']]] - intermediate_results[[#This Row], [Total running average '[sec']]]</f>
        <v>0.15772247167794262</v>
      </c>
      <c r="AK143" s="1">
        <f>intermediate_results[[#This Row], [All cumulative times '[sec']]] / intermediate_results[[#This Row], [Team8 laps '[laps']]] - intermediate_results[[#This Row], [Total running average '[sec']]]</f>
        <v>1.8065211506358381</v>
      </c>
      <c r="AL143" s="1">
        <f>intermediate_results[[#This Row], [All cumulative times '[sec']]] / intermediate_results[[#This Row], [Team9 laps '[laps']]] - intermediate_results[[#This Row], [Total running average '[sec']]]</f>
        <v>1.5795074970946388</v>
      </c>
    </row>
    <row r="144" spans="1:38" x14ac:dyDescent="0.25">
      <c r="A144" s="1">
        <v>899.13499999999976</v>
      </c>
      <c r="B144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17</v>
      </c>
      <c r="C144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16.909856542639762</v>
      </c>
      <c r="D144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16.701560787574163</v>
      </c>
      <c r="E144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16.349929273377008</v>
      </c>
      <c r="F144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16.348230532140064</v>
      </c>
      <c r="G144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16.180930156835075</v>
      </c>
      <c r="H144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16.363762717518206</v>
      </c>
      <c r="I144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15.889078839683549</v>
      </c>
      <c r="J144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15.947709869540555</v>
      </c>
      <c r="K144" s="1">
        <f>intermediate_results[[#This Row], [Team1 laps '[laps']]] - intermediate_results[[#This Row], [Team1 laps '[laps']]]</f>
        <v>0</v>
      </c>
      <c r="L144" s="1">
        <f>intermediate_results[[#This Row], [Team1 laps '[laps']]] - intermediate_results[[#This Row], [Team2 laps '[laps']]]</f>
        <v>9.0143457360237988E-2</v>
      </c>
      <c r="M144" s="1">
        <f>intermediate_results[[#This Row], [Team1 laps '[laps']]] - intermediate_results[[#This Row], [Team3 laps '[laps']]]</f>
        <v>0.29843921242583704</v>
      </c>
      <c r="N144" s="1">
        <f>intermediate_results[[#This Row], [Team1 laps '[laps']]] - intermediate_results[[#This Row], [Team4 laps '[laps']]]</f>
        <v>0.65007072662299237</v>
      </c>
      <c r="O144" s="1">
        <f>intermediate_results[[#This Row], [Team1 laps '[laps']]] - intermediate_results[[#This Row], [Team5 laps '[laps']]]</f>
        <v>0.6517694678599355</v>
      </c>
      <c r="P144" s="1">
        <f>intermediate_results[[#This Row], [Team1 laps '[laps']]] - intermediate_results[[#This Row], [Team6 laps '[laps']]]</f>
        <v>0.81906984316492526</v>
      </c>
      <c r="Q144" s="1">
        <f>intermediate_results[[#This Row], [Team1 laps '[laps']]] - intermediate_results[[#This Row], [Team7 laps '[laps']]]</f>
        <v>0.6362372824817939</v>
      </c>
      <c r="R144" s="1">
        <f>intermediate_results[[#This Row], [Team1 laps '[laps']]] - intermediate_results[[#This Row], [Team8 laps '[laps']]]</f>
        <v>1.1109211603164511</v>
      </c>
      <c r="S144" s="1">
        <f>intermediate_results[[#This Row], [Team1 laps '[laps']]] - intermediate_results[[#This Row], [Team9 laps '[laps']]]</f>
        <v>1.0522901304594452</v>
      </c>
      <c r="T144" s="1">
        <f>MAX(intermediate_results[[#This Row], [Team1 laps '[laps']]:[Team9 laps '[laps']]]) - intermediate_results[[#This Row], [Team1 laps '[laps']]]</f>
        <v>0</v>
      </c>
      <c r="U144" s="1">
        <f>MAX(intermediate_results[[#This Row], [Team1 laps '[laps']]:[Team9 laps '[laps']]]) - intermediate_results[[#This Row], [Team2 laps '[laps']]]</f>
        <v>9.0143457360237988E-2</v>
      </c>
      <c r="V144" s="1">
        <f>MAX(intermediate_results[[#This Row], [Team1 laps '[laps']]:[Team9 laps '[laps']]]) - intermediate_results[[#This Row], [Team3 laps '[laps']]]</f>
        <v>0.29843921242583704</v>
      </c>
      <c r="W144" s="1">
        <f>MAX(intermediate_results[[#This Row], [Team1 laps '[laps']]:[Team9 laps '[laps']]]) - intermediate_results[[#This Row], [Team4 laps '[laps']]]</f>
        <v>0.65007072662299237</v>
      </c>
      <c r="X144" s="1">
        <f>MAX(intermediate_results[[#This Row], [Team1 laps '[laps']]:[Team9 laps '[laps']]]) - intermediate_results[[#This Row], [Team5 laps '[laps']]]</f>
        <v>0.6517694678599355</v>
      </c>
      <c r="Y144" s="1">
        <f>MAX(intermediate_results[[#This Row], [Team1 laps '[laps']]:[Team9 laps '[laps']]]) - intermediate_results[[#This Row], [Team6 laps '[laps']]]</f>
        <v>0.81906984316492526</v>
      </c>
      <c r="Z144" s="1">
        <f>MAX(intermediate_results[[#This Row], [Team1 laps '[laps']]:[Team9 laps '[laps']]]) - intermediate_results[[#This Row], [Team7 laps '[laps']]]</f>
        <v>0.6362372824817939</v>
      </c>
      <c r="AA144" s="1">
        <f>MAX(intermediate_results[[#This Row], [Team1 laps '[laps']]:[Team9 laps '[laps']]]) - intermediate_results[[#This Row], [Team8 laps '[laps']]]</f>
        <v>1.1109211603164511</v>
      </c>
      <c r="AB144" s="1">
        <f>MAX(intermediate_results[[#This Row], [Team1 laps '[laps']]:[Team9 laps '[laps']]]) - intermediate_results[[#This Row], [Team9 laps '[laps']]]</f>
        <v>1.0522901304594452</v>
      </c>
      <c r="AC144" s="1">
        <f>9 * intermediate_results[[#This Row], [All cumulative times '[sec']]] / SUM(intermediate_results[[#This Row], [Team1 laps '[laps']]:[Team9 laps '[laps']]])</f>
        <v>54.791502411662677</v>
      </c>
      <c r="AD144" s="1">
        <f>intermediate_results[[#This Row], [All cumulative times '[sec']]] / intermediate_results[[#This Row], [Team1 laps '[laps']]] - intermediate_results[[#This Row], [Total running average '[sec']]]</f>
        <v>-1.9012082940156319</v>
      </c>
      <c r="AE144" s="1">
        <f>intermediate_results[[#This Row], [All cumulative times '[sec']]] / intermediate_results[[#This Row], [Team2 laps '[laps']]] - intermediate_results[[#This Row], [Total running average '[sec']]]</f>
        <v>-1.6192594814670258</v>
      </c>
      <c r="AF144" s="1">
        <f>intermediate_results[[#This Row], [All cumulative times '[sec']]] / intermediate_results[[#This Row], [Team3 laps '[laps']]] - intermediate_results[[#This Row], [Total running average '[sec']]]</f>
        <v>-0.9561147232886924</v>
      </c>
      <c r="AG144" s="1">
        <f>intermediate_results[[#This Row], [All cumulative times '[sec']]] / intermediate_results[[#This Row], [Team4 laps '[laps']]] - intermediate_results[[#This Row], [Total running average '[sec']]]</f>
        <v>0.20170183810024866</v>
      </c>
      <c r="AH144" s="1">
        <f>intermediate_results[[#This Row], [All cumulative times '[sec']]] / intermediate_results[[#This Row], [Team5 laps '[laps']]] - intermediate_results[[#This Row], [Total running average '[sec']]]</f>
        <v>0.20741617052460981</v>
      </c>
      <c r="AI144" s="1">
        <f>intermediate_results[[#This Row], [All cumulative times '[sec']]] / intermediate_results[[#This Row], [Team6 laps '[laps']]] - intermediate_results[[#This Row], [Total running average '[sec']]]</f>
        <v>0.77606949459088526</v>
      </c>
      <c r="AJ144" s="1">
        <f>intermediate_results[[#This Row], [All cumulative times '[sec']]] / intermediate_results[[#This Row], [Team7 laps '[laps']]] - intermediate_results[[#This Row], [Total running average '[sec']]]</f>
        <v>0.15521219923985541</v>
      </c>
      <c r="AK144" s="1">
        <f>intermediate_results[[#This Row], [All cumulative times '[sec']]] / intermediate_results[[#This Row], [Team8 laps '[laps']]] - intermediate_results[[#This Row], [Total running average '[sec']]]</f>
        <v>1.7967371629549262</v>
      </c>
      <c r="AL144" s="1">
        <f>intermediate_results[[#This Row], [All cumulative times '[sec']]] / intermediate_results[[#This Row], [Team9 laps '[laps']]] - intermediate_results[[#This Row], [Total running average '[sec']]]</f>
        <v>1.5886930744183232</v>
      </c>
    </row>
    <row r="145" spans="1:38" x14ac:dyDescent="0.25">
      <c r="A145" s="1">
        <v>902.08499999999981</v>
      </c>
      <c r="B145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17.056062333713417</v>
      </c>
      <c r="C145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16.96568757333737</v>
      </c>
      <c r="D145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16.757303200937226</v>
      </c>
      <c r="E145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16.404835467540199</v>
      </c>
      <c r="F145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16.40300419621968</v>
      </c>
      <c r="G145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16.23429388035672</v>
      </c>
      <c r="H145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16.418431830396027</v>
      </c>
      <c r="I145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15.942729835409658</v>
      </c>
      <c r="J145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16</v>
      </c>
      <c r="K145" s="1">
        <f>intermediate_results[[#This Row], [Team1 laps '[laps']]] - intermediate_results[[#This Row], [Team1 laps '[laps']]]</f>
        <v>0</v>
      </c>
      <c r="L145" s="1">
        <f>intermediate_results[[#This Row], [Team1 laps '[laps']]] - intermediate_results[[#This Row], [Team2 laps '[laps']]]</f>
        <v>9.0374760376047192E-2</v>
      </c>
      <c r="M145" s="1">
        <f>intermediate_results[[#This Row], [Team1 laps '[laps']]] - intermediate_results[[#This Row], [Team3 laps '[laps']]]</f>
        <v>0.29875913277619048</v>
      </c>
      <c r="N145" s="1">
        <f>intermediate_results[[#This Row], [Team1 laps '[laps']]] - intermediate_results[[#This Row], [Team4 laps '[laps']]]</f>
        <v>0.6512268661732179</v>
      </c>
      <c r="O145" s="1">
        <f>intermediate_results[[#This Row], [Team1 laps '[laps']]] - intermediate_results[[#This Row], [Team5 laps '[laps']]]</f>
        <v>0.65305813749373698</v>
      </c>
      <c r="P145" s="1">
        <f>intermediate_results[[#This Row], [Team1 laps '[laps']]] - intermediate_results[[#This Row], [Team6 laps '[laps']]]</f>
        <v>0.82176845335669668</v>
      </c>
      <c r="Q145" s="1">
        <f>intermediate_results[[#This Row], [Team1 laps '[laps']]] - intermediate_results[[#This Row], [Team7 laps '[laps']]]</f>
        <v>0.63763050331738924</v>
      </c>
      <c r="R145" s="1">
        <f>intermediate_results[[#This Row], [Team1 laps '[laps']]] - intermediate_results[[#This Row], [Team8 laps '[laps']]]</f>
        <v>1.1133324983037589</v>
      </c>
      <c r="S145" s="1">
        <f>intermediate_results[[#This Row], [Team1 laps '[laps']]] - intermediate_results[[#This Row], [Team9 laps '[laps']]]</f>
        <v>1.0560623337134167</v>
      </c>
      <c r="T145" s="1">
        <f>MAX(intermediate_results[[#This Row], [Team1 laps '[laps']]:[Team9 laps '[laps']]]) - intermediate_results[[#This Row], [Team1 laps '[laps']]]</f>
        <v>0</v>
      </c>
      <c r="U145" s="1">
        <f>MAX(intermediate_results[[#This Row], [Team1 laps '[laps']]:[Team9 laps '[laps']]]) - intermediate_results[[#This Row], [Team2 laps '[laps']]]</f>
        <v>9.0374760376047192E-2</v>
      </c>
      <c r="V145" s="1">
        <f>MAX(intermediate_results[[#This Row], [Team1 laps '[laps']]:[Team9 laps '[laps']]]) - intermediate_results[[#This Row], [Team3 laps '[laps']]]</f>
        <v>0.29875913277619048</v>
      </c>
      <c r="W145" s="1">
        <f>MAX(intermediate_results[[#This Row], [Team1 laps '[laps']]:[Team9 laps '[laps']]]) - intermediate_results[[#This Row], [Team4 laps '[laps']]]</f>
        <v>0.6512268661732179</v>
      </c>
      <c r="X145" s="1">
        <f>MAX(intermediate_results[[#This Row], [Team1 laps '[laps']]:[Team9 laps '[laps']]]) - intermediate_results[[#This Row], [Team5 laps '[laps']]]</f>
        <v>0.65305813749373698</v>
      </c>
      <c r="Y145" s="1">
        <f>MAX(intermediate_results[[#This Row], [Team1 laps '[laps']]:[Team9 laps '[laps']]]) - intermediate_results[[#This Row], [Team6 laps '[laps']]]</f>
        <v>0.82176845335669668</v>
      </c>
      <c r="Z145" s="1">
        <f>MAX(intermediate_results[[#This Row], [Team1 laps '[laps']]:[Team9 laps '[laps']]]) - intermediate_results[[#This Row], [Team7 laps '[laps']]]</f>
        <v>0.63763050331738924</v>
      </c>
      <c r="AA145" s="1">
        <f>MAX(intermediate_results[[#This Row], [Team1 laps '[laps']]:[Team9 laps '[laps']]]) - intermediate_results[[#This Row], [Team8 laps '[laps']]]</f>
        <v>1.1133324983037589</v>
      </c>
      <c r="AB145" s="1">
        <f>MAX(intermediate_results[[#This Row], [Team1 laps '[laps']]:[Team9 laps '[laps']]]) - intermediate_results[[#This Row], [Team9 laps '[laps']]]</f>
        <v>1.0560623337134167</v>
      </c>
      <c r="AC145" s="1">
        <f>9 * intermediate_results[[#This Row], [All cumulative times '[sec']]] / SUM(intermediate_results[[#This Row], [Team1 laps '[laps']]:[Team9 laps '[laps']]])</f>
        <v>54.789015642956379</v>
      </c>
      <c r="AD145" s="1">
        <f>intermediate_results[[#This Row], [All cumulative times '[sec']]] / intermediate_results[[#This Row], [Team1 laps '[laps']]] - intermediate_results[[#This Row], [Total running average '[sec']]]</f>
        <v>-1.8996099671271338</v>
      </c>
      <c r="AE145" s="1">
        <f>intermediate_results[[#This Row], [All cumulative times '[sec']]] / intermediate_results[[#This Row], [Team2 laps '[laps']]] - intermediate_results[[#This Row], [Total running average '[sec']]]</f>
        <v>-1.6178726462126249</v>
      </c>
      <c r="AF145" s="1">
        <f>intermediate_results[[#This Row], [All cumulative times '[sec']]] / intermediate_results[[#This Row], [Team3 laps '[laps']]] - intermediate_results[[#This Row], [Total running average '[sec']]]</f>
        <v>-0.95666629753505106</v>
      </c>
      <c r="AG145" s="1">
        <f>intermediate_results[[#This Row], [All cumulative times '[sec']]] / intermediate_results[[#This Row], [Team4 laps '[laps']]] - intermediate_results[[#This Row], [Total running average '[sec']]]</f>
        <v>0.19995402912176274</v>
      </c>
      <c r="AH145" s="1">
        <f>intermediate_results[[#This Row], [All cumulative times '[sec']]] / intermediate_results[[#This Row], [Team5 laps '[laps']]] - intermediate_results[[#This Row], [Total running average '[sec']]]</f>
        <v>0.2060931315630441</v>
      </c>
      <c r="AI145" s="1">
        <f>intermediate_results[[#This Row], [All cumulative times '[sec']]] / intermediate_results[[#This Row], [Team6 laps '[laps']]] - intermediate_results[[#This Row], [Total running average '[sec']]]</f>
        <v>0.77761427320589149</v>
      </c>
      <c r="AJ145" s="1">
        <f>intermediate_results[[#This Row], [All cumulative times '[sec']]] / intermediate_results[[#This Row], [Team7 laps '[laps']]] - intermediate_results[[#This Row], [Total running average '[sec']]]</f>
        <v>0.15441679435701161</v>
      </c>
      <c r="AK145" s="1">
        <f>intermediate_results[[#This Row], [All cumulative times '[sec']]] / intermediate_results[[#This Row], [Team8 laps '[laps']]] - intermediate_results[[#This Row], [Total running average '[sec']]]</f>
        <v>1.7938286574231341</v>
      </c>
      <c r="AL145" s="1">
        <f>intermediate_results[[#This Row], [All cumulative times '[sec']]] / intermediate_results[[#This Row], [Team9 laps '[laps']]] - intermediate_results[[#This Row], [Total running average '[sec']]]</f>
        <v>1.5912968570436092</v>
      </c>
    </row>
    <row r="146" spans="1:38" x14ac:dyDescent="0.25">
      <c r="A146" s="1">
        <v>903.89799999999991</v>
      </c>
      <c r="B146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17.090516913721022</v>
      </c>
      <c r="C146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17</v>
      </c>
      <c r="D146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16.791561165488833</v>
      </c>
      <c r="E146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16.438579511614055</v>
      </c>
      <c r="F146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16.436666790448953</v>
      </c>
      <c r="G146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16.267089958575276</v>
      </c>
      <c r="H146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16.452030169937547</v>
      </c>
      <c r="I146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15.97570246430845</v>
      </c>
      <c r="J146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16.03185060257897</v>
      </c>
      <c r="K146" s="1">
        <f>intermediate_results[[#This Row], [Team1 laps '[laps']]] - intermediate_results[[#This Row], [Team1 laps '[laps']]]</f>
        <v>0</v>
      </c>
      <c r="L146" s="1">
        <f>intermediate_results[[#This Row], [Team1 laps '[laps']]] - intermediate_results[[#This Row], [Team2 laps '[laps']]]</f>
        <v>9.0516913721021552E-2</v>
      </c>
      <c r="M146" s="1">
        <f>intermediate_results[[#This Row], [Team1 laps '[laps']]] - intermediate_results[[#This Row], [Team3 laps '[laps']]]</f>
        <v>0.29895574823218851</v>
      </c>
      <c r="N146" s="1">
        <f>intermediate_results[[#This Row], [Team1 laps '[laps']]] - intermediate_results[[#This Row], [Team4 laps '[laps']]]</f>
        <v>0.6519374021069666</v>
      </c>
      <c r="O146" s="1">
        <f>intermediate_results[[#This Row], [Team1 laps '[laps']]] - intermediate_results[[#This Row], [Team5 laps '[laps']]]</f>
        <v>0.65385012327206837</v>
      </c>
      <c r="P146" s="1">
        <f>intermediate_results[[#This Row], [Team1 laps '[laps']]] - intermediate_results[[#This Row], [Team6 laps '[laps']]]</f>
        <v>0.82342695514574515</v>
      </c>
      <c r="Q146" s="1">
        <f>intermediate_results[[#This Row], [Team1 laps '[laps']]] - intermediate_results[[#This Row], [Team7 laps '[laps']]]</f>
        <v>0.63848674378347425</v>
      </c>
      <c r="R146" s="1">
        <f>intermediate_results[[#This Row], [Team1 laps '[laps']]] - intermediate_results[[#This Row], [Team8 laps '[laps']]]</f>
        <v>1.114814449412572</v>
      </c>
      <c r="S146" s="1">
        <f>intermediate_results[[#This Row], [Team1 laps '[laps']]] - intermediate_results[[#This Row], [Team9 laps '[laps']]]</f>
        <v>1.0586663111420513</v>
      </c>
      <c r="T146" s="1">
        <f>MAX(intermediate_results[[#This Row], [Team1 laps '[laps']]:[Team9 laps '[laps']]]) - intermediate_results[[#This Row], [Team1 laps '[laps']]]</f>
        <v>0</v>
      </c>
      <c r="U146" s="1">
        <f>MAX(intermediate_results[[#This Row], [Team1 laps '[laps']]:[Team9 laps '[laps']]]) - intermediate_results[[#This Row], [Team2 laps '[laps']]]</f>
        <v>9.0516913721021552E-2</v>
      </c>
      <c r="V146" s="1">
        <f>MAX(intermediate_results[[#This Row], [Team1 laps '[laps']]:[Team9 laps '[laps']]]) - intermediate_results[[#This Row], [Team3 laps '[laps']]]</f>
        <v>0.29895574823218851</v>
      </c>
      <c r="W146" s="1">
        <f>MAX(intermediate_results[[#This Row], [Team1 laps '[laps']]:[Team9 laps '[laps']]]) - intermediate_results[[#This Row], [Team4 laps '[laps']]]</f>
        <v>0.6519374021069666</v>
      </c>
      <c r="X146" s="1">
        <f>MAX(intermediate_results[[#This Row], [Team1 laps '[laps']]:[Team9 laps '[laps']]]) - intermediate_results[[#This Row], [Team5 laps '[laps']]]</f>
        <v>0.65385012327206837</v>
      </c>
      <c r="Y146" s="1">
        <f>MAX(intermediate_results[[#This Row], [Team1 laps '[laps']]:[Team9 laps '[laps']]]) - intermediate_results[[#This Row], [Team6 laps '[laps']]]</f>
        <v>0.82342695514574515</v>
      </c>
      <c r="Z146" s="1">
        <f>MAX(intermediate_results[[#This Row], [Team1 laps '[laps']]:[Team9 laps '[laps']]]) - intermediate_results[[#This Row], [Team7 laps '[laps']]]</f>
        <v>0.63848674378347425</v>
      </c>
      <c r="AA146" s="1">
        <f>MAX(intermediate_results[[#This Row], [Team1 laps '[laps']]:[Team9 laps '[laps']]]) - intermediate_results[[#This Row], [Team8 laps '[laps']]]</f>
        <v>1.114814449412572</v>
      </c>
      <c r="AB146" s="1">
        <f>MAX(intermediate_results[[#This Row], [Team1 laps '[laps']]:[Team9 laps '[laps']]]) - intermediate_results[[#This Row], [Team9 laps '[laps']]]</f>
        <v>1.0586663111420513</v>
      </c>
      <c r="AC146" s="1">
        <f>9 * intermediate_results[[#This Row], [All cumulative times '[sec']]] / SUM(intermediate_results[[#This Row], [Team1 laps '[laps']]:[Team9 laps '[laps']]])</f>
        <v>54.787600904934315</v>
      </c>
      <c r="AD146" s="1">
        <f>intermediate_results[[#This Row], [All cumulative times '[sec']]] / intermediate_results[[#This Row], [Team1 laps '[laps']]] - intermediate_results[[#This Row], [Total running average '[sec']]]</f>
        <v>-1.8987383524909376</v>
      </c>
      <c r="AE146" s="1">
        <f>intermediate_results[[#This Row], [All cumulative times '[sec']]] / intermediate_results[[#This Row], [Team2 laps '[laps']]] - intermediate_results[[#This Row], [Total running average '[sec']]]</f>
        <v>-1.6171303166990256</v>
      </c>
      <c r="AF146" s="1">
        <f>intermediate_results[[#This Row], [All cumulative times '[sec']]] / intermediate_results[[#This Row], [Team3 laps '[laps']]] - intermediate_results[[#This Row], [Total running average '[sec']]]</f>
        <v>-0.95710884456812551</v>
      </c>
      <c r="AG146" s="1">
        <f>intermediate_results[[#This Row], [All cumulative times '[sec']]] / intermediate_results[[#This Row], [Team4 laps '[laps']]] - intermediate_results[[#This Row], [Total running average '[sec']]]</f>
        <v>0.19878033082787994</v>
      </c>
      <c r="AH146" s="1">
        <f>intermediate_results[[#This Row], [All cumulative times '[sec']]] / intermediate_results[[#This Row], [Team5 laps '[laps']]] - intermediate_results[[#This Row], [Total running average '[sec']]]</f>
        <v>0.20517905001607062</v>
      </c>
      <c r="AI146" s="1">
        <f>intermediate_results[[#This Row], [All cumulative times '[sec']]] / intermediate_results[[#This Row], [Team6 laps '[laps']]] - intermediate_results[[#This Row], [Total running average '[sec']]]</f>
        <v>0.77845315278641891</v>
      </c>
      <c r="AJ146" s="1">
        <f>intermediate_results[[#This Row], [All cumulative times '[sec']]] / intermediate_results[[#This Row], [Team7 laps '[laps']]] - intermediate_results[[#This Row], [Total running average '[sec']]]</f>
        <v>0.15382520864490346</v>
      </c>
      <c r="AK146" s="1">
        <f>intermediate_results[[#This Row], [All cumulative times '[sec']]] / intermediate_results[[#This Row], [Team8 laps '[laps']]] - intermediate_results[[#This Row], [Total running average '[sec']]]</f>
        <v>1.7919455669289164</v>
      </c>
      <c r="AL146" s="1">
        <f>intermediate_results[[#This Row], [All cumulative times '[sec']]] / intermediate_results[[#This Row], [Team9 laps '[laps']]] - intermediate_results[[#This Row], [Total running average '[sec']]]</f>
        <v>1.5937877698450009</v>
      </c>
    </row>
    <row r="147" spans="1:38" x14ac:dyDescent="0.25">
      <c r="A147" s="1">
        <v>905.23399999999981</v>
      </c>
      <c r="B147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17.115906499429876</v>
      </c>
      <c r="C147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17.025360186784606</v>
      </c>
      <c r="D147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16.816805865235626</v>
      </c>
      <c r="E147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16.463445503275757</v>
      </c>
      <c r="F147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16.461472761706702</v>
      </c>
      <c r="G147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16.291257394041349</v>
      </c>
      <c r="H147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16.476788791905264</v>
      </c>
      <c r="I147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16</v>
      </c>
      <c r="J147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16.055321316889778</v>
      </c>
      <c r="K147" s="1">
        <f>intermediate_results[[#This Row], [Team1 laps '[laps']]] - intermediate_results[[#This Row], [Team1 laps '[laps']]]</f>
        <v>0</v>
      </c>
      <c r="L147" s="1">
        <f>intermediate_results[[#This Row], [Team1 laps '[laps']]] - intermediate_results[[#This Row], [Team2 laps '[laps']]]</f>
        <v>9.0546312645269467E-2</v>
      </c>
      <c r="M147" s="1">
        <f>intermediate_results[[#This Row], [Team1 laps '[laps']]] - intermediate_results[[#This Row], [Team3 laps '[laps']]]</f>
        <v>0.29910063419425015</v>
      </c>
      <c r="N147" s="1">
        <f>intermediate_results[[#This Row], [Team1 laps '[laps']]] - intermediate_results[[#This Row], [Team4 laps '[laps']]]</f>
        <v>0.65246099615411879</v>
      </c>
      <c r="O147" s="1">
        <f>intermediate_results[[#This Row], [Team1 laps '[laps']]] - intermediate_results[[#This Row], [Team5 laps '[laps']]]</f>
        <v>0.65443373772317415</v>
      </c>
      <c r="P147" s="1">
        <f>intermediate_results[[#This Row], [Team1 laps '[laps']]] - intermediate_results[[#This Row], [Team6 laps '[laps']]]</f>
        <v>0.8246491053885272</v>
      </c>
      <c r="Q147" s="1">
        <f>intermediate_results[[#This Row], [Team1 laps '[laps']]] - intermediate_results[[#This Row], [Team7 laps '[laps']]]</f>
        <v>0.63911770752461194</v>
      </c>
      <c r="R147" s="1">
        <f>intermediate_results[[#This Row], [Team1 laps '[laps']]] - intermediate_results[[#This Row], [Team8 laps '[laps']]]</f>
        <v>1.115906499429876</v>
      </c>
      <c r="S147" s="1">
        <f>intermediate_results[[#This Row], [Team1 laps '[laps']]] - intermediate_results[[#This Row], [Team9 laps '[laps']]]</f>
        <v>1.0605851825400983</v>
      </c>
      <c r="T147" s="1">
        <f>MAX(intermediate_results[[#This Row], [Team1 laps '[laps']]:[Team9 laps '[laps']]]) - intermediate_results[[#This Row], [Team1 laps '[laps']]]</f>
        <v>0</v>
      </c>
      <c r="U147" s="1">
        <f>MAX(intermediate_results[[#This Row], [Team1 laps '[laps']]:[Team9 laps '[laps']]]) - intermediate_results[[#This Row], [Team2 laps '[laps']]]</f>
        <v>9.0546312645269467E-2</v>
      </c>
      <c r="V147" s="1">
        <f>MAX(intermediate_results[[#This Row], [Team1 laps '[laps']]:[Team9 laps '[laps']]]) - intermediate_results[[#This Row], [Team3 laps '[laps']]]</f>
        <v>0.29910063419425015</v>
      </c>
      <c r="W147" s="1">
        <f>MAX(intermediate_results[[#This Row], [Team1 laps '[laps']]:[Team9 laps '[laps']]]) - intermediate_results[[#This Row], [Team4 laps '[laps']]]</f>
        <v>0.65246099615411879</v>
      </c>
      <c r="X147" s="1">
        <f>MAX(intermediate_results[[#This Row], [Team1 laps '[laps']]:[Team9 laps '[laps']]]) - intermediate_results[[#This Row], [Team5 laps '[laps']]]</f>
        <v>0.65443373772317415</v>
      </c>
      <c r="Y147" s="1">
        <f>MAX(intermediate_results[[#This Row], [Team1 laps '[laps']]:[Team9 laps '[laps']]]) - intermediate_results[[#This Row], [Team6 laps '[laps']]]</f>
        <v>0.8246491053885272</v>
      </c>
      <c r="Z147" s="1">
        <f>MAX(intermediate_results[[#This Row], [Team1 laps '[laps']]:[Team9 laps '[laps']]]) - intermediate_results[[#This Row], [Team7 laps '[laps']]]</f>
        <v>0.63911770752461194</v>
      </c>
      <c r="AA147" s="1">
        <f>MAX(intermediate_results[[#This Row], [Team1 laps '[laps']]:[Team9 laps '[laps']]]) - intermediate_results[[#This Row], [Team8 laps '[laps']]]</f>
        <v>1.115906499429876</v>
      </c>
      <c r="AB147" s="1">
        <f>MAX(intermediate_results[[#This Row], [Team1 laps '[laps']]:[Team9 laps '[laps']]]) - intermediate_results[[#This Row], [Team9 laps '[laps']]]</f>
        <v>1.0605851825400983</v>
      </c>
      <c r="AC147" s="1">
        <f>9 * intermediate_results[[#This Row], [All cumulative times '[sec']]] / SUM(intermediate_results[[#This Row], [Team1 laps '[laps']]:[Team9 laps '[laps']]])</f>
        <v>54.78653429538204</v>
      </c>
      <c r="AD147" s="1">
        <f>intermediate_results[[#This Row], [All cumulative times '[sec']]] / intermediate_results[[#This Row], [Team1 laps '[laps']]] - intermediate_results[[#This Row], [Total running average '[sec']]]</f>
        <v>-1.898070571292827</v>
      </c>
      <c r="AE147" s="1">
        <f>intermediate_results[[#This Row], [All cumulative times '[sec']]] / intermediate_results[[#This Row], [Team2 laps '[laps']]] - intermediate_results[[#This Row], [Total running average '[sec']]]</f>
        <v>-1.6167927998300797</v>
      </c>
      <c r="AF147" s="1">
        <f>intermediate_results[[#This Row], [All cumulative times '[sec']]] / intermediate_results[[#This Row], [Team3 laps '[laps']]] - intermediate_results[[#This Row], [Total running average '[sec']]]</f>
        <v>-0.95740602606332459</v>
      </c>
      <c r="AG147" s="1">
        <f>intermediate_results[[#This Row], [All cumulative times '[sec']]] / intermediate_results[[#This Row], [Team4 laps '[laps']]] - intermediate_results[[#This Row], [Total running average '[sec']]]</f>
        <v>0.1979463116624558</v>
      </c>
      <c r="AH147" s="1">
        <f>intermediate_results[[#This Row], [All cumulative times '[sec']]] / intermediate_results[[#This Row], [Team5 laps '[laps']]] - intermediate_results[[#This Row], [Total running average '[sec']]]</f>
        <v>0.20453564738694752</v>
      </c>
      <c r="AI147" s="1">
        <f>intermediate_results[[#This Row], [All cumulative times '[sec']]] / intermediate_results[[#This Row], [Team6 laps '[laps']]] - intermediate_results[[#This Row], [Total running average '[sec']]]</f>
        <v>0.77909689592772224</v>
      </c>
      <c r="AJ147" s="1">
        <f>intermediate_results[[#This Row], [All cumulative times '[sec']]] / intermediate_results[[#This Row], [Team7 laps '[laps']]] - intermediate_results[[#This Row], [Total running average '[sec']]]</f>
        <v>0.15341859426865767</v>
      </c>
      <c r="AK147" s="1">
        <f>intermediate_results[[#This Row], [All cumulative times '[sec']]] / intermediate_results[[#This Row], [Team8 laps '[laps']]] - intermediate_results[[#This Row], [Total running average '[sec']]]</f>
        <v>1.7905907046179479</v>
      </c>
      <c r="AL147" s="1">
        <f>intermediate_results[[#This Row], [All cumulative times '[sec']]] / intermediate_results[[#This Row], [Team9 laps '[laps']]] - intermediate_results[[#This Row], [Total running average '[sec']]]</f>
        <v>1.595644680240035</v>
      </c>
    </row>
    <row r="148" spans="1:38" x14ac:dyDescent="0.25">
      <c r="A148" s="1">
        <v>914.92899999999997</v>
      </c>
      <c r="B148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17.300152033447361</v>
      </c>
      <c r="C148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17.209392380554661</v>
      </c>
      <c r="D148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17</v>
      </c>
      <c r="E148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16.643891453245981</v>
      </c>
      <c r="F148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16.641483159419209</v>
      </c>
      <c r="G148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16.466634105750618</v>
      </c>
      <c r="H148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16.656455588295252</v>
      </c>
      <c r="I148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16.175863445073286</v>
      </c>
      <c r="J148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16.225642106742562</v>
      </c>
      <c r="K148" s="1">
        <f>intermediate_results[[#This Row], [Team1 laps '[laps']]] - intermediate_results[[#This Row], [Team1 laps '[laps']]]</f>
        <v>0</v>
      </c>
      <c r="L148" s="1">
        <f>intermediate_results[[#This Row], [Team1 laps '[laps']]] - intermediate_results[[#This Row], [Team2 laps '[laps']]]</f>
        <v>9.075965289270016E-2</v>
      </c>
      <c r="M148" s="1">
        <f>intermediate_results[[#This Row], [Team1 laps '[laps']]] - intermediate_results[[#This Row], [Team3 laps '[laps']]]</f>
        <v>0.30015203344736108</v>
      </c>
      <c r="N148" s="1">
        <f>intermediate_results[[#This Row], [Team1 laps '[laps']]] - intermediate_results[[#This Row], [Team4 laps '[laps']]]</f>
        <v>0.6562605802013799</v>
      </c>
      <c r="O148" s="1">
        <f>intermediate_results[[#This Row], [Team1 laps '[laps']]] - intermediate_results[[#This Row], [Team5 laps '[laps']]]</f>
        <v>0.65866887402815166</v>
      </c>
      <c r="P148" s="1">
        <f>intermediate_results[[#This Row], [Team1 laps '[laps']]] - intermediate_results[[#This Row], [Team6 laps '[laps']]]</f>
        <v>0.83351792769674304</v>
      </c>
      <c r="Q148" s="1">
        <f>intermediate_results[[#This Row], [Team1 laps '[laps']]] - intermediate_results[[#This Row], [Team7 laps '[laps']]]</f>
        <v>0.64369644515210922</v>
      </c>
      <c r="R148" s="1">
        <f>intermediate_results[[#This Row], [Team1 laps '[laps']]] - intermediate_results[[#This Row], [Team8 laps '[laps']]]</f>
        <v>1.1242885883740747</v>
      </c>
      <c r="S148" s="1">
        <f>intermediate_results[[#This Row], [Team1 laps '[laps']]] - intermediate_results[[#This Row], [Team9 laps '[laps']]]</f>
        <v>1.0745099267047991</v>
      </c>
      <c r="T148" s="1">
        <f>MAX(intermediate_results[[#This Row], [Team1 laps '[laps']]:[Team9 laps '[laps']]]) - intermediate_results[[#This Row], [Team1 laps '[laps']]]</f>
        <v>0</v>
      </c>
      <c r="U148" s="1">
        <f>MAX(intermediate_results[[#This Row], [Team1 laps '[laps']]:[Team9 laps '[laps']]]) - intermediate_results[[#This Row], [Team2 laps '[laps']]]</f>
        <v>9.075965289270016E-2</v>
      </c>
      <c r="V148" s="1">
        <f>MAX(intermediate_results[[#This Row], [Team1 laps '[laps']]:[Team9 laps '[laps']]]) - intermediate_results[[#This Row], [Team3 laps '[laps']]]</f>
        <v>0.30015203344736108</v>
      </c>
      <c r="W148" s="1">
        <f>MAX(intermediate_results[[#This Row], [Team1 laps '[laps']]:[Team9 laps '[laps']]]) - intermediate_results[[#This Row], [Team4 laps '[laps']]]</f>
        <v>0.6562605802013799</v>
      </c>
      <c r="X148" s="1">
        <f>MAX(intermediate_results[[#This Row], [Team1 laps '[laps']]:[Team9 laps '[laps']]]) - intermediate_results[[#This Row], [Team5 laps '[laps']]]</f>
        <v>0.65866887402815166</v>
      </c>
      <c r="Y148" s="1">
        <f>MAX(intermediate_results[[#This Row], [Team1 laps '[laps']]:[Team9 laps '[laps']]]) - intermediate_results[[#This Row], [Team6 laps '[laps']]]</f>
        <v>0.83351792769674304</v>
      </c>
      <c r="Z148" s="1">
        <f>MAX(intermediate_results[[#This Row], [Team1 laps '[laps']]:[Team9 laps '[laps']]]) - intermediate_results[[#This Row], [Team7 laps '[laps']]]</f>
        <v>0.64369644515210922</v>
      </c>
      <c r="AA148" s="1">
        <f>MAX(intermediate_results[[#This Row], [Team1 laps '[laps']]:[Team9 laps '[laps']]]) - intermediate_results[[#This Row], [Team8 laps '[laps']]]</f>
        <v>1.1242885883740747</v>
      </c>
      <c r="AB148" s="1">
        <f>MAX(intermediate_results[[#This Row], [Team1 laps '[laps']]:[Team9 laps '[laps']]]) - intermediate_results[[#This Row], [Team9 laps '[laps']]]</f>
        <v>1.0745099267047991</v>
      </c>
      <c r="AC148" s="1">
        <f>9 * intermediate_results[[#This Row], [All cumulative times '[sec']]] / SUM(intermediate_results[[#This Row], [Team1 laps '[laps']]:[Team9 laps '[laps']]])</f>
        <v>54.779055399760821</v>
      </c>
      <c r="AD148" s="1">
        <f>intermediate_results[[#This Row], [All cumulative times '[sec']]] / intermediate_results[[#This Row], [Team1 laps '[laps']]] - intermediate_results[[#This Row], [Total running average '[sec']]]</f>
        <v>-1.8934507974939692</v>
      </c>
      <c r="AE148" s="1">
        <f>intermediate_results[[#This Row], [All cumulative times '[sec']]] / intermediate_results[[#This Row], [Team2 laps '[laps']]] - intermediate_results[[#This Row], [Total running average '[sec']]]</f>
        <v>-1.6145403623907626</v>
      </c>
      <c r="AF148" s="1">
        <f>intermediate_results[[#This Row], [All cumulative times '[sec']]] / intermediate_results[[#This Row], [Team3 laps '[laps']]] - intermediate_results[[#This Row], [Total running average '[sec']]]</f>
        <v>-0.95970245858435277</v>
      </c>
      <c r="AG148" s="1">
        <f>intermediate_results[[#This Row], [All cumulative times '[sec']]] / intermediate_results[[#This Row], [Team4 laps '[laps']]] - intermediate_results[[#This Row], [Total running average '[sec']]]</f>
        <v>0.19180298213313307</v>
      </c>
      <c r="AH148" s="1">
        <f>intermediate_results[[#This Row], [All cumulative times '[sec']]] / intermediate_results[[#This Row], [Team5 laps '[laps']]] - intermediate_results[[#This Row], [Total running average '[sec']]]</f>
        <v>0.19975816122536116</v>
      </c>
      <c r="AI148" s="1">
        <f>intermediate_results[[#This Row], [All cumulative times '[sec']]] / intermediate_results[[#This Row], [Team6 laps '[laps']]] - intermediate_results[[#This Row], [Total running average '[sec']]]</f>
        <v>0.78354434735329193</v>
      </c>
      <c r="AJ148" s="1">
        <f>intermediate_results[[#This Row], [All cumulative times '[sec']]] / intermediate_results[[#This Row], [Team7 laps '[laps']]] - intermediate_results[[#This Row], [Total running average '[sec']]]</f>
        <v>0.15033790063225183</v>
      </c>
      <c r="AK148" s="1">
        <f>intermediate_results[[#This Row], [All cumulative times '[sec']]] / intermediate_results[[#This Row], [Team8 laps '[laps']]] - intermediate_results[[#This Row], [Total running average '[sec']]]</f>
        <v>1.7823147618215955</v>
      </c>
      <c r="AL148" s="1">
        <f>intermediate_results[[#This Row], [All cumulative times '[sec']]] / intermediate_results[[#This Row], [Team9 laps '[laps']]] - intermediate_results[[#This Row], [Total running average '[sec']]]</f>
        <v>1.6087900846284455</v>
      </c>
    </row>
    <row r="149" spans="1:38" x14ac:dyDescent="0.25">
      <c r="A149" s="1">
        <v>933.46699999999987</v>
      </c>
      <c r="B149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17.652451539338657</v>
      </c>
      <c r="C149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17.56128395436685</v>
      </c>
      <c r="D149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17.347491939716576</v>
      </c>
      <c r="E149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16.988925699821319</v>
      </c>
      <c r="F149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16.985684577964271</v>
      </c>
      <c r="G149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16.801975362240189</v>
      </c>
      <c r="H149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17</v>
      </c>
      <c r="I149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16.512135393992164</v>
      </c>
      <c r="J149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16.551315835705001</v>
      </c>
      <c r="K149" s="1">
        <f>intermediate_results[[#This Row], [Team1 laps '[laps']]] - intermediate_results[[#This Row], [Team1 laps '[laps']]]</f>
        <v>0</v>
      </c>
      <c r="L149" s="1">
        <f>intermediate_results[[#This Row], [Team1 laps '[laps']]] - intermediate_results[[#This Row], [Team2 laps '[laps']]]</f>
        <v>9.1167584971806548E-2</v>
      </c>
      <c r="M149" s="1">
        <f>intermediate_results[[#This Row], [Team1 laps '[laps']]] - intermediate_results[[#This Row], [Team3 laps '[laps']]]</f>
        <v>0.30495959962208019</v>
      </c>
      <c r="N149" s="1">
        <f>intermediate_results[[#This Row], [Team1 laps '[laps']]] - intermediate_results[[#This Row], [Team4 laps '[laps']]]</f>
        <v>0.66352583951733735</v>
      </c>
      <c r="O149" s="1">
        <f>intermediate_results[[#This Row], [Team1 laps '[laps']]] - intermediate_results[[#This Row], [Team5 laps '[laps']]]</f>
        <v>0.6667669613743854</v>
      </c>
      <c r="P149" s="1">
        <f>intermediate_results[[#This Row], [Team1 laps '[laps']]] - intermediate_results[[#This Row], [Team6 laps '[laps']]]</f>
        <v>0.8504761770984679</v>
      </c>
      <c r="Q149" s="1">
        <f>intermediate_results[[#This Row], [Team1 laps '[laps']]] - intermediate_results[[#This Row], [Team7 laps '[laps']]]</f>
        <v>0.65245153933865652</v>
      </c>
      <c r="R149" s="1">
        <f>intermediate_results[[#This Row], [Team1 laps '[laps']]] - intermediate_results[[#This Row], [Team8 laps '[laps']]]</f>
        <v>1.1403161453464925</v>
      </c>
      <c r="S149" s="1">
        <f>intermediate_results[[#This Row], [Team1 laps '[laps']]] - intermediate_results[[#This Row], [Team9 laps '[laps']]]</f>
        <v>1.1011357036336555</v>
      </c>
      <c r="T149" s="1">
        <f>MAX(intermediate_results[[#This Row], [Team1 laps '[laps']]:[Team9 laps '[laps']]]) - intermediate_results[[#This Row], [Team1 laps '[laps']]]</f>
        <v>0</v>
      </c>
      <c r="U149" s="1">
        <f>MAX(intermediate_results[[#This Row], [Team1 laps '[laps']]:[Team9 laps '[laps']]]) - intermediate_results[[#This Row], [Team2 laps '[laps']]]</f>
        <v>9.1167584971806548E-2</v>
      </c>
      <c r="V149" s="1">
        <f>MAX(intermediate_results[[#This Row], [Team1 laps '[laps']]:[Team9 laps '[laps']]]) - intermediate_results[[#This Row], [Team3 laps '[laps']]]</f>
        <v>0.30495959962208019</v>
      </c>
      <c r="W149" s="1">
        <f>MAX(intermediate_results[[#This Row], [Team1 laps '[laps']]:[Team9 laps '[laps']]]) - intermediate_results[[#This Row], [Team4 laps '[laps']]]</f>
        <v>0.66352583951733735</v>
      </c>
      <c r="X149" s="1">
        <f>MAX(intermediate_results[[#This Row], [Team1 laps '[laps']]:[Team9 laps '[laps']]]) - intermediate_results[[#This Row], [Team5 laps '[laps']]]</f>
        <v>0.6667669613743854</v>
      </c>
      <c r="Y149" s="1">
        <f>MAX(intermediate_results[[#This Row], [Team1 laps '[laps']]:[Team9 laps '[laps']]]) - intermediate_results[[#This Row], [Team6 laps '[laps']]]</f>
        <v>0.8504761770984679</v>
      </c>
      <c r="Z149" s="1">
        <f>MAX(intermediate_results[[#This Row], [Team1 laps '[laps']]:[Team9 laps '[laps']]]) - intermediate_results[[#This Row], [Team7 laps '[laps']]]</f>
        <v>0.65245153933865652</v>
      </c>
      <c r="AA149" s="1">
        <f>MAX(intermediate_results[[#This Row], [Team1 laps '[laps']]:[Team9 laps '[laps']]]) - intermediate_results[[#This Row], [Team8 laps '[laps']]]</f>
        <v>1.1403161453464925</v>
      </c>
      <c r="AB149" s="1">
        <f>MAX(intermediate_results[[#This Row], [Team1 laps '[laps']]:[Team9 laps '[laps']]]) - intermediate_results[[#This Row], [Team9 laps '[laps']]]</f>
        <v>1.1011357036336555</v>
      </c>
      <c r="AC149" s="1">
        <f>9 * intermediate_results[[#This Row], [All cumulative times '[sec']]] / SUM(intermediate_results[[#This Row], [Team1 laps '[laps']]:[Team9 laps '[laps']]])</f>
        <v>54.766191388083357</v>
      </c>
      <c r="AD149" s="1">
        <f>intermediate_results[[#This Row], [All cumulative times '[sec']]] / intermediate_results[[#This Row], [Team1 laps '[laps']]] - intermediate_results[[#This Row], [Total running average '[sec']]]</f>
        <v>-1.8858876002633025</v>
      </c>
      <c r="AE149" s="1">
        <f>intermediate_results[[#This Row], [All cumulative times '[sec']]] / intermediate_results[[#This Row], [Team2 laps '[laps']]] - intermediate_results[[#This Row], [Total running average '[sec']]]</f>
        <v>-1.6113649855479792</v>
      </c>
      <c r="AF149" s="1">
        <f>intermediate_results[[#This Row], [All cumulative times '[sec']]] / intermediate_results[[#This Row], [Team3 laps '[laps']]] - intermediate_results[[#This Row], [Total running average '[sec']]]</f>
        <v>-0.95628023528700368</v>
      </c>
      <c r="AG149" s="1">
        <f>intermediate_results[[#This Row], [All cumulative times '[sec']]] / intermediate_results[[#This Row], [Team4 laps '[laps']]] - intermediate_results[[#This Row], [Total running average '[sec']]]</f>
        <v>0.1794253326853763</v>
      </c>
      <c r="AH149" s="1">
        <f>intermediate_results[[#This Row], [All cumulative times '[sec']]] / intermediate_results[[#This Row], [Team5 laps '[laps']]] - intermediate_results[[#This Row], [Total running average '[sec']]]</f>
        <v>0.18990977553990263</v>
      </c>
      <c r="AI149" s="1">
        <f>intermediate_results[[#This Row], [All cumulative times '[sec']]] / intermediate_results[[#This Row], [Team6 laps '[laps']]] - intermediate_results[[#This Row], [Total running average '[sec']]]</f>
        <v>0.79078806671461876</v>
      </c>
      <c r="AJ149" s="1">
        <f>intermediate_results[[#This Row], [All cumulative times '[sec']]] / intermediate_results[[#This Row], [Team7 laps '[laps']]] - intermediate_results[[#This Row], [Total running average '[sec']]]</f>
        <v>0.14363214132840341</v>
      </c>
      <c r="AK149" s="1">
        <f>intermediate_results[[#This Row], [All cumulative times '[sec']]] / intermediate_results[[#This Row], [Team8 laps '[laps']]] - intermediate_results[[#This Row], [Total running average '[sec']]]</f>
        <v>1.7659879894934463</v>
      </c>
      <c r="AL149" s="1">
        <f>intermediate_results[[#This Row], [All cumulative times '[sec']]] / intermediate_results[[#This Row], [Team9 laps '[laps']]] - intermediate_results[[#This Row], [Total running average '[sec']]]</f>
        <v>1.6321644445264312</v>
      </c>
    </row>
    <row r="150" spans="1:38" x14ac:dyDescent="0.25">
      <c r="A150" s="1">
        <v>934.0619999999999</v>
      </c>
      <c r="B150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17.663759026985939</v>
      </c>
      <c r="C150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17.572578348930353</v>
      </c>
      <c r="D150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17.358645122591287</v>
      </c>
      <c r="E150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17</v>
      </c>
      <c r="F150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16.996732147498975</v>
      </c>
      <c r="G150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16.812738553933539</v>
      </c>
      <c r="H150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17.011030979439738</v>
      </c>
      <c r="I150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16.522928457408216</v>
      </c>
      <c r="J150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16.561768736165281</v>
      </c>
      <c r="K150" s="1">
        <f>intermediate_results[[#This Row], [Team1 laps '[laps']]] - intermediate_results[[#This Row], [Team1 laps '[laps']]]</f>
        <v>0</v>
      </c>
      <c r="L150" s="1">
        <f>intermediate_results[[#This Row], [Team1 laps '[laps']]] - intermediate_results[[#This Row], [Team2 laps '[laps']]]</f>
        <v>9.1180678055586384E-2</v>
      </c>
      <c r="M150" s="1">
        <f>intermediate_results[[#This Row], [Team1 laps '[laps']]] - intermediate_results[[#This Row], [Team3 laps '[laps']]]</f>
        <v>0.30511390439465202</v>
      </c>
      <c r="N150" s="1">
        <f>intermediate_results[[#This Row], [Team1 laps '[laps']]] - intermediate_results[[#This Row], [Team4 laps '[laps']]]</f>
        <v>0.66375902698593947</v>
      </c>
      <c r="O150" s="1">
        <f>intermediate_results[[#This Row], [Team1 laps '[laps']]] - intermediate_results[[#This Row], [Team5 laps '[laps']]]</f>
        <v>0.66702687948696493</v>
      </c>
      <c r="P150" s="1">
        <f>intermediate_results[[#This Row], [Team1 laps '[laps']]] - intermediate_results[[#This Row], [Team6 laps '[laps']]]</f>
        <v>0.85102047305240092</v>
      </c>
      <c r="Q150" s="1">
        <f>intermediate_results[[#This Row], [Team1 laps '[laps']]] - intermediate_results[[#This Row], [Team7 laps '[laps']]]</f>
        <v>0.6527280475462014</v>
      </c>
      <c r="R150" s="1">
        <f>intermediate_results[[#This Row], [Team1 laps '[laps']]] - intermediate_results[[#This Row], [Team8 laps '[laps']]]</f>
        <v>1.140830569577723</v>
      </c>
      <c r="S150" s="1">
        <f>intermediate_results[[#This Row], [Team1 laps '[laps']]] - intermediate_results[[#This Row], [Team9 laps '[laps']]]</f>
        <v>1.1019902908206589</v>
      </c>
      <c r="T150" s="1">
        <f>MAX(intermediate_results[[#This Row], [Team1 laps '[laps']]:[Team9 laps '[laps']]]) - intermediate_results[[#This Row], [Team1 laps '[laps']]]</f>
        <v>0</v>
      </c>
      <c r="U150" s="1">
        <f>MAX(intermediate_results[[#This Row], [Team1 laps '[laps']]:[Team9 laps '[laps']]]) - intermediate_results[[#This Row], [Team2 laps '[laps']]]</f>
        <v>9.1180678055586384E-2</v>
      </c>
      <c r="V150" s="1">
        <f>MAX(intermediate_results[[#This Row], [Team1 laps '[laps']]:[Team9 laps '[laps']]]) - intermediate_results[[#This Row], [Team3 laps '[laps']]]</f>
        <v>0.30511390439465202</v>
      </c>
      <c r="W150" s="1">
        <f>MAX(intermediate_results[[#This Row], [Team1 laps '[laps']]:[Team9 laps '[laps']]]) - intermediate_results[[#This Row], [Team4 laps '[laps']]]</f>
        <v>0.66375902698593947</v>
      </c>
      <c r="X150" s="1">
        <f>MAX(intermediate_results[[#This Row], [Team1 laps '[laps']]:[Team9 laps '[laps']]]) - intermediate_results[[#This Row], [Team5 laps '[laps']]]</f>
        <v>0.66702687948696493</v>
      </c>
      <c r="Y150" s="1">
        <f>MAX(intermediate_results[[#This Row], [Team1 laps '[laps']]:[Team9 laps '[laps']]]) - intermediate_results[[#This Row], [Team6 laps '[laps']]]</f>
        <v>0.85102047305240092</v>
      </c>
      <c r="Z150" s="1">
        <f>MAX(intermediate_results[[#This Row], [Team1 laps '[laps']]:[Team9 laps '[laps']]]) - intermediate_results[[#This Row], [Team7 laps '[laps']]]</f>
        <v>0.6527280475462014</v>
      </c>
      <c r="AA150" s="1">
        <f>MAX(intermediate_results[[#This Row], [Team1 laps '[laps']]:[Team9 laps '[laps']]]) - intermediate_results[[#This Row], [Team8 laps '[laps']]]</f>
        <v>1.140830569577723</v>
      </c>
      <c r="AB150" s="1">
        <f>MAX(intermediate_results[[#This Row], [Team1 laps '[laps']]:[Team9 laps '[laps']]]) - intermediate_results[[#This Row], [Team9 laps '[laps']]]</f>
        <v>1.1019902908206589</v>
      </c>
      <c r="AC150" s="1">
        <f>9 * intermediate_results[[#This Row], [All cumulative times '[sec']]] / SUM(intermediate_results[[#This Row], [Team1 laps '[laps']]:[Team9 laps '[laps']]])</f>
        <v>54.765785452558632</v>
      </c>
      <c r="AD150" s="1">
        <f>intermediate_results[[#This Row], [All cumulative times '[sec']]] / intermediate_results[[#This Row], [Team1 laps '[laps']]] - intermediate_results[[#This Row], [Total running average '[sec']]]</f>
        <v>-1.885648298684437</v>
      </c>
      <c r="AE150" s="1">
        <f>intermediate_results[[#This Row], [All cumulative times '[sec']]] / intermediate_results[[#This Row], [Team2 laps '[laps']]] - intermediate_results[[#This Row], [Total running average '[sec']]]</f>
        <v>-1.6112635916925839</v>
      </c>
      <c r="AF150" s="1">
        <f>intermediate_results[[#This Row], [All cumulative times '[sec']]] / intermediate_results[[#This Row], [Team3 laps '[laps']]] - intermediate_results[[#This Row], [Total running average '[sec']]]</f>
        <v>-0.95617108442045406</v>
      </c>
      <c r="AG150" s="1">
        <f>intermediate_results[[#This Row], [All cumulative times '[sec']]] / intermediate_results[[#This Row], [Team4 laps '[laps']]] - intermediate_results[[#This Row], [Total running average '[sec']]]</f>
        <v>0.17903807685312501</v>
      </c>
      <c r="AH150" s="1">
        <f>intermediate_results[[#This Row], [All cumulative times '[sec']]] / intermediate_results[[#This Row], [Team5 laps '[laps']]] - intermediate_results[[#This Row], [Total running average '[sec']]]</f>
        <v>0.18960196510122529</v>
      </c>
      <c r="AI150" s="1">
        <f>intermediate_results[[#This Row], [All cumulative times '[sec']]] / intermediate_results[[#This Row], [Team6 laps '[laps']]] - intermediate_results[[#This Row], [Total running average '[sec']]]</f>
        <v>0.79101732550306991</v>
      </c>
      <c r="AJ150" s="1">
        <f>intermediate_results[[#This Row], [All cumulative times '[sec']]] / intermediate_results[[#This Row], [Team7 laps '[laps']]] - intermediate_results[[#This Row], [Total running average '[sec']]]</f>
        <v>0.14340853626822536</v>
      </c>
      <c r="AK150" s="1">
        <f>intermediate_results[[#This Row], [All cumulative times '[sec']]] / intermediate_results[[#This Row], [Team8 laps '[laps']]] - intermediate_results[[#This Row], [Total running average '[sec']]]</f>
        <v>1.7654766906968575</v>
      </c>
      <c r="AL150" s="1">
        <f>intermediate_results[[#This Row], [All cumulative times '[sec']]] / intermediate_results[[#This Row], [Team9 laps '[laps']]] - intermediate_results[[#This Row], [Total running average '[sec']]]</f>
        <v>1.6329008761742188</v>
      </c>
    </row>
    <row r="151" spans="1:38" x14ac:dyDescent="0.25">
      <c r="A151" s="1">
        <v>934.23800000000017</v>
      </c>
      <c r="B151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17.667103762827828</v>
      </c>
      <c r="C151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17.575919211860068</v>
      </c>
      <c r="D151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17.361944215340785</v>
      </c>
      <c r="E151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17.003245974806813</v>
      </c>
      <c r="F151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17</v>
      </c>
      <c r="G151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16.815922287947036</v>
      </c>
      <c r="H151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17.014293924618556</v>
      </c>
      <c r="I151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16.526121027427084</v>
      </c>
      <c r="J151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16.564860686553537</v>
      </c>
      <c r="K151" s="1">
        <f>intermediate_results[[#This Row], [Team1 laps '[laps']]] - intermediate_results[[#This Row], [Team1 laps '[laps']]]</f>
        <v>0</v>
      </c>
      <c r="L151" s="1">
        <f>intermediate_results[[#This Row], [Team1 laps '[laps']]] - intermediate_results[[#This Row], [Team2 laps '[laps']]]</f>
        <v>9.1184550967760458E-2</v>
      </c>
      <c r="M151" s="1">
        <f>intermediate_results[[#This Row], [Team1 laps '[laps']]] - intermediate_results[[#This Row], [Team3 laps '[laps']]]</f>
        <v>0.30515954748704388</v>
      </c>
      <c r="N151" s="1">
        <f>intermediate_results[[#This Row], [Team1 laps '[laps']]] - intermediate_results[[#This Row], [Team4 laps '[laps']]]</f>
        <v>0.66385778802101569</v>
      </c>
      <c r="O151" s="1">
        <f>intermediate_results[[#This Row], [Team1 laps '[laps']]] - intermediate_results[[#This Row], [Team5 laps '[laps']]]</f>
        <v>0.66710376282782846</v>
      </c>
      <c r="P151" s="1">
        <f>intermediate_results[[#This Row], [Team1 laps '[laps']]] - intermediate_results[[#This Row], [Team6 laps '[laps']]]</f>
        <v>0.85118147488079288</v>
      </c>
      <c r="Q151" s="1">
        <f>intermediate_results[[#This Row], [Team1 laps '[laps']]] - intermediate_results[[#This Row], [Team7 laps '[laps']]]</f>
        <v>0.65280983820927219</v>
      </c>
      <c r="R151" s="1">
        <f>intermediate_results[[#This Row], [Team1 laps '[laps']]] - intermediate_results[[#This Row], [Team8 laps '[laps']]]</f>
        <v>1.140982735400744</v>
      </c>
      <c r="S151" s="1">
        <f>intermediate_results[[#This Row], [Team1 laps '[laps']]] - intermediate_results[[#This Row], [Team9 laps '[laps']]]</f>
        <v>1.1022430762742914</v>
      </c>
      <c r="T151" s="1">
        <f>MAX(intermediate_results[[#This Row], [Team1 laps '[laps']]:[Team9 laps '[laps']]]) - intermediate_results[[#This Row], [Team1 laps '[laps']]]</f>
        <v>0</v>
      </c>
      <c r="U151" s="1">
        <f>MAX(intermediate_results[[#This Row], [Team1 laps '[laps']]:[Team9 laps '[laps']]]) - intermediate_results[[#This Row], [Team2 laps '[laps']]]</f>
        <v>9.1184550967760458E-2</v>
      </c>
      <c r="V151" s="1">
        <f>MAX(intermediate_results[[#This Row], [Team1 laps '[laps']]:[Team9 laps '[laps']]]) - intermediate_results[[#This Row], [Team3 laps '[laps']]]</f>
        <v>0.30515954748704388</v>
      </c>
      <c r="W151" s="1">
        <f>MAX(intermediate_results[[#This Row], [Team1 laps '[laps']]:[Team9 laps '[laps']]]) - intermediate_results[[#This Row], [Team4 laps '[laps']]]</f>
        <v>0.66385778802101569</v>
      </c>
      <c r="X151" s="1">
        <f>MAX(intermediate_results[[#This Row], [Team1 laps '[laps']]:[Team9 laps '[laps']]]) - intermediate_results[[#This Row], [Team5 laps '[laps']]]</f>
        <v>0.66710376282782846</v>
      </c>
      <c r="Y151" s="1">
        <f>MAX(intermediate_results[[#This Row], [Team1 laps '[laps']]:[Team9 laps '[laps']]]) - intermediate_results[[#This Row], [Team6 laps '[laps']]]</f>
        <v>0.85118147488079288</v>
      </c>
      <c r="Z151" s="1">
        <f>MAX(intermediate_results[[#This Row], [Team1 laps '[laps']]:[Team9 laps '[laps']]]) - intermediate_results[[#This Row], [Team7 laps '[laps']]]</f>
        <v>0.65280983820927219</v>
      </c>
      <c r="AA151" s="1">
        <f>MAX(intermediate_results[[#This Row], [Team1 laps '[laps']]:[Team9 laps '[laps']]]) - intermediate_results[[#This Row], [Team8 laps '[laps']]]</f>
        <v>1.140982735400744</v>
      </c>
      <c r="AB151" s="1">
        <f>MAX(intermediate_results[[#This Row], [Team1 laps '[laps']]:[Team9 laps '[laps']]]) - intermediate_results[[#This Row], [Team9 laps '[laps']]]</f>
        <v>1.1022430762742914</v>
      </c>
      <c r="AC151" s="1">
        <f>9 * intermediate_results[[#This Row], [All cumulative times '[sec']]] / SUM(intermediate_results[[#This Row], [Team1 laps '[laps']]:[Team9 laps '[laps']]])</f>
        <v>54.765676102251312</v>
      </c>
      <c r="AD151" s="1">
        <f>intermediate_results[[#This Row], [All cumulative times '[sec']]] / intermediate_results[[#This Row], [Team1 laps '[laps']]] - intermediate_results[[#This Row], [Total running average '[sec']]]</f>
        <v>-1.8855881975395121</v>
      </c>
      <c r="AE151" s="1">
        <f>intermediate_results[[#This Row], [All cumulative times '[sec']]] / intermediate_results[[#This Row], [Team2 laps '[laps']]] - intermediate_results[[#This Row], [Total running average '[sec']]]</f>
        <v>-1.611244249288255</v>
      </c>
      <c r="AF151" s="1">
        <f>intermediate_results[[#This Row], [All cumulative times '[sec']]] / intermediate_results[[#This Row], [Team3 laps '[laps']]] - intermediate_results[[#This Row], [Total running average '[sec']]]</f>
        <v>-0.95614944944016855</v>
      </c>
      <c r="AG151" s="1">
        <f>intermediate_results[[#This Row], [All cumulative times '[sec']]] / intermediate_results[[#This Row], [Team4 laps '[laps']]] - intermediate_results[[#This Row], [Total running average '[sec']]]</f>
        <v>0.17900924690095366</v>
      </c>
      <c r="AH151" s="1">
        <f>intermediate_results[[#This Row], [All cumulative times '[sec']]] / intermediate_results[[#This Row], [Team5 laps '[laps']]] - intermediate_results[[#This Row], [Total running average '[sec']]]</f>
        <v>0.18950036833692963</v>
      </c>
      <c r="AI151" s="1">
        <f>intermediate_results[[#This Row], [All cumulative times '[sec']]] / intermediate_results[[#This Row], [Team6 laps '[laps']]] - intermediate_results[[#This Row], [Total running average '[sec']]]</f>
        <v>0.79107445847313329</v>
      </c>
      <c r="AJ151" s="1">
        <f>intermediate_results[[#This Row], [All cumulative times '[sec']]] / intermediate_results[[#This Row], [Team7 laps '[laps']]] - intermediate_results[[#This Row], [Total running average '[sec']]]</f>
        <v>0.14333182597189165</v>
      </c>
      <c r="AK151" s="1">
        <f>intermediate_results[[#This Row], [All cumulative times '[sec']]] / intermediate_results[[#This Row], [Team8 laps '[laps']]] - intermediate_results[[#This Row], [Total running average '[sec']]]</f>
        <v>1.7653149542416102</v>
      </c>
      <c r="AL151" s="1">
        <f>intermediate_results[[#This Row], [All cumulative times '[sec']]] / intermediate_results[[#This Row], [Team9 laps '[laps']]] - intermediate_results[[#This Row], [Total running average '[sec']]]</f>
        <v>1.6331079067421541</v>
      </c>
    </row>
    <row r="152" spans="1:38" x14ac:dyDescent="0.25">
      <c r="A152" s="1">
        <v>944.41399999999999</v>
      </c>
      <c r="B152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17.860490307867735</v>
      </c>
      <c r="C152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17.769081832159603</v>
      </c>
      <c r="D152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17.552691759766063</v>
      </c>
      <c r="E152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17.190922336364142</v>
      </c>
      <c r="F152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17.18825270557765</v>
      </c>
      <c r="G152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17</v>
      </c>
      <c r="H152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17.202951482229928</v>
      </c>
      <c r="I152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16.710709621245105</v>
      </c>
      <c r="J152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16.743631636274202</v>
      </c>
      <c r="K152" s="1">
        <f>intermediate_results[[#This Row], [Team1 laps '[laps']]] - intermediate_results[[#This Row], [Team1 laps '[laps']]]</f>
        <v>0</v>
      </c>
      <c r="L152" s="1">
        <f>intermediate_results[[#This Row], [Team1 laps '[laps']]] - intermediate_results[[#This Row], [Team2 laps '[laps']]]</f>
        <v>9.1408475708131931E-2</v>
      </c>
      <c r="M152" s="1">
        <f>intermediate_results[[#This Row], [Team1 laps '[laps']]] - intermediate_results[[#This Row], [Team3 laps '[laps']]]</f>
        <v>0.30779854810167251</v>
      </c>
      <c r="N152" s="1">
        <f>intermediate_results[[#This Row], [Team1 laps '[laps']]] - intermediate_results[[#This Row], [Team4 laps '[laps']]]</f>
        <v>0.66956797150359293</v>
      </c>
      <c r="O152" s="1">
        <f>intermediate_results[[#This Row], [Team1 laps '[laps']]] - intermediate_results[[#This Row], [Team5 laps '[laps']]]</f>
        <v>0.67223760229008533</v>
      </c>
      <c r="P152" s="1">
        <f>intermediate_results[[#This Row], [Team1 laps '[laps']]] - intermediate_results[[#This Row], [Team6 laps '[laps']]]</f>
        <v>0.86049030786773528</v>
      </c>
      <c r="Q152" s="1">
        <f>intermediate_results[[#This Row], [Team1 laps '[laps']]] - intermediate_results[[#This Row], [Team7 laps '[laps']]]</f>
        <v>0.65753882563780763</v>
      </c>
      <c r="R152" s="1">
        <f>intermediate_results[[#This Row], [Team1 laps '[laps']]] - intermediate_results[[#This Row], [Team8 laps '[laps']]]</f>
        <v>1.1497806866226306</v>
      </c>
      <c r="S152" s="1">
        <f>intermediate_results[[#This Row], [Team1 laps '[laps']]] - intermediate_results[[#This Row], [Team9 laps '[laps']]]</f>
        <v>1.1168586715935334</v>
      </c>
      <c r="T152" s="1">
        <f>MAX(intermediate_results[[#This Row], [Team1 laps '[laps']]:[Team9 laps '[laps']]]) - intermediate_results[[#This Row], [Team1 laps '[laps']]]</f>
        <v>0</v>
      </c>
      <c r="U152" s="1">
        <f>MAX(intermediate_results[[#This Row], [Team1 laps '[laps']]:[Team9 laps '[laps']]]) - intermediate_results[[#This Row], [Team2 laps '[laps']]]</f>
        <v>9.1408475708131931E-2</v>
      </c>
      <c r="V152" s="1">
        <f>MAX(intermediate_results[[#This Row], [Team1 laps '[laps']]:[Team9 laps '[laps']]]) - intermediate_results[[#This Row], [Team3 laps '[laps']]]</f>
        <v>0.30779854810167251</v>
      </c>
      <c r="W152" s="1">
        <f>MAX(intermediate_results[[#This Row], [Team1 laps '[laps']]:[Team9 laps '[laps']]]) - intermediate_results[[#This Row], [Team4 laps '[laps']]]</f>
        <v>0.66956797150359293</v>
      </c>
      <c r="X152" s="1">
        <f>MAX(intermediate_results[[#This Row], [Team1 laps '[laps']]:[Team9 laps '[laps']]]) - intermediate_results[[#This Row], [Team5 laps '[laps']]]</f>
        <v>0.67223760229008533</v>
      </c>
      <c r="Y152" s="1">
        <f>MAX(intermediate_results[[#This Row], [Team1 laps '[laps']]:[Team9 laps '[laps']]]) - intermediate_results[[#This Row], [Team6 laps '[laps']]]</f>
        <v>0.86049030786773528</v>
      </c>
      <c r="Z152" s="1">
        <f>MAX(intermediate_results[[#This Row], [Team1 laps '[laps']]:[Team9 laps '[laps']]]) - intermediate_results[[#This Row], [Team7 laps '[laps']]]</f>
        <v>0.65753882563780763</v>
      </c>
      <c r="AA152" s="1">
        <f>MAX(intermediate_results[[#This Row], [Team1 laps '[laps']]:[Team9 laps '[laps']]]) - intermediate_results[[#This Row], [Team8 laps '[laps']]]</f>
        <v>1.1497806866226306</v>
      </c>
      <c r="AB152" s="1">
        <f>MAX(intermediate_results[[#This Row], [Team1 laps '[laps']]:[Team9 laps '[laps']]]) - intermediate_results[[#This Row], [Team9 laps '[laps']]]</f>
        <v>1.1168586715935334</v>
      </c>
      <c r="AC152" s="1">
        <f>9 * intermediate_results[[#This Row], [All cumulative times '[sec']]] / SUM(intermediate_results[[#This Row], [Team1 laps '[laps']]:[Team9 laps '[laps']]])</f>
        <v>54.759666619630721</v>
      </c>
      <c r="AD152" s="1">
        <f>intermediate_results[[#This Row], [All cumulative times '[sec']]] / intermediate_results[[#This Row], [Team1 laps '[laps']]] - intermediate_results[[#This Row], [Total running average '[sec']]]</f>
        <v>-1.8823948470872978</v>
      </c>
      <c r="AE152" s="1">
        <f>intermediate_results[[#This Row], [All cumulative times '[sec']]] / intermediate_results[[#This Row], [Team2 laps '[laps']]] - intermediate_results[[#This Row], [Total running average '[sec']]]</f>
        <v>-1.610381309303655</v>
      </c>
      <c r="AF152" s="1">
        <f>intermediate_results[[#This Row], [All cumulative times '[sec']]] / intermediate_results[[#This Row], [Team3 laps '[laps']]] - intermediate_results[[#This Row], [Total running average '[sec']]]</f>
        <v>-0.955155441193277</v>
      </c>
      <c r="AG152" s="1">
        <f>intermediate_results[[#This Row], [All cumulative times '[sec']]] / intermediate_results[[#This Row], [Team4 laps '[laps']]] - intermediate_results[[#This Row], [Total running average '[sec']]]</f>
        <v>0.17711812764667911</v>
      </c>
      <c r="AH152" s="1">
        <f>intermediate_results[[#This Row], [All cumulative times '[sec']]] / intermediate_results[[#This Row], [Team5 laps '[laps']]] - intermediate_results[[#This Row], [Total running average '[sec']]]</f>
        <v>0.18565075364330852</v>
      </c>
      <c r="AI152" s="1">
        <f>intermediate_results[[#This Row], [All cumulative times '[sec']]] / intermediate_results[[#This Row], [Team6 laps '[laps']]] - intermediate_results[[#This Row], [Total running average '[sec']]]</f>
        <v>0.79409808625162981</v>
      </c>
      <c r="AJ152" s="1">
        <f>intermediate_results[[#This Row], [All cumulative times '[sec']]] / intermediate_results[[#This Row], [Team7 laps '[laps']]] - intermediate_results[[#This Row], [Total running average '[sec']]]</f>
        <v>0.13870363826066523</v>
      </c>
      <c r="AK152" s="1">
        <f>intermediate_results[[#This Row], [All cumulative times '[sec']]] / intermediate_results[[#This Row], [Team8 laps '[laps']]] - intermediate_results[[#This Row], [Total running average '[sec']]]</f>
        <v>1.7558268217323203</v>
      </c>
      <c r="AL152" s="1">
        <f>intermediate_results[[#This Row], [All cumulative times '[sec']]] / intermediate_results[[#This Row], [Team9 laps '[laps']]] - intermediate_results[[#This Row], [Total running average '[sec']]]</f>
        <v>1.6447037413354408</v>
      </c>
    </row>
    <row r="153" spans="1:38" x14ac:dyDescent="0.25">
      <c r="A153" s="1">
        <v>951.75499999999977</v>
      </c>
      <c r="B153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18</v>
      </c>
      <c r="C153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17.90842998424479</v>
      </c>
      <c r="D153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17.690297668141259</v>
      </c>
      <c r="E153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17.326312683277695</v>
      </c>
      <c r="F153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17.324058828970486</v>
      </c>
      <c r="G153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17.13187109290795</v>
      </c>
      <c r="H153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17.339049667216671</v>
      </c>
      <c r="I153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16.843872442316062</v>
      </c>
      <c r="J153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16.87259758968413</v>
      </c>
      <c r="K153" s="1">
        <f>intermediate_results[[#This Row], [Team1 laps '[laps']]] - intermediate_results[[#This Row], [Team1 laps '[laps']]]</f>
        <v>0</v>
      </c>
      <c r="L153" s="1">
        <f>intermediate_results[[#This Row], [Team1 laps '[laps']]] - intermediate_results[[#This Row], [Team2 laps '[laps']]]</f>
        <v>9.1570015755209511E-2</v>
      </c>
      <c r="M153" s="1">
        <f>intermediate_results[[#This Row], [Team1 laps '[laps']]] - intermediate_results[[#This Row], [Team3 laps '[laps']]]</f>
        <v>0.30970233185874108</v>
      </c>
      <c r="N153" s="1">
        <f>intermediate_results[[#This Row], [Team1 laps '[laps']]] - intermediate_results[[#This Row], [Team4 laps '[laps']]]</f>
        <v>0.67368731672230453</v>
      </c>
      <c r="O153" s="1">
        <f>intermediate_results[[#This Row], [Team1 laps '[laps']]] - intermediate_results[[#This Row], [Team5 laps '[laps']]]</f>
        <v>0.67594117102951401</v>
      </c>
      <c r="P153" s="1">
        <f>intermediate_results[[#This Row], [Team1 laps '[laps']]] - intermediate_results[[#This Row], [Team6 laps '[laps']]]</f>
        <v>0.86812890709204993</v>
      </c>
      <c r="Q153" s="1">
        <f>intermediate_results[[#This Row], [Team1 laps '[laps']]] - intermediate_results[[#This Row], [Team7 laps '[laps']]]</f>
        <v>0.66095033278332949</v>
      </c>
      <c r="R153" s="1">
        <f>intermediate_results[[#This Row], [Team1 laps '[laps']]] - intermediate_results[[#This Row], [Team8 laps '[laps']]]</f>
        <v>1.1561275576839378</v>
      </c>
      <c r="S153" s="1">
        <f>intermediate_results[[#This Row], [Team1 laps '[laps']]] - intermediate_results[[#This Row], [Team9 laps '[laps']]]</f>
        <v>1.1274024103158702</v>
      </c>
      <c r="T153" s="1">
        <f>MAX(intermediate_results[[#This Row], [Team1 laps '[laps']]:[Team9 laps '[laps']]]) - intermediate_results[[#This Row], [Team1 laps '[laps']]]</f>
        <v>0</v>
      </c>
      <c r="U153" s="1">
        <f>MAX(intermediate_results[[#This Row], [Team1 laps '[laps']]:[Team9 laps '[laps']]]) - intermediate_results[[#This Row], [Team2 laps '[laps']]]</f>
        <v>9.1570015755209511E-2</v>
      </c>
      <c r="V153" s="1">
        <f>MAX(intermediate_results[[#This Row], [Team1 laps '[laps']]:[Team9 laps '[laps']]]) - intermediate_results[[#This Row], [Team3 laps '[laps']]]</f>
        <v>0.30970233185874108</v>
      </c>
      <c r="W153" s="1">
        <f>MAX(intermediate_results[[#This Row], [Team1 laps '[laps']]:[Team9 laps '[laps']]]) - intermediate_results[[#This Row], [Team4 laps '[laps']]]</f>
        <v>0.67368731672230453</v>
      </c>
      <c r="X153" s="1">
        <f>MAX(intermediate_results[[#This Row], [Team1 laps '[laps']]:[Team9 laps '[laps']]]) - intermediate_results[[#This Row], [Team5 laps '[laps']]]</f>
        <v>0.67594117102951401</v>
      </c>
      <c r="Y153" s="1">
        <f>MAX(intermediate_results[[#This Row], [Team1 laps '[laps']]:[Team9 laps '[laps']]]) - intermediate_results[[#This Row], [Team6 laps '[laps']]]</f>
        <v>0.86812890709204993</v>
      </c>
      <c r="Z153" s="1">
        <f>MAX(intermediate_results[[#This Row], [Team1 laps '[laps']]:[Team9 laps '[laps']]]) - intermediate_results[[#This Row], [Team7 laps '[laps']]]</f>
        <v>0.66095033278332949</v>
      </c>
      <c r="AA153" s="1">
        <f>MAX(intermediate_results[[#This Row], [Team1 laps '[laps']]:[Team9 laps '[laps']]]) - intermediate_results[[#This Row], [Team8 laps '[laps']]]</f>
        <v>1.1561275576839378</v>
      </c>
      <c r="AB153" s="1">
        <f>MAX(intermediate_results[[#This Row], [Team1 laps '[laps']]:[Team9 laps '[laps']]]) - intermediate_results[[#This Row], [Team9 laps '[laps']]]</f>
        <v>1.1274024103158702</v>
      </c>
      <c r="AC153" s="1">
        <f>9 * intermediate_results[[#This Row], [All cumulative times '[sec']]] / SUM(intermediate_results[[#This Row], [Team1 laps '[laps']]:[Team9 laps '[laps']]])</f>
        <v>54.755735074135764</v>
      </c>
      <c r="AD153" s="1">
        <f>intermediate_results[[#This Row], [All cumulative times '[sec']]] / intermediate_results[[#This Row], [Team1 laps '[laps']]] - intermediate_results[[#This Row], [Total running average '[sec']]]</f>
        <v>-1.8804572963579957</v>
      </c>
      <c r="AE153" s="1">
        <f>intermediate_results[[#This Row], [All cumulative times '[sec']]] / intermediate_results[[#This Row], [Team2 laps '[laps']]] - intermediate_results[[#This Row], [Total running average '[sec']]]</f>
        <v>-1.6100935613219391</v>
      </c>
      <c r="AF153" s="1">
        <f>intermediate_results[[#This Row], [All cumulative times '[sec']]] / intermediate_results[[#This Row], [Team3 laps '[laps']]] - intermediate_results[[#This Row], [Total running average '[sec']]]</f>
        <v>-0.95477491765232259</v>
      </c>
      <c r="AG153" s="1">
        <f>intermediate_results[[#This Row], [All cumulative times '[sec']]] / intermediate_results[[#This Row], [Team4 laps '[laps']]] - intermediate_results[[#This Row], [Total running average '[sec']]]</f>
        <v>0.17545642621017521</v>
      </c>
      <c r="AH153" s="1">
        <f>intermediate_results[[#This Row], [All cumulative times '[sec']]] / intermediate_results[[#This Row], [Team5 laps '[laps']]] - intermediate_results[[#This Row], [Total running average '[sec']]]</f>
        <v>0.18260295600353516</v>
      </c>
      <c r="AI153" s="1">
        <f>intermediate_results[[#This Row], [All cumulative times '[sec']]] / intermediate_results[[#This Row], [Team6 laps '[laps']]] - intermediate_results[[#This Row], [Total running average '[sec']]]</f>
        <v>0.79890894802221624</v>
      </c>
      <c r="AJ153" s="1">
        <f>intermediate_results[[#This Row], [All cumulative times '[sec']]] / intermediate_results[[#This Row], [Team7 laps '[laps']]] - intermediate_results[[#This Row], [Total running average '[sec']]]</f>
        <v>0.13510486615832917</v>
      </c>
      <c r="AK153" s="1">
        <f>intermediate_results[[#This Row], [All cumulative times '[sec']]] / intermediate_results[[#This Row], [Team8 laps '[laps']]] - intermediate_results[[#This Row], [Total running average '[sec']]]</f>
        <v>1.7487892423124407</v>
      </c>
      <c r="AL153" s="1">
        <f>intermediate_results[[#This Row], [All cumulative times '[sec']]] / intermediate_results[[#This Row], [Team9 laps '[laps']]] - intermediate_results[[#This Row], [Total running average '[sec']]]</f>
        <v>1.6525917967605537</v>
      </c>
    </row>
    <row r="154" spans="1:38" x14ac:dyDescent="0.25">
      <c r="A154" s="1">
        <v>956.57899999999995</v>
      </c>
      <c r="B154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18.091854221409807</v>
      </c>
      <c r="C154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18</v>
      </c>
      <c r="D154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17.780722801229661</v>
      </c>
      <c r="E154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17.41528190184615</v>
      </c>
      <c r="F154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17.413301267227819</v>
      </c>
      <c r="G154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17.218527699935329</v>
      </c>
      <c r="H154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17.42848402825414</v>
      </c>
      <c r="I154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16.931377884196781</v>
      </c>
      <c r="J154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16.95734513896209</v>
      </c>
      <c r="K154" s="1">
        <f>intermediate_results[[#This Row], [Team1 laps '[laps']]] - intermediate_results[[#This Row], [Team1 laps '[laps']]]</f>
        <v>0</v>
      </c>
      <c r="L154" s="1">
        <f>intermediate_results[[#This Row], [Team1 laps '[laps']]] - intermediate_results[[#This Row], [Team2 laps '[laps']]]</f>
        <v>9.1854221409807479E-2</v>
      </c>
      <c r="M154" s="1">
        <f>intermediate_results[[#This Row], [Team1 laps '[laps']]] - intermediate_results[[#This Row], [Team3 laps '[laps']]]</f>
        <v>0.31113142018014628</v>
      </c>
      <c r="N154" s="1">
        <f>intermediate_results[[#This Row], [Team1 laps '[laps']]] - intermediate_results[[#This Row], [Team4 laps '[laps']]]</f>
        <v>0.67657231956365749</v>
      </c>
      <c r="O154" s="1">
        <f>intermediate_results[[#This Row], [Team1 laps '[laps']]] - intermediate_results[[#This Row], [Team5 laps '[laps']]]</f>
        <v>0.67855295418198835</v>
      </c>
      <c r="P154" s="1">
        <f>intermediate_results[[#This Row], [Team1 laps '[laps']]] - intermediate_results[[#This Row], [Team6 laps '[laps']]]</f>
        <v>0.87332652147447831</v>
      </c>
      <c r="Q154" s="1">
        <f>intermediate_results[[#This Row], [Team1 laps '[laps']]] - intermediate_results[[#This Row], [Team7 laps '[laps']]]</f>
        <v>0.66337019315566792</v>
      </c>
      <c r="R154" s="1">
        <f>intermediate_results[[#This Row], [Team1 laps '[laps']]] - intermediate_results[[#This Row], [Team8 laps '[laps']]]</f>
        <v>1.1604763372130265</v>
      </c>
      <c r="S154" s="1">
        <f>intermediate_results[[#This Row], [Team1 laps '[laps']]] - intermediate_results[[#This Row], [Team9 laps '[laps']]]</f>
        <v>1.1345090824477175</v>
      </c>
      <c r="T154" s="1">
        <f>MAX(intermediate_results[[#This Row], [Team1 laps '[laps']]:[Team9 laps '[laps']]]) - intermediate_results[[#This Row], [Team1 laps '[laps']]]</f>
        <v>0</v>
      </c>
      <c r="U154" s="1">
        <f>MAX(intermediate_results[[#This Row], [Team1 laps '[laps']]:[Team9 laps '[laps']]]) - intermediate_results[[#This Row], [Team2 laps '[laps']]]</f>
        <v>9.1854221409807479E-2</v>
      </c>
      <c r="V154" s="1">
        <f>MAX(intermediate_results[[#This Row], [Team1 laps '[laps']]:[Team9 laps '[laps']]]) - intermediate_results[[#This Row], [Team3 laps '[laps']]]</f>
        <v>0.31113142018014628</v>
      </c>
      <c r="W154" s="1">
        <f>MAX(intermediate_results[[#This Row], [Team1 laps '[laps']]:[Team9 laps '[laps']]]) - intermediate_results[[#This Row], [Team4 laps '[laps']]]</f>
        <v>0.67657231956365749</v>
      </c>
      <c r="X154" s="1">
        <f>MAX(intermediate_results[[#This Row], [Team1 laps '[laps']]:[Team9 laps '[laps']]]) - intermediate_results[[#This Row], [Team5 laps '[laps']]]</f>
        <v>0.67855295418198835</v>
      </c>
      <c r="Y154" s="1">
        <f>MAX(intermediate_results[[#This Row], [Team1 laps '[laps']]:[Team9 laps '[laps']]]) - intermediate_results[[#This Row], [Team6 laps '[laps']]]</f>
        <v>0.87332652147447831</v>
      </c>
      <c r="Z154" s="1">
        <f>MAX(intermediate_results[[#This Row], [Team1 laps '[laps']]:[Team9 laps '[laps']]]) - intermediate_results[[#This Row], [Team7 laps '[laps']]]</f>
        <v>0.66337019315566792</v>
      </c>
      <c r="AA154" s="1">
        <f>MAX(intermediate_results[[#This Row], [Team1 laps '[laps']]:[Team9 laps '[laps']]]) - intermediate_results[[#This Row], [Team8 laps '[laps']]]</f>
        <v>1.1604763372130265</v>
      </c>
      <c r="AB154" s="1">
        <f>MAX(intermediate_results[[#This Row], [Team1 laps '[laps']]:[Team9 laps '[laps']]]) - intermediate_results[[#This Row], [Team9 laps '[laps']]]</f>
        <v>1.1345090824477175</v>
      </c>
      <c r="AC154" s="1">
        <f>9 * intermediate_results[[#This Row], [All cumulative times '[sec']]] / SUM(intermediate_results[[#This Row], [Team1 laps '[laps']]:[Team9 laps '[laps']]])</f>
        <v>54.753122688651054</v>
      </c>
      <c r="AD154" s="1">
        <f>intermediate_results[[#This Row], [All cumulative times '[sec']]] / intermediate_results[[#This Row], [Team1 laps '[laps']]] - intermediate_results[[#This Row], [Total running average '[sec']]]</f>
        <v>-1.8796588472284697</v>
      </c>
      <c r="AE154" s="1">
        <f>intermediate_results[[#This Row], [All cumulative times '[sec']]] / intermediate_results[[#This Row], [Team2 laps '[laps']]] - intermediate_results[[#This Row], [Total running average '[sec']]]</f>
        <v>-1.609844910873278</v>
      </c>
      <c r="AF154" s="1">
        <f>intermediate_results[[#This Row], [All cumulative times '[sec']]] / intermediate_results[[#This Row], [Team3 laps '[laps']]] - intermediate_results[[#This Row], [Total running average '[sec']]]</f>
        <v>-0.95446609332716292</v>
      </c>
      <c r="AG154" s="1">
        <f>intermediate_results[[#This Row], [All cumulative times '[sec']]] / intermediate_results[[#This Row], [Team4 laps '[laps']]] - intermediate_results[[#This Row], [Total running average '[sec']]]</f>
        <v>0.17444066584138085</v>
      </c>
      <c r="AH154" s="1">
        <f>intermediate_results[[#This Row], [All cumulative times '[sec']]] / intermediate_results[[#This Row], [Team5 laps '[laps']]] - intermediate_results[[#This Row], [Total running average '[sec']]]</f>
        <v>0.18068827115245512</v>
      </c>
      <c r="AI154" s="1">
        <f>intermediate_results[[#This Row], [All cumulative times '[sec']]] / intermediate_results[[#This Row], [Team6 laps '[laps']]] - intermediate_results[[#This Row], [Total running average '[sec']]]</f>
        <v>0.80209182621090491</v>
      </c>
      <c r="AJ154" s="1">
        <f>intermediate_results[[#This Row], [All cumulative times '[sec']]] / intermediate_results[[#This Row], [Team7 laps '[laps']]] - intermediate_results[[#This Row], [Total running average '[sec']]]</f>
        <v>0.13283287978762814</v>
      </c>
      <c r="AK154" s="1">
        <f>intermediate_results[[#This Row], [All cumulative times '[sec']]] / intermediate_results[[#This Row], [Team8 laps '[laps']]] - intermediate_results[[#This Row], [Total running average '[sec']]]</f>
        <v>1.7442874183456638</v>
      </c>
      <c r="AL154" s="1">
        <f>intermediate_results[[#This Row], [All cumulative times '[sec']]] / intermediate_results[[#This Row], [Team9 laps '[laps']]] - intermediate_results[[#This Row], [Total running average '[sec']]]</f>
        <v>1.6577713611559304</v>
      </c>
    </row>
    <row r="155" spans="1:38" x14ac:dyDescent="0.25">
      <c r="A155" s="1">
        <v>959.00699999999983</v>
      </c>
      <c r="B155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18.138085989565482</v>
      </c>
      <c r="C155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18.045465610546223</v>
      </c>
      <c r="D155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17.826235285296541</v>
      </c>
      <c r="E155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17.460061599749174</v>
      </c>
      <c r="F155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17.458218481176573</v>
      </c>
      <c r="G155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17.262143421714448</v>
      </c>
      <c r="H155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17.473497840152763</v>
      </c>
      <c r="I155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16.975420838775214</v>
      </c>
      <c r="J155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17</v>
      </c>
      <c r="K155" s="1">
        <f>intermediate_results[[#This Row], [Team1 laps '[laps']]] - intermediate_results[[#This Row], [Team1 laps '[laps']]]</f>
        <v>0</v>
      </c>
      <c r="L155" s="1">
        <f>intermediate_results[[#This Row], [Team1 laps '[laps']]] - intermediate_results[[#This Row], [Team2 laps '[laps']]]</f>
        <v>9.2620379019258792E-2</v>
      </c>
      <c r="M155" s="1">
        <f>intermediate_results[[#This Row], [Team1 laps '[laps']]] - intermediate_results[[#This Row], [Team3 laps '[laps']]]</f>
        <v>0.31185070426894157</v>
      </c>
      <c r="N155" s="1">
        <f>intermediate_results[[#This Row], [Team1 laps '[laps']]] - intermediate_results[[#This Row], [Team4 laps '[laps']]]</f>
        <v>0.67802438981630786</v>
      </c>
      <c r="O155" s="1">
        <f>intermediate_results[[#This Row], [Team1 laps '[laps']]] - intermediate_results[[#This Row], [Team5 laps '[laps']]]</f>
        <v>0.67986750838890941</v>
      </c>
      <c r="P155" s="1">
        <f>intermediate_results[[#This Row], [Team1 laps '[laps']]] - intermediate_results[[#This Row], [Team6 laps '[laps']]]</f>
        <v>0.87594256785103397</v>
      </c>
      <c r="Q155" s="1">
        <f>intermediate_results[[#This Row], [Team1 laps '[laps']]] - intermediate_results[[#This Row], [Team7 laps '[laps']]]</f>
        <v>0.66458814941271882</v>
      </c>
      <c r="R155" s="1">
        <f>intermediate_results[[#This Row], [Team1 laps '[laps']]] - intermediate_results[[#This Row], [Team8 laps '[laps']]]</f>
        <v>1.1626651507902679</v>
      </c>
      <c r="S155" s="1">
        <f>intermediate_results[[#This Row], [Team1 laps '[laps']]] - intermediate_results[[#This Row], [Team9 laps '[laps']]]</f>
        <v>1.1380859895654822</v>
      </c>
      <c r="T155" s="1">
        <f>MAX(intermediate_results[[#This Row], [Team1 laps '[laps']]:[Team9 laps '[laps']]]) - intermediate_results[[#This Row], [Team1 laps '[laps']]]</f>
        <v>0</v>
      </c>
      <c r="U155" s="1">
        <f>MAX(intermediate_results[[#This Row], [Team1 laps '[laps']]:[Team9 laps '[laps']]]) - intermediate_results[[#This Row], [Team2 laps '[laps']]]</f>
        <v>9.2620379019258792E-2</v>
      </c>
      <c r="V155" s="1">
        <f>MAX(intermediate_results[[#This Row], [Team1 laps '[laps']]:[Team9 laps '[laps']]]) - intermediate_results[[#This Row], [Team3 laps '[laps']]]</f>
        <v>0.31185070426894157</v>
      </c>
      <c r="W155" s="1">
        <f>MAX(intermediate_results[[#This Row], [Team1 laps '[laps']]:[Team9 laps '[laps']]]) - intermediate_results[[#This Row], [Team4 laps '[laps']]]</f>
        <v>0.67802438981630786</v>
      </c>
      <c r="X155" s="1">
        <f>MAX(intermediate_results[[#This Row], [Team1 laps '[laps']]:[Team9 laps '[laps']]]) - intermediate_results[[#This Row], [Team5 laps '[laps']]]</f>
        <v>0.67986750838890941</v>
      </c>
      <c r="Y155" s="1">
        <f>MAX(intermediate_results[[#This Row], [Team1 laps '[laps']]:[Team9 laps '[laps']]]) - intermediate_results[[#This Row], [Team6 laps '[laps']]]</f>
        <v>0.87594256785103397</v>
      </c>
      <c r="Z155" s="1">
        <f>MAX(intermediate_results[[#This Row], [Team1 laps '[laps']]:[Team9 laps '[laps']]]) - intermediate_results[[#This Row], [Team7 laps '[laps']]]</f>
        <v>0.66458814941271882</v>
      </c>
      <c r="AA155" s="1">
        <f>MAX(intermediate_results[[#This Row], [Team1 laps '[laps']]:[Team9 laps '[laps']]]) - intermediate_results[[#This Row], [Team8 laps '[laps']]]</f>
        <v>1.1626651507902679</v>
      </c>
      <c r="AB155" s="1">
        <f>MAX(intermediate_results[[#This Row], [Team1 laps '[laps']]:[Team9 laps '[laps']]]) - intermediate_results[[#This Row], [Team9 laps '[laps']]]</f>
        <v>1.1380859895654822</v>
      </c>
      <c r="AC155" s="1">
        <f>9 * intermediate_results[[#This Row], [All cumulative times '[sec']]] / SUM(intermediate_results[[#This Row], [Team1 laps '[laps']]:[Team9 laps '[laps']]])</f>
        <v>54.752034289233492</v>
      </c>
      <c r="AD155" s="1">
        <f>intermediate_results[[#This Row], [All cumulative times '[sec']]] / intermediate_results[[#This Row], [Team1 laps '[laps']]] - intermediate_results[[#This Row], [Total running average '[sec']]]</f>
        <v>-1.8794764817724712</v>
      </c>
      <c r="AE155" s="1">
        <f>intermediate_results[[#This Row], [All cumulative times '[sec']]] / intermediate_results[[#This Row], [Team2 laps '[laps']]] - intermediate_results[[#This Row], [Total running average '[sec']]]</f>
        <v>-1.6081021404541289</v>
      </c>
      <c r="AF155" s="1">
        <f>intermediate_results[[#This Row], [All cumulative times '[sec']]] / intermediate_results[[#This Row], [Team3 laps '[laps']]] - intermediate_results[[#This Row], [Total running average '[sec']]]</f>
        <v>-0.95452827342266744</v>
      </c>
      <c r="AG155" s="1">
        <f>intermediate_results[[#This Row], [All cumulative times '[sec']]] / intermediate_results[[#This Row], [Team4 laps '[laps']]] - intermediate_results[[#This Row], [Total running average '[sec']]]</f>
        <v>0.1737169471640172</v>
      </c>
      <c r="AH155" s="1">
        <f>intermediate_results[[#This Row], [All cumulative times '[sec']]] / intermediate_results[[#This Row], [Team5 laps '[laps']]] - intermediate_results[[#This Row], [Total running average '[sec']]]</f>
        <v>0.17951563002085891</v>
      </c>
      <c r="AI155" s="1">
        <f>intermediate_results[[#This Row], [All cumulative times '[sec']]] / intermediate_results[[#This Row], [Team6 laps '[laps']]] - intermediate_results[[#This Row], [Total running average '[sec']]]</f>
        <v>0.80346519721167198</v>
      </c>
      <c r="AJ155" s="1">
        <f>intermediate_results[[#This Row], [All cumulative times '[sec']]] / intermediate_results[[#This Row], [Team7 laps '[laps']]] - intermediate_results[[#This Row], [Total running average '[sec']]]</f>
        <v>0.1314818088584957</v>
      </c>
      <c r="AK155" s="1">
        <f>intermediate_results[[#This Row], [All cumulative times '[sec']]] / intermediate_results[[#This Row], [Team8 laps '[laps']]] - intermediate_results[[#This Row], [Total running average '[sec']]]</f>
        <v>1.741822865072713</v>
      </c>
      <c r="AL155" s="1">
        <f>intermediate_results[[#This Row], [All cumulative times '[sec']]] / intermediate_results[[#This Row], [Team9 laps '[laps']]] - intermediate_results[[#This Row], [Total running average '[sec']]]</f>
        <v>1.6601421813547361</v>
      </c>
    </row>
    <row r="156" spans="1:38" x14ac:dyDescent="0.25">
      <c r="A156" s="1">
        <v>960.36199999999985</v>
      </c>
      <c r="B156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18.163886667428311</v>
      </c>
      <c r="C156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18.070838716926012</v>
      </c>
      <c r="D156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17.851634550498609</v>
      </c>
      <c r="E156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17.485051917153868</v>
      </c>
      <c r="F156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17.483285542503001</v>
      </c>
      <c r="G156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17.286484156068116</v>
      </c>
      <c r="H156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17.498618810137376</v>
      </c>
      <c r="I156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17</v>
      </c>
      <c r="J156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17.024173118778322</v>
      </c>
      <c r="K156" s="1">
        <f>intermediate_results[[#This Row], [Team1 laps '[laps']]] - intermediate_results[[#This Row], [Team1 laps '[laps']]]</f>
        <v>0</v>
      </c>
      <c r="L156" s="1">
        <f>intermediate_results[[#This Row], [Team1 laps '[laps']]] - intermediate_results[[#This Row], [Team2 laps '[laps']]]</f>
        <v>9.3047950502299415E-2</v>
      </c>
      <c r="M156" s="1">
        <f>intermediate_results[[#This Row], [Team1 laps '[laps']]] - intermediate_results[[#This Row], [Team3 laps '[laps']]]</f>
        <v>0.31225211692970234</v>
      </c>
      <c r="N156" s="1">
        <f>intermediate_results[[#This Row], [Team1 laps '[laps']]] - intermediate_results[[#This Row], [Team4 laps '[laps']]]</f>
        <v>0.67883475027444362</v>
      </c>
      <c r="O156" s="1">
        <f>intermediate_results[[#This Row], [Team1 laps '[laps']]] - intermediate_results[[#This Row], [Team5 laps '[laps']]]</f>
        <v>0.68060112492531033</v>
      </c>
      <c r="P156" s="1">
        <f>intermediate_results[[#This Row], [Team1 laps '[laps']]] - intermediate_results[[#This Row], [Team6 laps '[laps']]]</f>
        <v>0.87740251136019509</v>
      </c>
      <c r="Q156" s="1">
        <f>intermediate_results[[#This Row], [Team1 laps '[laps']]] - intermediate_results[[#This Row], [Team7 laps '[laps']]]</f>
        <v>0.66526785729093518</v>
      </c>
      <c r="R156" s="1">
        <f>intermediate_results[[#This Row], [Team1 laps '[laps']]] - intermediate_results[[#This Row], [Team8 laps '[laps']]]</f>
        <v>1.1638866674283115</v>
      </c>
      <c r="S156" s="1">
        <f>intermediate_results[[#This Row], [Team1 laps '[laps']]] - intermediate_results[[#This Row], [Team9 laps '[laps']]]</f>
        <v>1.1397135486499899</v>
      </c>
      <c r="T156" s="1">
        <f>MAX(intermediate_results[[#This Row], [Team1 laps '[laps']]:[Team9 laps '[laps']]]) - intermediate_results[[#This Row], [Team1 laps '[laps']]]</f>
        <v>0</v>
      </c>
      <c r="U156" s="1">
        <f>MAX(intermediate_results[[#This Row], [Team1 laps '[laps']]:[Team9 laps '[laps']]]) - intermediate_results[[#This Row], [Team2 laps '[laps']]]</f>
        <v>9.3047950502299415E-2</v>
      </c>
      <c r="V156" s="1">
        <f>MAX(intermediate_results[[#This Row], [Team1 laps '[laps']]:[Team9 laps '[laps']]]) - intermediate_results[[#This Row], [Team3 laps '[laps']]]</f>
        <v>0.31225211692970234</v>
      </c>
      <c r="W156" s="1">
        <f>MAX(intermediate_results[[#This Row], [Team1 laps '[laps']]:[Team9 laps '[laps']]]) - intermediate_results[[#This Row], [Team4 laps '[laps']]]</f>
        <v>0.67883475027444362</v>
      </c>
      <c r="X156" s="1">
        <f>MAX(intermediate_results[[#This Row], [Team1 laps '[laps']]:[Team9 laps '[laps']]]) - intermediate_results[[#This Row], [Team5 laps '[laps']]]</f>
        <v>0.68060112492531033</v>
      </c>
      <c r="Y156" s="1">
        <f>MAX(intermediate_results[[#This Row], [Team1 laps '[laps']]:[Team9 laps '[laps']]]) - intermediate_results[[#This Row], [Team6 laps '[laps']]]</f>
        <v>0.87740251136019509</v>
      </c>
      <c r="Z156" s="1">
        <f>MAX(intermediate_results[[#This Row], [Team1 laps '[laps']]:[Team9 laps '[laps']]]) - intermediate_results[[#This Row], [Team7 laps '[laps']]]</f>
        <v>0.66526785729093518</v>
      </c>
      <c r="AA156" s="1">
        <f>MAX(intermediate_results[[#This Row], [Team1 laps '[laps']]:[Team9 laps '[laps']]]) - intermediate_results[[#This Row], [Team8 laps '[laps']]]</f>
        <v>1.1638866674283115</v>
      </c>
      <c r="AB156" s="1">
        <f>MAX(intermediate_results[[#This Row], [Team1 laps '[laps']]:[Team9 laps '[laps']]]) - intermediate_results[[#This Row], [Team9 laps '[laps']]]</f>
        <v>1.1397135486499899</v>
      </c>
      <c r="AC156" s="1">
        <f>9 * intermediate_results[[#This Row], [All cumulative times '[sec']]] / SUM(intermediate_results[[#This Row], [Team1 laps '[laps']]:[Team9 laps '[laps']]])</f>
        <v>54.751301449553019</v>
      </c>
      <c r="AD156" s="1">
        <f>intermediate_results[[#This Row], [All cumulative times '[sec']]] / intermediate_results[[#This Row], [Team1 laps '[laps']]] - intermediate_results[[#This Row], [Total running average '[sec']]]</f>
        <v>-1.879247269533721</v>
      </c>
      <c r="AE156" s="1">
        <f>intermediate_results[[#This Row], [All cumulative times '[sec']]] / intermediate_results[[#This Row], [Team2 laps '[laps']]] - intermediate_results[[#This Row], [Total running average '[sec']]]</f>
        <v>-1.6070055458726387</v>
      </c>
      <c r="AF156" s="1">
        <f>intermediate_results[[#This Row], [All cumulative times '[sec']]] / intermediate_results[[#This Row], [Team3 laps '[laps']]] - intermediate_results[[#This Row], [Total running average '[sec']]]</f>
        <v>-0.95443498988329623</v>
      </c>
      <c r="AG156" s="1">
        <f>intermediate_results[[#This Row], [All cumulative times '[sec']]] / intermediate_results[[#This Row], [Team4 laps '[laps']]] - intermediate_results[[#This Row], [Total running average '[sec']]]</f>
        <v>0.17344252892085166</v>
      </c>
      <c r="AH156" s="1">
        <f>intermediate_results[[#This Row], [All cumulative times '[sec']]] / intermediate_results[[#This Row], [Team5 laps '[laps']]] - intermediate_results[[#This Row], [Total running average '[sec']]]</f>
        <v>0.17899169616593014</v>
      </c>
      <c r="AI156" s="1">
        <f>intermediate_results[[#This Row], [All cumulative times '[sec']]] / intermediate_results[[#This Row], [Team6 laps '[laps']]] - intermediate_results[[#This Row], [Total running average '[sec']]]</f>
        <v>0.80435644649646321</v>
      </c>
      <c r="AJ156" s="1">
        <f>intermediate_results[[#This Row], [All cumulative times '[sec']]] / intermediate_results[[#This Row], [Team7 laps '[laps']]] - intermediate_results[[#This Row], [Total running average '[sec']]]</f>
        <v>0.13085870377512521</v>
      </c>
      <c r="AK156" s="1">
        <f>intermediate_results[[#This Row], [All cumulative times '[sec']]] / intermediate_results[[#This Row], [Team8 laps '[laps']]] - intermediate_results[[#This Row], [Total running average '[sec']]]</f>
        <v>1.7405809033881496</v>
      </c>
      <c r="AL156" s="1">
        <f>intermediate_results[[#This Row], [All cumulative times '[sec']]] / intermediate_results[[#This Row], [Team9 laps '[laps']]] - intermediate_results[[#This Row], [Total running average '[sec']]]</f>
        <v>1.6603664358424481</v>
      </c>
    </row>
    <row r="157" spans="1:38" x14ac:dyDescent="0.25">
      <c r="A157" s="1">
        <v>968.27699999999993</v>
      </c>
      <c r="B157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18.314596900110441</v>
      </c>
      <c r="C157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18.219051364155572</v>
      </c>
      <c r="D157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18</v>
      </c>
      <c r="E157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17.63102856826691</v>
      </c>
      <c r="F157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17.629710480066596</v>
      </c>
      <c r="G157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17.428666379248401</v>
      </c>
      <c r="H157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17.645358645877753</v>
      </c>
      <c r="I157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17.139717563989411</v>
      </c>
      <c r="J157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17.165376244335821</v>
      </c>
      <c r="K157" s="1">
        <f>intermediate_results[[#This Row], [Team1 laps '[laps']]] - intermediate_results[[#This Row], [Team1 laps '[laps']]]</f>
        <v>0</v>
      </c>
      <c r="L157" s="1">
        <f>intermediate_results[[#This Row], [Team1 laps '[laps']]] - intermediate_results[[#This Row], [Team2 laps '[laps']]]</f>
        <v>9.5545535954869365E-2</v>
      </c>
      <c r="M157" s="1">
        <f>intermediate_results[[#This Row], [Team1 laps '[laps']]] - intermediate_results[[#This Row], [Team3 laps '[laps']]]</f>
        <v>0.31459690011044117</v>
      </c>
      <c r="N157" s="1">
        <f>intermediate_results[[#This Row], [Team1 laps '[laps']]] - intermediate_results[[#This Row], [Team4 laps '[laps']]]</f>
        <v>0.6835683318435315</v>
      </c>
      <c r="O157" s="1">
        <f>intermediate_results[[#This Row], [Team1 laps '[laps']]] - intermediate_results[[#This Row], [Team5 laps '[laps']]]</f>
        <v>0.68488642004384559</v>
      </c>
      <c r="P157" s="1">
        <f>intermediate_results[[#This Row], [Team1 laps '[laps']]] - intermediate_results[[#This Row], [Team6 laps '[laps']]]</f>
        <v>0.88593052086203983</v>
      </c>
      <c r="Q157" s="1">
        <f>intermediate_results[[#This Row], [Team1 laps '[laps']]] - intermediate_results[[#This Row], [Team7 laps '[laps']]]</f>
        <v>0.66923825423268823</v>
      </c>
      <c r="R157" s="1">
        <f>intermediate_results[[#This Row], [Team1 laps '[laps']]] - intermediate_results[[#This Row], [Team8 laps '[laps']]]</f>
        <v>1.1748793361210303</v>
      </c>
      <c r="S157" s="1">
        <f>intermediate_results[[#This Row], [Team1 laps '[laps']]] - intermediate_results[[#This Row], [Team9 laps '[laps']]]</f>
        <v>1.1492206557746201</v>
      </c>
      <c r="T157" s="1">
        <f>MAX(intermediate_results[[#This Row], [Team1 laps '[laps']]:[Team9 laps '[laps']]]) - intermediate_results[[#This Row], [Team1 laps '[laps']]]</f>
        <v>0</v>
      </c>
      <c r="U157" s="1">
        <f>MAX(intermediate_results[[#This Row], [Team1 laps '[laps']]:[Team9 laps '[laps']]]) - intermediate_results[[#This Row], [Team2 laps '[laps']]]</f>
        <v>9.5545535954869365E-2</v>
      </c>
      <c r="V157" s="1">
        <f>MAX(intermediate_results[[#This Row], [Team1 laps '[laps']]:[Team9 laps '[laps']]]) - intermediate_results[[#This Row], [Team3 laps '[laps']]]</f>
        <v>0.31459690011044117</v>
      </c>
      <c r="W157" s="1">
        <f>MAX(intermediate_results[[#This Row], [Team1 laps '[laps']]:[Team9 laps '[laps']]]) - intermediate_results[[#This Row], [Team4 laps '[laps']]]</f>
        <v>0.6835683318435315</v>
      </c>
      <c r="X157" s="1">
        <f>MAX(intermediate_results[[#This Row], [Team1 laps '[laps']]:[Team9 laps '[laps']]]) - intermediate_results[[#This Row], [Team5 laps '[laps']]]</f>
        <v>0.68488642004384559</v>
      </c>
      <c r="Y157" s="1">
        <f>MAX(intermediate_results[[#This Row], [Team1 laps '[laps']]:[Team9 laps '[laps']]]) - intermediate_results[[#This Row], [Team6 laps '[laps']]]</f>
        <v>0.88593052086203983</v>
      </c>
      <c r="Z157" s="1">
        <f>MAX(intermediate_results[[#This Row], [Team1 laps '[laps']]:[Team9 laps '[laps']]]) - intermediate_results[[#This Row], [Team7 laps '[laps']]]</f>
        <v>0.66923825423268823</v>
      </c>
      <c r="AA157" s="1">
        <f>MAX(intermediate_results[[#This Row], [Team1 laps '[laps']]:[Team9 laps '[laps']]]) - intermediate_results[[#This Row], [Team8 laps '[laps']]]</f>
        <v>1.1748793361210303</v>
      </c>
      <c r="AB157" s="1">
        <f>MAX(intermediate_results[[#This Row], [Team1 laps '[laps']]:[Team9 laps '[laps']]]) - intermediate_results[[#This Row], [Team9 laps '[laps']]]</f>
        <v>1.1492206557746201</v>
      </c>
      <c r="AC157" s="1">
        <f>9 * intermediate_results[[#This Row], [All cumulative times '[sec']]] / SUM(intermediate_results[[#This Row], [Team1 laps '[laps']]:[Team9 laps '[laps']]])</f>
        <v>54.748388792817991</v>
      </c>
      <c r="AD157" s="1">
        <f>intermediate_results[[#This Row], [All cumulative times '[sec']]] / intermediate_results[[#This Row], [Team1 laps '[laps']]] - intermediate_results[[#This Row], [Total running average '[sec']]]</f>
        <v>-1.8792481133329275</v>
      </c>
      <c r="AE157" s="1">
        <f>intermediate_results[[#This Row], [All cumulative times '[sec']]] / intermediate_results[[#This Row], [Team2 laps '[laps']]] - intermediate_results[[#This Row], [Total running average '[sec']]]</f>
        <v>-1.6019883218800643</v>
      </c>
      <c r="AF157" s="1">
        <f>intermediate_results[[#This Row], [All cumulative times '[sec']]] / intermediate_results[[#This Row], [Team3 laps '[laps']]] - intermediate_results[[#This Row], [Total running average '[sec']]]</f>
        <v>-0.95522212615132673</v>
      </c>
      <c r="AG157" s="1">
        <f>intermediate_results[[#This Row], [All cumulative times '[sec']]] / intermediate_results[[#This Row], [Team4 laps '[laps']]] - intermediate_results[[#This Row], [Total running average '[sec']]]</f>
        <v>0.17052851542952396</v>
      </c>
      <c r="AH157" s="1">
        <f>intermediate_results[[#This Row], [All cumulative times '[sec']]] / intermediate_results[[#This Row], [Team5 laps '[laps']]] - intermediate_results[[#This Row], [Total running average '[sec']]]</f>
        <v>0.17463453730434964</v>
      </c>
      <c r="AI157" s="1">
        <f>intermediate_results[[#This Row], [All cumulative times '[sec']]] / intermediate_results[[#This Row], [Team6 laps '[laps']]] - intermediate_results[[#This Row], [Total running average '[sec']]]</f>
        <v>0.80818558471944613</v>
      </c>
      <c r="AJ157" s="1">
        <f>intermediate_results[[#This Row], [All cumulative times '[sec']]] / intermediate_results[[#This Row], [Team7 laps '[laps']]] - intermediate_results[[#This Row], [Total running average '[sec']]]</f>
        <v>0.12592798544740447</v>
      </c>
      <c r="AK157" s="1">
        <f>intermediate_results[[#This Row], [All cumulative times '[sec']]] / intermediate_results[[#This Row], [Team8 laps '[laps']]] - intermediate_results[[#This Row], [Total running average '[sec']]]</f>
        <v>1.744782485240421</v>
      </c>
      <c r="AL157" s="1">
        <f>intermediate_results[[#This Row], [All cumulative times '[sec']]] / intermediate_results[[#This Row], [Team9 laps '[laps']]] - intermediate_results[[#This Row], [Total running average '[sec']]]</f>
        <v>1.6603369011212266</v>
      </c>
    </row>
    <row r="158" spans="1:38" x14ac:dyDescent="0.25">
      <c r="A158" s="1">
        <v>987.40599999999984</v>
      </c>
      <c r="B158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18.678833923607144</v>
      </c>
      <c r="C158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18.577252214295076</v>
      </c>
      <c r="D158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18.350971506155624</v>
      </c>
      <c r="E158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17.983825455081977</v>
      </c>
      <c r="F158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17.983590787161219</v>
      </c>
      <c r="G158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17.772292879212472</v>
      </c>
      <c r="H158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18</v>
      </c>
      <c r="I158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17.47738746690203</v>
      </c>
      <c r="J158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17.506636457701504</v>
      </c>
      <c r="K158" s="1">
        <f>intermediate_results[[#This Row], [Team1 laps '[laps']]] - intermediate_results[[#This Row], [Team1 laps '[laps']]]</f>
        <v>0</v>
      </c>
      <c r="L158" s="1">
        <f>intermediate_results[[#This Row], [Team1 laps '[laps']]] - intermediate_results[[#This Row], [Team2 laps '[laps']]]</f>
        <v>0.10158170931206811</v>
      </c>
      <c r="M158" s="1">
        <f>intermediate_results[[#This Row], [Team1 laps '[laps']]] - intermediate_results[[#This Row], [Team3 laps '[laps']]]</f>
        <v>0.32786241745152012</v>
      </c>
      <c r="N158" s="1">
        <f>intermediate_results[[#This Row], [Team1 laps '[laps']]] - intermediate_results[[#This Row], [Team4 laps '[laps']]]</f>
        <v>0.69500846852516673</v>
      </c>
      <c r="O158" s="1">
        <f>intermediate_results[[#This Row], [Team1 laps '[laps']]] - intermediate_results[[#This Row], [Team5 laps '[laps']]]</f>
        <v>0.69524313644592439</v>
      </c>
      <c r="P158" s="1">
        <f>intermediate_results[[#This Row], [Team1 laps '[laps']]] - intermediate_results[[#This Row], [Team6 laps '[laps']]]</f>
        <v>0.90654104439467176</v>
      </c>
      <c r="Q158" s="1">
        <f>intermediate_results[[#This Row], [Team1 laps '[laps']]] - intermediate_results[[#This Row], [Team7 laps '[laps']]]</f>
        <v>0.67883392360714367</v>
      </c>
      <c r="R158" s="1">
        <f>intermediate_results[[#This Row], [Team1 laps '[laps']]] - intermediate_results[[#This Row], [Team8 laps '[laps']]]</f>
        <v>1.2014464567051135</v>
      </c>
      <c r="S158" s="1">
        <f>intermediate_results[[#This Row], [Team1 laps '[laps']]] - intermediate_results[[#This Row], [Team9 laps '[laps']]]</f>
        <v>1.17219746590564</v>
      </c>
      <c r="T158" s="1">
        <f>MAX(intermediate_results[[#This Row], [Team1 laps '[laps']]:[Team9 laps '[laps']]]) - intermediate_results[[#This Row], [Team1 laps '[laps']]]</f>
        <v>0</v>
      </c>
      <c r="U158" s="1">
        <f>MAX(intermediate_results[[#This Row], [Team1 laps '[laps']]:[Team9 laps '[laps']]]) - intermediate_results[[#This Row], [Team2 laps '[laps']]]</f>
        <v>0.10158170931206811</v>
      </c>
      <c r="V158" s="1">
        <f>MAX(intermediate_results[[#This Row], [Team1 laps '[laps']]:[Team9 laps '[laps']]]) - intermediate_results[[#This Row], [Team3 laps '[laps']]]</f>
        <v>0.32786241745152012</v>
      </c>
      <c r="W158" s="1">
        <f>MAX(intermediate_results[[#This Row], [Team1 laps '[laps']]:[Team9 laps '[laps']]]) - intermediate_results[[#This Row], [Team4 laps '[laps']]]</f>
        <v>0.69500846852516673</v>
      </c>
      <c r="X158" s="1">
        <f>MAX(intermediate_results[[#This Row], [Team1 laps '[laps']]:[Team9 laps '[laps']]]) - intermediate_results[[#This Row], [Team5 laps '[laps']]]</f>
        <v>0.69524313644592439</v>
      </c>
      <c r="Y158" s="1">
        <f>MAX(intermediate_results[[#This Row], [Team1 laps '[laps']]:[Team9 laps '[laps']]]) - intermediate_results[[#This Row], [Team6 laps '[laps']]]</f>
        <v>0.90654104439467176</v>
      </c>
      <c r="Z158" s="1">
        <f>MAX(intermediate_results[[#This Row], [Team1 laps '[laps']]:[Team9 laps '[laps']]]) - intermediate_results[[#This Row], [Team7 laps '[laps']]]</f>
        <v>0.67883392360714367</v>
      </c>
      <c r="AA158" s="1">
        <f>MAX(intermediate_results[[#This Row], [Team1 laps '[laps']]:[Team9 laps '[laps']]]) - intermediate_results[[#This Row], [Team8 laps '[laps']]]</f>
        <v>1.2014464567051135</v>
      </c>
      <c r="AB158" s="1">
        <f>MAX(intermediate_results[[#This Row], [Team1 laps '[laps']]:[Team9 laps '[laps']]]) - intermediate_results[[#This Row], [Team9 laps '[laps']]]</f>
        <v>1.17219746590564</v>
      </c>
      <c r="AC158" s="1">
        <f>9 * intermediate_results[[#This Row], [All cumulative times '[sec']]] / SUM(intermediate_results[[#This Row], [Team1 laps '[laps']]:[Team9 laps '[laps']]])</f>
        <v>54.744105922358642</v>
      </c>
      <c r="AD158" s="1">
        <f>intermediate_results[[#This Row], [All cumulative times '[sec']]] / intermediate_results[[#This Row], [Team1 laps '[laps']]] - intermediate_results[[#This Row], [Total running average '[sec']]]</f>
        <v>-1.881812481649149</v>
      </c>
      <c r="AE158" s="1">
        <f>intermediate_results[[#This Row], [All cumulative times '[sec']]] / intermediate_results[[#This Row], [Team2 laps '[laps']]] - intermediate_results[[#This Row], [Total running average '[sec']]]</f>
        <v>-1.5927577784066926</v>
      </c>
      <c r="AF158" s="1">
        <f>intermediate_results[[#This Row], [All cumulative times '[sec']]] / intermediate_results[[#This Row], [Team3 laps '[laps']]] - intermediate_results[[#This Row], [Total running average '[sec']]]</f>
        <v>-0.93736333825154361</v>
      </c>
      <c r="AG158" s="1">
        <f>intermediate_results[[#This Row], [All cumulative times '[sec']]] / intermediate_results[[#This Row], [Team4 laps '[laps']]] - intermediate_results[[#This Row], [Total running average '[sec']]]</f>
        <v>0.16112002449199281</v>
      </c>
      <c r="AH158" s="1">
        <f>intermediate_results[[#This Row], [All cumulative times '[sec']]] / intermediate_results[[#This Row], [Team5 laps '[laps']]] - intermediate_results[[#This Row], [Total running average '[sec']]]</f>
        <v>0.16183648292146557</v>
      </c>
      <c r="AI158" s="1">
        <f>intermediate_results[[#This Row], [All cumulative times '[sec']]] / intermediate_results[[#This Row], [Team6 laps '[laps']]] - intermediate_results[[#This Row], [Total running average '[sec']]]</f>
        <v>0.81462286468089928</v>
      </c>
      <c r="AJ158" s="1">
        <f>intermediate_results[[#This Row], [All cumulative times '[sec']]] / intermediate_results[[#This Row], [Team7 laps '[laps']]] - intermediate_results[[#This Row], [Total running average '[sec']]]</f>
        <v>0.11178296653023523</v>
      </c>
      <c r="AK158" s="1">
        <f>intermediate_results[[#This Row], [All cumulative times '[sec']]] / intermediate_results[[#This Row], [Team8 laps '[laps']]] - intermediate_results[[#This Row], [Total running average '[sec']]]</f>
        <v>1.7520953474197754</v>
      </c>
      <c r="AL158" s="1">
        <f>intermediate_results[[#This Row], [All cumulative times '[sec']]] / intermediate_results[[#This Row], [Team9 laps '[laps']]] - intermediate_results[[#This Row], [Total running average '[sec']]]</f>
        <v>1.6577050357721035</v>
      </c>
    </row>
    <row r="159" spans="1:38" x14ac:dyDescent="0.25">
      <c r="A159" s="1">
        <v>988.2829999999999</v>
      </c>
      <c r="B159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18.695532960127959</v>
      </c>
      <c r="C159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18.593674512667828</v>
      </c>
      <c r="D159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18.36706236353962</v>
      </c>
      <c r="E159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18</v>
      </c>
      <c r="F159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17.999815003237437</v>
      </c>
      <c r="G159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17.788046992886397</v>
      </c>
      <c r="H159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18.016135560788932</v>
      </c>
      <c r="I159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17.492868490732569</v>
      </c>
      <c r="J159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17.522282085132193</v>
      </c>
      <c r="K159" s="1">
        <f>intermediate_results[[#This Row], [Team1 laps '[laps']]] - intermediate_results[[#This Row], [Team1 laps '[laps']]]</f>
        <v>0</v>
      </c>
      <c r="L159" s="1">
        <f>intermediate_results[[#This Row], [Team1 laps '[laps']]] - intermediate_results[[#This Row], [Team2 laps '[laps']]]</f>
        <v>0.10185844746013117</v>
      </c>
      <c r="M159" s="1">
        <f>intermediate_results[[#This Row], [Team1 laps '[laps']]] - intermediate_results[[#This Row], [Team3 laps '[laps']]]</f>
        <v>0.32847059658833899</v>
      </c>
      <c r="N159" s="1">
        <f>intermediate_results[[#This Row], [Team1 laps '[laps']]] - intermediate_results[[#This Row], [Team4 laps '[laps']]]</f>
        <v>0.6955329601279594</v>
      </c>
      <c r="O159" s="1">
        <f>intermediate_results[[#This Row], [Team1 laps '[laps']]] - intermediate_results[[#This Row], [Team5 laps '[laps']]]</f>
        <v>0.69571795689052252</v>
      </c>
      <c r="P159" s="1">
        <f>intermediate_results[[#This Row], [Team1 laps '[laps']]] - intermediate_results[[#This Row], [Team6 laps '[laps']]]</f>
        <v>0.90748596724156272</v>
      </c>
      <c r="Q159" s="1">
        <f>intermediate_results[[#This Row], [Team1 laps '[laps']]] - intermediate_results[[#This Row], [Team7 laps '[laps']]]</f>
        <v>0.67939739933902743</v>
      </c>
      <c r="R159" s="1">
        <f>intermediate_results[[#This Row], [Team1 laps '[laps']]] - intermediate_results[[#This Row], [Team8 laps '[laps']]]</f>
        <v>1.2026644693953905</v>
      </c>
      <c r="S159" s="1">
        <f>intermediate_results[[#This Row], [Team1 laps '[laps']]] - intermediate_results[[#This Row], [Team9 laps '[laps']]]</f>
        <v>1.173250874995766</v>
      </c>
      <c r="T159" s="1">
        <f>MAX(intermediate_results[[#This Row], [Team1 laps '[laps']]:[Team9 laps '[laps']]]) - intermediate_results[[#This Row], [Team1 laps '[laps']]]</f>
        <v>0</v>
      </c>
      <c r="U159" s="1">
        <f>MAX(intermediate_results[[#This Row], [Team1 laps '[laps']]:[Team9 laps '[laps']]]) - intermediate_results[[#This Row], [Team2 laps '[laps']]]</f>
        <v>0.10185844746013117</v>
      </c>
      <c r="V159" s="1">
        <f>MAX(intermediate_results[[#This Row], [Team1 laps '[laps']]:[Team9 laps '[laps']]]) - intermediate_results[[#This Row], [Team3 laps '[laps']]]</f>
        <v>0.32847059658833899</v>
      </c>
      <c r="W159" s="1">
        <f>MAX(intermediate_results[[#This Row], [Team1 laps '[laps']]:[Team9 laps '[laps']]]) - intermediate_results[[#This Row], [Team4 laps '[laps']]]</f>
        <v>0.6955329601279594</v>
      </c>
      <c r="X159" s="1">
        <f>MAX(intermediate_results[[#This Row], [Team1 laps '[laps']]:[Team9 laps '[laps']]]) - intermediate_results[[#This Row], [Team5 laps '[laps']]]</f>
        <v>0.69571795689052252</v>
      </c>
      <c r="Y159" s="1">
        <f>MAX(intermediate_results[[#This Row], [Team1 laps '[laps']]:[Team9 laps '[laps']]]) - intermediate_results[[#This Row], [Team6 laps '[laps']]]</f>
        <v>0.90748596724156272</v>
      </c>
      <c r="Z159" s="1">
        <f>MAX(intermediate_results[[#This Row], [Team1 laps '[laps']]:[Team9 laps '[laps']]]) - intermediate_results[[#This Row], [Team7 laps '[laps']]]</f>
        <v>0.67939739933902743</v>
      </c>
      <c r="AA159" s="1">
        <f>MAX(intermediate_results[[#This Row], [Team1 laps '[laps']]:[Team9 laps '[laps']]]) - intermediate_results[[#This Row], [Team8 laps '[laps']]]</f>
        <v>1.2026644693953905</v>
      </c>
      <c r="AB159" s="1">
        <f>MAX(intermediate_results[[#This Row], [Team1 laps '[laps']]:[Team9 laps '[laps']]]) - intermediate_results[[#This Row], [Team9 laps '[laps']]]</f>
        <v>1.173250874995766</v>
      </c>
      <c r="AC159" s="1">
        <f>9 * intermediate_results[[#This Row], [All cumulative times '[sec']]] / SUM(intermediate_results[[#This Row], [Team1 laps '[laps']]:[Team9 laps '[laps']]])</f>
        <v>54.743955185213785</v>
      </c>
      <c r="AD159" s="1">
        <f>intermediate_results[[#This Row], [All cumulative times '[sec']]] / intermediate_results[[#This Row], [Team1 laps '[laps']]] - intermediate_results[[#This Row], [Total running average '[sec']]]</f>
        <v>-1.8819692708397397</v>
      </c>
      <c r="AE159" s="1">
        <f>intermediate_results[[#This Row], [All cumulative times '[sec']]] / intermediate_results[[#This Row], [Team2 laps '[laps']]] - intermediate_results[[#This Row], [Total running average '[sec']]]</f>
        <v>-1.5923847774019819</v>
      </c>
      <c r="AF159" s="1">
        <f>intermediate_results[[#This Row], [All cumulative times '[sec']]] / intermediate_results[[#This Row], [Team3 laps '[laps']]] - intermediate_results[[#This Row], [Total running average '[sec']]]</f>
        <v>-0.93660262992239751</v>
      </c>
      <c r="AG159" s="1">
        <f>intermediate_results[[#This Row], [All cumulative times '[sec']]] / intermediate_results[[#This Row], [Team4 laps '[laps']]] - intermediate_results[[#This Row], [Total running average '[sec']]]</f>
        <v>0.16065592589732347</v>
      </c>
      <c r="AH159" s="1">
        <f>intermediate_results[[#This Row], [All cumulative times '[sec']]] / intermediate_results[[#This Row], [Team5 laps '[laps']]] - intermediate_results[[#This Row], [Total running average '[sec']]]</f>
        <v>0.16122021921386676</v>
      </c>
      <c r="AI159" s="1">
        <f>intermediate_results[[#This Row], [All cumulative times '[sec']]] / intermediate_results[[#This Row], [Team6 laps '[laps']]] - intermediate_results[[#This Row], [Total running average '[sec']]]</f>
        <v>0.81487037867320566</v>
      </c>
      <c r="AJ159" s="1">
        <f>intermediate_results[[#This Row], [All cumulative times '[sec']]] / intermediate_results[[#This Row], [Team7 laps '[laps']]] - intermediate_results[[#This Row], [Total running average '[sec']]]</f>
        <v>0.11148241212202947</v>
      </c>
      <c r="AK159" s="1">
        <f>intermediate_results[[#This Row], [All cumulative times '[sec']]] / intermediate_results[[#This Row], [Team8 laps '[laps']]] - intermediate_results[[#This Row], [Total running average '[sec']]]</f>
        <v>1.7523821949920872</v>
      </c>
      <c r="AL159" s="1">
        <f>intermediate_results[[#This Row], [All cumulative times '[sec']]] / intermediate_results[[#This Row], [Team9 laps '[laps']]] - intermediate_results[[#This Row], [Total running average '[sec']]]</f>
        <v>1.6575452128745738</v>
      </c>
    </row>
    <row r="160" spans="1:38" x14ac:dyDescent="0.25">
      <c r="A160" s="1">
        <v>988.29300000000012</v>
      </c>
      <c r="B160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18.695723371034699</v>
      </c>
      <c r="C160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18.593861768065466</v>
      </c>
      <c r="D160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18.367245839678553</v>
      </c>
      <c r="E160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18.00018620933654</v>
      </c>
      <c r="F160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18</v>
      </c>
      <c r="G160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17.788226629302294</v>
      </c>
      <c r="H160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18.016319546658821</v>
      </c>
      <c r="I160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17.493045013239193</v>
      </c>
      <c r="J160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17.522460484532775</v>
      </c>
      <c r="K160" s="1">
        <f>intermediate_results[[#This Row], [Team1 laps '[laps']]] - intermediate_results[[#This Row], [Team1 laps '[laps']]]</f>
        <v>0</v>
      </c>
      <c r="L160" s="1">
        <f>intermediate_results[[#This Row], [Team1 laps '[laps']]] - intermediate_results[[#This Row], [Team2 laps '[laps']]]</f>
        <v>0.10186160296923319</v>
      </c>
      <c r="M160" s="1">
        <f>intermediate_results[[#This Row], [Team1 laps '[laps']]] - intermediate_results[[#This Row], [Team3 laps '[laps']]]</f>
        <v>0.3284775313561461</v>
      </c>
      <c r="N160" s="1">
        <f>intermediate_results[[#This Row], [Team1 laps '[laps']]] - intermediate_results[[#This Row], [Team4 laps '[laps']]]</f>
        <v>0.69553716169815871</v>
      </c>
      <c r="O160" s="1">
        <f>intermediate_results[[#This Row], [Team1 laps '[laps']]] - intermediate_results[[#This Row], [Team5 laps '[laps']]]</f>
        <v>0.69572337103469906</v>
      </c>
      <c r="P160" s="1">
        <f>intermediate_results[[#This Row], [Team1 laps '[laps']]] - intermediate_results[[#This Row], [Team6 laps '[laps']]]</f>
        <v>0.90749674173240535</v>
      </c>
      <c r="Q160" s="1">
        <f>intermediate_results[[#This Row], [Team1 laps '[laps']]] - intermediate_results[[#This Row], [Team7 laps '[laps']]]</f>
        <v>0.67940382437587843</v>
      </c>
      <c r="R160" s="1">
        <f>intermediate_results[[#This Row], [Team1 laps '[laps']]] - intermediate_results[[#This Row], [Team8 laps '[laps']]]</f>
        <v>1.2026783577955058</v>
      </c>
      <c r="S160" s="1">
        <f>intermediate_results[[#This Row], [Team1 laps '[laps']]] - intermediate_results[[#This Row], [Team9 laps '[laps']]]</f>
        <v>1.1732628865019237</v>
      </c>
      <c r="T160" s="1">
        <f>MAX(intermediate_results[[#This Row], [Team1 laps '[laps']]:[Team9 laps '[laps']]]) - intermediate_results[[#This Row], [Team1 laps '[laps']]]</f>
        <v>0</v>
      </c>
      <c r="U160" s="1">
        <f>MAX(intermediate_results[[#This Row], [Team1 laps '[laps']]:[Team9 laps '[laps']]]) - intermediate_results[[#This Row], [Team2 laps '[laps']]]</f>
        <v>0.10186160296923319</v>
      </c>
      <c r="V160" s="1">
        <f>MAX(intermediate_results[[#This Row], [Team1 laps '[laps']]:[Team9 laps '[laps']]]) - intermediate_results[[#This Row], [Team3 laps '[laps']]]</f>
        <v>0.3284775313561461</v>
      </c>
      <c r="W160" s="1">
        <f>MAX(intermediate_results[[#This Row], [Team1 laps '[laps']]:[Team9 laps '[laps']]]) - intermediate_results[[#This Row], [Team4 laps '[laps']]]</f>
        <v>0.69553716169815871</v>
      </c>
      <c r="X160" s="1">
        <f>MAX(intermediate_results[[#This Row], [Team1 laps '[laps']]:[Team9 laps '[laps']]]) - intermediate_results[[#This Row], [Team5 laps '[laps']]]</f>
        <v>0.69572337103469906</v>
      </c>
      <c r="Y160" s="1">
        <f>MAX(intermediate_results[[#This Row], [Team1 laps '[laps']]:[Team9 laps '[laps']]]) - intermediate_results[[#This Row], [Team6 laps '[laps']]]</f>
        <v>0.90749674173240535</v>
      </c>
      <c r="Z160" s="1">
        <f>MAX(intermediate_results[[#This Row], [Team1 laps '[laps']]:[Team9 laps '[laps']]]) - intermediate_results[[#This Row], [Team7 laps '[laps']]]</f>
        <v>0.67940382437587843</v>
      </c>
      <c r="AA160" s="1">
        <f>MAX(intermediate_results[[#This Row], [Team1 laps '[laps']]:[Team9 laps '[laps']]]) - intermediate_results[[#This Row], [Team8 laps '[laps']]]</f>
        <v>1.2026783577955058</v>
      </c>
      <c r="AB160" s="1">
        <f>MAX(intermediate_results[[#This Row], [Team1 laps '[laps']]:[Team9 laps '[laps']]]) - intermediate_results[[#This Row], [Team9 laps '[laps']]]</f>
        <v>1.1732628865019237</v>
      </c>
      <c r="AC160" s="1">
        <f>9 * intermediate_results[[#This Row], [All cumulative times '[sec']]] / SUM(intermediate_results[[#This Row], [Team1 laps '[laps']]:[Team9 laps '[laps']]])</f>
        <v>54.743952868591983</v>
      </c>
      <c r="AD160" s="1">
        <f>intermediate_results[[#This Row], [All cumulative times '[sec']]] / intermediate_results[[#This Row], [Team1 laps '[laps']]] - intermediate_results[[#This Row], [Total running average '[sec']]]</f>
        <v>-1.8819704576218186</v>
      </c>
      <c r="AE160" s="1">
        <f>intermediate_results[[#This Row], [All cumulative times '[sec']]] / intermediate_results[[#This Row], [Team2 laps '[laps']]] - intermediate_results[[#This Row], [Total running average '[sec']]]</f>
        <v>-1.5923799286785112</v>
      </c>
      <c r="AF160" s="1">
        <f>intermediate_results[[#This Row], [All cumulative times '[sec']]] / intermediate_results[[#This Row], [Team3 laps '[laps']]] - intermediate_results[[#This Row], [Total running average '[sec']]]</f>
        <v>-0.93659336426161843</v>
      </c>
      <c r="AG160" s="1">
        <f>intermediate_results[[#This Row], [All cumulative times '[sec']]] / intermediate_results[[#This Row], [Team4 laps '[laps']]] - intermediate_results[[#This Row], [Total running average '[sec']]]</f>
        <v>0.16064581202505934</v>
      </c>
      <c r="AH160" s="1">
        <f>intermediate_results[[#This Row], [All cumulative times '[sec']]] / intermediate_results[[#This Row], [Team5 laps '[laps']]] - intermediate_results[[#This Row], [Total running average '[sec']]]</f>
        <v>0.16121379807469083</v>
      </c>
      <c r="AI160" s="1">
        <f>intermediate_results[[#This Row], [All cumulative times '[sec']]] / intermediate_results[[#This Row], [Team6 laps '[laps']]] - intermediate_results[[#This Row], [Total running average '[sec']]]</f>
        <v>0.81487379780539015</v>
      </c>
      <c r="AJ160" s="1">
        <f>intermediate_results[[#This Row], [All cumulative times '[sec']]] / intermediate_results[[#This Row], [Team7 laps '[laps']]] - intermediate_results[[#This Row], [Total running average '[sec']]]</f>
        <v>0.11147958754926179</v>
      </c>
      <c r="AK160" s="1">
        <f>intermediate_results[[#This Row], [All cumulative times '[sec']]] / intermediate_results[[#This Row], [Team8 laps '[laps']]] - intermediate_results[[#This Row], [Total running average '[sec']]]</f>
        <v>1.7523860622250496</v>
      </c>
      <c r="AL160" s="1">
        <f>intermediate_results[[#This Row], [All cumulative times '[sec']]] / intermediate_results[[#This Row], [Team9 laps '[laps']]] - intermediate_results[[#This Row], [Total running average '[sec']]]</f>
        <v>1.6575439915307584</v>
      </c>
    </row>
    <row r="161" spans="1:38" x14ac:dyDescent="0.25">
      <c r="A161" s="1">
        <v>1000.082</v>
      </c>
      <c r="B161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18.920198788986639</v>
      </c>
      <c r="C161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18.814617156339533</v>
      </c>
      <c r="D161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18.583545859860926</v>
      </c>
      <c r="E161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18.219708396178987</v>
      </c>
      <c r="F161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18.217356834691543</v>
      </c>
      <c r="G161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18</v>
      </c>
      <c r="H161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18.233220488666472</v>
      </c>
      <c r="I161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17.701147396293031</v>
      </c>
      <c r="J161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17.732775537874197</v>
      </c>
      <c r="K161" s="1">
        <f>intermediate_results[[#This Row], [Team1 laps '[laps']]] - intermediate_results[[#This Row], [Team1 laps '[laps']]]</f>
        <v>0</v>
      </c>
      <c r="L161" s="1">
        <f>intermediate_results[[#This Row], [Team1 laps '[laps']]] - intermediate_results[[#This Row], [Team2 laps '[laps']]]</f>
        <v>0.10558163264710529</v>
      </c>
      <c r="M161" s="1">
        <f>intermediate_results[[#This Row], [Team1 laps '[laps']]] - intermediate_results[[#This Row], [Team3 laps '[laps']]]</f>
        <v>0.33665292912571232</v>
      </c>
      <c r="N161" s="1">
        <f>intermediate_results[[#This Row], [Team1 laps '[laps']]] - intermediate_results[[#This Row], [Team4 laps '[laps']]]</f>
        <v>0.70049039280765157</v>
      </c>
      <c r="O161" s="1">
        <f>intermediate_results[[#This Row], [Team1 laps '[laps']]] - intermediate_results[[#This Row], [Team5 laps '[laps']]]</f>
        <v>0.70284195429509566</v>
      </c>
      <c r="P161" s="1">
        <f>intermediate_results[[#This Row], [Team1 laps '[laps']]] - intermediate_results[[#This Row], [Team6 laps '[laps']]]</f>
        <v>0.92019878898663876</v>
      </c>
      <c r="Q161" s="1">
        <f>intermediate_results[[#This Row], [Team1 laps '[laps']]] - intermediate_results[[#This Row], [Team7 laps '[laps']]]</f>
        <v>0.68697830032016682</v>
      </c>
      <c r="R161" s="1">
        <f>intermediate_results[[#This Row], [Team1 laps '[laps']]] - intermediate_results[[#This Row], [Team8 laps '[laps']]]</f>
        <v>1.2190513926936077</v>
      </c>
      <c r="S161" s="1">
        <f>intermediate_results[[#This Row], [Team1 laps '[laps']]] - intermediate_results[[#This Row], [Team9 laps '[laps']]]</f>
        <v>1.1874232511124418</v>
      </c>
      <c r="T161" s="1">
        <f>MAX(intermediate_results[[#This Row], [Team1 laps '[laps']]:[Team9 laps '[laps']]]) - intermediate_results[[#This Row], [Team1 laps '[laps']]]</f>
        <v>0</v>
      </c>
      <c r="U161" s="1">
        <f>MAX(intermediate_results[[#This Row], [Team1 laps '[laps']]:[Team9 laps '[laps']]]) - intermediate_results[[#This Row], [Team2 laps '[laps']]]</f>
        <v>0.10558163264710529</v>
      </c>
      <c r="V161" s="1">
        <f>MAX(intermediate_results[[#This Row], [Team1 laps '[laps']]:[Team9 laps '[laps']]]) - intermediate_results[[#This Row], [Team3 laps '[laps']]]</f>
        <v>0.33665292912571232</v>
      </c>
      <c r="W161" s="1">
        <f>MAX(intermediate_results[[#This Row], [Team1 laps '[laps']]:[Team9 laps '[laps']]]) - intermediate_results[[#This Row], [Team4 laps '[laps']]]</f>
        <v>0.70049039280765157</v>
      </c>
      <c r="X161" s="1">
        <f>MAX(intermediate_results[[#This Row], [Team1 laps '[laps']]:[Team9 laps '[laps']]]) - intermediate_results[[#This Row], [Team5 laps '[laps']]]</f>
        <v>0.70284195429509566</v>
      </c>
      <c r="Y161" s="1">
        <f>MAX(intermediate_results[[#This Row], [Team1 laps '[laps']]:[Team9 laps '[laps']]]) - intermediate_results[[#This Row], [Team6 laps '[laps']]]</f>
        <v>0.92019878898663876</v>
      </c>
      <c r="Z161" s="1">
        <f>MAX(intermediate_results[[#This Row], [Team1 laps '[laps']]:[Team9 laps '[laps']]]) - intermediate_results[[#This Row], [Team7 laps '[laps']]]</f>
        <v>0.68697830032016682</v>
      </c>
      <c r="AA161" s="1">
        <f>MAX(intermediate_results[[#This Row], [Team1 laps '[laps']]:[Team9 laps '[laps']]]) - intermediate_results[[#This Row], [Team8 laps '[laps']]]</f>
        <v>1.2190513926936077</v>
      </c>
      <c r="AB161" s="1">
        <f>MAX(intermediate_results[[#This Row], [Team1 laps '[laps']]:[Team9 laps '[laps']]]) - intermediate_results[[#This Row], [Team9 laps '[laps']]]</f>
        <v>1.1874232511124418</v>
      </c>
      <c r="AC161" s="1">
        <f>9 * intermediate_results[[#This Row], [All cumulative times '[sec']]] / SUM(intermediate_results[[#This Row], [Team1 laps '[laps']]:[Team9 laps '[laps']]])</f>
        <v>54.741499143819489</v>
      </c>
      <c r="AD161" s="1">
        <f>intermediate_results[[#This Row], [All cumulative times '[sec']]] / intermediate_results[[#This Row], [Team1 laps '[laps']]] - intermediate_results[[#This Row], [Total running average '[sec']]]</f>
        <v>-1.8835978525210493</v>
      </c>
      <c r="AE161" s="1">
        <f>intermediate_results[[#This Row], [All cumulative times '[sec']]] / intermediate_results[[#This Row], [Team2 laps '[laps']]] - intermediate_results[[#This Row], [Total running average '[sec']]]</f>
        <v>-1.5869761636362298</v>
      </c>
      <c r="AF161" s="1">
        <f>intermediate_results[[#This Row], [All cumulative times '[sec']]] / intermediate_results[[#This Row], [Team3 laps '[laps']]] - intermediate_results[[#This Row], [Total running average '[sec']]]</f>
        <v>-0.92604285029788969</v>
      </c>
      <c r="AG161" s="1">
        <f>intermediate_results[[#This Row], [All cumulative times '[sec']]] / intermediate_results[[#This Row], [Team4 laps '[laps']]] - intermediate_results[[#This Row], [Total running average '[sec']]]</f>
        <v>0.14862194119940142</v>
      </c>
      <c r="AH161" s="1">
        <f>intermediate_results[[#This Row], [All cumulative times '[sec']]] / intermediate_results[[#This Row], [Team5 laps '[laps']]] - intermediate_results[[#This Row], [Total running average '[sec']]]</f>
        <v>0.15570735408097391</v>
      </c>
      <c r="AI161" s="1">
        <f>intermediate_results[[#This Row], [All cumulative times '[sec']]] / intermediate_results[[#This Row], [Team6 laps '[laps']]] - intermediate_results[[#This Row], [Total running average '[sec']]]</f>
        <v>0.81861196729162344</v>
      </c>
      <c r="AJ161" s="1">
        <f>intermediate_results[[#This Row], [All cumulative times '[sec']]] / intermediate_results[[#This Row], [Team7 laps '[laps']]] - intermediate_results[[#This Row], [Total running average '[sec']]]</f>
        <v>0.10794451982938114</v>
      </c>
      <c r="AK161" s="1">
        <f>intermediate_results[[#This Row], [All cumulative times '[sec']]] / intermediate_results[[#This Row], [Team8 laps '[laps']]] - intermediate_results[[#This Row], [Total running average '[sec']]]</f>
        <v>1.7566462933196263</v>
      </c>
      <c r="AL161" s="1">
        <f>intermediate_results[[#This Row], [All cumulative times '[sec']]] / intermediate_results[[#This Row], [Team9 laps '[laps']]] - intermediate_results[[#This Row], [Total running average '[sec']]]</f>
        <v>1.6558763185831538</v>
      </c>
    </row>
    <row r="162" spans="1:38" x14ac:dyDescent="0.25">
      <c r="A162" s="1">
        <v>1004.273</v>
      </c>
      <c r="B162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19.000000000000004</v>
      </c>
      <c r="C162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18.893095893489132</v>
      </c>
      <c r="D162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18.660440709685709</v>
      </c>
      <c r="E162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18.297748729121281</v>
      </c>
      <c r="F162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18.294627383015595</v>
      </c>
      <c r="G162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18.075562527044571</v>
      </c>
      <c r="H162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18.310328966735359</v>
      </c>
      <c r="I162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17.775127978817302</v>
      </c>
      <c r="J162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17.807542726656443</v>
      </c>
      <c r="K162" s="1">
        <f>intermediate_results[[#This Row], [Team1 laps '[laps']]] - intermediate_results[[#This Row], [Team1 laps '[laps']]]</f>
        <v>0</v>
      </c>
      <c r="L162" s="1">
        <f>intermediate_results[[#This Row], [Team1 laps '[laps']]] - intermediate_results[[#This Row], [Team2 laps '[laps']]]</f>
        <v>0.10690410651087134</v>
      </c>
      <c r="M162" s="1">
        <f>intermediate_results[[#This Row], [Team1 laps '[laps']]] - intermediate_results[[#This Row], [Team3 laps '[laps']]]</f>
        <v>0.33955929031429477</v>
      </c>
      <c r="N162" s="1">
        <f>intermediate_results[[#This Row], [Team1 laps '[laps']]] - intermediate_results[[#This Row], [Team4 laps '[laps']]]</f>
        <v>0.70225127087872252</v>
      </c>
      <c r="O162" s="1">
        <f>intermediate_results[[#This Row], [Team1 laps '[laps']]] - intermediate_results[[#This Row], [Team5 laps '[laps']]]</f>
        <v>0.70537261698440901</v>
      </c>
      <c r="P162" s="1">
        <f>intermediate_results[[#This Row], [Team1 laps '[laps']]] - intermediate_results[[#This Row], [Team6 laps '[laps']]]</f>
        <v>0.92443747295543233</v>
      </c>
      <c r="Q162" s="1">
        <f>intermediate_results[[#This Row], [Team1 laps '[laps']]] - intermediate_results[[#This Row], [Team7 laps '[laps']]]</f>
        <v>0.68967103326464496</v>
      </c>
      <c r="R162" s="1">
        <f>intermediate_results[[#This Row], [Team1 laps '[laps']]] - intermediate_results[[#This Row], [Team8 laps '[laps']]]</f>
        <v>1.2248720211827013</v>
      </c>
      <c r="S162" s="1">
        <f>intermediate_results[[#This Row], [Team1 laps '[laps']]] - intermediate_results[[#This Row], [Team9 laps '[laps']]]</f>
        <v>1.1924572733435603</v>
      </c>
      <c r="T162" s="1">
        <f>MAX(intermediate_results[[#This Row], [Team1 laps '[laps']]:[Team9 laps '[laps']]]) - intermediate_results[[#This Row], [Team1 laps '[laps']]]</f>
        <v>0</v>
      </c>
      <c r="U162" s="1">
        <f>MAX(intermediate_results[[#This Row], [Team1 laps '[laps']]:[Team9 laps '[laps']]]) - intermediate_results[[#This Row], [Team2 laps '[laps']]]</f>
        <v>0.10690410651087134</v>
      </c>
      <c r="V162" s="1">
        <f>MAX(intermediate_results[[#This Row], [Team1 laps '[laps']]:[Team9 laps '[laps']]]) - intermediate_results[[#This Row], [Team3 laps '[laps']]]</f>
        <v>0.33955929031429477</v>
      </c>
      <c r="W162" s="1">
        <f>MAX(intermediate_results[[#This Row], [Team1 laps '[laps']]:[Team9 laps '[laps']]]) - intermediate_results[[#This Row], [Team4 laps '[laps']]]</f>
        <v>0.70225127087872252</v>
      </c>
      <c r="X162" s="1">
        <f>MAX(intermediate_results[[#This Row], [Team1 laps '[laps']]:[Team9 laps '[laps']]]) - intermediate_results[[#This Row], [Team5 laps '[laps']]]</f>
        <v>0.70537261698440901</v>
      </c>
      <c r="Y162" s="1">
        <f>MAX(intermediate_results[[#This Row], [Team1 laps '[laps']]:[Team9 laps '[laps']]]) - intermediate_results[[#This Row], [Team6 laps '[laps']]]</f>
        <v>0.92443747295543233</v>
      </c>
      <c r="Z162" s="1">
        <f>MAX(intermediate_results[[#This Row], [Team1 laps '[laps']]:[Team9 laps '[laps']]]) - intermediate_results[[#This Row], [Team7 laps '[laps']]]</f>
        <v>0.68967103326464496</v>
      </c>
      <c r="AA162" s="1">
        <f>MAX(intermediate_results[[#This Row], [Team1 laps '[laps']]:[Team9 laps '[laps']]]) - intermediate_results[[#This Row], [Team8 laps '[laps']]]</f>
        <v>1.2248720211827013</v>
      </c>
      <c r="AB162" s="1">
        <f>MAX(intermediate_results[[#This Row], [Team1 laps '[laps']]:[Team9 laps '[laps']]]) - intermediate_results[[#This Row], [Team9 laps '[laps']]]</f>
        <v>1.1924572733435603</v>
      </c>
      <c r="AC162" s="1">
        <f>9 * intermediate_results[[#This Row], [All cumulative times '[sec']]] / SUM(intermediate_results[[#This Row], [Team1 laps '[laps']]:[Team9 laps '[laps']]])</f>
        <v>54.740548971716365</v>
      </c>
      <c r="AD162" s="1">
        <f>intermediate_results[[#This Row], [All cumulative times '[sec']]] / intermediate_results[[#This Row], [Team1 laps '[laps']]] - intermediate_results[[#This Row], [Total running average '[sec']]]</f>
        <v>-1.8840752875058442</v>
      </c>
      <c r="AE162" s="1">
        <f>intermediate_results[[#This Row], [All cumulative times '[sec']]] / intermediate_results[[#This Row], [Team2 laps '[laps']]] - intermediate_results[[#This Row], [Total running average '[sec']]]</f>
        <v>-1.5849938598572848</v>
      </c>
      <c r="AF162" s="1">
        <f>intermediate_results[[#This Row], [All cumulative times '[sec']]] / intermediate_results[[#This Row], [Team3 laps '[laps']]] - intermediate_results[[#This Row], [Total running average '[sec']]]</f>
        <v>-0.92225948840680161</v>
      </c>
      <c r="AG162" s="1">
        <f>intermediate_results[[#This Row], [All cumulative times '[sec']]] / intermediate_results[[#This Row], [Team4 laps '[laps']]] - intermediate_results[[#This Row], [Total running average '[sec']]]</f>
        <v>0.14450901367813174</v>
      </c>
      <c r="AH162" s="1">
        <f>intermediate_results[[#This Row], [All cumulative times '[sec']]] / intermediate_results[[#This Row], [Team5 laps '[laps']]] - intermediate_results[[#This Row], [Total running average '[sec']]]</f>
        <v>0.15387325261104223</v>
      </c>
      <c r="AI162" s="1">
        <f>intermediate_results[[#This Row], [All cumulative times '[sec']]] / intermediate_results[[#This Row], [Team6 laps '[laps']]] - intermediate_results[[#This Row], [Total running average '[sec']]]</f>
        <v>0.81916035945446453</v>
      </c>
      <c r="AJ162" s="1">
        <f>intermediate_results[[#This Row], [All cumulative times '[sec']]] / intermediate_results[[#This Row], [Team7 laps '[laps']]] - intermediate_results[[#This Row], [Total running average '[sec']]]</f>
        <v>0.1067998566131223</v>
      </c>
      <c r="AK162" s="1">
        <f>intermediate_results[[#This Row], [All cumulative times '[sec']]] / intermediate_results[[#This Row], [Team8 laps '[laps']]] - intermediate_results[[#This Row], [Total running average '[sec']]]</f>
        <v>1.758228488383871</v>
      </c>
      <c r="AL162" s="1">
        <f>intermediate_results[[#This Row], [All cumulative times '[sec']]] / intermediate_results[[#This Row], [Team9 laps '[laps']]] - intermediate_results[[#This Row], [Total running average '[sec']]]</f>
        <v>1.6553847859876143</v>
      </c>
    </row>
    <row r="163" spans="1:38" x14ac:dyDescent="0.25">
      <c r="A163" s="1">
        <v>1009.982</v>
      </c>
      <c r="B163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19.109150351789541</v>
      </c>
      <c r="C163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19</v>
      </c>
      <c r="D163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18.765187237399775</v>
      </c>
      <c r="E163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18.404055639349757</v>
      </c>
      <c r="F163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18.399885689000328</v>
      </c>
      <c r="G163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18.178494158372999</v>
      </c>
      <c r="H163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18.415366499852812</v>
      </c>
      <c r="I163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17.875904677846428</v>
      </c>
      <c r="J163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17.909390944446429</v>
      </c>
      <c r="K163" s="1">
        <f>intermediate_results[[#This Row], [Team1 laps '[laps']]] - intermediate_results[[#This Row], [Team1 laps '[laps']]]</f>
        <v>0</v>
      </c>
      <c r="L163" s="1">
        <f>intermediate_results[[#This Row], [Team1 laps '[laps']]] - intermediate_results[[#This Row], [Team2 laps '[laps']]]</f>
        <v>0.10915035178954113</v>
      </c>
      <c r="M163" s="1">
        <f>intermediate_results[[#This Row], [Team1 laps '[laps']]] - intermediate_results[[#This Row], [Team3 laps '[laps']]]</f>
        <v>0.34396311438976568</v>
      </c>
      <c r="N163" s="1">
        <f>intermediate_results[[#This Row], [Team1 laps '[laps']]] - intermediate_results[[#This Row], [Team4 laps '[laps']]]</f>
        <v>0.70509471243978439</v>
      </c>
      <c r="O163" s="1">
        <f>intermediate_results[[#This Row], [Team1 laps '[laps']]] - intermediate_results[[#This Row], [Team5 laps '[laps']]]</f>
        <v>0.70926466278921296</v>
      </c>
      <c r="P163" s="1">
        <f>intermediate_results[[#This Row], [Team1 laps '[laps']]] - intermediate_results[[#This Row], [Team6 laps '[laps']]]</f>
        <v>0.93065619341654227</v>
      </c>
      <c r="Q163" s="1">
        <f>intermediate_results[[#This Row], [Team1 laps '[laps']]] - intermediate_results[[#This Row], [Team7 laps '[laps']]]</f>
        <v>0.69378385193672898</v>
      </c>
      <c r="R163" s="1">
        <f>intermediate_results[[#This Row], [Team1 laps '[laps']]] - intermediate_results[[#This Row], [Team8 laps '[laps']]]</f>
        <v>1.233245673943113</v>
      </c>
      <c r="S163" s="1">
        <f>intermediate_results[[#This Row], [Team1 laps '[laps']]] - intermediate_results[[#This Row], [Team9 laps '[laps']]]</f>
        <v>1.1997594073431124</v>
      </c>
      <c r="T163" s="1">
        <f>MAX(intermediate_results[[#This Row], [Team1 laps '[laps']]:[Team9 laps '[laps']]]) - intermediate_results[[#This Row], [Team1 laps '[laps']]]</f>
        <v>0</v>
      </c>
      <c r="U163" s="1">
        <f>MAX(intermediate_results[[#This Row], [Team1 laps '[laps']]:[Team9 laps '[laps']]]) - intermediate_results[[#This Row], [Team2 laps '[laps']]]</f>
        <v>0.10915035178954113</v>
      </c>
      <c r="V163" s="1">
        <f>MAX(intermediate_results[[#This Row], [Team1 laps '[laps']]:[Team9 laps '[laps']]]) - intermediate_results[[#This Row], [Team3 laps '[laps']]]</f>
        <v>0.34396311438976568</v>
      </c>
      <c r="W163" s="1">
        <f>MAX(intermediate_results[[#This Row], [Team1 laps '[laps']]:[Team9 laps '[laps']]]) - intermediate_results[[#This Row], [Team4 laps '[laps']]]</f>
        <v>0.70509471243978439</v>
      </c>
      <c r="X163" s="1">
        <f>MAX(intermediate_results[[#This Row], [Team1 laps '[laps']]:[Team9 laps '[laps']]]) - intermediate_results[[#This Row], [Team5 laps '[laps']]]</f>
        <v>0.70926466278921296</v>
      </c>
      <c r="Y163" s="1">
        <f>MAX(intermediate_results[[#This Row], [Team1 laps '[laps']]:[Team9 laps '[laps']]]) - intermediate_results[[#This Row], [Team6 laps '[laps']]]</f>
        <v>0.93065619341654227</v>
      </c>
      <c r="Z163" s="1">
        <f>MAX(intermediate_results[[#This Row], [Team1 laps '[laps']]:[Team9 laps '[laps']]]) - intermediate_results[[#This Row], [Team7 laps '[laps']]]</f>
        <v>0.69378385193672898</v>
      </c>
      <c r="AA163" s="1">
        <f>MAX(intermediate_results[[#This Row], [Team1 laps '[laps']]:[Team9 laps '[laps']]]) - intermediate_results[[#This Row], [Team8 laps '[laps']]]</f>
        <v>1.233245673943113</v>
      </c>
      <c r="AB163" s="1">
        <f>MAX(intermediate_results[[#This Row], [Team1 laps '[laps']]:[Team9 laps '[laps']]]) - intermediate_results[[#This Row], [Team9 laps '[laps']]]</f>
        <v>1.1997594073431124</v>
      </c>
      <c r="AC163" s="1">
        <f>9 * intermediate_results[[#This Row], [All cumulative times '[sec']]] / SUM(intermediate_results[[#This Row], [Team1 laps '[laps']]:[Team9 laps '[laps']]])</f>
        <v>54.739120769620925</v>
      </c>
      <c r="AD163" s="1">
        <f>intermediate_results[[#This Row], [All cumulative times '[sec']]] / intermediate_results[[#This Row], [Team1 laps '[laps']]] - intermediate_results[[#This Row], [Total running average '[sec']]]</f>
        <v>-1.8858027828577519</v>
      </c>
      <c r="AE163" s="1">
        <f>intermediate_results[[#This Row], [All cumulative times '[sec']]] / intermediate_results[[#This Row], [Team2 laps '[laps']]] - intermediate_results[[#This Row], [Total running average '[sec']]]</f>
        <v>-1.5821734011998743</v>
      </c>
      <c r="AF163" s="1">
        <f>intermediate_results[[#This Row], [All cumulative times '[sec']]] / intermediate_results[[#This Row], [Team3 laps '[laps']]] - intermediate_results[[#This Row], [Total running average '[sec']]]</f>
        <v>-0.91700925948021705</v>
      </c>
      <c r="AG163" s="1">
        <f>intermediate_results[[#This Row], [All cumulative times '[sec']]] / intermediate_results[[#This Row], [Team4 laps '[laps']]] - intermediate_results[[#This Row], [Total running average '[sec']]]</f>
        <v>0.13910932225920192</v>
      </c>
      <c r="AH163" s="1">
        <f>intermediate_results[[#This Row], [All cumulative times '[sec']]] / intermediate_results[[#This Row], [Team5 laps '[laps']]] - intermediate_results[[#This Row], [Total running average '[sec']]]</f>
        <v>0.15154632858715189</v>
      </c>
      <c r="AI163" s="1">
        <f>intermediate_results[[#This Row], [All cumulative times '[sec']]] / intermediate_results[[#This Row], [Team6 laps '[laps']]] - intermediate_results[[#This Row], [Total running average '[sec']]]</f>
        <v>0.82004662900560987</v>
      </c>
      <c r="AJ163" s="1">
        <f>intermediate_results[[#This Row], [All cumulative times '[sec']]] / intermediate_results[[#This Row], [Team7 laps '[laps']]] - intermediate_results[[#This Row], [Total running average '[sec']]]</f>
        <v>0.10540268898482452</v>
      </c>
      <c r="AK163" s="1">
        <f>intermediate_results[[#This Row], [All cumulative times '[sec']]] / intermediate_results[[#This Row], [Team8 laps '[laps']]] - intermediate_results[[#This Row], [Total running average '[sec']]]</f>
        <v>1.7605092184304567</v>
      </c>
      <c r="AL163" s="1">
        <f>intermediate_results[[#This Row], [All cumulative times '[sec']]] / intermediate_results[[#This Row], [Team9 laps '[laps']]] - intermediate_results[[#This Row], [Total running average '[sec']]]</f>
        <v>1.6548684583147164</v>
      </c>
    </row>
    <row r="164" spans="1:38" x14ac:dyDescent="0.25">
      <c r="A164" s="1">
        <v>1015.061</v>
      </c>
      <c r="B164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19.206255735698996</v>
      </c>
      <c r="C164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19.096054920947122</v>
      </c>
      <c r="D164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18.858374768361376</v>
      </c>
      <c r="E164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18.498631361376461</v>
      </c>
      <c r="F164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18.49352852243814</v>
      </c>
      <c r="G164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18.270067070532239</v>
      </c>
      <c r="H164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18.508812923167504</v>
      </c>
      <c r="I164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17.965560458958521</v>
      </c>
      <c r="J164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18.000000000000004</v>
      </c>
      <c r="K164" s="1">
        <f>intermediate_results[[#This Row], [Team1 laps '[laps']]] - intermediate_results[[#This Row], [Team1 laps '[laps']]]</f>
        <v>0</v>
      </c>
      <c r="L164" s="1">
        <f>intermediate_results[[#This Row], [Team1 laps '[laps']]] - intermediate_results[[#This Row], [Team2 laps '[laps']]]</f>
        <v>0.11020081475187382</v>
      </c>
      <c r="M164" s="1">
        <f>intermediate_results[[#This Row], [Team1 laps '[laps']]] - intermediate_results[[#This Row], [Team3 laps '[laps']]]</f>
        <v>0.34788096733761975</v>
      </c>
      <c r="N164" s="1">
        <f>intermediate_results[[#This Row], [Team1 laps '[laps']]] - intermediate_results[[#This Row], [Team4 laps '[laps']]]</f>
        <v>0.70762437432253478</v>
      </c>
      <c r="O164" s="1">
        <f>intermediate_results[[#This Row], [Team1 laps '[laps']]] - intermediate_results[[#This Row], [Team5 laps '[laps']]]</f>
        <v>0.71272721326085531</v>
      </c>
      <c r="P164" s="1">
        <f>intermediate_results[[#This Row], [Team1 laps '[laps']]] - intermediate_results[[#This Row], [Team6 laps '[laps']]]</f>
        <v>0.93618866516675681</v>
      </c>
      <c r="Q164" s="1">
        <f>intermediate_results[[#This Row], [Team1 laps '[laps']]] - intermediate_results[[#This Row], [Team7 laps '[laps']]]</f>
        <v>0.69744281253149154</v>
      </c>
      <c r="R164" s="1">
        <f>intermediate_results[[#This Row], [Team1 laps '[laps']]] - intermediate_results[[#This Row], [Team8 laps '[laps']]]</f>
        <v>1.2406952767404746</v>
      </c>
      <c r="S164" s="1">
        <f>intermediate_results[[#This Row], [Team1 laps '[laps']]] - intermediate_results[[#This Row], [Team9 laps '[laps']]]</f>
        <v>1.206255735698992</v>
      </c>
      <c r="T164" s="1">
        <f>MAX(intermediate_results[[#This Row], [Team1 laps '[laps']]:[Team9 laps '[laps']]]) - intermediate_results[[#This Row], [Team1 laps '[laps']]]</f>
        <v>0</v>
      </c>
      <c r="U164" s="1">
        <f>MAX(intermediate_results[[#This Row], [Team1 laps '[laps']]:[Team9 laps '[laps']]]) - intermediate_results[[#This Row], [Team2 laps '[laps']]]</f>
        <v>0.11020081475187382</v>
      </c>
      <c r="V164" s="1">
        <f>MAX(intermediate_results[[#This Row], [Team1 laps '[laps']]:[Team9 laps '[laps']]]) - intermediate_results[[#This Row], [Team3 laps '[laps']]]</f>
        <v>0.34788096733761975</v>
      </c>
      <c r="W164" s="1">
        <f>MAX(intermediate_results[[#This Row], [Team1 laps '[laps']]:[Team9 laps '[laps']]]) - intermediate_results[[#This Row], [Team4 laps '[laps']]]</f>
        <v>0.70762437432253478</v>
      </c>
      <c r="X164" s="1">
        <f>MAX(intermediate_results[[#This Row], [Team1 laps '[laps']]:[Team9 laps '[laps']]]) - intermediate_results[[#This Row], [Team5 laps '[laps']]]</f>
        <v>0.71272721326085531</v>
      </c>
      <c r="Y164" s="1">
        <f>MAX(intermediate_results[[#This Row], [Team1 laps '[laps']]:[Team9 laps '[laps']]]) - intermediate_results[[#This Row], [Team6 laps '[laps']]]</f>
        <v>0.93618866516675681</v>
      </c>
      <c r="Z164" s="1">
        <f>MAX(intermediate_results[[#This Row], [Team1 laps '[laps']]:[Team9 laps '[laps']]]) - intermediate_results[[#This Row], [Team7 laps '[laps']]]</f>
        <v>0.69744281253149154</v>
      </c>
      <c r="AA164" s="1">
        <f>MAX(intermediate_results[[#This Row], [Team1 laps '[laps']]:[Team9 laps '[laps']]]) - intermediate_results[[#This Row], [Team8 laps '[laps']]]</f>
        <v>1.2406952767404746</v>
      </c>
      <c r="AB164" s="1">
        <f>MAX(intermediate_results[[#This Row], [Team1 laps '[laps']]:[Team9 laps '[laps']]]) - intermediate_results[[#This Row], [Team9 laps '[laps']]]</f>
        <v>1.206255735698992</v>
      </c>
      <c r="AC164" s="1">
        <f>9 * intermediate_results[[#This Row], [All cumulative times '[sec']]] / SUM(intermediate_results[[#This Row], [Team1 laps '[laps']]:[Team9 laps '[laps']]])</f>
        <v>54.737552850655597</v>
      </c>
      <c r="AD164" s="1">
        <f>intermediate_results[[#This Row], [All cumulative times '[sec']]] / intermediate_results[[#This Row], [Team1 laps '[laps']]] - intermediate_results[[#This Row], [Total running average '[sec']]]</f>
        <v>-1.8870121743024839</v>
      </c>
      <c r="AE164" s="1">
        <f>intermediate_results[[#This Row], [All cumulative times '[sec']]] / intermediate_results[[#This Row], [Team2 laps '[laps']]] - intermediate_results[[#This Row], [Total running average '[sec']]]</f>
        <v>-1.5820186734604604</v>
      </c>
      <c r="AF164" s="1">
        <f>intermediate_results[[#This Row], [All cumulative times '[sec']]] / intermediate_results[[#This Row], [Team3 laps '[laps']]] - intermediate_results[[#This Row], [Total running average '[sec']]]</f>
        <v>-0.91207677076751992</v>
      </c>
      <c r="AG164" s="1">
        <f>intermediate_results[[#This Row], [All cumulative times '[sec']]] / intermediate_results[[#This Row], [Team4 laps '[laps']]] - intermediate_results[[#This Row], [Total running average '[sec']]]</f>
        <v>0.1346687840410894</v>
      </c>
      <c r="AH164" s="1">
        <f>intermediate_results[[#This Row], [All cumulative times '[sec']]] / intermediate_results[[#This Row], [Team5 laps '[laps']]] - intermediate_results[[#This Row], [Total running average '[sec']]]</f>
        <v>0.14980943764053478</v>
      </c>
      <c r="AI164" s="1">
        <f>intermediate_results[[#This Row], [All cumulative times '[sec']]] / intermediate_results[[#This Row], [Team6 laps '[laps']]] - intermediate_results[[#This Row], [Total running average '[sec']]]</f>
        <v>0.82113755159203805</v>
      </c>
      <c r="AJ164" s="1">
        <f>intermediate_results[[#This Row], [All cumulative times '[sec']]] / intermediate_results[[#This Row], [Team7 laps '[laps']]] - intermediate_results[[#This Row], [Total running average '[sec']]]</f>
        <v>0.10448397869972581</v>
      </c>
      <c r="AK164" s="1">
        <f>intermediate_results[[#This Row], [All cumulative times '[sec']]] / intermediate_results[[#This Row], [Team8 laps '[laps']]] - intermediate_results[[#This Row], [Total running average '[sec']]]</f>
        <v>1.7628275476547799</v>
      </c>
      <c r="AL164" s="1">
        <f>intermediate_results[[#This Row], [All cumulative times '[sec']]] / intermediate_results[[#This Row], [Team9 laps '[laps']]] - intermediate_results[[#This Row], [Total running average '[sec']]]</f>
        <v>1.6547249271221744</v>
      </c>
    </row>
    <row r="165" spans="1:38" x14ac:dyDescent="0.25">
      <c r="A165" s="1">
        <v>1017.0119999999999</v>
      </c>
      <c r="B165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19.243556898133988</v>
      </c>
      <c r="C165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19.132952568272941</v>
      </c>
      <c r="D165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18.894170963066255</v>
      </c>
      <c r="E165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18.534960802934659</v>
      </c>
      <c r="F165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18.529499612817578</v>
      </c>
      <c r="G165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18.305243040530794</v>
      </c>
      <c r="H165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18.544708566382106</v>
      </c>
      <c r="I165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18.000000000000004</v>
      </c>
      <c r="J165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18.034110776977414</v>
      </c>
      <c r="K165" s="1">
        <f>intermediate_results[[#This Row], [Team1 laps '[laps']]] - intermediate_results[[#This Row], [Team1 laps '[laps']]]</f>
        <v>0</v>
      </c>
      <c r="L165" s="1">
        <f>intermediate_results[[#This Row], [Team1 laps '[laps']]] - intermediate_results[[#This Row], [Team2 laps '[laps']]]</f>
        <v>0.11060432986104729</v>
      </c>
      <c r="M165" s="1">
        <f>intermediate_results[[#This Row], [Team1 laps '[laps']]] - intermediate_results[[#This Row], [Team3 laps '[laps']]]</f>
        <v>0.3493859350677333</v>
      </c>
      <c r="N165" s="1">
        <f>intermediate_results[[#This Row], [Team1 laps '[laps']]] - intermediate_results[[#This Row], [Team4 laps '[laps']]]</f>
        <v>0.70859609519932931</v>
      </c>
      <c r="O165" s="1">
        <f>intermediate_results[[#This Row], [Team1 laps '[laps']]] - intermediate_results[[#This Row], [Team5 laps '[laps']]]</f>
        <v>0.71405728531641088</v>
      </c>
      <c r="P165" s="1">
        <f>intermediate_results[[#This Row], [Team1 laps '[laps']]] - intermediate_results[[#This Row], [Team6 laps '[laps']]]</f>
        <v>0.93831385760319463</v>
      </c>
      <c r="Q165" s="1">
        <f>intermediate_results[[#This Row], [Team1 laps '[laps']]] - intermediate_results[[#This Row], [Team7 laps '[laps']]]</f>
        <v>0.69884833175188277</v>
      </c>
      <c r="R165" s="1">
        <f>intermediate_results[[#This Row], [Team1 laps '[laps']]] - intermediate_results[[#This Row], [Team8 laps '[laps']]]</f>
        <v>1.2435568981339848</v>
      </c>
      <c r="S165" s="1">
        <f>intermediate_results[[#This Row], [Team1 laps '[laps']]] - intermediate_results[[#This Row], [Team9 laps '[laps']]]</f>
        <v>1.2094461211565743</v>
      </c>
      <c r="T165" s="1">
        <f>MAX(intermediate_results[[#This Row], [Team1 laps '[laps']]:[Team9 laps '[laps']]]) - intermediate_results[[#This Row], [Team1 laps '[laps']]]</f>
        <v>0</v>
      </c>
      <c r="U165" s="1">
        <f>MAX(intermediate_results[[#This Row], [Team1 laps '[laps']]:[Team9 laps '[laps']]]) - intermediate_results[[#This Row], [Team2 laps '[laps']]]</f>
        <v>0.11060432986104729</v>
      </c>
      <c r="V165" s="1">
        <f>MAX(intermediate_results[[#This Row], [Team1 laps '[laps']]:[Team9 laps '[laps']]]) - intermediate_results[[#This Row], [Team3 laps '[laps']]]</f>
        <v>0.3493859350677333</v>
      </c>
      <c r="W165" s="1">
        <f>MAX(intermediate_results[[#This Row], [Team1 laps '[laps']]:[Team9 laps '[laps']]]) - intermediate_results[[#This Row], [Team4 laps '[laps']]]</f>
        <v>0.70859609519932931</v>
      </c>
      <c r="X165" s="1">
        <f>MAX(intermediate_results[[#This Row], [Team1 laps '[laps']]:[Team9 laps '[laps']]]) - intermediate_results[[#This Row], [Team5 laps '[laps']]]</f>
        <v>0.71405728531641088</v>
      </c>
      <c r="Y165" s="1">
        <f>MAX(intermediate_results[[#This Row], [Team1 laps '[laps']]:[Team9 laps '[laps']]]) - intermediate_results[[#This Row], [Team6 laps '[laps']]]</f>
        <v>0.93831385760319463</v>
      </c>
      <c r="Z165" s="1">
        <f>MAX(intermediate_results[[#This Row], [Team1 laps '[laps']]:[Team9 laps '[laps']]]) - intermediate_results[[#This Row], [Team7 laps '[laps']]]</f>
        <v>0.69884833175188277</v>
      </c>
      <c r="AA165" s="1">
        <f>MAX(intermediate_results[[#This Row], [Team1 laps '[laps']]:[Team9 laps '[laps']]]) - intermediate_results[[#This Row], [Team8 laps '[laps']]]</f>
        <v>1.2435568981339848</v>
      </c>
      <c r="AB165" s="1">
        <f>MAX(intermediate_results[[#This Row], [Team1 laps '[laps']]:[Team9 laps '[laps']]]) - intermediate_results[[#This Row], [Team9 laps '[laps']]]</f>
        <v>1.2094461211565743</v>
      </c>
      <c r="AC165" s="1">
        <f>9 * intermediate_results[[#This Row], [All cumulative times '[sec']]] / SUM(intermediate_results[[#This Row], [Team1 laps '[laps']]:[Team9 laps '[laps']]])</f>
        <v>54.737182232945159</v>
      </c>
      <c r="AD165" s="1">
        <f>intermediate_results[[#This Row], [All cumulative times '[sec']]] / intermediate_results[[#This Row], [Team1 laps '[laps']]] - intermediate_results[[#This Row], [Total running average '[sec']]]</f>
        <v>-1.8877009554679347</v>
      </c>
      <c r="AE165" s="1">
        <f>intermediate_results[[#This Row], [All cumulative times '[sec']]] / intermediate_results[[#This Row], [Team2 laps '[laps']]] - intermediate_results[[#This Row], [Total running average '[sec']]]</f>
        <v>-1.5821871337333633</v>
      </c>
      <c r="AF165" s="1">
        <f>intermediate_results[[#This Row], [All cumulative times '[sec']]] / intermediate_results[[#This Row], [Team3 laps '[laps']]] - intermediate_results[[#This Row], [Total running average '[sec']]]</f>
        <v>-0.91042254139670575</v>
      </c>
      <c r="AG165" s="1">
        <f>intermediate_results[[#This Row], [All cumulative times '[sec']]] / intermediate_results[[#This Row], [Team4 laps '[laps']]] - intermediate_results[[#This Row], [Total running average '[sec']]]</f>
        <v>0.13274766941403016</v>
      </c>
      <c r="AH165" s="1">
        <f>intermediate_results[[#This Row], [All cumulative times '[sec']]] / intermediate_results[[#This Row], [Team5 laps '[laps']]] - intermediate_results[[#This Row], [Total running average '[sec']]]</f>
        <v>0.14891945630353831</v>
      </c>
      <c r="AI165" s="1">
        <f>intermediate_results[[#This Row], [All cumulative times '[sec']]] / intermediate_results[[#This Row], [Team6 laps '[laps']]] - intermediate_results[[#This Row], [Total running average '[sec']]]</f>
        <v>0.82132620904435782</v>
      </c>
      <c r="AJ165" s="1">
        <f>intermediate_results[[#This Row], [All cumulative times '[sec']]] / intermediate_results[[#This Row], [Team7 laps '[laps']]] - intermediate_results[[#This Row], [Total running average '[sec']]]</f>
        <v>0.10390606777054501</v>
      </c>
      <c r="AK165" s="1">
        <f>intermediate_results[[#This Row], [All cumulative times '[sec']]] / intermediate_results[[#This Row], [Team8 laps '[laps']]] - intermediate_results[[#This Row], [Total running average '[sec']]]</f>
        <v>1.7634844337214943</v>
      </c>
      <c r="AL165" s="1">
        <f>intermediate_results[[#This Row], [All cumulative times '[sec']]] / intermediate_results[[#This Row], [Team9 laps '[laps']]] - intermediate_results[[#This Row], [Total running average '[sec']]]</f>
        <v>1.6566157522779861</v>
      </c>
    </row>
    <row r="166" spans="1:38" x14ac:dyDescent="0.25">
      <c r="A166" s="1">
        <v>1022.78</v>
      </c>
      <c r="B166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19.353835270724996</v>
      </c>
      <c r="C166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19.242037975641122</v>
      </c>
      <c r="D166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19</v>
      </c>
      <c r="E166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18.642366348248704</v>
      </c>
      <c r="F166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18.63584571702496</v>
      </c>
      <c r="G166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18.409238424924276</v>
      </c>
      <c r="H166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18.650831616131885</v>
      </c>
      <c r="I166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18.100937981240378</v>
      </c>
      <c r="J166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18.134956989999303</v>
      </c>
      <c r="K166" s="1">
        <f>intermediate_results[[#This Row], [Team1 laps '[laps']]] - intermediate_results[[#This Row], [Team1 laps '[laps']]]</f>
        <v>0</v>
      </c>
      <c r="L166" s="1">
        <f>intermediate_results[[#This Row], [Team1 laps '[laps']]] - intermediate_results[[#This Row], [Team2 laps '[laps']]]</f>
        <v>0.11179729508387481</v>
      </c>
      <c r="M166" s="1">
        <f>intermediate_results[[#This Row], [Team1 laps '[laps']]] - intermediate_results[[#This Row], [Team3 laps '[laps']]]</f>
        <v>0.35383527072499632</v>
      </c>
      <c r="N166" s="1">
        <f>intermediate_results[[#This Row], [Team1 laps '[laps']]] - intermediate_results[[#This Row], [Team4 laps '[laps']]]</f>
        <v>0.71146892247629268</v>
      </c>
      <c r="O166" s="1">
        <f>intermediate_results[[#This Row], [Team1 laps '[laps']]] - intermediate_results[[#This Row], [Team5 laps '[laps']]]</f>
        <v>0.71798955370003625</v>
      </c>
      <c r="P166" s="1">
        <f>intermediate_results[[#This Row], [Team1 laps '[laps']]] - intermediate_results[[#This Row], [Team6 laps '[laps']]]</f>
        <v>0.94459684580072079</v>
      </c>
      <c r="Q166" s="1">
        <f>intermediate_results[[#This Row], [Team1 laps '[laps']]] - intermediate_results[[#This Row], [Team7 laps '[laps']]]</f>
        <v>0.70300365459311109</v>
      </c>
      <c r="R166" s="1">
        <f>intermediate_results[[#This Row], [Team1 laps '[laps']]] - intermediate_results[[#This Row], [Team8 laps '[laps']]]</f>
        <v>1.2528972894846184</v>
      </c>
      <c r="S166" s="1">
        <f>intermediate_results[[#This Row], [Team1 laps '[laps']]] - intermediate_results[[#This Row], [Team9 laps '[laps']]]</f>
        <v>1.2188782807256935</v>
      </c>
      <c r="T166" s="1">
        <f>MAX(intermediate_results[[#This Row], [Team1 laps '[laps']]:[Team9 laps '[laps']]]) - intermediate_results[[#This Row], [Team1 laps '[laps']]]</f>
        <v>0</v>
      </c>
      <c r="U166" s="1">
        <f>MAX(intermediate_results[[#This Row], [Team1 laps '[laps']]:[Team9 laps '[laps']]]) - intermediate_results[[#This Row], [Team2 laps '[laps']]]</f>
        <v>0.11179729508387481</v>
      </c>
      <c r="V166" s="1">
        <f>MAX(intermediate_results[[#This Row], [Team1 laps '[laps']]:[Team9 laps '[laps']]]) - intermediate_results[[#This Row], [Team3 laps '[laps']]]</f>
        <v>0.35383527072499632</v>
      </c>
      <c r="W166" s="1">
        <f>MAX(intermediate_results[[#This Row], [Team1 laps '[laps']]:[Team9 laps '[laps']]]) - intermediate_results[[#This Row], [Team4 laps '[laps']]]</f>
        <v>0.71146892247629268</v>
      </c>
      <c r="X166" s="1">
        <f>MAX(intermediate_results[[#This Row], [Team1 laps '[laps']]:[Team9 laps '[laps']]]) - intermediate_results[[#This Row], [Team5 laps '[laps']]]</f>
        <v>0.71798955370003625</v>
      </c>
      <c r="Y166" s="1">
        <f>MAX(intermediate_results[[#This Row], [Team1 laps '[laps']]:[Team9 laps '[laps']]]) - intermediate_results[[#This Row], [Team6 laps '[laps']]]</f>
        <v>0.94459684580072079</v>
      </c>
      <c r="Z166" s="1">
        <f>MAX(intermediate_results[[#This Row], [Team1 laps '[laps']]:[Team9 laps '[laps']]]) - intermediate_results[[#This Row], [Team7 laps '[laps']]]</f>
        <v>0.70300365459311109</v>
      </c>
      <c r="AA166" s="1">
        <f>MAX(intermediate_results[[#This Row], [Team1 laps '[laps']]:[Team9 laps '[laps']]]) - intermediate_results[[#This Row], [Team8 laps '[laps']]]</f>
        <v>1.2528972894846184</v>
      </c>
      <c r="AB166" s="1">
        <f>MAX(intermediate_results[[#This Row], [Team1 laps '[laps']]:[Team9 laps '[laps']]]) - intermediate_results[[#This Row], [Team9 laps '[laps']]]</f>
        <v>1.2188782807256935</v>
      </c>
      <c r="AC166" s="1">
        <f>9 * intermediate_results[[#This Row], [All cumulative times '[sec']]] / SUM(intermediate_results[[#This Row], [Team1 laps '[laps']]:[Team9 laps '[laps']]])</f>
        <v>54.736381313253681</v>
      </c>
      <c r="AD166" s="1">
        <f>intermediate_results[[#This Row], [All cumulative times '[sec']]] / intermediate_results[[#This Row], [Team1 laps '[laps']]] - intermediate_results[[#This Row], [Total running average '[sec']]]</f>
        <v>-1.8900081942741167</v>
      </c>
      <c r="AE166" s="1">
        <f>intermediate_results[[#This Row], [All cumulative times '[sec']]] / intermediate_results[[#This Row], [Team2 laps '[laps']]] - intermediate_results[[#This Row], [Total running average '[sec']]]</f>
        <v>-1.5829678705218058</v>
      </c>
      <c r="AF166" s="1">
        <f>intermediate_results[[#This Row], [All cumulative times '[sec']]] / intermediate_results[[#This Row], [Team3 laps '[laps']]] - intermediate_results[[#This Row], [Total running average '[sec']]]</f>
        <v>-0.9058549974642105</v>
      </c>
      <c r="AG166" s="1">
        <f>intermediate_results[[#This Row], [All cumulative times '[sec']]] / intermediate_results[[#This Row], [Team4 laps '[laps']]] - intermediate_results[[#This Row], [Total running average '[sec']]]</f>
        <v>0.12682547573218983</v>
      </c>
      <c r="AH166" s="1">
        <f>intermediate_results[[#This Row], [All cumulative times '[sec']]] / intermediate_results[[#This Row], [Team5 laps '[laps']]] - intermediate_results[[#This Row], [Total running average '[sec']]]</f>
        <v>0.14602196107849608</v>
      </c>
      <c r="AI166" s="1">
        <f>intermediate_results[[#This Row], [All cumulative times '[sec']]] / intermediate_results[[#This Row], [Team6 laps '[laps']]] - intermediate_results[[#This Row], [Total running average '[sec']]]</f>
        <v>0.82159324235084341</v>
      </c>
      <c r="AJ166" s="1">
        <f>intermediate_results[[#This Row], [All cumulative times '[sec']]] / intermediate_results[[#This Row], [Team7 laps '[laps']]] - intermediate_results[[#This Row], [Total running average '[sec']]]</f>
        <v>0.10192407980743923</v>
      </c>
      <c r="AK166" s="1">
        <f>intermediate_results[[#This Row], [All cumulative times '[sec']]] / intermediate_results[[#This Row], [Team8 laps '[laps']]] - intermediate_results[[#This Row], [Total running average '[sec']]]</f>
        <v>1.7678728342384815</v>
      </c>
      <c r="AL166" s="1">
        <f>intermediate_results[[#This Row], [All cumulative times '[sec']]] / intermediate_results[[#This Row], [Team9 laps '[laps']]] - intermediate_results[[#This Row], [Total running average '[sec']]]</f>
        <v>1.6618776163937312</v>
      </c>
    </row>
    <row r="167" spans="1:38" x14ac:dyDescent="0.25">
      <c r="A167" s="1">
        <v>1041.758</v>
      </c>
      <c r="B167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19.716675588865101</v>
      </c>
      <c r="C167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19.600953173462443</v>
      </c>
      <c r="D167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19.342649767089156</v>
      </c>
      <c r="E167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18.995754427126979</v>
      </c>
      <c r="F167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18.985747999557503</v>
      </c>
      <c r="G167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18.751406317611423</v>
      </c>
      <c r="H167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19.000000000000004</v>
      </c>
      <c r="I167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18.433046339073222</v>
      </c>
      <c r="J167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18.466763410028676</v>
      </c>
      <c r="K167" s="1">
        <f>intermediate_results[[#This Row], [Team1 laps '[laps']]] - intermediate_results[[#This Row], [Team1 laps '[laps']]]</f>
        <v>0</v>
      </c>
      <c r="L167" s="1">
        <f>intermediate_results[[#This Row], [Team1 laps '[laps']]] - intermediate_results[[#This Row], [Team2 laps '[laps']]]</f>
        <v>0.11572241540265793</v>
      </c>
      <c r="M167" s="1">
        <f>intermediate_results[[#This Row], [Team1 laps '[laps']]] - intermediate_results[[#This Row], [Team3 laps '[laps']]]</f>
        <v>0.37402582177594468</v>
      </c>
      <c r="N167" s="1">
        <f>intermediate_results[[#This Row], [Team1 laps '[laps']]] - intermediate_results[[#This Row], [Team4 laps '[laps']]]</f>
        <v>0.72092116173812215</v>
      </c>
      <c r="O167" s="1">
        <f>intermediate_results[[#This Row], [Team1 laps '[laps']]] - intermediate_results[[#This Row], [Team5 laps '[laps']]]</f>
        <v>0.73092758930759771</v>
      </c>
      <c r="P167" s="1">
        <f>intermediate_results[[#This Row], [Team1 laps '[laps']]] - intermediate_results[[#This Row], [Team6 laps '[laps']]]</f>
        <v>0.96526927125367834</v>
      </c>
      <c r="Q167" s="1">
        <f>intermediate_results[[#This Row], [Team1 laps '[laps']]] - intermediate_results[[#This Row], [Team7 laps '[laps']]]</f>
        <v>0.71667558886509752</v>
      </c>
      <c r="R167" s="1">
        <f>intermediate_results[[#This Row], [Team1 laps '[laps']]] - intermediate_results[[#This Row], [Team8 laps '[laps']]]</f>
        <v>1.2836292497918791</v>
      </c>
      <c r="S167" s="1">
        <f>intermediate_results[[#This Row], [Team1 laps '[laps']]] - intermediate_results[[#This Row], [Team9 laps '[laps']]]</f>
        <v>1.2499121788364249</v>
      </c>
      <c r="T167" s="1">
        <f>MAX(intermediate_results[[#This Row], [Team1 laps '[laps']]:[Team9 laps '[laps']]]) - intermediate_results[[#This Row], [Team1 laps '[laps']]]</f>
        <v>0</v>
      </c>
      <c r="U167" s="1">
        <f>MAX(intermediate_results[[#This Row], [Team1 laps '[laps']]:[Team9 laps '[laps']]]) - intermediate_results[[#This Row], [Team2 laps '[laps']]]</f>
        <v>0.11572241540265793</v>
      </c>
      <c r="V167" s="1">
        <f>MAX(intermediate_results[[#This Row], [Team1 laps '[laps']]:[Team9 laps '[laps']]]) - intermediate_results[[#This Row], [Team3 laps '[laps']]]</f>
        <v>0.37402582177594468</v>
      </c>
      <c r="W167" s="1">
        <f>MAX(intermediate_results[[#This Row], [Team1 laps '[laps']]:[Team9 laps '[laps']]]) - intermediate_results[[#This Row], [Team4 laps '[laps']]]</f>
        <v>0.72092116173812215</v>
      </c>
      <c r="X167" s="1">
        <f>MAX(intermediate_results[[#This Row], [Team1 laps '[laps']]:[Team9 laps '[laps']]]) - intermediate_results[[#This Row], [Team5 laps '[laps']]]</f>
        <v>0.73092758930759771</v>
      </c>
      <c r="Y167" s="1">
        <f>MAX(intermediate_results[[#This Row], [Team1 laps '[laps']]:[Team9 laps '[laps']]]) - intermediate_results[[#This Row], [Team6 laps '[laps']]]</f>
        <v>0.96526927125367834</v>
      </c>
      <c r="Z167" s="1">
        <f>MAX(intermediate_results[[#This Row], [Team1 laps '[laps']]:[Team9 laps '[laps']]]) - intermediate_results[[#This Row], [Team7 laps '[laps']]]</f>
        <v>0.71667558886509752</v>
      </c>
      <c r="AA167" s="1">
        <f>MAX(intermediate_results[[#This Row], [Team1 laps '[laps']]:[Team9 laps '[laps']]]) - intermediate_results[[#This Row], [Team8 laps '[laps']]]</f>
        <v>1.2836292497918791</v>
      </c>
      <c r="AB167" s="1">
        <f>MAX(intermediate_results[[#This Row], [Team1 laps '[laps']]:[Team9 laps '[laps']]]) - intermediate_results[[#This Row], [Team9 laps '[laps']]]</f>
        <v>1.2499121788364249</v>
      </c>
      <c r="AC167" s="1">
        <f>9 * intermediate_results[[#This Row], [All cumulative times '[sec']]] / SUM(intermediate_results[[#This Row], [Team1 laps '[laps']]:[Team9 laps '[laps']]])</f>
        <v>54.735582673886164</v>
      </c>
      <c r="AD167" s="1">
        <f>intermediate_results[[#This Row], [All cumulative times '[sec']]] / intermediate_results[[#This Row], [Team1 laps '[laps']]] - intermediate_results[[#This Row], [Total running average '[sec']]]</f>
        <v>-1.8991906916430779</v>
      </c>
      <c r="AE167" s="1">
        <f>intermediate_results[[#This Row], [All cumulative times '[sec']]] / intermediate_results[[#This Row], [Team2 laps '[laps']]] - intermediate_results[[#This Row], [Total running average '[sec']]]</f>
        <v>-1.5872489790520277</v>
      </c>
      <c r="AF167" s="1">
        <f>intermediate_results[[#This Row], [All cumulative times '[sec']]] / intermediate_results[[#This Row], [Team3 laps '[laps']]] - intermediate_results[[#This Row], [Total running average '[sec']]]</f>
        <v>-0.87750156586160699</v>
      </c>
      <c r="AG167" s="1">
        <f>intermediate_results[[#This Row], [All cumulative times '[sec']]] / intermediate_results[[#This Row], [Team4 laps '[laps']]] - intermediate_results[[#This Row], [Total running average '[sec']]]</f>
        <v>0.1060401738125023</v>
      </c>
      <c r="AH167" s="1">
        <f>intermediate_results[[#This Row], [All cumulative times '[sec']]] / intermediate_results[[#This Row], [Team5 laps '[laps']]] - intermediate_results[[#This Row], [Total running average '[sec']]]</f>
        <v>0.1349444196094467</v>
      </c>
      <c r="AI167" s="1">
        <f>intermediate_results[[#This Row], [All cumulative times '[sec']]] / intermediate_results[[#This Row], [Team6 laps '[laps']]] - intermediate_results[[#This Row], [Total running average '[sec']]]</f>
        <v>0.82067707296680936</v>
      </c>
      <c r="AJ167" s="1">
        <f>intermediate_results[[#This Row], [All cumulative times '[sec']]] / intermediate_results[[#This Row], [Team7 laps '[laps']]] - intermediate_results[[#This Row], [Total running average '[sec']]]</f>
        <v>9.3785747166457156E-2</v>
      </c>
      <c r="AK167" s="1">
        <f>intermediate_results[[#This Row], [All cumulative times '[sec']]] / intermediate_results[[#This Row], [Team8 laps '[laps']]] - intermediate_results[[#This Row], [Total running average '[sec']]]</f>
        <v>1.7801977802510578</v>
      </c>
      <c r="AL167" s="1">
        <f>intermediate_results[[#This Row], [All cumulative times '[sec']]] / intermediate_results[[#This Row], [Team9 laps '[laps']]] - intermediate_results[[#This Row], [Total running average '[sec']]]</f>
        <v>1.6770098778901996</v>
      </c>
    </row>
    <row r="168" spans="1:38" x14ac:dyDescent="0.25">
      <c r="A168" s="1">
        <v>1041.9860000000001</v>
      </c>
      <c r="B168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19.721034720097894</v>
      </c>
      <c r="C168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19.605265148649675</v>
      </c>
      <c r="D168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19.346766330841731</v>
      </c>
      <c r="E168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19.000000000000004</v>
      </c>
      <c r="F168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18.989951694384011</v>
      </c>
      <c r="G168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18.755517092167896</v>
      </c>
      <c r="H168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19.004241544815276</v>
      </c>
      <c r="I168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18.437036259274819</v>
      </c>
      <c r="J168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18.470749702776423</v>
      </c>
      <c r="K168" s="1">
        <f>intermediate_results[[#This Row], [Team1 laps '[laps']]] - intermediate_results[[#This Row], [Team1 laps '[laps']]]</f>
        <v>0</v>
      </c>
      <c r="L168" s="1">
        <f>intermediate_results[[#This Row], [Team1 laps '[laps']]] - intermediate_results[[#This Row], [Team2 laps '[laps']]]</f>
        <v>0.11576957144821876</v>
      </c>
      <c r="M168" s="1">
        <f>intermediate_results[[#This Row], [Team1 laps '[laps']]] - intermediate_results[[#This Row], [Team3 laps '[laps']]]</f>
        <v>0.37426838925616224</v>
      </c>
      <c r="N168" s="1">
        <f>intermediate_results[[#This Row], [Team1 laps '[laps']]] - intermediate_results[[#This Row], [Team4 laps '[laps']]]</f>
        <v>0.72103472009789016</v>
      </c>
      <c r="O168" s="1">
        <f>intermediate_results[[#This Row], [Team1 laps '[laps']]] - intermediate_results[[#This Row], [Team5 laps '[laps']]]</f>
        <v>0.73108302571388251</v>
      </c>
      <c r="P168" s="1">
        <f>intermediate_results[[#This Row], [Team1 laps '[laps']]] - intermediate_results[[#This Row], [Team6 laps '[laps']]]</f>
        <v>0.96551762792999796</v>
      </c>
      <c r="Q168" s="1">
        <f>intermediate_results[[#This Row], [Team1 laps '[laps']]] - intermediate_results[[#This Row], [Team7 laps '[laps']]]</f>
        <v>0.71679317528261777</v>
      </c>
      <c r="R168" s="1">
        <f>intermediate_results[[#This Row], [Team1 laps '[laps']]] - intermediate_results[[#This Row], [Team8 laps '[laps']]]</f>
        <v>1.2839984608230743</v>
      </c>
      <c r="S168" s="1">
        <f>intermediate_results[[#This Row], [Team1 laps '[laps']]] - intermediate_results[[#This Row], [Team9 laps '[laps']]]</f>
        <v>1.2502850173214703</v>
      </c>
      <c r="T168" s="1">
        <f>MAX(intermediate_results[[#This Row], [Team1 laps '[laps']]:[Team9 laps '[laps']]]) - intermediate_results[[#This Row], [Team1 laps '[laps']]]</f>
        <v>0</v>
      </c>
      <c r="U168" s="1">
        <f>MAX(intermediate_results[[#This Row], [Team1 laps '[laps']]:[Team9 laps '[laps']]]) - intermediate_results[[#This Row], [Team2 laps '[laps']]]</f>
        <v>0.11576957144821876</v>
      </c>
      <c r="V168" s="1">
        <f>MAX(intermediate_results[[#This Row], [Team1 laps '[laps']]:[Team9 laps '[laps']]]) - intermediate_results[[#This Row], [Team3 laps '[laps']]]</f>
        <v>0.37426838925616224</v>
      </c>
      <c r="W168" s="1">
        <f>MAX(intermediate_results[[#This Row], [Team1 laps '[laps']]:[Team9 laps '[laps']]]) - intermediate_results[[#This Row], [Team4 laps '[laps']]]</f>
        <v>0.72103472009789016</v>
      </c>
      <c r="X168" s="1">
        <f>MAX(intermediate_results[[#This Row], [Team1 laps '[laps']]:[Team9 laps '[laps']]]) - intermediate_results[[#This Row], [Team5 laps '[laps']]]</f>
        <v>0.73108302571388251</v>
      </c>
      <c r="Y168" s="1">
        <f>MAX(intermediate_results[[#This Row], [Team1 laps '[laps']]:[Team9 laps '[laps']]]) - intermediate_results[[#This Row], [Team6 laps '[laps']]]</f>
        <v>0.96551762792999796</v>
      </c>
      <c r="Z168" s="1">
        <f>MAX(intermediate_results[[#This Row], [Team1 laps '[laps']]:[Team9 laps '[laps']]]) - intermediate_results[[#This Row], [Team7 laps '[laps']]]</f>
        <v>0.71679317528261777</v>
      </c>
      <c r="AA168" s="1">
        <f>MAX(intermediate_results[[#This Row], [Team1 laps '[laps']]:[Team9 laps '[laps']]]) - intermediate_results[[#This Row], [Team8 laps '[laps']]]</f>
        <v>1.2839984608230743</v>
      </c>
      <c r="AB168" s="1">
        <f>MAX(intermediate_results[[#This Row], [Team1 laps '[laps']]:[Team9 laps '[laps']]]) - intermediate_results[[#This Row], [Team9 laps '[laps']]]</f>
        <v>1.2502850173214703</v>
      </c>
      <c r="AC168" s="1">
        <f>9 * intermediate_results[[#This Row], [All cumulative times '[sec']]] / SUM(intermediate_results[[#This Row], [Team1 laps '[laps']]:[Team9 laps '[laps']]])</f>
        <v>54.735558347231397</v>
      </c>
      <c r="AD168" s="1">
        <f>intermediate_results[[#This Row], [All cumulative times '[sec']]] / intermediate_results[[#This Row], [Team1 laps '[laps']]] - intermediate_results[[#This Row], [Total running average '[sec']]]</f>
        <v>-1.8992840447424797</v>
      </c>
      <c r="AE168" s="1">
        <f>intermediate_results[[#This Row], [All cumulative times '[sec']]] / intermediate_results[[#This Row], [Team2 laps '[laps']]] - intermediate_results[[#This Row], [Total running average '[sec']]]</f>
        <v>-1.5872845493752337</v>
      </c>
      <c r="AF168" s="1">
        <f>intermediate_results[[#This Row], [All cumulative times '[sec']]] / intermediate_results[[#This Row], [Team3 laps '[laps']]] - intermediate_results[[#This Row], [Total running average '[sec']]]</f>
        <v>-0.87715213187779284</v>
      </c>
      <c r="AG168" s="1">
        <f>intermediate_results[[#This Row], [All cumulative times '[sec']]] / intermediate_results[[#This Row], [Team4 laps '[laps']]] - intermediate_results[[#This Row], [Total running average '[sec']]]</f>
        <v>0.10581007382123175</v>
      </c>
      <c r="AH168" s="1">
        <f>intermediate_results[[#This Row], [All cumulative times '[sec']]] / intermediate_results[[#This Row], [Team5 laps '[laps']]] - intermediate_results[[#This Row], [Total running average '[sec']]]</f>
        <v>0.13482872743144014</v>
      </c>
      <c r="AI168" s="1">
        <f>intermediate_results[[#This Row], [All cumulative times '[sec']]] / intermediate_results[[#This Row], [Team6 laps '[laps']]] - intermediate_results[[#This Row], [Total running average '[sec']]]</f>
        <v>0.82068117842382549</v>
      </c>
      <c r="AJ168" s="1">
        <f>intermediate_results[[#This Row], [All cumulative times '[sec']]] / intermediate_results[[#This Row], [Team7 laps '[laps']]] - intermediate_results[[#This Row], [Total running average '[sec']]]</f>
        <v>9.357006301415538E-2</v>
      </c>
      <c r="AK168" s="1">
        <f>intermediate_results[[#This Row], [All cumulative times '[sec']]] / intermediate_results[[#This Row], [Team8 laps '[laps']]] - intermediate_results[[#This Row], [Total running average '[sec']]]</f>
        <v>1.7803580585751604</v>
      </c>
      <c r="AL168" s="1">
        <f>intermediate_results[[#This Row], [All cumulative times '[sec']]] / intermediate_results[[#This Row], [Team9 laps '[laps']]] - intermediate_results[[#This Row], [Total running average '[sec']]]</f>
        <v>1.6772032768067646</v>
      </c>
    </row>
    <row r="169" spans="1:38" x14ac:dyDescent="0.25">
      <c r="A169" s="1">
        <v>1042.5309999999999</v>
      </c>
      <c r="B169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19.731454573263999</v>
      </c>
      <c r="C169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19.615572282320901</v>
      </c>
      <c r="D169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19.356606362618713</v>
      </c>
      <c r="E169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19.010112630582825</v>
      </c>
      <c r="F169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18.999999999999996</v>
      </c>
      <c r="G169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18.76534328573489</v>
      </c>
      <c r="H169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19.014380325185105</v>
      </c>
      <c r="I169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18.446573568528631</v>
      </c>
      <c r="J169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18.480278341142739</v>
      </c>
      <c r="K169" s="1">
        <f>intermediate_results[[#This Row], [Team1 laps '[laps']]] - intermediate_results[[#This Row], [Team1 laps '[laps']]]</f>
        <v>0</v>
      </c>
      <c r="L169" s="1">
        <f>intermediate_results[[#This Row], [Team1 laps '[laps']]] - intermediate_results[[#This Row], [Team2 laps '[laps']]]</f>
        <v>0.1158822909430981</v>
      </c>
      <c r="M169" s="1">
        <f>intermediate_results[[#This Row], [Team1 laps '[laps']]] - intermediate_results[[#This Row], [Team3 laps '[laps']]]</f>
        <v>0.37484821064528617</v>
      </c>
      <c r="N169" s="1">
        <f>intermediate_results[[#This Row], [Team1 laps '[laps']]] - intermediate_results[[#This Row], [Team4 laps '[laps']]]</f>
        <v>0.72134194268117469</v>
      </c>
      <c r="O169" s="1">
        <f>intermediate_results[[#This Row], [Team1 laps '[laps']]] - intermediate_results[[#This Row], [Team5 laps '[laps']]]</f>
        <v>0.73145457326400276</v>
      </c>
      <c r="P169" s="1">
        <f>intermediate_results[[#This Row], [Team1 laps '[laps']]] - intermediate_results[[#This Row], [Team6 laps '[laps']]]</f>
        <v>0.96611128752910957</v>
      </c>
      <c r="Q169" s="1">
        <f>intermediate_results[[#This Row], [Team1 laps '[laps']]] - intermediate_results[[#This Row], [Team7 laps '[laps']]]</f>
        <v>0.71707424807889453</v>
      </c>
      <c r="R169" s="1">
        <f>intermediate_results[[#This Row], [Team1 laps '[laps']]] - intermediate_results[[#This Row], [Team8 laps '[laps']]]</f>
        <v>1.284881004735368</v>
      </c>
      <c r="S169" s="1">
        <f>intermediate_results[[#This Row], [Team1 laps '[laps']]] - intermediate_results[[#This Row], [Team9 laps '[laps']]]</f>
        <v>1.2511762321212601</v>
      </c>
      <c r="T169" s="1">
        <f>MAX(intermediate_results[[#This Row], [Team1 laps '[laps']]:[Team9 laps '[laps']]]) - intermediate_results[[#This Row], [Team1 laps '[laps']]]</f>
        <v>0</v>
      </c>
      <c r="U169" s="1">
        <f>MAX(intermediate_results[[#This Row], [Team1 laps '[laps']]:[Team9 laps '[laps']]]) - intermediate_results[[#This Row], [Team2 laps '[laps']]]</f>
        <v>0.1158822909430981</v>
      </c>
      <c r="V169" s="1">
        <f>MAX(intermediate_results[[#This Row], [Team1 laps '[laps']]:[Team9 laps '[laps']]]) - intermediate_results[[#This Row], [Team3 laps '[laps']]]</f>
        <v>0.37484821064528617</v>
      </c>
      <c r="W169" s="1">
        <f>MAX(intermediate_results[[#This Row], [Team1 laps '[laps']]:[Team9 laps '[laps']]]) - intermediate_results[[#This Row], [Team4 laps '[laps']]]</f>
        <v>0.72134194268117469</v>
      </c>
      <c r="X169" s="1">
        <f>MAX(intermediate_results[[#This Row], [Team1 laps '[laps']]:[Team9 laps '[laps']]]) - intermediate_results[[#This Row], [Team5 laps '[laps']]]</f>
        <v>0.73145457326400276</v>
      </c>
      <c r="Y169" s="1">
        <f>MAX(intermediate_results[[#This Row], [Team1 laps '[laps']]:[Team9 laps '[laps']]]) - intermediate_results[[#This Row], [Team6 laps '[laps']]]</f>
        <v>0.96611128752910957</v>
      </c>
      <c r="Z169" s="1">
        <f>MAX(intermediate_results[[#This Row], [Team1 laps '[laps']]:[Team9 laps '[laps']]]) - intermediate_results[[#This Row], [Team7 laps '[laps']]]</f>
        <v>0.71707424807889453</v>
      </c>
      <c r="AA169" s="1">
        <f>MAX(intermediate_results[[#This Row], [Team1 laps '[laps']]:[Team9 laps '[laps']]]) - intermediate_results[[#This Row], [Team8 laps '[laps']]]</f>
        <v>1.284881004735368</v>
      </c>
      <c r="AB169" s="1">
        <f>MAX(intermediate_results[[#This Row], [Team1 laps '[laps']]:[Team9 laps '[laps']]]) - intermediate_results[[#This Row], [Team9 laps '[laps']]]</f>
        <v>1.2511762321212601</v>
      </c>
      <c r="AC169" s="1">
        <f>9 * intermediate_results[[#This Row], [All cumulative times '[sec']]] / SUM(intermediate_results[[#This Row], [Team1 laps '[laps']]:[Team9 laps '[laps']]])</f>
        <v>54.735511665398853</v>
      </c>
      <c r="AD169" s="1">
        <f>intermediate_results[[#This Row], [All cumulative times '[sec']]] / intermediate_results[[#This Row], [Team1 laps '[laps']]] - intermediate_results[[#This Row], [Total running average '[sec']]]</f>
        <v>-1.8995184481211425</v>
      </c>
      <c r="AE169" s="1">
        <f>intermediate_results[[#This Row], [All cumulative times '[sec']]] / intermediate_results[[#This Row], [Team2 laps '[laps']]] - intermediate_results[[#This Row], [Total running average '[sec']]]</f>
        <v>-1.5873809356311028</v>
      </c>
      <c r="AF169" s="1">
        <f>intermediate_results[[#This Row], [All cumulative times '[sec']]] / intermediate_results[[#This Row], [Team3 laps '[laps']]] - intermediate_results[[#This Row], [Total running average '[sec']]]</f>
        <v>-0.87632888977938705</v>
      </c>
      <c r="AG169" s="1">
        <f>intermediate_results[[#This Row], [All cumulative times '[sec']]] / intermediate_results[[#This Row], [Team4 laps '[laps']]] - intermediate_results[[#This Row], [Total running average '[sec']]]</f>
        <v>0.10535226103635864</v>
      </c>
      <c r="AH169" s="1">
        <f>intermediate_results[[#This Row], [All cumulative times '[sec']]] / intermediate_results[[#This Row], [Team5 laps '[laps']]] - intermediate_results[[#This Row], [Total running average '[sec']]]</f>
        <v>0.13454096618010425</v>
      </c>
      <c r="AI169" s="1">
        <f>intermediate_results[[#This Row], [All cumulative times '[sec']]] / intermediate_results[[#This Row], [Team6 laps '[laps']]] - intermediate_results[[#This Row], [Total running average '[sec']]]</f>
        <v>0.82067956039743706</v>
      </c>
      <c r="AJ169" s="1">
        <f>intermediate_results[[#This Row], [All cumulative times '[sec']]] / intermediate_results[[#This Row], [Team7 laps '[laps']]] - intermediate_results[[#This Row], [Total running average '[sec']]]</f>
        <v>9.3043468692847853E-2</v>
      </c>
      <c r="AK169" s="1">
        <f>intermediate_results[[#This Row], [All cumulative times '[sec']]] / intermediate_results[[#This Row], [Team8 laps '[laps']]] - intermediate_results[[#This Row], [Total running average '[sec']]]</f>
        <v>1.7807294742913626</v>
      </c>
      <c r="AL169" s="1">
        <f>intermediate_results[[#This Row], [All cumulative times '[sec']]] / intermediate_results[[#This Row], [Team9 laps '[laps']]] - intermediate_results[[#This Row], [Total running average '[sec']]]</f>
        <v>1.6776538051129108</v>
      </c>
    </row>
    <row r="170" spans="1:38" x14ac:dyDescent="0.25">
      <c r="A170" s="1">
        <v>1055.546</v>
      </c>
      <c r="B170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19.980288314469263</v>
      </c>
      <c r="C170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19.861714199258643</v>
      </c>
      <c r="D170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19.591593543494746</v>
      </c>
      <c r="E170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19.251609671014791</v>
      </c>
      <c r="F170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19.235855895038235</v>
      </c>
      <c r="G170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19</v>
      </c>
      <c r="H170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19.256501841723413</v>
      </c>
      <c r="I170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18.674331513369737</v>
      </c>
      <c r="J170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18.707829218826497</v>
      </c>
      <c r="K170" s="1">
        <f>intermediate_results[[#This Row], [Team1 laps '[laps']]] - intermediate_results[[#This Row], [Team1 laps '[laps']]]</f>
        <v>0</v>
      </c>
      <c r="L170" s="1">
        <f>intermediate_results[[#This Row], [Team1 laps '[laps']]] - intermediate_results[[#This Row], [Team2 laps '[laps']]]</f>
        <v>0.11857411521062033</v>
      </c>
      <c r="M170" s="1">
        <f>intermediate_results[[#This Row], [Team1 laps '[laps']]] - intermediate_results[[#This Row], [Team3 laps '[laps']]]</f>
        <v>0.38869477097451721</v>
      </c>
      <c r="N170" s="1">
        <f>intermediate_results[[#This Row], [Team1 laps '[laps']]] - intermediate_results[[#This Row], [Team4 laps '[laps']]]</f>
        <v>0.72867864345447231</v>
      </c>
      <c r="O170" s="1">
        <f>intermediate_results[[#This Row], [Team1 laps '[laps']]] - intermediate_results[[#This Row], [Team5 laps '[laps']]]</f>
        <v>0.74443241943102834</v>
      </c>
      <c r="P170" s="1">
        <f>intermediate_results[[#This Row], [Team1 laps '[laps']]] - intermediate_results[[#This Row], [Team6 laps '[laps']]]</f>
        <v>0.9802883144692629</v>
      </c>
      <c r="Q170" s="1">
        <f>intermediate_results[[#This Row], [Team1 laps '[laps']]] - intermediate_results[[#This Row], [Team7 laps '[laps']]]</f>
        <v>0.72378647274585006</v>
      </c>
      <c r="R170" s="1">
        <f>intermediate_results[[#This Row], [Team1 laps '[laps']]] - intermediate_results[[#This Row], [Team8 laps '[laps']]]</f>
        <v>1.3059568010995264</v>
      </c>
      <c r="S170" s="1">
        <f>intermediate_results[[#This Row], [Team1 laps '[laps']]] - intermediate_results[[#This Row], [Team9 laps '[laps']]]</f>
        <v>1.2724590956427662</v>
      </c>
      <c r="T170" s="1">
        <f>MAX(intermediate_results[[#This Row], [Team1 laps '[laps']]:[Team9 laps '[laps']]]) - intermediate_results[[#This Row], [Team1 laps '[laps']]]</f>
        <v>0</v>
      </c>
      <c r="U170" s="1">
        <f>MAX(intermediate_results[[#This Row], [Team1 laps '[laps']]:[Team9 laps '[laps']]]) - intermediate_results[[#This Row], [Team2 laps '[laps']]]</f>
        <v>0.11857411521062033</v>
      </c>
      <c r="V170" s="1">
        <f>MAX(intermediate_results[[#This Row], [Team1 laps '[laps']]:[Team9 laps '[laps']]]) - intermediate_results[[#This Row], [Team3 laps '[laps']]]</f>
        <v>0.38869477097451721</v>
      </c>
      <c r="W170" s="1">
        <f>MAX(intermediate_results[[#This Row], [Team1 laps '[laps']]:[Team9 laps '[laps']]]) - intermediate_results[[#This Row], [Team4 laps '[laps']]]</f>
        <v>0.72867864345447231</v>
      </c>
      <c r="X170" s="1">
        <f>MAX(intermediate_results[[#This Row], [Team1 laps '[laps']]:[Team9 laps '[laps']]]) - intermediate_results[[#This Row], [Team5 laps '[laps']]]</f>
        <v>0.74443241943102834</v>
      </c>
      <c r="Y170" s="1">
        <f>MAX(intermediate_results[[#This Row], [Team1 laps '[laps']]:[Team9 laps '[laps']]]) - intermediate_results[[#This Row], [Team6 laps '[laps']]]</f>
        <v>0.9802883144692629</v>
      </c>
      <c r="Z170" s="1">
        <f>MAX(intermediate_results[[#This Row], [Team1 laps '[laps']]:[Team9 laps '[laps']]]) - intermediate_results[[#This Row], [Team7 laps '[laps']]]</f>
        <v>0.72378647274585006</v>
      </c>
      <c r="AA170" s="1">
        <f>MAX(intermediate_results[[#This Row], [Team1 laps '[laps']]:[Team9 laps '[laps']]]) - intermediate_results[[#This Row], [Team8 laps '[laps']]]</f>
        <v>1.3059568010995264</v>
      </c>
      <c r="AB170" s="1">
        <f>MAX(intermediate_results[[#This Row], [Team1 laps '[laps']]:[Team9 laps '[laps']]]) - intermediate_results[[#This Row], [Team9 laps '[laps']]]</f>
        <v>1.2724590956427662</v>
      </c>
      <c r="AC170" s="1">
        <f>9 * intermediate_results[[#This Row], [All cumulative times '[sec']]] / SUM(intermediate_results[[#This Row], [Team1 laps '[laps']]:[Team9 laps '[laps']]])</f>
        <v>54.735705786247827</v>
      </c>
      <c r="AD170" s="1">
        <f>intermediate_results[[#This Row], [All cumulative times '[sec']]] / intermediate_results[[#This Row], [Team1 laps '[laps']]] - intermediate_results[[#This Row], [Total running average '[sec']]]</f>
        <v>-1.9063379920104424</v>
      </c>
      <c r="AE170" s="1">
        <f>intermediate_results[[#This Row], [All cumulative times '[sec']]] / intermediate_results[[#This Row], [Team2 laps '[laps']]] - intermediate_results[[#This Row], [Total running average '[sec']]]</f>
        <v>-1.5909475136008808</v>
      </c>
      <c r="AF170" s="1">
        <f>intermediate_results[[#This Row], [All cumulative times '[sec']]] / intermediate_results[[#This Row], [Team3 laps '[laps']]] - intermediate_results[[#This Row], [Total running average '[sec']]]</f>
        <v>-0.858209927801596</v>
      </c>
      <c r="AG170" s="1">
        <f>intermediate_results[[#This Row], [All cumulative times '[sec']]] / intermediate_results[[#This Row], [Team4 laps '[laps']]] - intermediate_results[[#This Row], [Total running average '[sec']]]</f>
        <v>9.3267896364764624E-2</v>
      </c>
      <c r="AH170" s="1">
        <f>intermediate_results[[#This Row], [All cumulative times '[sec']]] / intermediate_results[[#This Row], [Team5 laps '[laps']]] - intermediate_results[[#This Row], [Total running average '[sec']]]</f>
        <v>0.13817171416905438</v>
      </c>
      <c r="AI170" s="1">
        <f>intermediate_results[[#This Row], [All cumulative times '[sec']]] / intermediate_results[[#This Row], [Team6 laps '[laps']]] - intermediate_results[[#This Row], [Total running average '[sec']]]</f>
        <v>0.81934684533112545</v>
      </c>
      <c r="AJ170" s="1">
        <f>intermediate_results[[#This Row], [All cumulative times '[sec']]] / intermediate_results[[#This Row], [Team7 laps '[laps']]] - intermediate_results[[#This Row], [Total running average '[sec']]]</f>
        <v>7.9338434968370564E-2</v>
      </c>
      <c r="AK170" s="1">
        <f>intermediate_results[[#This Row], [All cumulative times '[sec']]] / intermediate_results[[#This Row], [Team8 laps '[laps']]] - intermediate_results[[#This Row], [Total running average '[sec']]]</f>
        <v>1.7881916953991279</v>
      </c>
      <c r="AL170" s="1">
        <f>intermediate_results[[#This Row], [All cumulative times '[sec']]] / intermediate_results[[#This Row], [Team9 laps '[laps']]] - intermediate_results[[#This Row], [Total running average '[sec']]]</f>
        <v>1.6869816166154905</v>
      </c>
    </row>
    <row r="171" spans="1:38" x14ac:dyDescent="0.25">
      <c r="A171" s="1">
        <v>1056.577</v>
      </c>
      <c r="B171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20.000000000000004</v>
      </c>
      <c r="C171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19.881212648460551</v>
      </c>
      <c r="D171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19.610208355902213</v>
      </c>
      <c r="E171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19.270740170337522</v>
      </c>
      <c r="F171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19.254539523757742</v>
      </c>
      <c r="G171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19.018241007767024</v>
      </c>
      <c r="H171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19.275681809725793</v>
      </c>
      <c r="I171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18.692373652526953</v>
      </c>
      <c r="J171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18.725854954891954</v>
      </c>
      <c r="K171" s="1">
        <f>intermediate_results[[#This Row], [Team1 laps '[laps']]] - intermediate_results[[#This Row], [Team1 laps '[laps']]]</f>
        <v>0</v>
      </c>
      <c r="L171" s="1">
        <f>intermediate_results[[#This Row], [Team1 laps '[laps']]] - intermediate_results[[#This Row], [Team2 laps '[laps']]]</f>
        <v>0.11878735153945286</v>
      </c>
      <c r="M171" s="1">
        <f>intermediate_results[[#This Row], [Team1 laps '[laps']]] - intermediate_results[[#This Row], [Team3 laps '[laps']]]</f>
        <v>0.38979164409779088</v>
      </c>
      <c r="N171" s="1">
        <f>intermediate_results[[#This Row], [Team1 laps '[laps']]] - intermediate_results[[#This Row], [Team4 laps '[laps']]]</f>
        <v>0.72925982966248171</v>
      </c>
      <c r="O171" s="1">
        <f>intermediate_results[[#This Row], [Team1 laps '[laps']]] - intermediate_results[[#This Row], [Team5 laps '[laps']]]</f>
        <v>0.74546047624226119</v>
      </c>
      <c r="P171" s="1">
        <f>intermediate_results[[#This Row], [Team1 laps '[laps']]] - intermediate_results[[#This Row], [Team6 laps '[laps']]]</f>
        <v>0.98175899223297947</v>
      </c>
      <c r="Q171" s="1">
        <f>intermediate_results[[#This Row], [Team1 laps '[laps']]] - intermediate_results[[#This Row], [Team7 laps '[laps']]]</f>
        <v>0.72431819027421085</v>
      </c>
      <c r="R171" s="1">
        <f>intermediate_results[[#This Row], [Team1 laps '[laps']]] - intermediate_results[[#This Row], [Team8 laps '[laps']]]</f>
        <v>1.3076263474730503</v>
      </c>
      <c r="S171" s="1">
        <f>intermediate_results[[#This Row], [Team1 laps '[laps']]] - intermediate_results[[#This Row], [Team9 laps '[laps']]]</f>
        <v>1.2741450451080496</v>
      </c>
      <c r="T171" s="1">
        <f>MAX(intermediate_results[[#This Row], [Team1 laps '[laps']]:[Team9 laps '[laps']]]) - intermediate_results[[#This Row], [Team1 laps '[laps']]]</f>
        <v>0</v>
      </c>
      <c r="U171" s="1">
        <f>MAX(intermediate_results[[#This Row], [Team1 laps '[laps']]:[Team9 laps '[laps']]]) - intermediate_results[[#This Row], [Team2 laps '[laps']]]</f>
        <v>0.11878735153945286</v>
      </c>
      <c r="V171" s="1">
        <f>MAX(intermediate_results[[#This Row], [Team1 laps '[laps']]:[Team9 laps '[laps']]]) - intermediate_results[[#This Row], [Team3 laps '[laps']]]</f>
        <v>0.38979164409779088</v>
      </c>
      <c r="W171" s="1">
        <f>MAX(intermediate_results[[#This Row], [Team1 laps '[laps']]:[Team9 laps '[laps']]]) - intermediate_results[[#This Row], [Team4 laps '[laps']]]</f>
        <v>0.72925982966248171</v>
      </c>
      <c r="X171" s="1">
        <f>MAX(intermediate_results[[#This Row], [Team1 laps '[laps']]:[Team9 laps '[laps']]]) - intermediate_results[[#This Row], [Team5 laps '[laps']]]</f>
        <v>0.74546047624226119</v>
      </c>
      <c r="Y171" s="1">
        <f>MAX(intermediate_results[[#This Row], [Team1 laps '[laps']]:[Team9 laps '[laps']]]) - intermediate_results[[#This Row], [Team6 laps '[laps']]]</f>
        <v>0.98175899223297947</v>
      </c>
      <c r="Z171" s="1">
        <f>MAX(intermediate_results[[#This Row], [Team1 laps '[laps']]:[Team9 laps '[laps']]]) - intermediate_results[[#This Row], [Team7 laps '[laps']]]</f>
        <v>0.72431819027421085</v>
      </c>
      <c r="AA171" s="1">
        <f>MAX(intermediate_results[[#This Row], [Team1 laps '[laps']]:[Team9 laps '[laps']]]) - intermediate_results[[#This Row], [Team8 laps '[laps']]]</f>
        <v>1.3076263474730503</v>
      </c>
      <c r="AB171" s="1">
        <f>MAX(intermediate_results[[#This Row], [Team1 laps '[laps']]:[Team9 laps '[laps']]]) - intermediate_results[[#This Row], [Team9 laps '[laps']]]</f>
        <v>1.2741450451080496</v>
      </c>
      <c r="AC171" s="1">
        <f>9 * intermediate_results[[#This Row], [All cumulative times '[sec']]] / SUM(intermediate_results[[#This Row], [Team1 laps '[laps']]:[Team9 laps '[laps']]])</f>
        <v>54.73583048397311</v>
      </c>
      <c r="AD171" s="1">
        <f>intermediate_results[[#This Row], [All cumulative times '[sec']]] / intermediate_results[[#This Row], [Team1 laps '[laps']]] - intermediate_results[[#This Row], [Total running average '[sec']]]</f>
        <v>-1.9069804839731219</v>
      </c>
      <c r="AE171" s="1">
        <f>intermediate_results[[#This Row], [All cumulative times '[sec']]] / intermediate_results[[#This Row], [Team2 laps '[laps']]] - intermediate_results[[#This Row], [Total running average '[sec']]]</f>
        <v>-1.5913357953247669</v>
      </c>
      <c r="AF171" s="1">
        <f>intermediate_results[[#This Row], [All cumulative times '[sec']]] / intermediate_results[[#This Row], [Team3 laps '[laps']]] - intermediate_results[[#This Row], [Total running average '[sec']]]</f>
        <v>-0.85690269165339572</v>
      </c>
      <c r="AG171" s="1">
        <f>intermediate_results[[#This Row], [All cumulative times '[sec']]] / intermediate_results[[#This Row], [Team4 laps '[laps']]] - intermediate_results[[#This Row], [Total running average '[sec']]]</f>
        <v>9.2214036409956179E-2</v>
      </c>
      <c r="AH171" s="1">
        <f>intermediate_results[[#This Row], [All cumulative times '[sec']]] / intermediate_results[[#This Row], [Team5 laps '[laps']]] - intermediate_results[[#This Row], [Total running average '[sec']]]</f>
        <v>0.13834600289189325</v>
      </c>
      <c r="AI171" s="1">
        <f>intermediate_results[[#This Row], [All cumulative times '[sec']]] / intermediate_results[[#This Row], [Team6 laps '[laps']]] - intermediate_results[[#This Row], [Total running average '[sec']]]</f>
        <v>0.82014861885219403</v>
      </c>
      <c r="AJ171" s="1">
        <f>intermediate_results[[#This Row], [All cumulative times '[sec']]] / intermediate_results[[#This Row], [Team7 laps '[laps']]] - intermediate_results[[#This Row], [Total running average '[sec']]]</f>
        <v>7.8157961659485409E-2</v>
      </c>
      <c r="AK171" s="1">
        <f>intermediate_results[[#This Row], [All cumulative times '[sec']]] / intermediate_results[[#This Row], [Team8 laps '[laps']]] - intermediate_results[[#This Row], [Total running average '[sec']]]</f>
        <v>1.7886655292534002</v>
      </c>
      <c r="AL171" s="1">
        <f>intermediate_results[[#This Row], [All cumulative times '[sec']]] / intermediate_results[[#This Row], [Team9 laps '[laps']]] - intermediate_results[[#This Row], [Total running average '[sec']]]</f>
        <v>1.6876013190153643</v>
      </c>
    </row>
    <row r="172" spans="1:38" x14ac:dyDescent="0.25">
      <c r="A172" s="1">
        <v>1062.8579999999999</v>
      </c>
      <c r="B172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20.120155335348361</v>
      </c>
      <c r="C172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20</v>
      </c>
      <c r="D172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19.723612465243924</v>
      </c>
      <c r="E172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19.387285918393857</v>
      </c>
      <c r="F172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19.368362871950993</v>
      </c>
      <c r="G172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19.129367845579516</v>
      </c>
      <c r="H172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19.392528928079773</v>
      </c>
      <c r="I172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18.802288954220916</v>
      </c>
      <c r="J172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18.835670326596269</v>
      </c>
      <c r="K172" s="1">
        <f>intermediate_results[[#This Row], [Team1 laps '[laps']]] - intermediate_results[[#This Row], [Team1 laps '[laps']]]</f>
        <v>0</v>
      </c>
      <c r="L172" s="1">
        <f>intermediate_results[[#This Row], [Team1 laps '[laps']]] - intermediate_results[[#This Row], [Team2 laps '[laps']]]</f>
        <v>0.12015533534836109</v>
      </c>
      <c r="M172" s="1">
        <f>intermediate_results[[#This Row], [Team1 laps '[laps']]] - intermediate_results[[#This Row], [Team3 laps '[laps']]]</f>
        <v>0.39654287010443667</v>
      </c>
      <c r="N172" s="1">
        <f>intermediate_results[[#This Row], [Team1 laps '[laps']]] - intermediate_results[[#This Row], [Team4 laps '[laps']]]</f>
        <v>0.73286941695450381</v>
      </c>
      <c r="O172" s="1">
        <f>intermediate_results[[#This Row], [Team1 laps '[laps']]] - intermediate_results[[#This Row], [Team5 laps '[laps']]]</f>
        <v>0.75179246339736849</v>
      </c>
      <c r="P172" s="1">
        <f>intermediate_results[[#This Row], [Team1 laps '[laps']]] - intermediate_results[[#This Row], [Team6 laps '[laps']]]</f>
        <v>0.99078748976884512</v>
      </c>
      <c r="Q172" s="1">
        <f>intermediate_results[[#This Row], [Team1 laps '[laps']]] - intermediate_results[[#This Row], [Team7 laps '[laps']]]</f>
        <v>0.72762640726858763</v>
      </c>
      <c r="R172" s="1">
        <f>intermediate_results[[#This Row], [Team1 laps '[laps']]] - intermediate_results[[#This Row], [Team8 laps '[laps']]]</f>
        <v>1.3178663811274447</v>
      </c>
      <c r="S172" s="1">
        <f>intermediate_results[[#This Row], [Team1 laps '[laps']]] - intermediate_results[[#This Row], [Team9 laps '[laps']]]</f>
        <v>1.2844850087520925</v>
      </c>
      <c r="T172" s="1">
        <f>MAX(intermediate_results[[#This Row], [Team1 laps '[laps']]:[Team9 laps '[laps']]]) - intermediate_results[[#This Row], [Team1 laps '[laps']]]</f>
        <v>0</v>
      </c>
      <c r="U172" s="1">
        <f>MAX(intermediate_results[[#This Row], [Team1 laps '[laps']]:[Team9 laps '[laps']]]) - intermediate_results[[#This Row], [Team2 laps '[laps']]]</f>
        <v>0.12015533534836109</v>
      </c>
      <c r="V172" s="1">
        <f>MAX(intermediate_results[[#This Row], [Team1 laps '[laps']]:[Team9 laps '[laps']]]) - intermediate_results[[#This Row], [Team3 laps '[laps']]]</f>
        <v>0.39654287010443667</v>
      </c>
      <c r="W172" s="1">
        <f>MAX(intermediate_results[[#This Row], [Team1 laps '[laps']]:[Team9 laps '[laps']]]) - intermediate_results[[#This Row], [Team4 laps '[laps']]]</f>
        <v>0.73286941695450381</v>
      </c>
      <c r="X172" s="1">
        <f>MAX(intermediate_results[[#This Row], [Team1 laps '[laps']]:[Team9 laps '[laps']]]) - intermediate_results[[#This Row], [Team5 laps '[laps']]]</f>
        <v>0.75179246339736849</v>
      </c>
      <c r="Y172" s="1">
        <f>MAX(intermediate_results[[#This Row], [Team1 laps '[laps']]:[Team9 laps '[laps']]]) - intermediate_results[[#This Row], [Team6 laps '[laps']]]</f>
        <v>0.99078748976884512</v>
      </c>
      <c r="Z172" s="1">
        <f>MAX(intermediate_results[[#This Row], [Team1 laps '[laps']]:[Team9 laps '[laps']]]) - intermediate_results[[#This Row], [Team7 laps '[laps']]]</f>
        <v>0.72762640726858763</v>
      </c>
      <c r="AA172" s="1">
        <f>MAX(intermediate_results[[#This Row], [Team1 laps '[laps']]:[Team9 laps '[laps']]]) - intermediate_results[[#This Row], [Team8 laps '[laps']]]</f>
        <v>1.3178663811274447</v>
      </c>
      <c r="AB172" s="1">
        <f>MAX(intermediate_results[[#This Row], [Team1 laps '[laps']]:[Team9 laps '[laps']]]) - intermediate_results[[#This Row], [Team9 laps '[laps']]]</f>
        <v>1.2844850087520925</v>
      </c>
      <c r="AC172" s="1">
        <f>9 * intermediate_results[[#This Row], [All cumulative times '[sec']]] / SUM(intermediate_results[[#This Row], [Team1 laps '[laps']]:[Team9 laps '[laps']]])</f>
        <v>54.736563360553916</v>
      </c>
      <c r="AD172" s="1">
        <f>intermediate_results[[#This Row], [All cumulative times '[sec']]] / intermediate_results[[#This Row], [Team1 laps '[laps']]] - intermediate_results[[#This Row], [Total running average '[sec']]]</f>
        <v>-1.9110268631937899</v>
      </c>
      <c r="AE172" s="1">
        <f>intermediate_results[[#This Row], [All cumulative times '[sec']]] / intermediate_results[[#This Row], [Team2 laps '[laps']]] - intermediate_results[[#This Row], [Total running average '[sec']]]</f>
        <v>-1.5936633605539186</v>
      </c>
      <c r="AF172" s="1">
        <f>intermediate_results[[#This Row], [All cumulative times '[sec']]] / intermediate_results[[#This Row], [Team3 laps '[laps']]] - intermediate_results[[#This Row], [Total running average '[sec']]]</f>
        <v>-0.84897041210589919</v>
      </c>
      <c r="AG172" s="1">
        <f>intermediate_results[[#This Row], [All cumulative times '[sec']]] / intermediate_results[[#This Row], [Team4 laps '[laps']]] - intermediate_results[[#This Row], [Total running average '[sec']]]</f>
        <v>8.5860184126161698E-2</v>
      </c>
      <c r="AH172" s="1">
        <f>intermediate_results[[#This Row], [All cumulative times '[sec']]] / intermediate_results[[#This Row], [Team5 laps '[laps']]] - intermediate_results[[#This Row], [Total running average '[sec']]]</f>
        <v>0.13942213325448449</v>
      </c>
      <c r="AI172" s="1">
        <f>intermediate_results[[#This Row], [All cumulative times '[sec']]] / intermediate_results[[#This Row], [Team6 laps '[laps']]] - intermediate_results[[#This Row], [Total running average '[sec']]]</f>
        <v>0.82502176760331736</v>
      </c>
      <c r="AJ172" s="1">
        <f>intermediate_results[[#This Row], [All cumulative times '[sec']]] / intermediate_results[[#This Row], [Team7 laps '[laps']]] - intermediate_results[[#This Row], [Total running average '[sec']]]</f>
        <v>7.1038264885196156E-2</v>
      </c>
      <c r="AK172" s="1">
        <f>intermediate_results[[#This Row], [All cumulative times '[sec']]] / intermediate_results[[#This Row], [Team8 laps '[laps']]] - intermediate_results[[#This Row], [Total running average '[sec']]]</f>
        <v>1.791554178103496</v>
      </c>
      <c r="AL172" s="1">
        <f>intermediate_results[[#This Row], [All cumulative times '[sec']]] / intermediate_results[[#This Row], [Team9 laps '[laps']]] - intermediate_results[[#This Row], [Total running average '[sec']]]</f>
        <v>1.6913726550402544</v>
      </c>
    </row>
    <row r="173" spans="1:38" x14ac:dyDescent="0.25">
      <c r="A173" s="1">
        <v>1072.2570000000001</v>
      </c>
      <c r="B173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20.299957914068184</v>
      </c>
      <c r="C173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20.177695012666845</v>
      </c>
      <c r="D173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19.89331238941249</v>
      </c>
      <c r="E173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19.561687046555214</v>
      </c>
      <c r="F173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19.538690152585986</v>
      </c>
      <c r="G173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19.295660020169496</v>
      </c>
      <c r="H173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19.567381032109243</v>
      </c>
      <c r="I173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18.966768164636711</v>
      </c>
      <c r="J173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19.000000000000004</v>
      </c>
      <c r="K173" s="1">
        <f>intermediate_results[[#This Row], [Team1 laps '[laps']]] - intermediate_results[[#This Row], [Team1 laps '[laps']]]</f>
        <v>0</v>
      </c>
      <c r="L173" s="1">
        <f>intermediate_results[[#This Row], [Team1 laps '[laps']]] - intermediate_results[[#This Row], [Team2 laps '[laps']]]</f>
        <v>0.12226290140133855</v>
      </c>
      <c r="M173" s="1">
        <f>intermediate_results[[#This Row], [Team1 laps '[laps']]] - intermediate_results[[#This Row], [Team3 laps '[laps']]]</f>
        <v>0.40664552465569415</v>
      </c>
      <c r="N173" s="1">
        <f>intermediate_results[[#This Row], [Team1 laps '[laps']]] - intermediate_results[[#This Row], [Team4 laps '[laps']]]</f>
        <v>0.73827086751296989</v>
      </c>
      <c r="O173" s="1">
        <f>intermediate_results[[#This Row], [Team1 laps '[laps']]] - intermediate_results[[#This Row], [Team5 laps '[laps']]]</f>
        <v>0.76126776148219832</v>
      </c>
      <c r="P173" s="1">
        <f>intermediate_results[[#This Row], [Team1 laps '[laps']]] - intermediate_results[[#This Row], [Team6 laps '[laps']]]</f>
        <v>1.0042978938986877</v>
      </c>
      <c r="Q173" s="1">
        <f>intermediate_results[[#This Row], [Team1 laps '[laps']]] - intermediate_results[[#This Row], [Team7 laps '[laps']]]</f>
        <v>0.73257688195894133</v>
      </c>
      <c r="R173" s="1">
        <f>intermediate_results[[#This Row], [Team1 laps '[laps']]] - intermediate_results[[#This Row], [Team8 laps '[laps']]]</f>
        <v>1.3331897494314724</v>
      </c>
      <c r="S173" s="1">
        <f>intermediate_results[[#This Row], [Team1 laps '[laps']]] - intermediate_results[[#This Row], [Team9 laps '[laps']]]</f>
        <v>1.2999579140681803</v>
      </c>
      <c r="T173" s="1">
        <f>MAX(intermediate_results[[#This Row], [Team1 laps '[laps']]:[Team9 laps '[laps']]]) - intermediate_results[[#This Row], [Team1 laps '[laps']]]</f>
        <v>0</v>
      </c>
      <c r="U173" s="1">
        <f>MAX(intermediate_results[[#This Row], [Team1 laps '[laps']]:[Team9 laps '[laps']]]) - intermediate_results[[#This Row], [Team2 laps '[laps']]]</f>
        <v>0.12226290140133855</v>
      </c>
      <c r="V173" s="1">
        <f>MAX(intermediate_results[[#This Row], [Team1 laps '[laps']]:[Team9 laps '[laps']]]) - intermediate_results[[#This Row], [Team3 laps '[laps']]]</f>
        <v>0.40664552465569415</v>
      </c>
      <c r="W173" s="1">
        <f>MAX(intermediate_results[[#This Row], [Team1 laps '[laps']]:[Team9 laps '[laps']]]) - intermediate_results[[#This Row], [Team4 laps '[laps']]]</f>
        <v>0.73827086751296989</v>
      </c>
      <c r="X173" s="1">
        <f>MAX(intermediate_results[[#This Row], [Team1 laps '[laps']]:[Team9 laps '[laps']]]) - intermediate_results[[#This Row], [Team5 laps '[laps']]]</f>
        <v>0.76126776148219832</v>
      </c>
      <c r="Y173" s="1">
        <f>MAX(intermediate_results[[#This Row], [Team1 laps '[laps']]:[Team9 laps '[laps']]]) - intermediate_results[[#This Row], [Team6 laps '[laps']]]</f>
        <v>1.0042978938986877</v>
      </c>
      <c r="Z173" s="1">
        <f>MAX(intermediate_results[[#This Row], [Team1 laps '[laps']]:[Team9 laps '[laps']]]) - intermediate_results[[#This Row], [Team7 laps '[laps']]]</f>
        <v>0.73257688195894133</v>
      </c>
      <c r="AA173" s="1">
        <f>MAX(intermediate_results[[#This Row], [Team1 laps '[laps']]:[Team9 laps '[laps']]]) - intermediate_results[[#This Row], [Team8 laps '[laps']]]</f>
        <v>1.3331897494314724</v>
      </c>
      <c r="AB173" s="1">
        <f>MAX(intermediate_results[[#This Row], [Team1 laps '[laps']]:[Team9 laps '[laps']]]) - intermediate_results[[#This Row], [Team9 laps '[laps']]]</f>
        <v>1.2999579140681803</v>
      </c>
      <c r="AC173" s="1">
        <f>9 * intermediate_results[[#This Row], [All cumulative times '[sec']]] / SUM(intermediate_results[[#This Row], [Team1 laps '[laps']]:[Team9 laps '[laps']]])</f>
        <v>54.737662829670668</v>
      </c>
      <c r="AD173" s="1">
        <f>intermediate_results[[#This Row], [All cumulative times '[sec']]] / intermediate_results[[#This Row], [Team1 laps '[laps']]] - intermediate_results[[#This Row], [Total running average '[sec']]]</f>
        <v>-1.9170114500483777</v>
      </c>
      <c r="AE173" s="1">
        <f>intermediate_results[[#This Row], [All cumulative times '[sec']]] / intermediate_results[[#This Row], [Team2 laps '[laps']]] - intermediate_results[[#This Row], [Total running average '[sec']]]</f>
        <v>-1.5969547692665955</v>
      </c>
      <c r="AF173" s="1">
        <f>intermediate_results[[#This Row], [All cumulative times '[sec']]] / intermediate_results[[#This Row], [Team3 laps '[laps']]] - intermediate_results[[#This Row], [Total running average '[sec']]]</f>
        <v>-0.83728771814973157</v>
      </c>
      <c r="AG173" s="1">
        <f>intermediate_results[[#This Row], [All cumulative times '[sec']]] / intermediate_results[[#This Row], [Team4 laps '[laps']]] - intermediate_results[[#This Row], [Total running average '[sec']]]</f>
        <v>7.6474491313774706E-2</v>
      </c>
      <c r="AH173" s="1">
        <f>intermediate_results[[#This Row], [All cumulative times '[sec']]] / intermediate_results[[#This Row], [Team5 laps '[laps']]] - intermediate_results[[#This Row], [Total running average '[sec']]]</f>
        <v>0.14099032600592665</v>
      </c>
      <c r="AI173" s="1">
        <f>intermediate_results[[#This Row], [All cumulative times '[sec']]] / intermediate_results[[#This Row], [Team6 laps '[laps']]] - intermediate_results[[#This Row], [Total running average '[sec']]]</f>
        <v>0.83219064407337839</v>
      </c>
      <c r="AJ173" s="1">
        <f>intermediate_results[[#This Row], [All cumulative times '[sec']]] / intermediate_results[[#This Row], [Team7 laps '[laps']]] - intermediate_results[[#This Row], [Total running average '[sec']]]</f>
        <v>6.0523920026277267E-2</v>
      </c>
      <c r="AK173" s="1">
        <f>intermediate_results[[#This Row], [All cumulative times '[sec']]] / intermediate_results[[#This Row], [Team8 laps '[laps']]] - intermediate_results[[#This Row], [Total running average '[sec']]]</f>
        <v>1.7957956221075904</v>
      </c>
      <c r="AL173" s="1">
        <f>intermediate_results[[#This Row], [All cumulative times '[sec']]] / intermediate_results[[#This Row], [Team9 laps '[laps']]] - intermediate_results[[#This Row], [Total running average '[sec']]]</f>
        <v>1.6969161176977465</v>
      </c>
    </row>
    <row r="174" spans="1:38" x14ac:dyDescent="0.25">
      <c r="A174" s="1">
        <v>1074.1559999999999</v>
      </c>
      <c r="B174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20.336285725217127</v>
      </c>
      <c r="C174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20.213597005331419</v>
      </c>
      <c r="D174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19.927599032246416</v>
      </c>
      <c r="E174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19.596923533668566</v>
      </c>
      <c r="F174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19.573103548258487</v>
      </c>
      <c r="G174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19.329258151837369</v>
      </c>
      <c r="H174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19.602708635636422</v>
      </c>
      <c r="I174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19.000000000000004</v>
      </c>
      <c r="J174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19.034264371549206</v>
      </c>
      <c r="K174" s="1">
        <f>intermediate_results[[#This Row], [Team1 laps '[laps']]] - intermediate_results[[#This Row], [Team1 laps '[laps']]]</f>
        <v>0</v>
      </c>
      <c r="L174" s="1">
        <f>intermediate_results[[#This Row], [Team1 laps '[laps']]] - intermediate_results[[#This Row], [Team2 laps '[laps']]]</f>
        <v>0.12268871988570851</v>
      </c>
      <c r="M174" s="1">
        <f>intermediate_results[[#This Row], [Team1 laps '[laps']]] - intermediate_results[[#This Row], [Team3 laps '[laps']]]</f>
        <v>0.40868669297071136</v>
      </c>
      <c r="N174" s="1">
        <f>intermediate_results[[#This Row], [Team1 laps '[laps']]] - intermediate_results[[#This Row], [Team4 laps '[laps']]]</f>
        <v>0.73936219154856175</v>
      </c>
      <c r="O174" s="1">
        <f>intermediate_results[[#This Row], [Team1 laps '[laps']]] - intermediate_results[[#This Row], [Team5 laps '[laps']]]</f>
        <v>0.76318217695864021</v>
      </c>
      <c r="P174" s="1">
        <f>intermediate_results[[#This Row], [Team1 laps '[laps']]] - intermediate_results[[#This Row], [Team6 laps '[laps']]]</f>
        <v>1.0070275733797587</v>
      </c>
      <c r="Q174" s="1">
        <f>intermediate_results[[#This Row], [Team1 laps '[laps']]] - intermediate_results[[#This Row], [Team7 laps '[laps']]]</f>
        <v>0.73357708958070589</v>
      </c>
      <c r="R174" s="1">
        <f>intermediate_results[[#This Row], [Team1 laps '[laps']]] - intermediate_results[[#This Row], [Team8 laps '[laps']]]</f>
        <v>1.3362857252171239</v>
      </c>
      <c r="S174" s="1">
        <f>intermediate_results[[#This Row], [Team1 laps '[laps']]] - intermediate_results[[#This Row], [Team9 laps '[laps']]]</f>
        <v>1.3020213536679215</v>
      </c>
      <c r="T174" s="1">
        <f>MAX(intermediate_results[[#This Row], [Team1 laps '[laps']]:[Team9 laps '[laps']]]) - intermediate_results[[#This Row], [Team1 laps '[laps']]]</f>
        <v>0</v>
      </c>
      <c r="U174" s="1">
        <f>MAX(intermediate_results[[#This Row], [Team1 laps '[laps']]:[Team9 laps '[laps']]]) - intermediate_results[[#This Row], [Team2 laps '[laps']]]</f>
        <v>0.12268871988570851</v>
      </c>
      <c r="V174" s="1">
        <f>MAX(intermediate_results[[#This Row], [Team1 laps '[laps']]:[Team9 laps '[laps']]]) - intermediate_results[[#This Row], [Team3 laps '[laps']]]</f>
        <v>0.40868669297071136</v>
      </c>
      <c r="W174" s="1">
        <f>MAX(intermediate_results[[#This Row], [Team1 laps '[laps']]:[Team9 laps '[laps']]]) - intermediate_results[[#This Row], [Team4 laps '[laps']]]</f>
        <v>0.73936219154856175</v>
      </c>
      <c r="X174" s="1">
        <f>MAX(intermediate_results[[#This Row], [Team1 laps '[laps']]:[Team9 laps '[laps']]]) - intermediate_results[[#This Row], [Team5 laps '[laps']]]</f>
        <v>0.76318217695864021</v>
      </c>
      <c r="Y174" s="1">
        <f>MAX(intermediate_results[[#This Row], [Team1 laps '[laps']]:[Team9 laps '[laps']]]) - intermediate_results[[#This Row], [Team6 laps '[laps']]]</f>
        <v>1.0070275733797587</v>
      </c>
      <c r="Z174" s="1">
        <f>MAX(intermediate_results[[#This Row], [Team1 laps '[laps']]:[Team9 laps '[laps']]]) - intermediate_results[[#This Row], [Team7 laps '[laps']]]</f>
        <v>0.73357708958070589</v>
      </c>
      <c r="AA174" s="1">
        <f>MAX(intermediate_results[[#This Row], [Team1 laps '[laps']]:[Team9 laps '[laps']]]) - intermediate_results[[#This Row], [Team8 laps '[laps']]]</f>
        <v>1.3362857252171239</v>
      </c>
      <c r="AB174" s="1">
        <f>MAX(intermediate_results[[#This Row], [Team1 laps '[laps']]:[Team9 laps '[laps']]]) - intermediate_results[[#This Row], [Team9 laps '[laps']]]</f>
        <v>1.3020213536679215</v>
      </c>
      <c r="AC174" s="1">
        <f>9 * intermediate_results[[#This Row], [All cumulative times '[sec']]] / SUM(intermediate_results[[#This Row], [Team1 laps '[laps']]:[Team9 laps '[laps']]])</f>
        <v>54.737553260550428</v>
      </c>
      <c r="AD174" s="1">
        <f>intermediate_results[[#This Row], [All cumulative times '[sec']]] / intermediate_results[[#This Row], [Team1 laps '[laps']]] - intermediate_results[[#This Row], [Total running average '[sec']]]</f>
        <v>-1.9178783939625959</v>
      </c>
      <c r="AE174" s="1">
        <f>intermediate_results[[#This Row], [All cumulative times '[sec']]] / intermediate_results[[#This Row], [Team2 laps '[laps']]] - intermediate_results[[#This Row], [Total running average '[sec']]]</f>
        <v>-1.5972833859364783</v>
      </c>
      <c r="AF174" s="1">
        <f>intermediate_results[[#This Row], [All cumulative times '[sec']]] / intermediate_results[[#This Row], [Team3 laps '[laps']]] - intermediate_results[[#This Row], [Total running average '[sec']]]</f>
        <v>-0.83462204129899931</v>
      </c>
      <c r="AG174" s="1">
        <f>intermediate_results[[#This Row], [All cumulative times '[sec']]] / intermediate_results[[#This Row], [Team4 laps '[laps']]] - intermediate_results[[#This Row], [Total running average '[sec']]]</f>
        <v>7.4927798251600564E-2</v>
      </c>
      <c r="AH174" s="1">
        <f>intermediate_results[[#This Row], [All cumulative times '[sec']]] / intermediate_results[[#This Row], [Team5 laps '[laps']]] - intermediate_results[[#This Row], [Total running average '[sec']]]</f>
        <v>0.1416332390056283</v>
      </c>
      <c r="AI174" s="1">
        <f>intermediate_results[[#This Row], [All cumulative times '[sec']]] / intermediate_results[[#This Row], [Team6 laps '[laps']]] - intermediate_results[[#This Row], [Total running average '[sec']]]</f>
        <v>0.83395349683097919</v>
      </c>
      <c r="AJ174" s="1">
        <f>intermediate_results[[#This Row], [All cumulative times '[sec']]] / intermediate_results[[#This Row], [Team7 laps '[laps']]] - intermediate_results[[#This Row], [Total running average '[sec']]]</f>
        <v>5.8751676985387746E-2</v>
      </c>
      <c r="AK174" s="1">
        <f>intermediate_results[[#This Row], [All cumulative times '[sec']]] / intermediate_results[[#This Row], [Team8 laps '[laps']]] - intermediate_results[[#This Row], [Total running average '[sec']]]</f>
        <v>1.7969730552390359</v>
      </c>
      <c r="AL174" s="1">
        <f>intermediate_results[[#This Row], [All cumulative times '[sec']]] / intermediate_results[[#This Row], [Team9 laps '[laps']]] - intermediate_results[[#This Row], [Total running average '[sec']]]</f>
        <v>1.6952029013087468</v>
      </c>
    </row>
    <row r="175" spans="1:38" x14ac:dyDescent="0.25">
      <c r="A175" s="1">
        <v>1078.1659999999999</v>
      </c>
      <c r="B175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20.412996900945025</v>
      </c>
      <c r="C175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20.28940900669263</v>
      </c>
      <c r="D175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20</v>
      </c>
      <c r="E175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19.671330228415567</v>
      </c>
      <c r="F175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19.645772172085096</v>
      </c>
      <c r="G175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19.40020523345305</v>
      </c>
      <c r="H175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19.677307735238312</v>
      </c>
      <c r="I175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19.072775448721444</v>
      </c>
      <c r="J175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19.106618310418249</v>
      </c>
      <c r="K175" s="1">
        <f>intermediate_results[[#This Row], [Team1 laps '[laps']]] - intermediate_results[[#This Row], [Team1 laps '[laps']]]</f>
        <v>0</v>
      </c>
      <c r="L175" s="1">
        <f>intermediate_results[[#This Row], [Team1 laps '[laps']]] - intermediate_results[[#This Row], [Team2 laps '[laps']]]</f>
        <v>0.12358789425239536</v>
      </c>
      <c r="M175" s="1">
        <f>intermediate_results[[#This Row], [Team1 laps '[laps']]] - intermediate_results[[#This Row], [Team3 laps '[laps']]]</f>
        <v>0.41299690094502495</v>
      </c>
      <c r="N175" s="1">
        <f>intermediate_results[[#This Row], [Team1 laps '[laps']]] - intermediate_results[[#This Row], [Team4 laps '[laps']]]</f>
        <v>0.74166667252945828</v>
      </c>
      <c r="O175" s="1">
        <f>intermediate_results[[#This Row], [Team1 laps '[laps']]] - intermediate_results[[#This Row], [Team5 laps '[laps']]]</f>
        <v>0.76722472885992943</v>
      </c>
      <c r="P175" s="1">
        <f>intermediate_results[[#This Row], [Team1 laps '[laps']]] - intermediate_results[[#This Row], [Team6 laps '[laps']]]</f>
        <v>1.0127916674919746</v>
      </c>
      <c r="Q175" s="1">
        <f>intermediate_results[[#This Row], [Team1 laps '[laps']]] - intermediate_results[[#This Row], [Team7 laps '[laps']]]</f>
        <v>0.73568916570671306</v>
      </c>
      <c r="R175" s="1">
        <f>intermediate_results[[#This Row], [Team1 laps '[laps']]] - intermediate_results[[#This Row], [Team8 laps '[laps']]]</f>
        <v>1.3402214522235809</v>
      </c>
      <c r="S175" s="1">
        <f>intermediate_results[[#This Row], [Team1 laps '[laps']]] - intermediate_results[[#This Row], [Team9 laps '[laps']]]</f>
        <v>1.3063785905267764</v>
      </c>
      <c r="T175" s="1">
        <f>MAX(intermediate_results[[#This Row], [Team1 laps '[laps']]:[Team9 laps '[laps']]]) - intermediate_results[[#This Row], [Team1 laps '[laps']]]</f>
        <v>0</v>
      </c>
      <c r="U175" s="1">
        <f>MAX(intermediate_results[[#This Row], [Team1 laps '[laps']]:[Team9 laps '[laps']]]) - intermediate_results[[#This Row], [Team2 laps '[laps']]]</f>
        <v>0.12358789425239536</v>
      </c>
      <c r="V175" s="1">
        <f>MAX(intermediate_results[[#This Row], [Team1 laps '[laps']]:[Team9 laps '[laps']]]) - intermediate_results[[#This Row], [Team3 laps '[laps']]]</f>
        <v>0.41299690094502495</v>
      </c>
      <c r="W175" s="1">
        <f>MAX(intermediate_results[[#This Row], [Team1 laps '[laps']]:[Team9 laps '[laps']]]) - intermediate_results[[#This Row], [Team4 laps '[laps']]]</f>
        <v>0.74166667252945828</v>
      </c>
      <c r="X175" s="1">
        <f>MAX(intermediate_results[[#This Row], [Team1 laps '[laps']]:[Team9 laps '[laps']]]) - intermediate_results[[#This Row], [Team5 laps '[laps']]]</f>
        <v>0.76722472885992943</v>
      </c>
      <c r="Y175" s="1">
        <f>MAX(intermediate_results[[#This Row], [Team1 laps '[laps']]:[Team9 laps '[laps']]]) - intermediate_results[[#This Row], [Team6 laps '[laps']]]</f>
        <v>1.0127916674919746</v>
      </c>
      <c r="Z175" s="1">
        <f>MAX(intermediate_results[[#This Row], [Team1 laps '[laps']]:[Team9 laps '[laps']]]) - intermediate_results[[#This Row], [Team7 laps '[laps']]]</f>
        <v>0.73568916570671306</v>
      </c>
      <c r="AA175" s="1">
        <f>MAX(intermediate_results[[#This Row], [Team1 laps '[laps']]:[Team9 laps '[laps']]]) - intermediate_results[[#This Row], [Team8 laps '[laps']]]</f>
        <v>1.3402214522235809</v>
      </c>
      <c r="AB175" s="1">
        <f>MAX(intermediate_results[[#This Row], [Team1 laps '[laps']]:[Team9 laps '[laps']]]) - intermediate_results[[#This Row], [Team9 laps '[laps']]]</f>
        <v>1.3063785905267764</v>
      </c>
      <c r="AC175" s="1">
        <f>9 * intermediate_results[[#This Row], [All cumulative times '[sec']]] / SUM(intermediate_results[[#This Row], [Team1 laps '[laps']]:[Team9 laps '[laps']]])</f>
        <v>54.736519790470496</v>
      </c>
      <c r="AD175" s="1">
        <f>intermediate_results[[#This Row], [All cumulative times '[sec']]] / intermediate_results[[#This Row], [Team1 laps '[laps']]] - intermediate_results[[#This Row], [Total running average '[sec']]]</f>
        <v>-1.9188955468648956</v>
      </c>
      <c r="AE175" s="1">
        <f>intermediate_results[[#This Row], [All cumulative times '[sec']]] / intermediate_results[[#This Row], [Team2 laps '[laps']]] - intermediate_results[[#This Row], [Total running average '[sec']]]</f>
        <v>-1.5971701108244289</v>
      </c>
      <c r="AF175" s="1">
        <f>intermediate_results[[#This Row], [All cumulative times '[sec']]] / intermediate_results[[#This Row], [Team3 laps '[laps']]] - intermediate_results[[#This Row], [Total running average '[sec']]]</f>
        <v>-0.82821979047049865</v>
      </c>
      <c r="AG175" s="1">
        <f>intermediate_results[[#This Row], [All cumulative times '[sec']]] / intermediate_results[[#This Row], [Team4 laps '[laps']]] - intermediate_results[[#This Row], [Total running average '[sec']]]</f>
        <v>7.2483336454347125E-2</v>
      </c>
      <c r="AH175" s="1">
        <f>intermediate_results[[#This Row], [All cumulative times '[sec']]] / intermediate_results[[#This Row], [Team5 laps '[laps']]] - intermediate_results[[#This Row], [Total running average '[sec']]]</f>
        <v>0.14378679946229767</v>
      </c>
      <c r="AI175" s="1">
        <f>intermediate_results[[#This Row], [All cumulative times '[sec']]] / intermediate_results[[#This Row], [Team6 laps '[laps']]] - intermediate_results[[#This Row], [Total running average '[sec']]]</f>
        <v>0.83845928969136452</v>
      </c>
      <c r="AJ175" s="1">
        <f>intermediate_results[[#This Row], [All cumulative times '[sec']]] / intermediate_results[[#This Row], [Team7 laps '[laps']]] - intermediate_results[[#This Row], [Total running average '[sec']]]</f>
        <v>5.5833640543333729E-2</v>
      </c>
      <c r="AK175" s="1">
        <f>intermediate_results[[#This Row], [All cumulative times '[sec']]] / intermediate_results[[#This Row], [Team8 laps '[laps']]] - intermediate_results[[#This Row], [Total running average '[sec']]]</f>
        <v>1.792536659584627</v>
      </c>
      <c r="AL175" s="1">
        <f>intermediate_results[[#This Row], [All cumulative times '[sec']]] / intermediate_results[[#This Row], [Team9 laps '[laps']]] - intermediate_results[[#This Row], [Total running average '[sec']]]</f>
        <v>1.6924087872312583</v>
      </c>
    </row>
    <row r="176" spans="1:38" x14ac:dyDescent="0.25">
      <c r="A176" s="1">
        <v>1095.5119999999999</v>
      </c>
      <c r="B176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20.744825343382946</v>
      </c>
      <c r="C176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20.617347903353878</v>
      </c>
      <c r="D176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20.327400388818631</v>
      </c>
      <c r="E176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19.993190210231386</v>
      </c>
      <c r="F176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19.960113805226339</v>
      </c>
      <c r="G176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19.707100015923285</v>
      </c>
      <c r="H176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20.000000000000004</v>
      </c>
      <c r="I176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19.387579172791785</v>
      </c>
      <c r="J176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19.419598715311611</v>
      </c>
      <c r="K176" s="1">
        <f>intermediate_results[[#This Row], [Team1 laps '[laps']]] - intermediate_results[[#This Row], [Team1 laps '[laps']]]</f>
        <v>0</v>
      </c>
      <c r="L176" s="1">
        <f>intermediate_results[[#This Row], [Team1 laps '[laps']]] - intermediate_results[[#This Row], [Team2 laps '[laps']]]</f>
        <v>0.12747744002906813</v>
      </c>
      <c r="M176" s="1">
        <f>intermediate_results[[#This Row], [Team1 laps '[laps']]] - intermediate_results[[#This Row], [Team3 laps '[laps']]]</f>
        <v>0.41742495456431428</v>
      </c>
      <c r="N176" s="1">
        <f>intermediate_results[[#This Row], [Team1 laps '[laps']]] - intermediate_results[[#This Row], [Team4 laps '[laps']]]</f>
        <v>0.75163513315155939</v>
      </c>
      <c r="O176" s="1">
        <f>intermediate_results[[#This Row], [Team1 laps '[laps']]] - intermediate_results[[#This Row], [Team5 laps '[laps']]]</f>
        <v>0.78471153815660699</v>
      </c>
      <c r="P176" s="1">
        <f>intermediate_results[[#This Row], [Team1 laps '[laps']]] - intermediate_results[[#This Row], [Team6 laps '[laps']]]</f>
        <v>1.0377253274596612</v>
      </c>
      <c r="Q176" s="1">
        <f>intermediate_results[[#This Row], [Team1 laps '[laps']]] - intermediate_results[[#This Row], [Team7 laps '[laps']]]</f>
        <v>0.74482534338294215</v>
      </c>
      <c r="R176" s="1">
        <f>intermediate_results[[#This Row], [Team1 laps '[laps']]] - intermediate_results[[#This Row], [Team8 laps '[laps']]]</f>
        <v>1.3572461705911607</v>
      </c>
      <c r="S176" s="1">
        <f>intermediate_results[[#This Row], [Team1 laps '[laps']]] - intermediate_results[[#This Row], [Team9 laps '[laps']]]</f>
        <v>1.3252266280713343</v>
      </c>
      <c r="T176" s="1">
        <f>MAX(intermediate_results[[#This Row], [Team1 laps '[laps']]:[Team9 laps '[laps']]]) - intermediate_results[[#This Row], [Team1 laps '[laps']]]</f>
        <v>0</v>
      </c>
      <c r="U176" s="1">
        <f>MAX(intermediate_results[[#This Row], [Team1 laps '[laps']]:[Team9 laps '[laps']]]) - intermediate_results[[#This Row], [Team2 laps '[laps']]]</f>
        <v>0.12747744002906813</v>
      </c>
      <c r="V176" s="1">
        <f>MAX(intermediate_results[[#This Row], [Team1 laps '[laps']]:[Team9 laps '[laps']]]) - intermediate_results[[#This Row], [Team3 laps '[laps']]]</f>
        <v>0.41742495456431428</v>
      </c>
      <c r="W176" s="1">
        <f>MAX(intermediate_results[[#This Row], [Team1 laps '[laps']]:[Team9 laps '[laps']]]) - intermediate_results[[#This Row], [Team4 laps '[laps']]]</f>
        <v>0.75163513315155939</v>
      </c>
      <c r="X176" s="1">
        <f>MAX(intermediate_results[[#This Row], [Team1 laps '[laps']]:[Team9 laps '[laps']]]) - intermediate_results[[#This Row], [Team5 laps '[laps']]]</f>
        <v>0.78471153815660699</v>
      </c>
      <c r="Y176" s="1">
        <f>MAX(intermediate_results[[#This Row], [Team1 laps '[laps']]:[Team9 laps '[laps']]]) - intermediate_results[[#This Row], [Team6 laps '[laps']]]</f>
        <v>1.0377253274596612</v>
      </c>
      <c r="Z176" s="1">
        <f>MAX(intermediate_results[[#This Row], [Team1 laps '[laps']]:[Team9 laps '[laps']]]) - intermediate_results[[#This Row], [Team7 laps '[laps']]]</f>
        <v>0.74482534338294215</v>
      </c>
      <c r="AA176" s="1">
        <f>MAX(intermediate_results[[#This Row], [Team1 laps '[laps']]:[Team9 laps '[laps']]]) - intermediate_results[[#This Row], [Team8 laps '[laps']]]</f>
        <v>1.3572461705911607</v>
      </c>
      <c r="AB176" s="1">
        <f>MAX(intermediate_results[[#This Row], [Team1 laps '[laps']]:[Team9 laps '[laps']]]) - intermediate_results[[#This Row], [Team9 laps '[laps']]]</f>
        <v>1.3252266280713343</v>
      </c>
      <c r="AC176" s="1">
        <f>9 * intermediate_results[[#This Row], [All cumulative times '[sec']]] / SUM(intermediate_results[[#This Row], [Team1 laps '[laps']]:[Team9 laps '[laps']]])</f>
        <v>54.727817885578169</v>
      </c>
      <c r="AD176" s="1">
        <f>intermediate_results[[#This Row], [All cumulative times '[sec']]] / intermediate_results[[#This Row], [Team1 laps '[laps']]] - intermediate_results[[#This Row], [Total running average '[sec']]]</f>
        <v>-1.9188893038082853</v>
      </c>
      <c r="AE176" s="1">
        <f>intermediate_results[[#This Row], [All cumulative times '[sec']]] / intermediate_results[[#This Row], [Team2 laps '[laps']]] - intermediate_results[[#This Row], [Total running average '[sec']]]</f>
        <v>-1.5923707303312895</v>
      </c>
      <c r="AF176" s="1">
        <f>intermediate_results[[#This Row], [All cumulative times '[sec']]] / intermediate_results[[#This Row], [Team3 laps '[laps']]] - intermediate_results[[#This Row], [Total running average '[sec']]]</f>
        <v>-0.83445331139476764</v>
      </c>
      <c r="AG176" s="1">
        <f>intermediate_results[[#This Row], [All cumulative times '[sec']]] / intermediate_results[[#This Row], [Team4 laps '[laps']]] - intermediate_results[[#This Row], [Total running average '[sec']]]</f>
        <v>6.6438982911918743E-2</v>
      </c>
      <c r="AH176" s="1">
        <f>intermediate_results[[#This Row], [All cumulative times '[sec']]] / intermediate_results[[#This Row], [Team5 laps '[laps']]] - intermediate_results[[#This Row], [Total running average '[sec']]]</f>
        <v>0.15723991971110252</v>
      </c>
      <c r="AI176" s="1">
        <f>intermediate_results[[#This Row], [All cumulative times '[sec']]] / intermediate_results[[#This Row], [Team6 laps '[laps']]] - intermediate_results[[#This Row], [Total running average '[sec']]]</f>
        <v>0.86189339182080005</v>
      </c>
      <c r="AJ176" s="1">
        <f>intermediate_results[[#This Row], [All cumulative times '[sec']]] / intermediate_results[[#This Row], [Team7 laps '[laps']]] - intermediate_results[[#This Row], [Total running average '[sec']]]</f>
        <v>4.778211442182112E-2</v>
      </c>
      <c r="AK176" s="1">
        <f>intermediate_results[[#This Row], [All cumulative times '[sec']]] / intermediate_results[[#This Row], [Team8 laps '[laps']]] - intermediate_results[[#This Row], [Total running average '[sec']]]</f>
        <v>1.7780506520174768</v>
      </c>
      <c r="AL176" s="1">
        <f>intermediate_results[[#This Row], [All cumulative times '[sec']]] / intermediate_results[[#This Row], [Team9 laps '[laps']]] - intermediate_results[[#This Row], [Total running average '[sec']]]</f>
        <v>1.6848822973679702</v>
      </c>
    </row>
    <row r="177" spans="1:38" x14ac:dyDescent="0.25">
      <c r="A177" s="1">
        <v>1095.8789999999999</v>
      </c>
      <c r="B177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20.751846042009415</v>
      </c>
      <c r="C177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20.624286308465987</v>
      </c>
      <c r="D177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20.334327400388819</v>
      </c>
      <c r="E177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20</v>
      </c>
      <c r="F177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19.966764524663834</v>
      </c>
      <c r="G177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19.713593177756938</v>
      </c>
      <c r="H177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20.006736911667527</v>
      </c>
      <c r="I177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19.39423966897153</v>
      </c>
      <c r="J177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19.426220634405112</v>
      </c>
      <c r="K177" s="1">
        <f>intermediate_results[[#This Row], [Team1 laps '[laps']]] - intermediate_results[[#This Row], [Team1 laps '[laps']]]</f>
        <v>0</v>
      </c>
      <c r="L177" s="1">
        <f>intermediate_results[[#This Row], [Team1 laps '[laps']]] - intermediate_results[[#This Row], [Team2 laps '[laps']]]</f>
        <v>0.12755973354342842</v>
      </c>
      <c r="M177" s="1">
        <f>intermediate_results[[#This Row], [Team1 laps '[laps']]] - intermediate_results[[#This Row], [Team3 laps '[laps']]]</f>
        <v>0.41751864162059604</v>
      </c>
      <c r="N177" s="1">
        <f>intermediate_results[[#This Row], [Team1 laps '[laps']]] - intermediate_results[[#This Row], [Team4 laps '[laps']]]</f>
        <v>0.75184604200941507</v>
      </c>
      <c r="O177" s="1">
        <f>intermediate_results[[#This Row], [Team1 laps '[laps']]] - intermediate_results[[#This Row], [Team5 laps '[laps']]]</f>
        <v>0.7850815173455814</v>
      </c>
      <c r="P177" s="1">
        <f>intermediate_results[[#This Row], [Team1 laps '[laps']]] - intermediate_results[[#This Row], [Team6 laps '[laps']]]</f>
        <v>1.0382528642524775</v>
      </c>
      <c r="Q177" s="1">
        <f>intermediate_results[[#This Row], [Team1 laps '[laps']]] - intermediate_results[[#This Row], [Team7 laps '[laps']]]</f>
        <v>0.74510913034188775</v>
      </c>
      <c r="R177" s="1">
        <f>intermediate_results[[#This Row], [Team1 laps '[laps']]] - intermediate_results[[#This Row], [Team8 laps '[laps']]]</f>
        <v>1.3576063730378856</v>
      </c>
      <c r="S177" s="1">
        <f>intermediate_results[[#This Row], [Team1 laps '[laps']]] - intermediate_results[[#This Row], [Team9 laps '[laps']]]</f>
        <v>1.3256254076043028</v>
      </c>
      <c r="T177" s="1">
        <f>MAX(intermediate_results[[#This Row], [Team1 laps '[laps']]:[Team9 laps '[laps']]]) - intermediate_results[[#This Row], [Team1 laps '[laps']]]</f>
        <v>0</v>
      </c>
      <c r="U177" s="1">
        <f>MAX(intermediate_results[[#This Row], [Team1 laps '[laps']]:[Team9 laps '[laps']]]) - intermediate_results[[#This Row], [Team2 laps '[laps']]]</f>
        <v>0.12755973354342842</v>
      </c>
      <c r="V177" s="1">
        <f>MAX(intermediate_results[[#This Row], [Team1 laps '[laps']]:[Team9 laps '[laps']]]) - intermediate_results[[#This Row], [Team3 laps '[laps']]]</f>
        <v>0.41751864162059604</v>
      </c>
      <c r="W177" s="1">
        <f>MAX(intermediate_results[[#This Row], [Team1 laps '[laps']]:[Team9 laps '[laps']]]) - intermediate_results[[#This Row], [Team4 laps '[laps']]]</f>
        <v>0.75184604200941507</v>
      </c>
      <c r="X177" s="1">
        <f>MAX(intermediate_results[[#This Row], [Team1 laps '[laps']]:[Team9 laps '[laps']]]) - intermediate_results[[#This Row], [Team5 laps '[laps']]]</f>
        <v>0.7850815173455814</v>
      </c>
      <c r="Y177" s="1">
        <f>MAX(intermediate_results[[#This Row], [Team1 laps '[laps']]:[Team9 laps '[laps']]]) - intermediate_results[[#This Row], [Team6 laps '[laps']]]</f>
        <v>1.0382528642524775</v>
      </c>
      <c r="Z177" s="1">
        <f>MAX(intermediate_results[[#This Row], [Team1 laps '[laps']]:[Team9 laps '[laps']]]) - intermediate_results[[#This Row], [Team7 laps '[laps']]]</f>
        <v>0.74510913034188775</v>
      </c>
      <c r="AA177" s="1">
        <f>MAX(intermediate_results[[#This Row], [Team1 laps '[laps']]:[Team9 laps '[laps']]]) - intermediate_results[[#This Row], [Team8 laps '[laps']]]</f>
        <v>1.3576063730378856</v>
      </c>
      <c r="AB177" s="1">
        <f>MAX(intermediate_results[[#This Row], [Team1 laps '[laps']]:[Team9 laps '[laps']]]) - intermediate_results[[#This Row], [Team9 laps '[laps']]]</f>
        <v>1.3256254076043028</v>
      </c>
      <c r="AC177" s="1">
        <f>9 * intermediate_results[[#This Row], [All cumulative times '[sec']]] / SUM(intermediate_results[[#This Row], [Team1 laps '[laps']]:[Team9 laps '[laps']]])</f>
        <v>54.72766425793543</v>
      </c>
      <c r="AD177" s="1">
        <f>intermediate_results[[#This Row], [All cumulative times '[sec']]] / intermediate_results[[#This Row], [Team1 laps '[laps']]] - intermediate_results[[#This Row], [Total running average '[sec']]]</f>
        <v>-1.9189166515039204</v>
      </c>
      <c r="AE177" s="1">
        <f>intermediate_results[[#This Row], [All cumulative times '[sec']]] / intermediate_results[[#This Row], [Team2 laps '[laps']]] - intermediate_results[[#This Row], [Total running average '[sec']]]</f>
        <v>-1.592298330138135</v>
      </c>
      <c r="AF177" s="1">
        <f>intermediate_results[[#This Row], [All cumulative times '[sec']]] / intermediate_results[[#This Row], [Team3 laps '[laps']]] - intermediate_results[[#This Row], [Total running average '[sec']]]</f>
        <v>-0.83461048626038092</v>
      </c>
      <c r="AG177" s="1">
        <f>intermediate_results[[#This Row], [All cumulative times '[sec']]] / intermediate_results[[#This Row], [Team4 laps '[laps']]] - intermediate_results[[#This Row], [Total running average '[sec']]]</f>
        <v>6.6285742064565056E-2</v>
      </c>
      <c r="AH177" s="1">
        <f>intermediate_results[[#This Row], [All cumulative times '[sec']]] / intermediate_results[[#This Row], [Team5 laps '[laps']]] - intermediate_results[[#This Row], [Total running average '[sec']]]</f>
        <v>0.15749245567841541</v>
      </c>
      <c r="AI177" s="1">
        <f>intermediate_results[[#This Row], [All cumulative times '[sec']]] / intermediate_results[[#This Row], [Team6 laps '[laps']]] - intermediate_results[[#This Row], [Total running average '[sec']]]</f>
        <v>0.86235376254863638</v>
      </c>
      <c r="AJ177" s="1">
        <f>intermediate_results[[#This Row], [All cumulative times '[sec']]] / intermediate_results[[#This Row], [Team7 laps '[laps']]] - intermediate_results[[#This Row], [Total running average '[sec']]]</f>
        <v>4.7834857110423457E-2</v>
      </c>
      <c r="AK177" s="1">
        <f>intermediate_results[[#This Row], [All cumulative times '[sec']]] / intermediate_results[[#This Row], [Team8 laps '[laps']]] - intermediate_results[[#This Row], [Total running average '[sec']]]</f>
        <v>1.7777218105514692</v>
      </c>
      <c r="AL177" s="1">
        <f>intermediate_results[[#This Row], [All cumulative times '[sec']]] / intermediate_results[[#This Row], [Team9 laps '[laps']]] - intermediate_results[[#This Row], [Total running average '[sec']]]</f>
        <v>1.684698219772983</v>
      </c>
    </row>
    <row r="178" spans="1:38" x14ac:dyDescent="0.25">
      <c r="A178" s="1">
        <v>1097.713</v>
      </c>
      <c r="B178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20.786930405172747</v>
      </c>
      <c r="C178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20.658959428290544</v>
      </c>
      <c r="D178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20.36894358354882</v>
      </c>
      <c r="E178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20.033769725091606</v>
      </c>
      <c r="F178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19.999999999999996</v>
      </c>
      <c r="G178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19.746041294386156</v>
      </c>
      <c r="H178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20.040403113297604</v>
      </c>
      <c r="I178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19.42752400137929</v>
      </c>
      <c r="J178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19.459312186496341</v>
      </c>
      <c r="K178" s="1">
        <f>intermediate_results[[#This Row], [Team1 laps '[laps']]] - intermediate_results[[#This Row], [Team1 laps '[laps']]]</f>
        <v>0</v>
      </c>
      <c r="L178" s="1">
        <f>intermediate_results[[#This Row], [Team1 laps '[laps']]] - intermediate_results[[#This Row], [Team2 laps '[laps']]]</f>
        <v>0.12797097688220305</v>
      </c>
      <c r="M178" s="1">
        <f>intermediate_results[[#This Row], [Team1 laps '[laps']]] - intermediate_results[[#This Row], [Team3 laps '[laps']]]</f>
        <v>0.41798682162392709</v>
      </c>
      <c r="N178" s="1">
        <f>intermediate_results[[#This Row], [Team1 laps '[laps']]] - intermediate_results[[#This Row], [Team4 laps '[laps']]]</f>
        <v>0.75316068008114101</v>
      </c>
      <c r="O178" s="1">
        <f>intermediate_results[[#This Row], [Team1 laps '[laps']]] - intermediate_results[[#This Row], [Team5 laps '[laps']]]</f>
        <v>0.78693040517275037</v>
      </c>
      <c r="P178" s="1">
        <f>intermediate_results[[#This Row], [Team1 laps '[laps']]] - intermediate_results[[#This Row], [Team6 laps '[laps']]]</f>
        <v>1.0408891107865905</v>
      </c>
      <c r="Q178" s="1">
        <f>intermediate_results[[#This Row], [Team1 laps '[laps']]] - intermediate_results[[#This Row], [Team7 laps '[laps']]]</f>
        <v>0.74652729187514311</v>
      </c>
      <c r="R178" s="1">
        <f>intermediate_results[[#This Row], [Team1 laps '[laps']]] - intermediate_results[[#This Row], [Team8 laps '[laps']]]</f>
        <v>1.3594064037934572</v>
      </c>
      <c r="S178" s="1">
        <f>intermediate_results[[#This Row], [Team1 laps '[laps']]] - intermediate_results[[#This Row], [Team9 laps '[laps']]]</f>
        <v>1.3276182186764061</v>
      </c>
      <c r="T178" s="1">
        <f>MAX(intermediate_results[[#This Row], [Team1 laps '[laps']]:[Team9 laps '[laps']]]) - intermediate_results[[#This Row], [Team1 laps '[laps']]]</f>
        <v>0</v>
      </c>
      <c r="U178" s="1">
        <f>MAX(intermediate_results[[#This Row], [Team1 laps '[laps']]:[Team9 laps '[laps']]]) - intermediate_results[[#This Row], [Team2 laps '[laps']]]</f>
        <v>0.12797097688220305</v>
      </c>
      <c r="V178" s="1">
        <f>MAX(intermediate_results[[#This Row], [Team1 laps '[laps']]:[Team9 laps '[laps']]]) - intermediate_results[[#This Row], [Team3 laps '[laps']]]</f>
        <v>0.41798682162392709</v>
      </c>
      <c r="W178" s="1">
        <f>MAX(intermediate_results[[#This Row], [Team1 laps '[laps']]:[Team9 laps '[laps']]]) - intermediate_results[[#This Row], [Team4 laps '[laps']]]</f>
        <v>0.75316068008114101</v>
      </c>
      <c r="X178" s="1">
        <f>MAX(intermediate_results[[#This Row], [Team1 laps '[laps']]:[Team9 laps '[laps']]]) - intermediate_results[[#This Row], [Team5 laps '[laps']]]</f>
        <v>0.78693040517275037</v>
      </c>
      <c r="Y178" s="1">
        <f>MAX(intermediate_results[[#This Row], [Team1 laps '[laps']]:[Team9 laps '[laps']]]) - intermediate_results[[#This Row], [Team6 laps '[laps']]]</f>
        <v>1.0408891107865905</v>
      </c>
      <c r="Z178" s="1">
        <f>MAX(intermediate_results[[#This Row], [Team1 laps '[laps']]:[Team9 laps '[laps']]]) - intermediate_results[[#This Row], [Team7 laps '[laps']]]</f>
        <v>0.74652729187514311</v>
      </c>
      <c r="AA178" s="1">
        <f>MAX(intermediate_results[[#This Row], [Team1 laps '[laps']]:[Team9 laps '[laps']]]) - intermediate_results[[#This Row], [Team8 laps '[laps']]]</f>
        <v>1.3594064037934572</v>
      </c>
      <c r="AB178" s="1">
        <f>MAX(intermediate_results[[#This Row], [Team1 laps '[laps']]:[Team9 laps '[laps']]]) - intermediate_results[[#This Row], [Team9 laps '[laps']]]</f>
        <v>1.3276182186764061</v>
      </c>
      <c r="AC178" s="1">
        <f>9 * intermediate_results[[#This Row], [All cumulative times '[sec']]] / SUM(intermediate_results[[#This Row], [Team1 laps '[laps']]:[Team9 laps '[laps']]])</f>
        <v>54.726977114624532</v>
      </c>
      <c r="AD178" s="1">
        <f>intermediate_results[[#This Row], [All cumulative times '[sec']]] / intermediate_results[[#This Row], [Team1 laps '[laps']]] - intermediate_results[[#This Row], [Total running average '[sec']]]</f>
        <v>-1.9191320598857899</v>
      </c>
      <c r="AE178" s="1">
        <f>intermediate_results[[#This Row], [All cumulative times '[sec']]] / intermediate_results[[#This Row], [Team2 laps '[laps']]] - intermediate_results[[#This Row], [Total running average '[sec']]]</f>
        <v>-1.5920162851462081</v>
      </c>
      <c r="AF178" s="1">
        <f>intermediate_results[[#This Row], [All cumulative times '[sec']]] / intermediate_results[[#This Row], [Team3 laps '[laps']]] - intermediate_results[[#This Row], [Total running average '[sec']]]</f>
        <v>-0.83547334088052594</v>
      </c>
      <c r="AG178" s="1">
        <f>intermediate_results[[#This Row], [All cumulative times '[sec']]] / intermediate_results[[#This Row], [Team4 laps '[laps']]] - intermediate_results[[#This Row], [Total running average '[sec']]]</f>
        <v>6.6155434221343512E-2</v>
      </c>
      <c r="AH178" s="1">
        <f>intermediate_results[[#This Row], [All cumulative times '[sec']]] / intermediate_results[[#This Row], [Team5 laps '[laps']]] - intermediate_results[[#This Row], [Total running average '[sec']]]</f>
        <v>0.15867288537547353</v>
      </c>
      <c r="AI178" s="1">
        <f>intermediate_results[[#This Row], [All cumulative times '[sec']]] / intermediate_results[[#This Row], [Team6 laps '[laps']]] - intermediate_results[[#This Row], [Total running average '[sec']]]</f>
        <v>0.8645707624723471</v>
      </c>
      <c r="AJ178" s="1">
        <f>intermediate_results[[#This Row], [All cumulative times '[sec']]] / intermediate_results[[#This Row], [Team7 laps '[laps']]] - intermediate_results[[#This Row], [Total running average '[sec']]]</f>
        <v>4.8018866949497863E-2</v>
      </c>
      <c r="AK178" s="1">
        <f>intermediate_results[[#This Row], [All cumulative times '[sec']]] / intermediate_results[[#This Row], [Team8 laps '[laps']]] - intermediate_results[[#This Row], [Total running average '[sec']]]</f>
        <v>1.776002880256236</v>
      </c>
      <c r="AL178" s="1">
        <f>intermediate_results[[#This Row], [All cumulative times '[sec']]] / intermediate_results[[#This Row], [Team9 laps '[laps']]] - intermediate_results[[#This Row], [Total running average '[sec']]]</f>
        <v>1.6837012012180281</v>
      </c>
    </row>
    <row r="179" spans="1:38" x14ac:dyDescent="0.25">
      <c r="A179" s="1">
        <v>1108.8510000000001</v>
      </c>
      <c r="B179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21.000000000000007</v>
      </c>
      <c r="C179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20.869531515861915</v>
      </c>
      <c r="D179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20.579169891093038</v>
      </c>
      <c r="E179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20.238855438325142</v>
      </c>
      <c r="F179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20.203511849293793</v>
      </c>
      <c r="G179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19.943100794395004</v>
      </c>
      <c r="H179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20.244860121888546</v>
      </c>
      <c r="I179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19.629661893613552</v>
      </c>
      <c r="J179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19.660279311464766</v>
      </c>
      <c r="K179" s="1">
        <f>intermediate_results[[#This Row], [Team1 laps '[laps']]] - intermediate_results[[#This Row], [Team1 laps '[laps']]]</f>
        <v>0</v>
      </c>
      <c r="L179" s="1">
        <f>intermediate_results[[#This Row], [Team1 laps '[laps']]] - intermediate_results[[#This Row], [Team2 laps '[laps']]]</f>
        <v>0.13046848413809187</v>
      </c>
      <c r="M179" s="1">
        <f>intermediate_results[[#This Row], [Team1 laps '[laps']]] - intermediate_results[[#This Row], [Team3 laps '[laps']]]</f>
        <v>0.42083010890696926</v>
      </c>
      <c r="N179" s="1">
        <f>intermediate_results[[#This Row], [Team1 laps '[laps']]] - intermediate_results[[#This Row], [Team4 laps '[laps']]]</f>
        <v>0.76114456167486466</v>
      </c>
      <c r="O179" s="1">
        <f>intermediate_results[[#This Row], [Team1 laps '[laps']]] - intermediate_results[[#This Row], [Team5 laps '[laps']]]</f>
        <v>0.79648815070621382</v>
      </c>
      <c r="P179" s="1">
        <f>intermediate_results[[#This Row], [Team1 laps '[laps']]] - intermediate_results[[#This Row], [Team6 laps '[laps']]]</f>
        <v>1.0568992056050028</v>
      </c>
      <c r="Q179" s="1">
        <f>intermediate_results[[#This Row], [Team1 laps '[laps']]] - intermediate_results[[#This Row], [Team7 laps '[laps']]]</f>
        <v>0.75513987811146066</v>
      </c>
      <c r="R179" s="1">
        <f>intermediate_results[[#This Row], [Team1 laps '[laps']]] - intermediate_results[[#This Row], [Team8 laps '[laps']]]</f>
        <v>1.3703381063864555</v>
      </c>
      <c r="S179" s="1">
        <f>intermediate_results[[#This Row], [Team1 laps '[laps']]] - intermediate_results[[#This Row], [Team9 laps '[laps']]]</f>
        <v>1.3397206885352411</v>
      </c>
      <c r="T179" s="1">
        <f>MAX(intermediate_results[[#This Row], [Team1 laps '[laps']]:[Team9 laps '[laps']]]) - intermediate_results[[#This Row], [Team1 laps '[laps']]]</f>
        <v>0</v>
      </c>
      <c r="U179" s="1">
        <f>MAX(intermediate_results[[#This Row], [Team1 laps '[laps']]:[Team9 laps '[laps']]]) - intermediate_results[[#This Row], [Team2 laps '[laps']]]</f>
        <v>0.13046848413809187</v>
      </c>
      <c r="V179" s="1">
        <f>MAX(intermediate_results[[#This Row], [Team1 laps '[laps']]:[Team9 laps '[laps']]]) - intermediate_results[[#This Row], [Team3 laps '[laps']]]</f>
        <v>0.42083010890696926</v>
      </c>
      <c r="W179" s="1">
        <f>MAX(intermediate_results[[#This Row], [Team1 laps '[laps']]:[Team9 laps '[laps']]]) - intermediate_results[[#This Row], [Team4 laps '[laps']]]</f>
        <v>0.76114456167486466</v>
      </c>
      <c r="X179" s="1">
        <f>MAX(intermediate_results[[#This Row], [Team1 laps '[laps']]:[Team9 laps '[laps']]]) - intermediate_results[[#This Row], [Team5 laps '[laps']]]</f>
        <v>0.79648815070621382</v>
      </c>
      <c r="Y179" s="1">
        <f>MAX(intermediate_results[[#This Row], [Team1 laps '[laps']]:[Team9 laps '[laps']]]) - intermediate_results[[#This Row], [Team6 laps '[laps']]]</f>
        <v>1.0568992056050028</v>
      </c>
      <c r="Z179" s="1">
        <f>MAX(intermediate_results[[#This Row], [Team1 laps '[laps']]:[Team9 laps '[laps']]]) - intermediate_results[[#This Row], [Team7 laps '[laps']]]</f>
        <v>0.75513987811146066</v>
      </c>
      <c r="AA179" s="1">
        <f>MAX(intermediate_results[[#This Row], [Team1 laps '[laps']]:[Team9 laps '[laps']]]) - intermediate_results[[#This Row], [Team8 laps '[laps']]]</f>
        <v>1.3703381063864555</v>
      </c>
      <c r="AB179" s="1">
        <f>MAX(intermediate_results[[#This Row], [Team1 laps '[laps']]:[Team9 laps '[laps']]]) - intermediate_results[[#This Row], [Team9 laps '[laps']]]</f>
        <v>1.3397206885352411</v>
      </c>
      <c r="AC179" s="1">
        <f>9 * intermediate_results[[#This Row], [All cumulative times '[sec']]] / SUM(intermediate_results[[#This Row], [Team1 laps '[laps']]:[Team9 laps '[laps']]])</f>
        <v>54.72235191847647</v>
      </c>
      <c r="AD179" s="1">
        <f>intermediate_results[[#This Row], [All cumulative times '[sec']]] / intermediate_results[[#This Row], [Team1 laps '[laps']]] - intermediate_results[[#This Row], [Total running average '[sec']]]</f>
        <v>-1.9199233470479129</v>
      </c>
      <c r="AE179" s="1">
        <f>intermediate_results[[#This Row], [All cumulative times '[sec']]] / intermediate_results[[#This Row], [Team2 laps '[laps']]] - intermediate_results[[#This Row], [Total running average '[sec']]]</f>
        <v>-1.5898223666167937</v>
      </c>
      <c r="AF179" s="1">
        <f>intermediate_results[[#This Row], [All cumulative times '[sec']]] / intermediate_results[[#This Row], [Team3 laps '[laps']]] - intermediate_results[[#This Row], [Total running average '[sec']]]</f>
        <v>-0.84014938707471032</v>
      </c>
      <c r="AG179" s="1">
        <f>intermediate_results[[#This Row], [All cumulative times '[sec']]] / intermediate_results[[#This Row], [Team4 laps '[laps']]] - intermediate_results[[#This Row], [Total running average '[sec']]]</f>
        <v>6.5874786292297927E-2</v>
      </c>
      <c r="AH179" s="1">
        <f>intermediate_results[[#This Row], [All cumulative times '[sec']]] / intermediate_results[[#This Row], [Team5 laps '[laps']]] - intermediate_results[[#This Row], [Total running average '[sec']]]</f>
        <v>0.1617201315399015</v>
      </c>
      <c r="AI179" s="1">
        <f>intermediate_results[[#This Row], [All cumulative times '[sec']]] / intermediate_results[[#This Row], [Team6 laps '[laps']]] - intermediate_results[[#This Row], [Total running average '[sec']]]</f>
        <v>0.87837995525712387</v>
      </c>
      <c r="AJ179" s="1">
        <f>intermediate_results[[#This Row], [All cumulative times '[sec']]] / intermediate_results[[#This Row], [Team7 laps '[laps']]] - intermediate_results[[#This Row], [Total running average '[sec']]]</f>
        <v>4.9624441148814924E-2</v>
      </c>
      <c r="AK179" s="1">
        <f>intermediate_results[[#This Row], [All cumulative times '[sec']]] / intermediate_results[[#This Row], [Team8 laps '[laps']]] - intermediate_results[[#This Row], [Total running average '[sec']]]</f>
        <v>1.7661910839254844</v>
      </c>
      <c r="AL179" s="1">
        <f>intermediate_results[[#This Row], [All cumulative times '[sec']]] / intermediate_results[[#This Row], [Team9 laps '[laps']]] - intermediate_results[[#This Row], [Total running average '[sec']]]</f>
        <v>1.6782201402012902</v>
      </c>
    </row>
    <row r="180" spans="1:38" x14ac:dyDescent="0.25">
      <c r="A180" s="1">
        <v>1112.067</v>
      </c>
      <c r="B180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21.061493747370843</v>
      </c>
      <c r="C180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20.930332362838886</v>
      </c>
      <c r="D180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20.639870897114061</v>
      </c>
      <c r="E180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20.298072142738775</v>
      </c>
      <c r="F180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20.262274114272138</v>
      </c>
      <c r="G180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20</v>
      </c>
      <c r="H180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20.30389529334019</v>
      </c>
      <c r="I180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19.688027440518326</v>
      </c>
      <c r="J180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19.718306809570208</v>
      </c>
      <c r="K180" s="1">
        <f>intermediate_results[[#This Row], [Team1 laps '[laps']]] - intermediate_results[[#This Row], [Team1 laps '[laps']]]</f>
        <v>0</v>
      </c>
      <c r="L180" s="1">
        <f>intermediate_results[[#This Row], [Team1 laps '[laps']]] - intermediate_results[[#This Row], [Team2 laps '[laps']]]</f>
        <v>0.13116138453195703</v>
      </c>
      <c r="M180" s="1">
        <f>intermediate_results[[#This Row], [Team1 laps '[laps']]] - intermediate_results[[#This Row], [Team3 laps '[laps']]]</f>
        <v>0.42162285025678159</v>
      </c>
      <c r="N180" s="1">
        <f>intermediate_results[[#This Row], [Team1 laps '[laps']]] - intermediate_results[[#This Row], [Team4 laps '[laps']]]</f>
        <v>0.7634216046320681</v>
      </c>
      <c r="O180" s="1">
        <f>intermediate_results[[#This Row], [Team1 laps '[laps']]] - intermediate_results[[#This Row], [Team5 laps '[laps']]]</f>
        <v>0.79921963309870492</v>
      </c>
      <c r="P180" s="1">
        <f>intermediate_results[[#This Row], [Team1 laps '[laps']]] - intermediate_results[[#This Row], [Team6 laps '[laps']]]</f>
        <v>1.061493747370843</v>
      </c>
      <c r="Q180" s="1">
        <f>intermediate_results[[#This Row], [Team1 laps '[laps']]] - intermediate_results[[#This Row], [Team7 laps '[laps']]]</f>
        <v>0.75759845403065285</v>
      </c>
      <c r="R180" s="1">
        <f>intermediate_results[[#This Row], [Team1 laps '[laps']]] - intermediate_results[[#This Row], [Team8 laps '[laps']]]</f>
        <v>1.3734663068525172</v>
      </c>
      <c r="S180" s="1">
        <f>intermediate_results[[#This Row], [Team1 laps '[laps']]] - intermediate_results[[#This Row], [Team9 laps '[laps']]]</f>
        <v>1.3431869378006347</v>
      </c>
      <c r="T180" s="1">
        <f>MAX(intermediate_results[[#This Row], [Team1 laps '[laps']]:[Team9 laps '[laps']]]) - intermediate_results[[#This Row], [Team1 laps '[laps']]]</f>
        <v>0</v>
      </c>
      <c r="U180" s="1">
        <f>MAX(intermediate_results[[#This Row], [Team1 laps '[laps']]:[Team9 laps '[laps']]]) - intermediate_results[[#This Row], [Team2 laps '[laps']]]</f>
        <v>0.13116138453195703</v>
      </c>
      <c r="V180" s="1">
        <f>MAX(intermediate_results[[#This Row], [Team1 laps '[laps']]:[Team9 laps '[laps']]]) - intermediate_results[[#This Row], [Team3 laps '[laps']]]</f>
        <v>0.42162285025678159</v>
      </c>
      <c r="W180" s="1">
        <f>MAX(intermediate_results[[#This Row], [Team1 laps '[laps']]:[Team9 laps '[laps']]]) - intermediate_results[[#This Row], [Team4 laps '[laps']]]</f>
        <v>0.7634216046320681</v>
      </c>
      <c r="X180" s="1">
        <f>MAX(intermediate_results[[#This Row], [Team1 laps '[laps']]:[Team9 laps '[laps']]]) - intermediate_results[[#This Row], [Team5 laps '[laps']]]</f>
        <v>0.79921963309870492</v>
      </c>
      <c r="Y180" s="1">
        <f>MAX(intermediate_results[[#This Row], [Team1 laps '[laps']]:[Team9 laps '[laps']]]) - intermediate_results[[#This Row], [Team6 laps '[laps']]]</f>
        <v>1.061493747370843</v>
      </c>
      <c r="Z180" s="1">
        <f>MAX(intermediate_results[[#This Row], [Team1 laps '[laps']]:[Team9 laps '[laps']]]) - intermediate_results[[#This Row], [Team7 laps '[laps']]]</f>
        <v>0.75759845403065285</v>
      </c>
      <c r="AA180" s="1">
        <f>MAX(intermediate_results[[#This Row], [Team1 laps '[laps']]:[Team9 laps '[laps']]]) - intermediate_results[[#This Row], [Team8 laps '[laps']]]</f>
        <v>1.3734663068525172</v>
      </c>
      <c r="AB180" s="1">
        <f>MAX(intermediate_results[[#This Row], [Team1 laps '[laps']]:[Team9 laps '[laps']]]) - intermediate_results[[#This Row], [Team9 laps '[laps']]]</f>
        <v>1.3431869378006347</v>
      </c>
      <c r="AC180" s="1">
        <f>9 * intermediate_results[[#This Row], [All cumulative times '[sec']]] / SUM(intermediate_results[[#This Row], [Team1 laps '[laps']]:[Team9 laps '[laps']]])</f>
        <v>54.721042261292098</v>
      </c>
      <c r="AD180" s="1">
        <f>intermediate_results[[#This Row], [All cumulative times '[sec']]] / intermediate_results[[#This Row], [Team1 laps '[laps']]] - intermediate_results[[#This Row], [Total running average '[sec']]]</f>
        <v>-1.9200864820363179</v>
      </c>
      <c r="AE180" s="1">
        <f>intermediate_results[[#This Row], [All cumulative times '[sec']]] / intermediate_results[[#This Row], [Team2 laps '[laps']]] - intermediate_results[[#This Row], [Total running average '[sec']]]</f>
        <v>-1.5892056176256943</v>
      </c>
      <c r="AF180" s="1">
        <f>intermediate_results[[#This Row], [All cumulative times '[sec']]] / intermediate_results[[#This Row], [Team3 laps '[laps']]] - intermediate_results[[#This Row], [Total running average '[sec']]]</f>
        <v>-0.84149012923428046</v>
      </c>
      <c r="AG180" s="1">
        <f>intermediate_results[[#This Row], [All cumulative times '[sec']]] / intermediate_results[[#This Row], [Team4 laps '[laps']]] - intermediate_results[[#This Row], [Total running average '[sec']]]</f>
        <v>6.5786368530240225E-2</v>
      </c>
      <c r="AH180" s="1">
        <f>intermediate_results[[#This Row], [All cumulative times '[sec']]] / intermediate_results[[#This Row], [Team5 laps '[laps']]] - intermediate_results[[#This Row], [Total running average '[sec']]]</f>
        <v>0.16258006699796113</v>
      </c>
      <c r="AI180" s="1">
        <f>intermediate_results[[#This Row], [All cumulative times '[sec']]] / intermediate_results[[#This Row], [Team6 laps '[laps']]] - intermediate_results[[#This Row], [Total running average '[sec']]]</f>
        <v>0.88230773870790102</v>
      </c>
      <c r="AJ180" s="1">
        <f>intermediate_results[[#This Row], [All cumulative times '[sec']]] / intermediate_results[[#This Row], [Team7 laps '[laps']]] - intermediate_results[[#This Row], [Total running average '[sec']]]</f>
        <v>5.0073523803838782E-2</v>
      </c>
      <c r="AK180" s="1">
        <f>intermediate_results[[#This Row], [All cumulative times '[sec']]] / intermediate_results[[#This Row], [Team8 laps '[laps']]] - intermediate_results[[#This Row], [Total running average '[sec']]]</f>
        <v>1.7633873424246005</v>
      </c>
      <c r="AL180" s="1">
        <f>intermediate_results[[#This Row], [All cumulative times '[sec']]] / intermediate_results[[#This Row], [Team9 laps '[laps']]] - intermediate_results[[#This Row], [Total running average '[sec']]]</f>
        <v>1.6766500324631792</v>
      </c>
    </row>
    <row r="181" spans="1:38" x14ac:dyDescent="0.25">
      <c r="A181" s="1">
        <v>1115.752</v>
      </c>
      <c r="B181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21.131955332899924</v>
      </c>
      <c r="C181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21</v>
      </c>
      <c r="D181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20.709424133179819</v>
      </c>
      <c r="E181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20.36592461654606</v>
      </c>
      <c r="F181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20.329605876226495</v>
      </c>
      <c r="G181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20.066500640643891</v>
      </c>
      <c r="H181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20.371539760628536</v>
      </c>
      <c r="I181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19.754904629680045</v>
      </c>
      <c r="J181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19.784796651149364</v>
      </c>
      <c r="K181" s="1">
        <f>intermediate_results[[#This Row], [Team1 laps '[laps']]] - intermediate_results[[#This Row], [Team1 laps '[laps']]]</f>
        <v>0</v>
      </c>
      <c r="L181" s="1">
        <f>intermediate_results[[#This Row], [Team1 laps '[laps']]] - intermediate_results[[#This Row], [Team2 laps '[laps']]]</f>
        <v>0.13195533289992412</v>
      </c>
      <c r="M181" s="1">
        <f>intermediate_results[[#This Row], [Team1 laps '[laps']]] - intermediate_results[[#This Row], [Team3 laps '[laps']]]</f>
        <v>0.42253119972010467</v>
      </c>
      <c r="N181" s="1">
        <f>intermediate_results[[#This Row], [Team1 laps '[laps']]] - intermediate_results[[#This Row], [Team4 laps '[laps']]]</f>
        <v>0.76603071635386399</v>
      </c>
      <c r="O181" s="1">
        <f>intermediate_results[[#This Row], [Team1 laps '[laps']]] - intermediate_results[[#This Row], [Team5 laps '[laps']]]</f>
        <v>0.80234945667342927</v>
      </c>
      <c r="P181" s="1">
        <f>intermediate_results[[#This Row], [Team1 laps '[laps']]] - intermediate_results[[#This Row], [Team6 laps '[laps']]]</f>
        <v>1.0654546922560328</v>
      </c>
      <c r="Q181" s="1">
        <f>intermediate_results[[#This Row], [Team1 laps '[laps']]] - intermediate_results[[#This Row], [Team7 laps '[laps']]]</f>
        <v>0.76041557227138767</v>
      </c>
      <c r="R181" s="1">
        <f>intermediate_results[[#This Row], [Team1 laps '[laps']]] - intermediate_results[[#This Row], [Team8 laps '[laps']]]</f>
        <v>1.3770507032198793</v>
      </c>
      <c r="S181" s="1">
        <f>intermediate_results[[#This Row], [Team1 laps '[laps']]] - intermediate_results[[#This Row], [Team9 laps '[laps']]]</f>
        <v>1.3471586817505603</v>
      </c>
      <c r="T181" s="1">
        <f>MAX(intermediate_results[[#This Row], [Team1 laps '[laps']]:[Team9 laps '[laps']]]) - intermediate_results[[#This Row], [Team1 laps '[laps']]]</f>
        <v>0</v>
      </c>
      <c r="U181" s="1">
        <f>MAX(intermediate_results[[#This Row], [Team1 laps '[laps']]:[Team9 laps '[laps']]]) - intermediate_results[[#This Row], [Team2 laps '[laps']]]</f>
        <v>0.13195533289992412</v>
      </c>
      <c r="V181" s="1">
        <f>MAX(intermediate_results[[#This Row], [Team1 laps '[laps']]:[Team9 laps '[laps']]]) - intermediate_results[[#This Row], [Team3 laps '[laps']]]</f>
        <v>0.42253119972010467</v>
      </c>
      <c r="W181" s="1">
        <f>MAX(intermediate_results[[#This Row], [Team1 laps '[laps']]:[Team9 laps '[laps']]]) - intermediate_results[[#This Row], [Team4 laps '[laps']]]</f>
        <v>0.76603071635386399</v>
      </c>
      <c r="X181" s="1">
        <f>MAX(intermediate_results[[#This Row], [Team1 laps '[laps']]:[Team9 laps '[laps']]]) - intermediate_results[[#This Row], [Team5 laps '[laps']]]</f>
        <v>0.80234945667342927</v>
      </c>
      <c r="Y181" s="1">
        <f>MAX(intermediate_results[[#This Row], [Team1 laps '[laps']]:[Team9 laps '[laps']]]) - intermediate_results[[#This Row], [Team6 laps '[laps']]]</f>
        <v>1.0654546922560328</v>
      </c>
      <c r="Z181" s="1">
        <f>MAX(intermediate_results[[#This Row], [Team1 laps '[laps']]:[Team9 laps '[laps']]]) - intermediate_results[[#This Row], [Team7 laps '[laps']]]</f>
        <v>0.76041557227138767</v>
      </c>
      <c r="AA181" s="1">
        <f>MAX(intermediate_results[[#This Row], [Team1 laps '[laps']]:[Team9 laps '[laps']]]) - intermediate_results[[#This Row], [Team8 laps '[laps']]]</f>
        <v>1.3770507032198793</v>
      </c>
      <c r="AB181" s="1">
        <f>MAX(intermediate_results[[#This Row], [Team1 laps '[laps']]:[Team9 laps '[laps']]]) - intermediate_results[[#This Row], [Team9 laps '[laps']]]</f>
        <v>1.3471586817505603</v>
      </c>
      <c r="AC181" s="1">
        <f>9 * intermediate_results[[#This Row], [All cumulative times '[sec']]] / SUM(intermediate_results[[#This Row], [Team1 laps '[laps']]:[Team9 laps '[laps']]])</f>
        <v>54.719162258753535</v>
      </c>
      <c r="AD181" s="1">
        <f>intermediate_results[[#This Row], [All cumulative times '[sec']]] / intermediate_results[[#This Row], [Team1 laps '[laps']]] - intermediate_results[[#This Row], [Total running average '[sec']]]</f>
        <v>-1.9198835160567924</v>
      </c>
      <c r="AE181" s="1">
        <f>intermediate_results[[#This Row], [All cumulative times '[sec']]] / intermediate_results[[#This Row], [Team2 laps '[laps']]] - intermediate_results[[#This Row], [Total running average '[sec']]]</f>
        <v>-1.5881146397059211</v>
      </c>
      <c r="AF181" s="1">
        <f>intermediate_results[[#This Row], [All cumulative times '[sec']]] / intermediate_results[[#This Row], [Team3 laps '[laps']]] - intermediate_results[[#This Row], [Total running average '[sec']]]</f>
        <v>-0.84262794158793497</v>
      </c>
      <c r="AG181" s="1">
        <f>intermediate_results[[#This Row], [All cumulative times '[sec']]] / intermediate_results[[#This Row], [Team4 laps '[laps']]] - intermediate_results[[#This Row], [Total running average '[sec']]]</f>
        <v>6.6074405312292583E-2</v>
      </c>
      <c r="AH181" s="1">
        <f>intermediate_results[[#This Row], [All cumulative times '[sec']]] / intermediate_results[[#This Row], [Team5 laps '[laps']]] - intermediate_results[[#This Row], [Total running average '[sec']]]</f>
        <v>0.16394795956918529</v>
      </c>
      <c r="AI181" s="1">
        <f>intermediate_results[[#This Row], [All cumulative times '[sec']]] / intermediate_results[[#This Row], [Team6 laps '[laps']]] - intermediate_results[[#This Row], [Total running average '[sec']]]</f>
        <v>0.8835569189036363</v>
      </c>
      <c r="AJ181" s="1">
        <f>intermediate_results[[#This Row], [All cumulative times '[sec']]] / intermediate_results[[#This Row], [Team7 laps '[laps']]] - intermediate_results[[#This Row], [Total running average '[sec']]]</f>
        <v>5.0973583230309316E-2</v>
      </c>
      <c r="AK181" s="1">
        <f>intermediate_results[[#This Row], [All cumulative times '[sec']]] / intermediate_results[[#This Row], [Team8 laps '[laps']]] - intermediate_results[[#This Row], [Total running average '[sec']]]</f>
        <v>1.760583956962364</v>
      </c>
      <c r="AL181" s="1">
        <f>intermediate_results[[#This Row], [All cumulative times '[sec']]] / intermediate_results[[#This Row], [Team9 laps '[laps']]] - intermediate_results[[#This Row], [Total running average '[sec']]]</f>
        <v>1.675251071503375</v>
      </c>
    </row>
    <row r="182" spans="1:38" x14ac:dyDescent="0.25">
      <c r="A182" s="1">
        <v>1127.6790000000001</v>
      </c>
      <c r="B182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21.360013767256881</v>
      </c>
      <c r="C182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21.225830272276294</v>
      </c>
      <c r="D182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20.934542571865389</v>
      </c>
      <c r="E182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20.585538308567646</v>
      </c>
      <c r="F182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20.547534214036432</v>
      </c>
      <c r="G182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20.281738942125497</v>
      </c>
      <c r="H182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20.590480211469277</v>
      </c>
      <c r="I182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19.971361681276207</v>
      </c>
      <c r="J182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20.000000000000004</v>
      </c>
      <c r="K182" s="1">
        <f>intermediate_results[[#This Row], [Team1 laps '[laps']]] - intermediate_results[[#This Row], [Team1 laps '[laps']]]</f>
        <v>0</v>
      </c>
      <c r="L182" s="1">
        <f>intermediate_results[[#This Row], [Team1 laps '[laps']]] - intermediate_results[[#This Row], [Team2 laps '[laps']]]</f>
        <v>0.13418349498058646</v>
      </c>
      <c r="M182" s="1">
        <f>intermediate_results[[#This Row], [Team1 laps '[laps']]] - intermediate_results[[#This Row], [Team3 laps '[laps']]]</f>
        <v>0.42547119539149136</v>
      </c>
      <c r="N182" s="1">
        <f>intermediate_results[[#This Row], [Team1 laps '[laps']]] - intermediate_results[[#This Row], [Team4 laps '[laps']]]</f>
        <v>0.77447545868923484</v>
      </c>
      <c r="O182" s="1">
        <f>intermediate_results[[#This Row], [Team1 laps '[laps']]] - intermediate_results[[#This Row], [Team5 laps '[laps']]]</f>
        <v>0.81247955322044874</v>
      </c>
      <c r="P182" s="1">
        <f>intermediate_results[[#This Row], [Team1 laps '[laps']]] - intermediate_results[[#This Row], [Team6 laps '[laps']]]</f>
        <v>1.0782748251313841</v>
      </c>
      <c r="Q182" s="1">
        <f>intermediate_results[[#This Row], [Team1 laps '[laps']]] - intermediate_results[[#This Row], [Team7 laps '[laps']]]</f>
        <v>0.76953355578760352</v>
      </c>
      <c r="R182" s="1">
        <f>intermediate_results[[#This Row], [Team1 laps '[laps']]] - intermediate_results[[#This Row], [Team8 laps '[laps']]]</f>
        <v>1.3886520859806737</v>
      </c>
      <c r="S182" s="1">
        <f>intermediate_results[[#This Row], [Team1 laps '[laps']]] - intermediate_results[[#This Row], [Team9 laps '[laps']]]</f>
        <v>1.3600137672568771</v>
      </c>
      <c r="T182" s="1">
        <f>MAX(intermediate_results[[#This Row], [Team1 laps '[laps']]:[Team9 laps '[laps']]]) - intermediate_results[[#This Row], [Team1 laps '[laps']]]</f>
        <v>0</v>
      </c>
      <c r="U182" s="1">
        <f>MAX(intermediate_results[[#This Row], [Team1 laps '[laps']]:[Team9 laps '[laps']]]) - intermediate_results[[#This Row], [Team2 laps '[laps']]]</f>
        <v>0.13418349498058646</v>
      </c>
      <c r="V182" s="1">
        <f>MAX(intermediate_results[[#This Row], [Team1 laps '[laps']]:[Team9 laps '[laps']]]) - intermediate_results[[#This Row], [Team3 laps '[laps']]]</f>
        <v>0.42547119539149136</v>
      </c>
      <c r="W182" s="1">
        <f>MAX(intermediate_results[[#This Row], [Team1 laps '[laps']]:[Team9 laps '[laps']]]) - intermediate_results[[#This Row], [Team4 laps '[laps']]]</f>
        <v>0.77447545868923484</v>
      </c>
      <c r="X182" s="1">
        <f>MAX(intermediate_results[[#This Row], [Team1 laps '[laps']]:[Team9 laps '[laps']]]) - intermediate_results[[#This Row], [Team5 laps '[laps']]]</f>
        <v>0.81247955322044874</v>
      </c>
      <c r="Y182" s="1">
        <f>MAX(intermediate_results[[#This Row], [Team1 laps '[laps']]:[Team9 laps '[laps']]]) - intermediate_results[[#This Row], [Team6 laps '[laps']]]</f>
        <v>1.0782748251313841</v>
      </c>
      <c r="Z182" s="1">
        <f>MAX(intermediate_results[[#This Row], [Team1 laps '[laps']]:[Team9 laps '[laps']]]) - intermediate_results[[#This Row], [Team7 laps '[laps']]]</f>
        <v>0.76953355578760352</v>
      </c>
      <c r="AA182" s="1">
        <f>MAX(intermediate_results[[#This Row], [Team1 laps '[laps']]:[Team9 laps '[laps']]]) - intermediate_results[[#This Row], [Team8 laps '[laps']]]</f>
        <v>1.3886520859806737</v>
      </c>
      <c r="AB182" s="1">
        <f>MAX(intermediate_results[[#This Row], [Team1 laps '[laps']]:[Team9 laps '[laps']]]) - intermediate_results[[#This Row], [Team9 laps '[laps']]]</f>
        <v>1.3600137672568771</v>
      </c>
      <c r="AC182" s="1">
        <f>9 * intermediate_results[[#This Row], [All cumulative times '[sec']]] / SUM(intermediate_results[[#This Row], [Team1 laps '[laps']]:[Team9 laps '[laps']]])</f>
        <v>54.713061737820823</v>
      </c>
      <c r="AD182" s="1">
        <f>intermediate_results[[#This Row], [All cumulative times '[sec']]] / intermediate_results[[#This Row], [Team1 laps '[laps']]] - intermediate_results[[#This Row], [Total running average '[sec']]]</f>
        <v>-1.9191350911705314</v>
      </c>
      <c r="AE182" s="1">
        <f>intermediate_results[[#This Row], [All cumulative times '[sec']]] / intermediate_results[[#This Row], [Team2 laps '[laps']]] - intermediate_results[[#This Row], [Total running average '[sec']]]</f>
        <v>-1.5853873178055053</v>
      </c>
      <c r="AF182" s="1">
        <f>intermediate_results[[#This Row], [All cumulative times '[sec']]] / intermediate_results[[#This Row], [Team3 laps '[laps']]] - intermediate_results[[#This Row], [Total running average '[sec']]]</f>
        <v>-0.84615749910464189</v>
      </c>
      <c r="AG182" s="1">
        <f>intermediate_results[[#This Row], [All cumulative times '[sec']]] / intermediate_results[[#This Row], [Team4 laps '[laps']]] - intermediate_results[[#This Row], [Total running average '[sec']]]</f>
        <v>6.709426765332438E-2</v>
      </c>
      <c r="AH182" s="1">
        <f>intermediate_results[[#This Row], [All cumulative times '[sec']]] / intermediate_results[[#This Row], [Team5 laps '[laps']]] - intermediate_results[[#This Row], [Total running average '[sec']]]</f>
        <v>0.16841397860163454</v>
      </c>
      <c r="AI182" s="1">
        <f>intermediate_results[[#This Row], [All cumulative times '[sec']]] / intermediate_results[[#This Row], [Team6 laps '[laps']]] - intermediate_results[[#This Row], [Total running average '[sec']]]</f>
        <v>0.88764406052631983</v>
      </c>
      <c r="AJ182" s="1">
        <f>intermediate_results[[#This Row], [All cumulative times '[sec']]] / intermediate_results[[#This Row], [Team7 laps '[laps']]] - intermediate_results[[#This Row], [Total running average '[sec']]]</f>
        <v>5.3946530974293694E-2</v>
      </c>
      <c r="AK182" s="1">
        <f>intermediate_results[[#This Row], [All cumulative times '[sec']]] / intermediate_results[[#This Row], [Team8 laps '[laps']]] - intermediate_results[[#This Row], [Total running average '[sec']]]</f>
        <v>1.7517411132153882</v>
      </c>
      <c r="AL182" s="1">
        <f>intermediate_results[[#This Row], [All cumulative times '[sec']]] / intermediate_results[[#This Row], [Team9 laps '[laps']]] - intermediate_results[[#This Row], [Total running average '[sec']]]</f>
        <v>1.6708882621791687</v>
      </c>
    </row>
    <row r="183" spans="1:38" x14ac:dyDescent="0.25">
      <c r="A183" s="1">
        <v>1129.2570000000001</v>
      </c>
      <c r="B183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21.390187005239213</v>
      </c>
      <c r="C183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21.255708713598668</v>
      </c>
      <c r="D183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20.964326834148093</v>
      </c>
      <c r="E183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20.614594266143737</v>
      </c>
      <c r="F183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20.576367191068719</v>
      </c>
      <c r="G183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20.310216014292678</v>
      </c>
      <c r="H183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20.619447095968873</v>
      </c>
      <c r="I183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20.000000000000007</v>
      </c>
      <c r="J183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20.028419630796943</v>
      </c>
      <c r="K183" s="1">
        <f>intermediate_results[[#This Row], [Team1 laps '[laps']]] - intermediate_results[[#This Row], [Team1 laps '[laps']]]</f>
        <v>0</v>
      </c>
      <c r="L183" s="1">
        <f>intermediate_results[[#This Row], [Team1 laps '[laps']]] - intermediate_results[[#This Row], [Team2 laps '[laps']]]</f>
        <v>0.13447829164054426</v>
      </c>
      <c r="M183" s="1">
        <f>intermediate_results[[#This Row], [Team1 laps '[laps']]] - intermediate_results[[#This Row], [Team3 laps '[laps']]]</f>
        <v>0.42586017109112007</v>
      </c>
      <c r="N183" s="1">
        <f>intermediate_results[[#This Row], [Team1 laps '[laps']]] - intermediate_results[[#This Row], [Team4 laps '[laps']]]</f>
        <v>0.77559273909547599</v>
      </c>
      <c r="O183" s="1">
        <f>intermediate_results[[#This Row], [Team1 laps '[laps']]] - intermediate_results[[#This Row], [Team5 laps '[laps']]]</f>
        <v>0.81381981417049332</v>
      </c>
      <c r="P183" s="1">
        <f>intermediate_results[[#This Row], [Team1 laps '[laps']]] - intermediate_results[[#This Row], [Team6 laps '[laps']]]</f>
        <v>1.0799709909465349</v>
      </c>
      <c r="Q183" s="1">
        <f>intermediate_results[[#This Row], [Team1 laps '[laps']]] - intermediate_results[[#This Row], [Team7 laps '[laps']]]</f>
        <v>0.77073990927033975</v>
      </c>
      <c r="R183" s="1">
        <f>intermediate_results[[#This Row], [Team1 laps '[laps']]] - intermediate_results[[#This Row], [Team8 laps '[laps']]]</f>
        <v>1.3901870052392056</v>
      </c>
      <c r="S183" s="1">
        <f>intermediate_results[[#This Row], [Team1 laps '[laps']]] - intermediate_results[[#This Row], [Team9 laps '[laps']]]</f>
        <v>1.3617673744422696</v>
      </c>
      <c r="T183" s="1">
        <f>MAX(intermediate_results[[#This Row], [Team1 laps '[laps']]:[Team9 laps '[laps']]]) - intermediate_results[[#This Row], [Team1 laps '[laps']]]</f>
        <v>0</v>
      </c>
      <c r="U183" s="1">
        <f>MAX(intermediate_results[[#This Row], [Team1 laps '[laps']]:[Team9 laps '[laps']]]) - intermediate_results[[#This Row], [Team2 laps '[laps']]]</f>
        <v>0.13447829164054426</v>
      </c>
      <c r="V183" s="1">
        <f>MAX(intermediate_results[[#This Row], [Team1 laps '[laps']]:[Team9 laps '[laps']]]) - intermediate_results[[#This Row], [Team3 laps '[laps']]]</f>
        <v>0.42586017109112007</v>
      </c>
      <c r="W183" s="1">
        <f>MAX(intermediate_results[[#This Row], [Team1 laps '[laps']]:[Team9 laps '[laps']]]) - intermediate_results[[#This Row], [Team4 laps '[laps']]]</f>
        <v>0.77559273909547599</v>
      </c>
      <c r="X183" s="1">
        <f>MAX(intermediate_results[[#This Row], [Team1 laps '[laps']]:[Team9 laps '[laps']]]) - intermediate_results[[#This Row], [Team5 laps '[laps']]]</f>
        <v>0.81381981417049332</v>
      </c>
      <c r="Y183" s="1">
        <f>MAX(intermediate_results[[#This Row], [Team1 laps '[laps']]:[Team9 laps '[laps']]]) - intermediate_results[[#This Row], [Team6 laps '[laps']]]</f>
        <v>1.0799709909465349</v>
      </c>
      <c r="Z183" s="1">
        <f>MAX(intermediate_results[[#This Row], [Team1 laps '[laps']]:[Team9 laps '[laps']]]) - intermediate_results[[#This Row], [Team7 laps '[laps']]]</f>
        <v>0.77073990927033975</v>
      </c>
      <c r="AA183" s="1">
        <f>MAX(intermediate_results[[#This Row], [Team1 laps '[laps']]:[Team9 laps '[laps']]]) - intermediate_results[[#This Row], [Team8 laps '[laps']]]</f>
        <v>1.3901870052392056</v>
      </c>
      <c r="AB183" s="1">
        <f>MAX(intermediate_results[[#This Row], [Team1 laps '[laps']]:[Team9 laps '[laps']]]) - intermediate_results[[#This Row], [Team9 laps '[laps']]]</f>
        <v>1.3617673744422696</v>
      </c>
      <c r="AC183" s="1">
        <f>9 * intermediate_results[[#This Row], [All cumulative times '[sec']]] / SUM(intermediate_results[[#This Row], [Team1 laps '[laps']]:[Team9 laps '[laps']]])</f>
        <v>54.712279918768743</v>
      </c>
      <c r="AD183" s="1">
        <f>intermediate_results[[#This Row], [All cumulative times '[sec']]] / intermediate_results[[#This Row], [Team1 laps '[laps']]] - intermediate_results[[#This Row], [Total running average '[sec']]]</f>
        <v>-1.9190528318150299</v>
      </c>
      <c r="AE183" s="1">
        <f>intermediate_results[[#This Row], [All cumulative times '[sec']]] / intermediate_results[[#This Row], [Team2 laps '[laps']]] - intermediate_results[[#This Row], [Total running average '[sec']]]</f>
        <v>-1.5850464204314036</v>
      </c>
      <c r="AF183" s="1">
        <f>intermediate_results[[#This Row], [All cumulative times '[sec']]] / intermediate_results[[#This Row], [Team3 laps '[laps']]] - intermediate_results[[#This Row], [Total running average '[sec']]]</f>
        <v>-0.84663429447943628</v>
      </c>
      <c r="AG183" s="1">
        <f>intermediate_results[[#This Row], [All cumulative times '[sec']]] / intermediate_results[[#This Row], [Team4 laps '[laps']]] - intermediate_results[[#This Row], [Total running average '[sec']]]</f>
        <v>6.7211999470409012E-2</v>
      </c>
      <c r="AH183" s="1">
        <f>intermediate_results[[#This Row], [All cumulative times '[sec']]] / intermediate_results[[#This Row], [Team5 laps '[laps']]] - intermediate_results[[#This Row], [Total running average '[sec']]]</f>
        <v>0.16898213851802524</v>
      </c>
      <c r="AI183" s="1">
        <f>intermediate_results[[#This Row], [All cumulative times '[sec']]] / intermediate_results[[#This Row], [Team6 laps '[laps']]] - intermediate_results[[#This Row], [Total running average '[sec']]]</f>
        <v>0.88816269618526889</v>
      </c>
      <c r="AJ183" s="1">
        <f>intermediate_results[[#This Row], [All cumulative times '[sec']]] / intermediate_results[[#This Row], [Team7 laps '[laps']]] - intermediate_results[[#This Row], [Total running average '[sec']]]</f>
        <v>5.4319531939668764E-2</v>
      </c>
      <c r="AK183" s="1">
        <f>intermediate_results[[#This Row], [All cumulative times '[sec']]] / intermediate_results[[#This Row], [Team8 laps '[laps']]] - intermediate_results[[#This Row], [Total running average '[sec']]]</f>
        <v>1.7505700812312384</v>
      </c>
      <c r="AL183" s="1">
        <f>intermediate_results[[#This Row], [All cumulative times '[sec']]] / intermediate_results[[#This Row], [Team9 laps '[laps']]] - intermediate_results[[#This Row], [Total running average '[sec']]]</f>
        <v>1.6704512610585596</v>
      </c>
    </row>
    <row r="184" spans="1:38" x14ac:dyDescent="0.25">
      <c r="A184" s="1">
        <v>1131.1469999999999</v>
      </c>
      <c r="B184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21.426326054533639</v>
      </c>
      <c r="C184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21.291494679441058</v>
      </c>
      <c r="D184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21</v>
      </c>
      <c r="E184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20.649395127879359</v>
      </c>
      <c r="F184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20.610900984852634</v>
      </c>
      <c r="G184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20.344323534188728</v>
      </c>
      <c r="H184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20.654141273221239</v>
      </c>
      <c r="I184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20.034045466008582</v>
      </c>
      <c r="J184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20.062458352093653</v>
      </c>
      <c r="K184" s="1">
        <f>intermediate_results[[#This Row], [Team1 laps '[laps']]] - intermediate_results[[#This Row], [Team1 laps '[laps']]]</f>
        <v>0</v>
      </c>
      <c r="L184" s="1">
        <f>intermediate_results[[#This Row], [Team1 laps '[laps']]] - intermediate_results[[#This Row], [Team2 laps '[laps']]]</f>
        <v>0.13483137509258114</v>
      </c>
      <c r="M184" s="1">
        <f>intermediate_results[[#This Row], [Team1 laps '[laps']]] - intermediate_results[[#This Row], [Team3 laps '[laps']]]</f>
        <v>0.42632605453363936</v>
      </c>
      <c r="N184" s="1">
        <f>intermediate_results[[#This Row], [Team1 laps '[laps']]] - intermediate_results[[#This Row], [Team4 laps '[laps']]]</f>
        <v>0.77693092665428054</v>
      </c>
      <c r="O184" s="1">
        <f>intermediate_results[[#This Row], [Team1 laps '[laps']]] - intermediate_results[[#This Row], [Team5 laps '[laps']]]</f>
        <v>0.81542506968100525</v>
      </c>
      <c r="P184" s="1">
        <f>intermediate_results[[#This Row], [Team1 laps '[laps']]] - intermediate_results[[#This Row], [Team6 laps '[laps']]]</f>
        <v>1.0820025203449113</v>
      </c>
      <c r="Q184" s="1">
        <f>intermediate_results[[#This Row], [Team1 laps '[laps']]] - intermediate_results[[#This Row], [Team7 laps '[laps']]]</f>
        <v>0.77218478131240076</v>
      </c>
      <c r="R184" s="1">
        <f>intermediate_results[[#This Row], [Team1 laps '[laps']]] - intermediate_results[[#This Row], [Team8 laps '[laps']]]</f>
        <v>1.3922805885250575</v>
      </c>
      <c r="S184" s="1">
        <f>intermediate_results[[#This Row], [Team1 laps '[laps']]] - intermediate_results[[#This Row], [Team9 laps '[laps']]]</f>
        <v>1.3638677024399861</v>
      </c>
      <c r="T184" s="1">
        <f>MAX(intermediate_results[[#This Row], [Team1 laps '[laps']]:[Team9 laps '[laps']]]) - intermediate_results[[#This Row], [Team1 laps '[laps']]]</f>
        <v>0</v>
      </c>
      <c r="U184" s="1">
        <f>MAX(intermediate_results[[#This Row], [Team1 laps '[laps']]:[Team9 laps '[laps']]]) - intermediate_results[[#This Row], [Team2 laps '[laps']]]</f>
        <v>0.13483137509258114</v>
      </c>
      <c r="V184" s="1">
        <f>MAX(intermediate_results[[#This Row], [Team1 laps '[laps']]:[Team9 laps '[laps']]]) - intermediate_results[[#This Row], [Team3 laps '[laps']]]</f>
        <v>0.42632605453363936</v>
      </c>
      <c r="W184" s="1">
        <f>MAX(intermediate_results[[#This Row], [Team1 laps '[laps']]:[Team9 laps '[laps']]]) - intermediate_results[[#This Row], [Team4 laps '[laps']]]</f>
        <v>0.77693092665428054</v>
      </c>
      <c r="X184" s="1">
        <f>MAX(intermediate_results[[#This Row], [Team1 laps '[laps']]:[Team9 laps '[laps']]]) - intermediate_results[[#This Row], [Team5 laps '[laps']]]</f>
        <v>0.81542506968100525</v>
      </c>
      <c r="Y184" s="1">
        <f>MAX(intermediate_results[[#This Row], [Team1 laps '[laps']]:[Team9 laps '[laps']]]) - intermediate_results[[#This Row], [Team6 laps '[laps']]]</f>
        <v>1.0820025203449113</v>
      </c>
      <c r="Z184" s="1">
        <f>MAX(intermediate_results[[#This Row], [Team1 laps '[laps']]:[Team9 laps '[laps']]]) - intermediate_results[[#This Row], [Team7 laps '[laps']]]</f>
        <v>0.77218478131240076</v>
      </c>
      <c r="AA184" s="1">
        <f>MAX(intermediate_results[[#This Row], [Team1 laps '[laps']]:[Team9 laps '[laps']]]) - intermediate_results[[#This Row], [Team8 laps '[laps']]]</f>
        <v>1.3922805885250575</v>
      </c>
      <c r="AB184" s="1">
        <f>MAX(intermediate_results[[#This Row], [Team1 laps '[laps']]:[Team9 laps '[laps']]]) - intermediate_results[[#This Row], [Team9 laps '[laps']]]</f>
        <v>1.3638677024399861</v>
      </c>
      <c r="AC184" s="1">
        <f>9 * intermediate_results[[#This Row], [All cumulative times '[sec']]] / SUM(intermediate_results[[#This Row], [Team1 laps '[laps']]:[Team9 laps '[laps']]])</f>
        <v>54.711421451222968</v>
      </c>
      <c r="AD184" s="1">
        <f>intermediate_results[[#This Row], [All cumulative times '[sec']]] / intermediate_results[[#This Row], [Team1 laps '[laps']]] - intermediate_results[[#This Row], [Total running average '[sec']]]</f>
        <v>-1.9190296468119499</v>
      </c>
      <c r="AE184" s="1">
        <f>intermediate_results[[#This Row], [All cumulative times '[sec']]] / intermediate_results[[#This Row], [Team2 laps '[laps']]] - intermediate_results[[#This Row], [Total running average '[sec']]]</f>
        <v>-1.5847144242978572</v>
      </c>
      <c r="AF184" s="1">
        <f>intermediate_results[[#This Row], [All cumulative times '[sec']]] / intermediate_results[[#This Row], [Team3 laps '[laps']]] - intermediate_results[[#This Row], [Total running average '[sec']]]</f>
        <v>-0.84727859408011597</v>
      </c>
      <c r="AG184" s="1">
        <f>intermediate_results[[#This Row], [All cumulative times '[sec']]] / intermediate_results[[#This Row], [Team4 laps '[laps']]] - intermediate_results[[#This Row], [Total running average '[sec']]]</f>
        <v>6.7277537049328373E-2</v>
      </c>
      <c r="AH184" s="1">
        <f>intermediate_results[[#This Row], [All cumulative times '[sec']]] / intermediate_results[[#This Row], [Team5 laps '[laps']]] - intermediate_results[[#This Row], [Total running average '[sec']]]</f>
        <v>0.16958548929373052</v>
      </c>
      <c r="AI184" s="1">
        <f>intermediate_results[[#This Row], [All cumulative times '[sec']]] / intermediate_results[[#This Row], [Team6 laps '[laps']]] - intermediate_results[[#This Row], [Total running average '[sec']]]</f>
        <v>0.88870691377783118</v>
      </c>
      <c r="AJ184" s="1">
        <f>intermediate_results[[#This Row], [All cumulative times '[sec']]] / intermediate_results[[#This Row], [Team7 laps '[laps']]] - intermediate_results[[#This Row], [Total running average '[sec']]]</f>
        <v>5.4689859663078266E-2</v>
      </c>
      <c r="AK184" s="1">
        <f>intermediate_results[[#This Row], [All cumulative times '[sec']]] / intermediate_results[[#This Row], [Team8 laps '[laps']]] - intermediate_results[[#This Row], [Total running average '[sec']]]</f>
        <v>1.7498160915986958</v>
      </c>
      <c r="AL184" s="1">
        <f>intermediate_results[[#This Row], [All cumulative times '[sec']]] / intermediate_results[[#This Row], [Team9 laps '[laps']]] - intermediate_results[[#This Row], [Total running average '[sec']]]</f>
        <v>1.6698544696293283</v>
      </c>
    </row>
    <row r="185" spans="1:38" x14ac:dyDescent="0.25">
      <c r="A185" s="1">
        <v>1149.9880000000001</v>
      </c>
      <c r="B185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21.786588397261852</v>
      </c>
      <c r="C185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21.648237209830729</v>
      </c>
      <c r="D185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21.357419281405321</v>
      </c>
      <c r="E185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20.996317369128509</v>
      </c>
      <c r="F185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20.955160883626593</v>
      </c>
      <c r="G185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20.684334001046686</v>
      </c>
      <c r="H185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21.000000000000004</v>
      </c>
      <c r="I185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20.373437331123689</v>
      </c>
      <c r="J185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20.401782980639354</v>
      </c>
      <c r="K185" s="1">
        <f>intermediate_results[[#This Row], [Team1 laps '[laps']]] - intermediate_results[[#This Row], [Team1 laps '[laps']]]</f>
        <v>0</v>
      </c>
      <c r="L185" s="1">
        <f>intermediate_results[[#This Row], [Team1 laps '[laps']]] - intermediate_results[[#This Row], [Team2 laps '[laps']]]</f>
        <v>0.13835118743112318</v>
      </c>
      <c r="M185" s="1">
        <f>intermediate_results[[#This Row], [Team1 laps '[laps']]] - intermediate_results[[#This Row], [Team3 laps '[laps']]]</f>
        <v>0.42916911585653139</v>
      </c>
      <c r="N185" s="1">
        <f>intermediate_results[[#This Row], [Team1 laps '[laps']]] - intermediate_results[[#This Row], [Team4 laps '[laps']]]</f>
        <v>0.79027102813334338</v>
      </c>
      <c r="O185" s="1">
        <f>intermediate_results[[#This Row], [Team1 laps '[laps']]] - intermediate_results[[#This Row], [Team5 laps '[laps']]]</f>
        <v>0.83142751363525846</v>
      </c>
      <c r="P185" s="1">
        <f>intermediate_results[[#This Row], [Team1 laps '[laps']]] - intermediate_results[[#This Row], [Team6 laps '[laps']]]</f>
        <v>1.1022543962151659</v>
      </c>
      <c r="Q185" s="1">
        <f>intermediate_results[[#This Row], [Team1 laps '[laps']]] - intermediate_results[[#This Row], [Team7 laps '[laps']]]</f>
        <v>0.78658839726184837</v>
      </c>
      <c r="R185" s="1">
        <f>intermediate_results[[#This Row], [Team1 laps '[laps']]] - intermediate_results[[#This Row], [Team8 laps '[laps']]]</f>
        <v>1.4131510661381625</v>
      </c>
      <c r="S185" s="1">
        <f>intermediate_results[[#This Row], [Team1 laps '[laps']]] - intermediate_results[[#This Row], [Team9 laps '[laps']]]</f>
        <v>1.3848054166224983</v>
      </c>
      <c r="T185" s="1">
        <f>MAX(intermediate_results[[#This Row], [Team1 laps '[laps']]:[Team9 laps '[laps']]]) - intermediate_results[[#This Row], [Team1 laps '[laps']]]</f>
        <v>0</v>
      </c>
      <c r="U185" s="1">
        <f>MAX(intermediate_results[[#This Row], [Team1 laps '[laps']]:[Team9 laps '[laps']]]) - intermediate_results[[#This Row], [Team2 laps '[laps']]]</f>
        <v>0.13835118743112318</v>
      </c>
      <c r="V185" s="1">
        <f>MAX(intermediate_results[[#This Row], [Team1 laps '[laps']]:[Team9 laps '[laps']]]) - intermediate_results[[#This Row], [Team3 laps '[laps']]]</f>
        <v>0.42916911585653139</v>
      </c>
      <c r="W185" s="1">
        <f>MAX(intermediate_results[[#This Row], [Team1 laps '[laps']]:[Team9 laps '[laps']]]) - intermediate_results[[#This Row], [Team4 laps '[laps']]]</f>
        <v>0.79027102813334338</v>
      </c>
      <c r="X185" s="1">
        <f>MAX(intermediate_results[[#This Row], [Team1 laps '[laps']]:[Team9 laps '[laps']]]) - intermediate_results[[#This Row], [Team5 laps '[laps']]]</f>
        <v>0.83142751363525846</v>
      </c>
      <c r="Y185" s="1">
        <f>MAX(intermediate_results[[#This Row], [Team1 laps '[laps']]:[Team9 laps '[laps']]]) - intermediate_results[[#This Row], [Team6 laps '[laps']]]</f>
        <v>1.1022543962151659</v>
      </c>
      <c r="Z185" s="1">
        <f>MAX(intermediate_results[[#This Row], [Team1 laps '[laps']]:[Team9 laps '[laps']]]) - intermediate_results[[#This Row], [Team7 laps '[laps']]]</f>
        <v>0.78658839726184837</v>
      </c>
      <c r="AA185" s="1">
        <f>MAX(intermediate_results[[#This Row], [Team1 laps '[laps']]:[Team9 laps '[laps']]]) - intermediate_results[[#This Row], [Team8 laps '[laps']]]</f>
        <v>1.4131510661381625</v>
      </c>
      <c r="AB185" s="1">
        <f>MAX(intermediate_results[[#This Row], [Team1 laps '[laps']]:[Team9 laps '[laps']]]) - intermediate_results[[#This Row], [Team9 laps '[laps']]]</f>
        <v>1.3848054166224983</v>
      </c>
      <c r="AC185" s="1">
        <f>9 * intermediate_results[[#This Row], [All cumulative times '[sec']]] / SUM(intermediate_results[[#This Row], [Team1 laps '[laps']]:[Team9 laps '[laps']]])</f>
        <v>54.702498494048996</v>
      </c>
      <c r="AD185" s="1">
        <f>intermediate_results[[#This Row], [All cumulative times '[sec']]] / intermediate_results[[#This Row], [Team1 laps '[laps']]] - intermediate_results[[#This Row], [Total running average '[sec']]]</f>
        <v>-1.9182819370165518</v>
      </c>
      <c r="AE185" s="1">
        <f>intermediate_results[[#This Row], [All cumulative times '[sec']]] / intermediate_results[[#This Row], [Team2 laps '[laps']]] - intermediate_results[[#This Row], [Total running average '[sec']]]</f>
        <v>-1.5809445839792886</v>
      </c>
      <c r="AF185" s="1">
        <f>intermediate_results[[#This Row], [All cumulative times '[sec']]] / intermediate_results[[#This Row], [Team3 laps '[laps']]] - intermediate_results[[#This Row], [Total running average '[sec']]]</f>
        <v>-0.8576034321615964</v>
      </c>
      <c r="AG185" s="1">
        <f>intermediate_results[[#This Row], [All cumulative times '[sec']]] / intermediate_results[[#This Row], [Team4 laps '[laps']]] - intermediate_results[[#This Row], [Total running average '[sec']]]</f>
        <v>6.8439655841068259E-2</v>
      </c>
      <c r="AH185" s="1">
        <f>intermediate_results[[#This Row], [All cumulative times '[sec']]] / intermediate_results[[#This Row], [Team5 laps '[laps']]] - intermediate_results[[#This Row], [Total running average '[sec']]]</f>
        <v>0.17601121467617986</v>
      </c>
      <c r="AI185" s="1">
        <f>intermediate_results[[#This Row], [All cumulative times '[sec']]] / intermediate_results[[#This Row], [Team6 laps '[laps']]] - intermediate_results[[#This Row], [Total running average '[sec']]]</f>
        <v>0.89455384236209312</v>
      </c>
      <c r="AJ185" s="1">
        <f>intermediate_results[[#This Row], [All cumulative times '[sec']]] / intermediate_results[[#This Row], [Team7 laps '[laps']]] - intermediate_results[[#This Row], [Total running average '[sec']]]</f>
        <v>5.8834839284330087E-2</v>
      </c>
      <c r="AK185" s="1">
        <f>intermediate_results[[#This Row], [All cumulative times '[sec']]] / intermediate_results[[#This Row], [Team8 laps '[laps']]] - intermediate_results[[#This Row], [Total running average '[sec']]]</f>
        <v>1.7429594475625123</v>
      </c>
      <c r="AL185" s="1">
        <f>intermediate_results[[#This Row], [All cumulative times '[sec']]] / intermediate_results[[#This Row], [Team9 laps '[laps']]] - intermediate_results[[#This Row], [Total running average '[sec']]]</f>
        <v>1.6645357544430226</v>
      </c>
    </row>
    <row r="186" spans="1:38" x14ac:dyDescent="0.25">
      <c r="A186" s="1">
        <v>1150.1880000000001</v>
      </c>
      <c r="B186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21.790412635282429</v>
      </c>
      <c r="C186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21.652024084523045</v>
      </c>
      <c r="D186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21.361213339909703</v>
      </c>
      <c r="E186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21.000000000000004</v>
      </c>
      <c r="F186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20.958815253339178</v>
      </c>
      <c r="G186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20.687943262411348</v>
      </c>
      <c r="H186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21.003718370610002</v>
      </c>
      <c r="I186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20.377040025939412</v>
      </c>
      <c r="J186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20.405384961728956</v>
      </c>
      <c r="K186" s="1">
        <f>intermediate_results[[#This Row], [Team1 laps '[laps']]] - intermediate_results[[#This Row], [Team1 laps '[laps']]]</f>
        <v>0</v>
      </c>
      <c r="L186" s="1">
        <f>intermediate_results[[#This Row], [Team1 laps '[laps']]] - intermediate_results[[#This Row], [Team2 laps '[laps']]]</f>
        <v>0.13838855075938383</v>
      </c>
      <c r="M186" s="1">
        <f>intermediate_results[[#This Row], [Team1 laps '[laps']]] - intermediate_results[[#This Row], [Team3 laps '[laps']]]</f>
        <v>0.42919929537272594</v>
      </c>
      <c r="N186" s="1">
        <f>intermediate_results[[#This Row], [Team1 laps '[laps']]] - intermediate_results[[#This Row], [Team4 laps '[laps']]]</f>
        <v>0.79041263528242567</v>
      </c>
      <c r="O186" s="1">
        <f>intermediate_results[[#This Row], [Team1 laps '[laps']]] - intermediate_results[[#This Row], [Team5 laps '[laps']]]</f>
        <v>0.83159738194325072</v>
      </c>
      <c r="P186" s="1">
        <f>intermediate_results[[#This Row], [Team1 laps '[laps']]] - intermediate_results[[#This Row], [Team6 laps '[laps']]]</f>
        <v>1.1024693728710808</v>
      </c>
      <c r="Q186" s="1">
        <f>intermediate_results[[#This Row], [Team1 laps '[laps']]] - intermediate_results[[#This Row], [Team7 laps '[laps']]]</f>
        <v>0.78669426467242687</v>
      </c>
      <c r="R186" s="1">
        <f>intermediate_results[[#This Row], [Team1 laps '[laps']]] - intermediate_results[[#This Row], [Team8 laps '[laps']]]</f>
        <v>1.4133726093430177</v>
      </c>
      <c r="S186" s="1">
        <f>intermediate_results[[#This Row], [Team1 laps '[laps']]] - intermediate_results[[#This Row], [Team9 laps '[laps']]]</f>
        <v>1.3850276735534734</v>
      </c>
      <c r="T186" s="1">
        <f>MAX(intermediate_results[[#This Row], [Team1 laps '[laps']]:[Team9 laps '[laps']]]) - intermediate_results[[#This Row], [Team1 laps '[laps']]]</f>
        <v>0</v>
      </c>
      <c r="U186" s="1">
        <f>MAX(intermediate_results[[#This Row], [Team1 laps '[laps']]:[Team9 laps '[laps']]]) - intermediate_results[[#This Row], [Team2 laps '[laps']]]</f>
        <v>0.13838855075938383</v>
      </c>
      <c r="V186" s="1">
        <f>MAX(intermediate_results[[#This Row], [Team1 laps '[laps']]:[Team9 laps '[laps']]]) - intermediate_results[[#This Row], [Team3 laps '[laps']]]</f>
        <v>0.42919929537272594</v>
      </c>
      <c r="W186" s="1">
        <f>MAX(intermediate_results[[#This Row], [Team1 laps '[laps']]:[Team9 laps '[laps']]]) - intermediate_results[[#This Row], [Team4 laps '[laps']]]</f>
        <v>0.79041263528242567</v>
      </c>
      <c r="X186" s="1">
        <f>MAX(intermediate_results[[#This Row], [Team1 laps '[laps']]:[Team9 laps '[laps']]]) - intermediate_results[[#This Row], [Team5 laps '[laps']]]</f>
        <v>0.83159738194325072</v>
      </c>
      <c r="Y186" s="1">
        <f>MAX(intermediate_results[[#This Row], [Team1 laps '[laps']]:[Team9 laps '[laps']]]) - intermediate_results[[#This Row], [Team6 laps '[laps']]]</f>
        <v>1.1024693728710808</v>
      </c>
      <c r="Z186" s="1">
        <f>MAX(intermediate_results[[#This Row], [Team1 laps '[laps']]:[Team9 laps '[laps']]]) - intermediate_results[[#This Row], [Team7 laps '[laps']]]</f>
        <v>0.78669426467242687</v>
      </c>
      <c r="AA186" s="1">
        <f>MAX(intermediate_results[[#This Row], [Team1 laps '[laps']]:[Team9 laps '[laps']]]) - intermediate_results[[#This Row], [Team8 laps '[laps']]]</f>
        <v>1.4133726093430177</v>
      </c>
      <c r="AB186" s="1">
        <f>MAX(intermediate_results[[#This Row], [Team1 laps '[laps']]:[Team9 laps '[laps']]]) - intermediate_results[[#This Row], [Team9 laps '[laps']]]</f>
        <v>1.3850276735534734</v>
      </c>
      <c r="AC186" s="1">
        <f>9 * intermediate_results[[#This Row], [All cumulative times '[sec']]] / SUM(intermediate_results[[#This Row], [Team1 laps '[laps']]:[Team9 laps '[laps']]])</f>
        <v>54.702391764273735</v>
      </c>
      <c r="AD186" s="1">
        <f>intermediate_results[[#This Row], [All cumulative times '[sec']]] / intermediate_results[[#This Row], [Team1 laps '[laps']]] - intermediate_results[[#This Row], [Total running average '[sec']]]</f>
        <v>-1.9182605387067753</v>
      </c>
      <c r="AE186" s="1">
        <f>intermediate_results[[#This Row], [All cumulative times '[sec']]] / intermediate_results[[#This Row], [Team2 laps '[laps']]] - intermediate_results[[#This Row], [Total running average '[sec']]]</f>
        <v>-1.5808916444692684</v>
      </c>
      <c r="AF186" s="1">
        <f>intermediate_results[[#This Row], [All cumulative times '[sec']]] / intermediate_results[[#This Row], [Team3 laps '[laps']]] - intermediate_results[[#This Row], [Total running average '[sec']]]</f>
        <v>-0.85769756560317489</v>
      </c>
      <c r="AG186" s="1">
        <f>intermediate_results[[#This Row], [All cumulative times '[sec']]] / intermediate_results[[#This Row], [Team4 laps '[laps']]] - intermediate_results[[#This Row], [Total running average '[sec']]]</f>
        <v>6.8465378583404402E-2</v>
      </c>
      <c r="AH186" s="1">
        <f>intermediate_results[[#This Row], [All cumulative times '[sec']]] / intermediate_results[[#This Row], [Team5 laps '[laps']]] - intermediate_results[[#This Row], [Total running average '[sec']]]</f>
        <v>0.17609187600507425</v>
      </c>
      <c r="AI186" s="1">
        <f>intermediate_results[[#This Row], [All cumulative times '[sec']]] / intermediate_results[[#This Row], [Team6 laps '[laps']]] - intermediate_results[[#This Row], [Total running average '[sec']]]</f>
        <v>0.89462846198612311</v>
      </c>
      <c r="AJ186" s="1">
        <f>intermediate_results[[#This Row], [All cumulative times '[sec']]] / intermediate_results[[#This Row], [Team7 laps '[laps']]] - intermediate_results[[#This Row], [Total running average '[sec']]]</f>
        <v>5.8769079009636016E-2</v>
      </c>
      <c r="AK186" s="1">
        <f>intermediate_results[[#This Row], [All cumulative times '[sec']]] / intermediate_results[[#This Row], [Team8 laps '[laps']]] - intermediate_results[[#This Row], [Total running average '[sec']]]</f>
        <v>1.7429014940131609</v>
      </c>
      <c r="AL186" s="1">
        <f>intermediate_results[[#This Row], [All cumulative times '[sec']]] / intermediate_results[[#This Row], [Team9 laps '[laps']]] - intermediate_results[[#This Row], [Total running average '[sec']]]</f>
        <v>1.664493847402774</v>
      </c>
    </row>
    <row r="187" spans="1:38" x14ac:dyDescent="0.25">
      <c r="A187" s="1">
        <v>1152.442</v>
      </c>
      <c r="B187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21.8335117977743</v>
      </c>
      <c r="C187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21.69470216230545</v>
      </c>
      <c r="D187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21.403972379254089</v>
      </c>
      <c r="E187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21.041784846968099</v>
      </c>
      <c r="F187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20.999999999999996</v>
      </c>
      <c r="G187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20.728619637991084</v>
      </c>
      <c r="H187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21.045624407384686</v>
      </c>
      <c r="I187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20.417642396512598</v>
      </c>
      <c r="J187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20.445979288608736</v>
      </c>
      <c r="K187" s="1">
        <f>intermediate_results[[#This Row], [Team1 laps '[laps']]] - intermediate_results[[#This Row], [Team1 laps '[laps']]]</f>
        <v>0</v>
      </c>
      <c r="L187" s="1">
        <f>intermediate_results[[#This Row], [Team1 laps '[laps']]] - intermediate_results[[#This Row], [Team2 laps '[laps']]]</f>
        <v>0.13880963546884928</v>
      </c>
      <c r="M187" s="1">
        <f>intermediate_results[[#This Row], [Team1 laps '[laps']]] - intermediate_results[[#This Row], [Team3 laps '[laps']]]</f>
        <v>0.4295394185202106</v>
      </c>
      <c r="N187" s="1">
        <f>intermediate_results[[#This Row], [Team1 laps '[laps']]] - intermediate_results[[#This Row], [Team4 laps '[laps']]]</f>
        <v>0.79172695080620059</v>
      </c>
      <c r="O187" s="1">
        <f>intermediate_results[[#This Row], [Team1 laps '[laps']]] - intermediate_results[[#This Row], [Team5 laps '[laps']]]</f>
        <v>0.83351179777430318</v>
      </c>
      <c r="P187" s="1">
        <f>intermediate_results[[#This Row], [Team1 laps '[laps']]] - intermediate_results[[#This Row], [Team6 laps '[laps']]]</f>
        <v>1.1048921597832155</v>
      </c>
      <c r="Q187" s="1">
        <f>intermediate_results[[#This Row], [Team1 laps '[laps']]] - intermediate_results[[#This Row], [Team7 laps '[laps']]]</f>
        <v>0.78788739038961353</v>
      </c>
      <c r="R187" s="1">
        <f>intermediate_results[[#This Row], [Team1 laps '[laps']]] - intermediate_results[[#This Row], [Team8 laps '[laps']]]</f>
        <v>1.4158694012617019</v>
      </c>
      <c r="S187" s="1">
        <f>intermediate_results[[#This Row], [Team1 laps '[laps']]] - intermediate_results[[#This Row], [Team9 laps '[laps']]]</f>
        <v>1.3875325091655633</v>
      </c>
      <c r="T187" s="1">
        <f>MAX(intermediate_results[[#This Row], [Team1 laps '[laps']]:[Team9 laps '[laps']]]) - intermediate_results[[#This Row], [Team1 laps '[laps']]]</f>
        <v>0</v>
      </c>
      <c r="U187" s="1">
        <f>MAX(intermediate_results[[#This Row], [Team1 laps '[laps']]:[Team9 laps '[laps']]]) - intermediate_results[[#This Row], [Team2 laps '[laps']]]</f>
        <v>0.13880963546884928</v>
      </c>
      <c r="V187" s="1">
        <f>MAX(intermediate_results[[#This Row], [Team1 laps '[laps']]:[Team9 laps '[laps']]]) - intermediate_results[[#This Row], [Team3 laps '[laps']]]</f>
        <v>0.4295394185202106</v>
      </c>
      <c r="W187" s="1">
        <f>MAX(intermediate_results[[#This Row], [Team1 laps '[laps']]:[Team9 laps '[laps']]]) - intermediate_results[[#This Row], [Team4 laps '[laps']]]</f>
        <v>0.79172695080620059</v>
      </c>
      <c r="X187" s="1">
        <f>MAX(intermediate_results[[#This Row], [Team1 laps '[laps']]:[Team9 laps '[laps']]]) - intermediate_results[[#This Row], [Team5 laps '[laps']]]</f>
        <v>0.83351179777430318</v>
      </c>
      <c r="Y187" s="1">
        <f>MAX(intermediate_results[[#This Row], [Team1 laps '[laps']]:[Team9 laps '[laps']]]) - intermediate_results[[#This Row], [Team6 laps '[laps']]]</f>
        <v>1.1048921597832155</v>
      </c>
      <c r="Z187" s="1">
        <f>MAX(intermediate_results[[#This Row], [Team1 laps '[laps']]:[Team9 laps '[laps']]]) - intermediate_results[[#This Row], [Team7 laps '[laps']]]</f>
        <v>0.78788739038961353</v>
      </c>
      <c r="AA187" s="1">
        <f>MAX(intermediate_results[[#This Row], [Team1 laps '[laps']]:[Team9 laps '[laps']]]) - intermediate_results[[#This Row], [Team8 laps '[laps']]]</f>
        <v>1.4158694012617019</v>
      </c>
      <c r="AB187" s="1">
        <f>MAX(intermediate_results[[#This Row], [Team1 laps '[laps']]:[Team9 laps '[laps']]]) - intermediate_results[[#This Row], [Team9 laps '[laps']]]</f>
        <v>1.3875325091655633</v>
      </c>
      <c r="AC187" s="1">
        <f>9 * intermediate_results[[#This Row], [All cumulative times '[sec']]] / SUM(intermediate_results[[#This Row], [Team1 laps '[laps']]:[Team9 laps '[laps']]])</f>
        <v>54.701110271671403</v>
      </c>
      <c r="AD187" s="1">
        <f>intermediate_results[[#This Row], [All cumulative times '[sec']]] / intermediate_results[[#This Row], [Team1 laps '[laps']]] - intermediate_results[[#This Row], [Total running average '[sec']]]</f>
        <v>-1.9179386649178127</v>
      </c>
      <c r="AE187" s="1">
        <f>intermediate_results[[#This Row], [All cumulative times '[sec']]] / intermediate_results[[#This Row], [Team2 laps '[laps']]] - intermediate_results[[#This Row], [Total running average '[sec']]]</f>
        <v>-1.5802150697834421</v>
      </c>
      <c r="AF187" s="1">
        <f>intermediate_results[[#This Row], [All cumulative times '[sec']]] / intermediate_results[[#This Row], [Team3 laps '[laps']]] - intermediate_results[[#This Row], [Total running average '[sec']]]</f>
        <v>-0.8586748779026081</v>
      </c>
      <c r="AG187" s="1">
        <f>intermediate_results[[#This Row], [All cumulative times '[sec']]] / intermediate_results[[#This Row], [Team4 laps '[laps']]] - intermediate_results[[#This Row], [Total running average '[sec']]]</f>
        <v>6.8102909693045888E-2</v>
      </c>
      <c r="AH187" s="1">
        <f>intermediate_results[[#This Row], [All cumulative times '[sec']]] / intermediate_results[[#This Row], [Team5 laps '[laps']]] - intermediate_results[[#This Row], [Total running average '[sec']]]</f>
        <v>0.17708020451907913</v>
      </c>
      <c r="AI187" s="1">
        <f>intermediate_results[[#This Row], [All cumulative times '[sec']]] / intermediate_results[[#This Row], [Team6 laps '[laps']]] - intermediate_results[[#This Row], [Total running average '[sec']]]</f>
        <v>0.89554884632517684</v>
      </c>
      <c r="AJ187" s="1">
        <f>intermediate_results[[#This Row], [All cumulative times '[sec']]] / intermediate_results[[#This Row], [Team7 laps '[laps']]] - intermediate_results[[#This Row], [Total running average '[sec']]]</f>
        <v>5.8110823028947323E-2</v>
      </c>
      <c r="AK187" s="1">
        <f>intermediate_results[[#This Row], [All cumulative times '[sec']]] / intermediate_results[[#This Row], [Team8 laps '[laps']]] - intermediate_results[[#This Row], [Total running average '[sec']]]</f>
        <v>1.7423310238251304</v>
      </c>
      <c r="AL187" s="1">
        <f>intermediate_results[[#This Row], [All cumulative times '[sec']]] / intermediate_results[[#This Row], [Team9 laps '[laps']]] - intermediate_results[[#This Row], [Total running average '[sec']]]</f>
        <v>1.6641038240931891</v>
      </c>
    </row>
    <row r="188" spans="1:38" x14ac:dyDescent="0.25">
      <c r="A188" s="1">
        <v>1161.1489999999999</v>
      </c>
      <c r="B188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22.000000000000004</v>
      </c>
      <c r="C188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21.859563752035445</v>
      </c>
      <c r="D188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21.569146716242365</v>
      </c>
      <c r="E188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21.203195966112379</v>
      </c>
      <c r="F188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21.159790787300416</v>
      </c>
      <c r="G188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20.88574883150163</v>
      </c>
      <c r="H188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21.207503671890979</v>
      </c>
      <c r="I188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20.57448571531506</v>
      </c>
      <c r="J188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20.602791535344441</v>
      </c>
      <c r="K188" s="1">
        <f>intermediate_results[[#This Row], [Team1 laps '[laps']]] - intermediate_results[[#This Row], [Team1 laps '[laps']]]</f>
        <v>0</v>
      </c>
      <c r="L188" s="1">
        <f>intermediate_results[[#This Row], [Team1 laps '[laps']]] - intermediate_results[[#This Row], [Team2 laps '[laps']]]</f>
        <v>0.14043624796455845</v>
      </c>
      <c r="M188" s="1">
        <f>intermediate_results[[#This Row], [Team1 laps '[laps']]] - intermediate_results[[#This Row], [Team3 laps '[laps']]]</f>
        <v>0.43085328375763865</v>
      </c>
      <c r="N188" s="1">
        <f>intermediate_results[[#This Row], [Team1 laps '[laps']]] - intermediate_results[[#This Row], [Team4 laps '[laps']]]</f>
        <v>0.796804033887625</v>
      </c>
      <c r="O188" s="1">
        <f>intermediate_results[[#This Row], [Team1 laps '[laps']]] - intermediate_results[[#This Row], [Team5 laps '[laps']]]</f>
        <v>0.84020921269958748</v>
      </c>
      <c r="P188" s="1">
        <f>intermediate_results[[#This Row], [Team1 laps '[laps']]] - intermediate_results[[#This Row], [Team6 laps '[laps']]]</f>
        <v>1.1142511684983738</v>
      </c>
      <c r="Q188" s="1">
        <f>intermediate_results[[#This Row], [Team1 laps '[laps']]] - intermediate_results[[#This Row], [Team7 laps '[laps']]]</f>
        <v>0.79249632810902426</v>
      </c>
      <c r="R188" s="1">
        <f>intermediate_results[[#This Row], [Team1 laps '[laps']]] - intermediate_results[[#This Row], [Team8 laps '[laps']]]</f>
        <v>1.4255142846849438</v>
      </c>
      <c r="S188" s="1">
        <f>intermediate_results[[#This Row], [Team1 laps '[laps']]] - intermediate_results[[#This Row], [Team9 laps '[laps']]]</f>
        <v>1.3972084646555629</v>
      </c>
      <c r="T188" s="1">
        <f>MAX(intermediate_results[[#This Row], [Team1 laps '[laps']]:[Team9 laps '[laps']]]) - intermediate_results[[#This Row], [Team1 laps '[laps']]]</f>
        <v>0</v>
      </c>
      <c r="U188" s="1">
        <f>MAX(intermediate_results[[#This Row], [Team1 laps '[laps']]:[Team9 laps '[laps']]]) - intermediate_results[[#This Row], [Team2 laps '[laps']]]</f>
        <v>0.14043624796455845</v>
      </c>
      <c r="V188" s="1">
        <f>MAX(intermediate_results[[#This Row], [Team1 laps '[laps']]:[Team9 laps '[laps']]]) - intermediate_results[[#This Row], [Team3 laps '[laps']]]</f>
        <v>0.43085328375763865</v>
      </c>
      <c r="W188" s="1">
        <f>MAX(intermediate_results[[#This Row], [Team1 laps '[laps']]:[Team9 laps '[laps']]]) - intermediate_results[[#This Row], [Team4 laps '[laps']]]</f>
        <v>0.796804033887625</v>
      </c>
      <c r="X188" s="1">
        <f>MAX(intermediate_results[[#This Row], [Team1 laps '[laps']]:[Team9 laps '[laps']]]) - intermediate_results[[#This Row], [Team5 laps '[laps']]]</f>
        <v>0.84020921269958748</v>
      </c>
      <c r="Y188" s="1">
        <f>MAX(intermediate_results[[#This Row], [Team1 laps '[laps']]:[Team9 laps '[laps']]]) - intermediate_results[[#This Row], [Team6 laps '[laps']]]</f>
        <v>1.1142511684983738</v>
      </c>
      <c r="Z188" s="1">
        <f>MAX(intermediate_results[[#This Row], [Team1 laps '[laps']]:[Team9 laps '[laps']]]) - intermediate_results[[#This Row], [Team7 laps '[laps']]]</f>
        <v>0.79249632810902426</v>
      </c>
      <c r="AA188" s="1">
        <f>MAX(intermediate_results[[#This Row], [Team1 laps '[laps']]:[Team9 laps '[laps']]]) - intermediate_results[[#This Row], [Team8 laps '[laps']]]</f>
        <v>1.4255142846849438</v>
      </c>
      <c r="AB188" s="1">
        <f>MAX(intermediate_results[[#This Row], [Team1 laps '[laps']]:[Team9 laps '[laps']]]) - intermediate_results[[#This Row], [Team9 laps '[laps']]]</f>
        <v>1.3972084646555629</v>
      </c>
      <c r="AC188" s="1">
        <f>9 * intermediate_results[[#This Row], [All cumulative times '[sec']]] / SUM(intermediate_results[[#This Row], [Team1 laps '[laps']]:[Team9 laps '[laps']]])</f>
        <v>54.696007501926459</v>
      </c>
      <c r="AD188" s="1">
        <f>intermediate_results[[#This Row], [All cumulative times '[sec']]] / intermediate_results[[#This Row], [Team1 laps '[laps']]] - intermediate_results[[#This Row], [Total running average '[sec']]]</f>
        <v>-1.9165075019264748</v>
      </c>
      <c r="AE188" s="1">
        <f>intermediate_results[[#This Row], [All cumulative times '[sec']]] / intermediate_results[[#This Row], [Team2 laps '[laps']]] - intermediate_results[[#This Row], [Total running average '[sec']]]</f>
        <v>-1.5774268581622408</v>
      </c>
      <c r="AF188" s="1">
        <f>intermediate_results[[#This Row], [All cumulative times '[sec']]] / intermediate_results[[#This Row], [Team3 laps '[laps']]] - intermediate_results[[#This Row], [Total running average '[sec']]]</f>
        <v>-0.86221355190377125</v>
      </c>
      <c r="AG188" s="1">
        <f>intermediate_results[[#This Row], [All cumulative times '[sec']]] / intermediate_results[[#This Row], [Team4 laps '[laps']]] - intermediate_results[[#This Row], [Total running average '[sec']]]</f>
        <v>6.6916061850676556E-2</v>
      </c>
      <c r="AH188" s="1">
        <f>intermediate_results[[#This Row], [All cumulative times '[sec']]] / intermediate_results[[#This Row], [Team5 laps '[laps']]] - intermediate_results[[#This Row], [Total running average '[sec']]]</f>
        <v>0.17925150568588322</v>
      </c>
      <c r="AI188" s="1">
        <f>intermediate_results[[#This Row], [All cumulative times '[sec']]] / intermediate_results[[#This Row], [Team6 laps '[laps']]] - intermediate_results[[#This Row], [Total running average '[sec']]]</f>
        <v>0.89926989835799276</v>
      </c>
      <c r="AJ188" s="1">
        <f>intermediate_results[[#This Row], [All cumulative times '[sec']]] / intermediate_results[[#This Row], [Team7 laps '[laps']]] - intermediate_results[[#This Row], [Total running average '[sec']]]</f>
        <v>5.5792519639460636E-2</v>
      </c>
      <c r="AK188" s="1">
        <f>intermediate_results[[#This Row], [All cumulative times '[sec']]] / intermediate_results[[#This Row], [Team8 laps '[laps']]] - intermediate_results[[#This Row], [Total running average '[sec']]]</f>
        <v>1.7403484812354293</v>
      </c>
      <c r="AL188" s="1">
        <f>intermediate_results[[#This Row], [All cumulative times '[sec']]] / intermediate_results[[#This Row], [Team9 laps '[laps']]] - intermediate_results[[#This Row], [Total running average '[sec']]]</f>
        <v>1.662811544901686</v>
      </c>
    </row>
    <row r="189" spans="1:38" x14ac:dyDescent="0.25">
      <c r="A189" s="1">
        <v>1167.48</v>
      </c>
      <c r="B189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22.121996338760965</v>
      </c>
      <c r="C189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21.979437270420725</v>
      </c>
      <c r="D189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21.689247638198584</v>
      </c>
      <c r="E189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21.320560591735724</v>
      </c>
      <c r="F189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21.275977243530917</v>
      </c>
      <c r="G189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21</v>
      </c>
      <c r="H189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21.32520869355049</v>
      </c>
      <c r="I189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20.688529019706749</v>
      </c>
      <c r="J189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20.716812246735707</v>
      </c>
      <c r="K189" s="1">
        <f>intermediate_results[[#This Row], [Team1 laps '[laps']]] - intermediate_results[[#This Row], [Team1 laps '[laps']]]</f>
        <v>0</v>
      </c>
      <c r="L189" s="1">
        <f>intermediate_results[[#This Row], [Team1 laps '[laps']]] - intermediate_results[[#This Row], [Team2 laps '[laps']]]</f>
        <v>0.14255906834024046</v>
      </c>
      <c r="M189" s="1">
        <f>intermediate_results[[#This Row], [Team1 laps '[laps']]] - intermediate_results[[#This Row], [Team3 laps '[laps']]]</f>
        <v>0.43274870056238157</v>
      </c>
      <c r="N189" s="1">
        <f>intermediate_results[[#This Row], [Team1 laps '[laps']]] - intermediate_results[[#This Row], [Team4 laps '[laps']]]</f>
        <v>0.80143574702524134</v>
      </c>
      <c r="O189" s="1">
        <f>intermediate_results[[#This Row], [Team1 laps '[laps']]] - intermediate_results[[#This Row], [Team5 laps '[laps']]]</f>
        <v>0.84601909523004792</v>
      </c>
      <c r="P189" s="1">
        <f>intermediate_results[[#This Row], [Team1 laps '[laps']]] - intermediate_results[[#This Row], [Team6 laps '[laps']]]</f>
        <v>1.1219963387609653</v>
      </c>
      <c r="Q189" s="1">
        <f>intermediate_results[[#This Row], [Team1 laps '[laps']]] - intermediate_results[[#This Row], [Team7 laps '[laps']]]</f>
        <v>0.7967876452104754</v>
      </c>
      <c r="R189" s="1">
        <f>intermediate_results[[#This Row], [Team1 laps '[laps']]] - intermediate_results[[#This Row], [Team8 laps '[laps']]]</f>
        <v>1.4334673190542162</v>
      </c>
      <c r="S189" s="1">
        <f>intermediate_results[[#This Row], [Team1 laps '[laps']]] - intermediate_results[[#This Row], [Team9 laps '[laps']]]</f>
        <v>1.4051840920252587</v>
      </c>
      <c r="T189" s="1">
        <f>MAX(intermediate_results[[#This Row], [Team1 laps '[laps']]:[Team9 laps '[laps']]]) - intermediate_results[[#This Row], [Team1 laps '[laps']]]</f>
        <v>0</v>
      </c>
      <c r="U189" s="1">
        <f>MAX(intermediate_results[[#This Row], [Team1 laps '[laps']]:[Team9 laps '[laps']]]) - intermediate_results[[#This Row], [Team2 laps '[laps']]]</f>
        <v>0.14255906834024046</v>
      </c>
      <c r="V189" s="1">
        <f>MAX(intermediate_results[[#This Row], [Team1 laps '[laps']]:[Team9 laps '[laps']]]) - intermediate_results[[#This Row], [Team3 laps '[laps']]]</f>
        <v>0.43274870056238157</v>
      </c>
      <c r="W189" s="1">
        <f>MAX(intermediate_results[[#This Row], [Team1 laps '[laps']]:[Team9 laps '[laps']]]) - intermediate_results[[#This Row], [Team4 laps '[laps']]]</f>
        <v>0.80143574702524134</v>
      </c>
      <c r="X189" s="1">
        <f>MAX(intermediate_results[[#This Row], [Team1 laps '[laps']]:[Team9 laps '[laps']]]) - intermediate_results[[#This Row], [Team5 laps '[laps']]]</f>
        <v>0.84601909523004792</v>
      </c>
      <c r="Y189" s="1">
        <f>MAX(intermediate_results[[#This Row], [Team1 laps '[laps']]:[Team9 laps '[laps']]]) - intermediate_results[[#This Row], [Team6 laps '[laps']]]</f>
        <v>1.1219963387609653</v>
      </c>
      <c r="Z189" s="1">
        <f>MAX(intermediate_results[[#This Row], [Team1 laps '[laps']]:[Team9 laps '[laps']]]) - intermediate_results[[#This Row], [Team7 laps '[laps']]]</f>
        <v>0.7967876452104754</v>
      </c>
      <c r="AA189" s="1">
        <f>MAX(intermediate_results[[#This Row], [Team1 laps '[laps']]:[Team9 laps '[laps']]]) - intermediate_results[[#This Row], [Team8 laps '[laps']]]</f>
        <v>1.4334673190542162</v>
      </c>
      <c r="AB189" s="1">
        <f>MAX(intermediate_results[[#This Row], [Team1 laps '[laps']]:[Team9 laps '[laps']]]) - intermediate_results[[#This Row], [Team9 laps '[laps']]]</f>
        <v>1.4051840920252587</v>
      </c>
      <c r="AC189" s="1">
        <f>9 * intermediate_results[[#This Row], [All cumulative times '[sec']]] / SUM(intermediate_results[[#This Row], [Team1 laps '[laps']]:[Team9 laps '[laps']]])</f>
        <v>54.692077949686869</v>
      </c>
      <c r="AD189" s="1">
        <f>intermediate_results[[#This Row], [All cumulative times '[sec']]] / intermediate_results[[#This Row], [Team1 laps '[laps']]] - intermediate_results[[#This Row], [Total running average '[sec']]]</f>
        <v>-1.917455708456103</v>
      </c>
      <c r="AE189" s="1">
        <f>intermediate_results[[#This Row], [All cumulative times '[sec']]] / intermediate_results[[#This Row], [Team2 laps '[laps']]] - intermediate_results[[#This Row], [Total running average '[sec']]]</f>
        <v>-1.5751584564312324</v>
      </c>
      <c r="AF189" s="1">
        <f>intermediate_results[[#This Row], [All cumulative times '[sec']]] / intermediate_results[[#This Row], [Team3 laps '[laps']]] - intermediate_results[[#This Row], [Total running average '[sec']]]</f>
        <v>-0.86448468896618635</v>
      </c>
      <c r="AG189" s="1">
        <f>intermediate_results[[#This Row], [All cumulative times '[sec']]] / intermediate_results[[#This Row], [Team4 laps '[laps']]] - intermediate_results[[#This Row], [Total running average '[sec']]]</f>
        <v>6.6332129480500157E-2</v>
      </c>
      <c r="AH189" s="1">
        <f>intermediate_results[[#This Row], [All cumulative times '[sec']]] / intermediate_results[[#This Row], [Team5 laps '[laps']]] - intermediate_results[[#This Row], [Total running average '[sec']]]</f>
        <v>0.18107718846214027</v>
      </c>
      <c r="AI189" s="1">
        <f>intermediate_results[[#This Row], [All cumulative times '[sec']]] / intermediate_results[[#This Row], [Team6 laps '[laps']]] - intermediate_results[[#This Row], [Total running average '[sec']]]</f>
        <v>0.90220776459884888</v>
      </c>
      <c r="AJ189" s="1">
        <f>intermediate_results[[#This Row], [All cumulative times '[sec']]] / intermediate_results[[#This Row], [Team7 laps '[laps']]] - intermediate_results[[#This Row], [Total running average '[sec']]]</f>
        <v>5.4396834078694667E-2</v>
      </c>
      <c r="AK189" s="1">
        <f>intermediate_results[[#This Row], [All cumulative times '[sec']]] / intermediate_results[[#This Row], [Team8 laps '[laps']]] - intermediate_results[[#This Row], [Total running average '[sec']]]</f>
        <v>1.7391936447277487</v>
      </c>
      <c r="AL189" s="1">
        <f>intermediate_results[[#This Row], [All cumulative times '[sec']]] / intermediate_results[[#This Row], [Team9 laps '[laps']]] - intermediate_results[[#This Row], [Total running average '[sec']]]</f>
        <v>1.6621519431846465</v>
      </c>
    </row>
    <row r="190" spans="1:38" x14ac:dyDescent="0.25">
      <c r="A190" s="1">
        <v>1168.566</v>
      </c>
      <c r="B190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22.142923210328554</v>
      </c>
      <c r="C190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22</v>
      </c>
      <c r="D190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21.709849375877379</v>
      </c>
      <c r="E190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21.340692953673326</v>
      </c>
      <c r="F190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21.295907505964394</v>
      </c>
      <c r="G190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21.019640467320144</v>
      </c>
      <c r="H190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21.345399445962784</v>
      </c>
      <c r="I190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20.708091652556121</v>
      </c>
      <c r="J190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20.736371004052231</v>
      </c>
      <c r="K190" s="1">
        <f>intermediate_results[[#This Row], [Team1 laps '[laps']]] - intermediate_results[[#This Row], [Team1 laps '[laps']]]</f>
        <v>0</v>
      </c>
      <c r="L190" s="1">
        <f>intermediate_results[[#This Row], [Team1 laps '[laps']]] - intermediate_results[[#This Row], [Team2 laps '[laps']]]</f>
        <v>0.14292321032855426</v>
      </c>
      <c r="M190" s="1">
        <f>intermediate_results[[#This Row], [Team1 laps '[laps']]] - intermediate_results[[#This Row], [Team3 laps '[laps']]]</f>
        <v>0.43307383445117509</v>
      </c>
      <c r="N190" s="1">
        <f>intermediate_results[[#This Row], [Team1 laps '[laps']]] - intermediate_results[[#This Row], [Team4 laps '[laps']]]</f>
        <v>0.8022302566552284</v>
      </c>
      <c r="O190" s="1">
        <f>intermediate_results[[#This Row], [Team1 laps '[laps']]] - intermediate_results[[#This Row], [Team5 laps '[laps']]]</f>
        <v>0.84701570436416063</v>
      </c>
      <c r="P190" s="1">
        <f>intermediate_results[[#This Row], [Team1 laps '[laps']]] - intermediate_results[[#This Row], [Team6 laps '[laps']]]</f>
        <v>1.12328274300841</v>
      </c>
      <c r="Q190" s="1">
        <f>intermediate_results[[#This Row], [Team1 laps '[laps']]] - intermediate_results[[#This Row], [Team7 laps '[laps']]]</f>
        <v>0.79752376436577066</v>
      </c>
      <c r="R190" s="1">
        <f>intermediate_results[[#This Row], [Team1 laps '[laps']]] - intermediate_results[[#This Row], [Team8 laps '[laps']]]</f>
        <v>1.4348315577724335</v>
      </c>
      <c r="S190" s="1">
        <f>intermediate_results[[#This Row], [Team1 laps '[laps']]] - intermediate_results[[#This Row], [Team9 laps '[laps']]]</f>
        <v>1.4065522062763236</v>
      </c>
      <c r="T190" s="1">
        <f>MAX(intermediate_results[[#This Row], [Team1 laps '[laps']]:[Team9 laps '[laps']]]) - intermediate_results[[#This Row], [Team1 laps '[laps']]]</f>
        <v>0</v>
      </c>
      <c r="U190" s="1">
        <f>MAX(intermediate_results[[#This Row], [Team1 laps '[laps']]:[Team9 laps '[laps']]]) - intermediate_results[[#This Row], [Team2 laps '[laps']]]</f>
        <v>0.14292321032855426</v>
      </c>
      <c r="V190" s="1">
        <f>MAX(intermediate_results[[#This Row], [Team1 laps '[laps']]:[Team9 laps '[laps']]]) - intermediate_results[[#This Row], [Team3 laps '[laps']]]</f>
        <v>0.43307383445117509</v>
      </c>
      <c r="W190" s="1">
        <f>MAX(intermediate_results[[#This Row], [Team1 laps '[laps']]:[Team9 laps '[laps']]]) - intermediate_results[[#This Row], [Team4 laps '[laps']]]</f>
        <v>0.8022302566552284</v>
      </c>
      <c r="X190" s="1">
        <f>MAX(intermediate_results[[#This Row], [Team1 laps '[laps']]:[Team9 laps '[laps']]]) - intermediate_results[[#This Row], [Team5 laps '[laps']]]</f>
        <v>0.84701570436416063</v>
      </c>
      <c r="Y190" s="1">
        <f>MAX(intermediate_results[[#This Row], [Team1 laps '[laps']]:[Team9 laps '[laps']]]) - intermediate_results[[#This Row], [Team6 laps '[laps']]]</f>
        <v>1.12328274300841</v>
      </c>
      <c r="Z190" s="1">
        <f>MAX(intermediate_results[[#This Row], [Team1 laps '[laps']]:[Team9 laps '[laps']]]) - intermediate_results[[#This Row], [Team7 laps '[laps']]]</f>
        <v>0.79752376436577066</v>
      </c>
      <c r="AA190" s="1">
        <f>MAX(intermediate_results[[#This Row], [Team1 laps '[laps']]:[Team9 laps '[laps']]]) - intermediate_results[[#This Row], [Team8 laps '[laps']]]</f>
        <v>1.4348315577724335</v>
      </c>
      <c r="AB190" s="1">
        <f>MAX(intermediate_results[[#This Row], [Team1 laps '[laps']]:[Team9 laps '[laps']]]) - intermediate_results[[#This Row], [Team9 laps '[laps']]]</f>
        <v>1.4065522062763236</v>
      </c>
      <c r="AC190" s="1">
        <f>9 * intermediate_results[[#This Row], [All cumulative times '[sec']]] / SUM(intermediate_results[[#This Row], [Team1 laps '[laps']]:[Team9 laps '[laps']]])</f>
        <v>54.691396225404851</v>
      </c>
      <c r="AD190" s="1">
        <f>intermediate_results[[#This Row], [All cumulative times '[sec']]] / intermediate_results[[#This Row], [Team1 laps '[laps']]] - intermediate_results[[#This Row], [Total running average '[sec']]]</f>
        <v>-1.9176052990594528</v>
      </c>
      <c r="AE190" s="1">
        <f>intermediate_results[[#This Row], [All cumulative times '[sec']]] / intermediate_results[[#This Row], [Team2 laps '[laps']]] - intermediate_results[[#This Row], [Total running average '[sec']]]</f>
        <v>-1.5747598617684844</v>
      </c>
      <c r="AF190" s="1">
        <f>intermediate_results[[#This Row], [All cumulative times '[sec']]] / intermediate_results[[#This Row], [Team3 laps '[laps']]] - intermediate_results[[#This Row], [Total running average '[sec']]]</f>
        <v>-0.86485971804256678</v>
      </c>
      <c r="AG190" s="1">
        <f>intermediate_results[[#This Row], [All cumulative times '[sec']]] / intermediate_results[[#This Row], [Team4 laps '[laps']]] - intermediate_results[[#This Row], [Total running average '[sec']]]</f>
        <v>6.6244613003696884E-2</v>
      </c>
      <c r="AH190" s="1">
        <f>intermediate_results[[#This Row], [All cumulative times '[sec']]] / intermediate_results[[#This Row], [Team5 laps '[laps']]] - intermediate_results[[#This Row], [Total running average '[sec']]]</f>
        <v>0.18140032823894359</v>
      </c>
      <c r="AI190" s="1">
        <f>intermediate_results[[#This Row], [All cumulative times '[sec']]] / intermediate_results[[#This Row], [Team6 laps '[laps']]] - intermediate_results[[#This Row], [Total running average '[sec']]]</f>
        <v>0.90260890597711096</v>
      </c>
      <c r="AJ190" s="1">
        <f>intermediate_results[[#This Row], [All cumulative times '[sec']]] / intermediate_results[[#This Row], [Team7 laps '[laps']]] - intermediate_results[[#This Row], [Total running average '[sec']]]</f>
        <v>5.4170984911266373E-2</v>
      </c>
      <c r="AK190" s="1">
        <f>intermediate_results[[#This Row], [All cumulative times '[sec']]] / intermediate_results[[#This Row], [Team8 laps '[laps']]] - intermediate_results[[#This Row], [Total running average '[sec']]]</f>
        <v>1.7390088358822453</v>
      </c>
      <c r="AL190" s="1">
        <f>intermediate_results[[#This Row], [All cumulative times '[sec']]] / intermediate_results[[#This Row], [Team9 laps '[laps']]] - intermediate_results[[#This Row], [Total running average '[sec']]]</f>
        <v>1.6620515293465914</v>
      </c>
    </row>
    <row r="191" spans="1:38" x14ac:dyDescent="0.25">
      <c r="A191" s="1">
        <v>1183.204</v>
      </c>
      <c r="B191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22.424992773870322</v>
      </c>
      <c r="C191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22.277024981074941</v>
      </c>
      <c r="D191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21.987536517813105</v>
      </c>
      <c r="E191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21.612053463841463</v>
      </c>
      <c r="F191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21.564543953018898</v>
      </c>
      <c r="G191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21.284370817810249</v>
      </c>
      <c r="H191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21.617546990908586</v>
      </c>
      <c r="I191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20.971772886118824</v>
      </c>
      <c r="J191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21</v>
      </c>
      <c r="K191" s="1">
        <f>intermediate_results[[#This Row], [Team1 laps '[laps']]] - intermediate_results[[#This Row], [Team1 laps '[laps']]]</f>
        <v>0</v>
      </c>
      <c r="L191" s="1">
        <f>intermediate_results[[#This Row], [Team1 laps '[laps']]] - intermediate_results[[#This Row], [Team2 laps '[laps']]]</f>
        <v>0.14796779279538086</v>
      </c>
      <c r="M191" s="1">
        <f>intermediate_results[[#This Row], [Team1 laps '[laps']]] - intermediate_results[[#This Row], [Team3 laps '[laps']]]</f>
        <v>0.43745625605721727</v>
      </c>
      <c r="N191" s="1">
        <f>intermediate_results[[#This Row], [Team1 laps '[laps']]] - intermediate_results[[#This Row], [Team4 laps '[laps']]]</f>
        <v>0.81293931002885955</v>
      </c>
      <c r="O191" s="1">
        <f>intermediate_results[[#This Row], [Team1 laps '[laps']]] - intermediate_results[[#This Row], [Team5 laps '[laps']]]</f>
        <v>0.86044882085142405</v>
      </c>
      <c r="P191" s="1">
        <f>intermediate_results[[#This Row], [Team1 laps '[laps']]] - intermediate_results[[#This Row], [Team6 laps '[laps']]]</f>
        <v>1.1406219560600732</v>
      </c>
      <c r="Q191" s="1">
        <f>intermediate_results[[#This Row], [Team1 laps '[laps']]] - intermediate_results[[#This Row], [Team7 laps '[laps']]]</f>
        <v>0.80744578296173586</v>
      </c>
      <c r="R191" s="1">
        <f>intermediate_results[[#This Row], [Team1 laps '[laps']]] - intermediate_results[[#This Row], [Team8 laps '[laps']]]</f>
        <v>1.4532198877514979</v>
      </c>
      <c r="S191" s="1">
        <f>intermediate_results[[#This Row], [Team1 laps '[laps']]] - intermediate_results[[#This Row], [Team9 laps '[laps']]]</f>
        <v>1.4249927738703221</v>
      </c>
      <c r="T191" s="1">
        <f>MAX(intermediate_results[[#This Row], [Team1 laps '[laps']]:[Team9 laps '[laps']]]) - intermediate_results[[#This Row], [Team1 laps '[laps']]]</f>
        <v>0</v>
      </c>
      <c r="U191" s="1">
        <f>MAX(intermediate_results[[#This Row], [Team1 laps '[laps']]:[Team9 laps '[laps']]]) - intermediate_results[[#This Row], [Team2 laps '[laps']]]</f>
        <v>0.14796779279538086</v>
      </c>
      <c r="V191" s="1">
        <f>MAX(intermediate_results[[#This Row], [Team1 laps '[laps']]:[Team9 laps '[laps']]]) - intermediate_results[[#This Row], [Team3 laps '[laps']]]</f>
        <v>0.43745625605721727</v>
      </c>
      <c r="W191" s="1">
        <f>MAX(intermediate_results[[#This Row], [Team1 laps '[laps']]:[Team9 laps '[laps']]]) - intermediate_results[[#This Row], [Team4 laps '[laps']]]</f>
        <v>0.81293931002885955</v>
      </c>
      <c r="X191" s="1">
        <f>MAX(intermediate_results[[#This Row], [Team1 laps '[laps']]:[Team9 laps '[laps']]]) - intermediate_results[[#This Row], [Team5 laps '[laps']]]</f>
        <v>0.86044882085142405</v>
      </c>
      <c r="Y191" s="1">
        <f>MAX(intermediate_results[[#This Row], [Team1 laps '[laps']]:[Team9 laps '[laps']]]) - intermediate_results[[#This Row], [Team6 laps '[laps']]]</f>
        <v>1.1406219560600732</v>
      </c>
      <c r="Z191" s="1">
        <f>MAX(intermediate_results[[#This Row], [Team1 laps '[laps']]:[Team9 laps '[laps']]]) - intermediate_results[[#This Row], [Team7 laps '[laps']]]</f>
        <v>0.80744578296173586</v>
      </c>
      <c r="AA191" s="1">
        <f>MAX(intermediate_results[[#This Row], [Team1 laps '[laps']]:[Team9 laps '[laps']]]) - intermediate_results[[#This Row], [Team8 laps '[laps']]]</f>
        <v>1.4532198877514979</v>
      </c>
      <c r="AB191" s="1">
        <f>MAX(intermediate_results[[#This Row], [Team1 laps '[laps']]:[Team9 laps '[laps']]]) - intermediate_results[[#This Row], [Team9 laps '[laps']]]</f>
        <v>1.4249927738703221</v>
      </c>
      <c r="AC191" s="1">
        <f>9 * intermediate_results[[#This Row], [All cumulative times '[sec']]] / SUM(intermediate_results[[#This Row], [Team1 laps '[laps']]:[Team9 laps '[laps']]])</f>
        <v>54.682369409424773</v>
      </c>
      <c r="AD191" s="1">
        <f>intermediate_results[[#This Row], [All cumulative times '[sec']]] / intermediate_results[[#This Row], [Team1 laps '[laps']]] - intermediate_results[[#This Row], [Total running average '[sec']]]</f>
        <v>-1.9196322290287426</v>
      </c>
      <c r="AE191" s="1">
        <f>intermediate_results[[#This Row], [All cumulative times '[sec']]] / intermediate_results[[#This Row], [Team2 laps '[laps']]] - intermediate_results[[#This Row], [Total running average '[sec']]]</f>
        <v>-1.5691731453289037</v>
      </c>
      <c r="AF191" s="1">
        <f>intermediate_results[[#This Row], [All cumulative times '[sec']]] / intermediate_results[[#This Row], [Team3 laps '[laps']]] - intermediate_results[[#This Row], [Total running average '[sec']]]</f>
        <v>-0.86988345669275446</v>
      </c>
      <c r="AG191" s="1">
        <f>intermediate_results[[#This Row], [All cumulative times '[sec']]] / intermediate_results[[#This Row], [Team4 laps '[laps']]] - intermediate_results[[#This Row], [Total running average '[sec']]]</f>
        <v>6.504281494281372E-2</v>
      </c>
      <c r="AH191" s="1">
        <f>intermediate_results[[#This Row], [All cumulative times '[sec']]] / intermediate_results[[#This Row], [Team5 laps '[laps']]] - intermediate_results[[#This Row], [Total running average '[sec']]]</f>
        <v>0.18565852465815169</v>
      </c>
      <c r="AI191" s="1">
        <f>intermediate_results[[#This Row], [All cumulative times '[sec']]] / intermediate_results[[#This Row], [Team6 laps '[laps']]] - intermediate_results[[#This Row], [Total running average '[sec']]]</f>
        <v>0.90790432372797625</v>
      </c>
      <c r="AJ191" s="1">
        <f>intermediate_results[[#This Row], [All cumulative times '[sec']]] / intermediate_results[[#This Row], [Team7 laps '[laps']]] - intermediate_results[[#This Row], [Total running average '[sec']]]</f>
        <v>5.1130210009610266E-2</v>
      </c>
      <c r="AK191" s="1">
        <f>intermediate_results[[#This Row], [All cumulative times '[sec']]] / intermediate_results[[#This Row], [Team8 laps '[laps']]] - intermediate_results[[#This Row], [Total running average '[sec']]]</f>
        <v>1.7365135541209753</v>
      </c>
      <c r="AL191" s="1">
        <f>intermediate_results[[#This Row], [All cumulative times '[sec']]] / intermediate_results[[#This Row], [Team9 laps '[laps']]] - intermediate_results[[#This Row], [Total running average '[sec']]]</f>
        <v>1.6606782096228443</v>
      </c>
    </row>
    <row r="192" spans="1:38" x14ac:dyDescent="0.25">
      <c r="A192" s="1">
        <v>1183.8610000000001</v>
      </c>
      <c r="B192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22.437652953078342</v>
      </c>
      <c r="C192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22.289458743376233</v>
      </c>
      <c r="D192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22.000000000000004</v>
      </c>
      <c r="E192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21.624232986671121</v>
      </c>
      <c r="F192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21.576601211231416</v>
      </c>
      <c r="G192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21.296252757984593</v>
      </c>
      <c r="H192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21.629761838362434</v>
      </c>
      <c r="I192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20.983607738588471</v>
      </c>
      <c r="J192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21.011676886163691</v>
      </c>
      <c r="K192" s="1">
        <f>intermediate_results[[#This Row], [Team1 laps '[laps']]] - intermediate_results[[#This Row], [Team1 laps '[laps']]]</f>
        <v>0</v>
      </c>
      <c r="L192" s="1">
        <f>intermediate_results[[#This Row], [Team1 laps '[laps']]] - intermediate_results[[#This Row], [Team2 laps '[laps']]]</f>
        <v>0.14819420970210828</v>
      </c>
      <c r="M192" s="1">
        <f>intermediate_results[[#This Row], [Team1 laps '[laps']]] - intermediate_results[[#This Row], [Team3 laps '[laps']]]</f>
        <v>0.43765295307833796</v>
      </c>
      <c r="N192" s="1">
        <f>intermediate_results[[#This Row], [Team1 laps '[laps']]] - intermediate_results[[#This Row], [Team4 laps '[laps']]]</f>
        <v>0.81341996640722058</v>
      </c>
      <c r="O192" s="1">
        <f>intermediate_results[[#This Row], [Team1 laps '[laps']]] - intermediate_results[[#This Row], [Team5 laps '[laps']]]</f>
        <v>0.86105174184692501</v>
      </c>
      <c r="P192" s="1">
        <f>intermediate_results[[#This Row], [Team1 laps '[laps']]] - intermediate_results[[#This Row], [Team6 laps '[laps']]]</f>
        <v>1.1414001950937482</v>
      </c>
      <c r="Q192" s="1">
        <f>intermediate_results[[#This Row], [Team1 laps '[laps']]] - intermediate_results[[#This Row], [Team7 laps '[laps']]]</f>
        <v>0.80789111471590758</v>
      </c>
      <c r="R192" s="1">
        <f>intermediate_results[[#This Row], [Team1 laps '[laps']]] - intermediate_results[[#This Row], [Team8 laps '[laps']]]</f>
        <v>1.4540452144898701</v>
      </c>
      <c r="S192" s="1">
        <f>intermediate_results[[#This Row], [Team1 laps '[laps']]] - intermediate_results[[#This Row], [Team9 laps '[laps']]]</f>
        <v>1.4259760669146502</v>
      </c>
      <c r="T192" s="1">
        <f>MAX(intermediate_results[[#This Row], [Team1 laps '[laps']]:[Team9 laps '[laps']]]) - intermediate_results[[#This Row], [Team1 laps '[laps']]]</f>
        <v>0</v>
      </c>
      <c r="U192" s="1">
        <f>MAX(intermediate_results[[#This Row], [Team1 laps '[laps']]:[Team9 laps '[laps']]]) - intermediate_results[[#This Row], [Team2 laps '[laps']]]</f>
        <v>0.14819420970210828</v>
      </c>
      <c r="V192" s="1">
        <f>MAX(intermediate_results[[#This Row], [Team1 laps '[laps']]:[Team9 laps '[laps']]]) - intermediate_results[[#This Row], [Team3 laps '[laps']]]</f>
        <v>0.43765295307833796</v>
      </c>
      <c r="W192" s="1">
        <f>MAX(intermediate_results[[#This Row], [Team1 laps '[laps']]:[Team9 laps '[laps']]]) - intermediate_results[[#This Row], [Team4 laps '[laps']]]</f>
        <v>0.81341996640722058</v>
      </c>
      <c r="X192" s="1">
        <f>MAX(intermediate_results[[#This Row], [Team1 laps '[laps']]:[Team9 laps '[laps']]]) - intermediate_results[[#This Row], [Team5 laps '[laps']]]</f>
        <v>0.86105174184692501</v>
      </c>
      <c r="Y192" s="1">
        <f>MAX(intermediate_results[[#This Row], [Team1 laps '[laps']]:[Team9 laps '[laps']]]) - intermediate_results[[#This Row], [Team6 laps '[laps']]]</f>
        <v>1.1414001950937482</v>
      </c>
      <c r="Z192" s="1">
        <f>MAX(intermediate_results[[#This Row], [Team1 laps '[laps']]:[Team9 laps '[laps']]]) - intermediate_results[[#This Row], [Team7 laps '[laps']]]</f>
        <v>0.80789111471590758</v>
      </c>
      <c r="AA192" s="1">
        <f>MAX(intermediate_results[[#This Row], [Team1 laps '[laps']]:[Team9 laps '[laps']]]) - intermediate_results[[#This Row], [Team8 laps '[laps']]]</f>
        <v>1.4540452144898701</v>
      </c>
      <c r="AB192" s="1">
        <f>MAX(intermediate_results[[#This Row], [Team1 laps '[laps']]:[Team9 laps '[laps']]]) - intermediate_results[[#This Row], [Team9 laps '[laps']]]</f>
        <v>1.4259760669146502</v>
      </c>
      <c r="AC192" s="1">
        <f>9 * intermediate_results[[#This Row], [All cumulative times '[sec']]] / SUM(intermediate_results[[#This Row], [Team1 laps '[laps']]:[Team9 laps '[laps']]])</f>
        <v>54.682013233803495</v>
      </c>
      <c r="AD192" s="1">
        <f>intermediate_results[[#This Row], [All cumulative times '[sec']]] / intermediate_results[[#This Row], [Team1 laps '[laps']]] - intermediate_results[[#This Row], [Total running average '[sec']]]</f>
        <v>-1.9197656638062099</v>
      </c>
      <c r="AE192" s="1">
        <f>intermediate_results[[#This Row], [All cumulative times '[sec']]] / intermediate_results[[#This Row], [Team2 laps '[laps']]] - intermediate_results[[#This Row], [Total running average '[sec']]]</f>
        <v>-1.5689693671906042</v>
      </c>
      <c r="AF192" s="1">
        <f>intermediate_results[[#This Row], [All cumulative times '[sec']]] / intermediate_results[[#This Row], [Team3 laps '[laps']]] - intermediate_results[[#This Row], [Total running average '[sec']]]</f>
        <v>-0.87014959743986253</v>
      </c>
      <c r="AG192" s="1">
        <f>intermediate_results[[#This Row], [All cumulative times '[sec']]] / intermediate_results[[#This Row], [Team4 laps '[laps']]] - intermediate_results[[#This Row], [Total running average '[sec']]]</f>
        <v>6.494591752065304E-2</v>
      </c>
      <c r="AH192" s="1">
        <f>intermediate_results[[#This Row], [All cumulative times '[sec']]] / intermediate_results[[#This Row], [Team5 laps '[laps']]] - intermediate_results[[#This Row], [Total running average '[sec']]]</f>
        <v>0.18580345382925145</v>
      </c>
      <c r="AI192" s="1">
        <f>intermediate_results[[#This Row], [All cumulative times '[sec']]] / intermediate_results[[#This Row], [Team6 laps '[laps']]] - intermediate_results[[#This Row], [Total running average '[sec']]]</f>
        <v>0.90809519764981417</v>
      </c>
      <c r="AJ192" s="1">
        <f>intermediate_results[[#This Row], [All cumulative times '[sec']]] / intermediate_results[[#This Row], [Team7 laps '[laps']]] - intermediate_results[[#This Row], [Total running average '[sec']]]</f>
        <v>5.0951874499745031E-2</v>
      </c>
      <c r="AK192" s="1">
        <f>intermediate_results[[#This Row], [All cumulative times '[sec']]] / intermediate_results[[#This Row], [Team8 laps '[laps']]] - intermediate_results[[#This Row], [Total running average '[sec']]]</f>
        <v>1.7363593715374535</v>
      </c>
      <c r="AL192" s="1">
        <f>intermediate_results[[#This Row], [All cumulative times '[sec']]] / intermediate_results[[#This Row], [Team9 laps '[laps']]] - intermediate_results[[#This Row], [Total running average '[sec']]]</f>
        <v>1.6609910115920385</v>
      </c>
    </row>
    <row r="193" spans="1:38" x14ac:dyDescent="0.25">
      <c r="A193" s="1">
        <v>1184.771</v>
      </c>
      <c r="B193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22.455188361113795</v>
      </c>
      <c r="C193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22.306680545041633</v>
      </c>
      <c r="D193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22.017236480727345</v>
      </c>
      <c r="E193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21.641102645384944</v>
      </c>
      <c r="F193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21.593301523215263</v>
      </c>
      <c r="G193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21.312710239809022</v>
      </c>
      <c r="H193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21.646680424637925</v>
      </c>
      <c r="I193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21.000000000000007</v>
      </c>
      <c r="J193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21.027850351017506</v>
      </c>
      <c r="K193" s="1">
        <f>intermediate_results[[#This Row], [Team1 laps '[laps']]] - intermediate_results[[#This Row], [Team1 laps '[laps']]]</f>
        <v>0</v>
      </c>
      <c r="L193" s="1">
        <f>intermediate_results[[#This Row], [Team1 laps '[laps']]] - intermediate_results[[#This Row], [Team2 laps '[laps']]]</f>
        <v>0.14850781607216135</v>
      </c>
      <c r="M193" s="1">
        <f>intermediate_results[[#This Row], [Team1 laps '[laps']]] - intermediate_results[[#This Row], [Team3 laps '[laps']]]</f>
        <v>0.43795188038644994</v>
      </c>
      <c r="N193" s="1">
        <f>intermediate_results[[#This Row], [Team1 laps '[laps']]] - intermediate_results[[#This Row], [Team4 laps '[laps']]]</f>
        <v>0.8140857157288508</v>
      </c>
      <c r="O193" s="1">
        <f>intermediate_results[[#This Row], [Team1 laps '[laps']]] - intermediate_results[[#This Row], [Team5 laps '[laps']]]</f>
        <v>0.86188683789853116</v>
      </c>
      <c r="P193" s="1">
        <f>intermediate_results[[#This Row], [Team1 laps '[laps']]] - intermediate_results[[#This Row], [Team6 laps '[laps']]]</f>
        <v>1.142478121304773</v>
      </c>
      <c r="Q193" s="1">
        <f>intermediate_results[[#This Row], [Team1 laps '[laps']]] - intermediate_results[[#This Row], [Team7 laps '[laps']]]</f>
        <v>0.80850793647586983</v>
      </c>
      <c r="R193" s="1">
        <f>intermediate_results[[#This Row], [Team1 laps '[laps']]] - intermediate_results[[#This Row], [Team8 laps '[laps']]]</f>
        <v>1.4551883611137875</v>
      </c>
      <c r="S193" s="1">
        <f>intermediate_results[[#This Row], [Team1 laps '[laps']]] - intermediate_results[[#This Row], [Team9 laps '[laps']]]</f>
        <v>1.4273380100962889</v>
      </c>
      <c r="T193" s="1">
        <f>MAX(intermediate_results[[#This Row], [Team1 laps '[laps']]:[Team9 laps '[laps']]]) - intermediate_results[[#This Row], [Team1 laps '[laps']]]</f>
        <v>0</v>
      </c>
      <c r="U193" s="1">
        <f>MAX(intermediate_results[[#This Row], [Team1 laps '[laps']]:[Team9 laps '[laps']]]) - intermediate_results[[#This Row], [Team2 laps '[laps']]]</f>
        <v>0.14850781607216135</v>
      </c>
      <c r="V193" s="1">
        <f>MAX(intermediate_results[[#This Row], [Team1 laps '[laps']]:[Team9 laps '[laps']]]) - intermediate_results[[#This Row], [Team3 laps '[laps']]]</f>
        <v>0.43795188038644994</v>
      </c>
      <c r="W193" s="1">
        <f>MAX(intermediate_results[[#This Row], [Team1 laps '[laps']]:[Team9 laps '[laps']]]) - intermediate_results[[#This Row], [Team4 laps '[laps']]]</f>
        <v>0.8140857157288508</v>
      </c>
      <c r="X193" s="1">
        <f>MAX(intermediate_results[[#This Row], [Team1 laps '[laps']]:[Team9 laps '[laps']]]) - intermediate_results[[#This Row], [Team5 laps '[laps']]]</f>
        <v>0.86188683789853116</v>
      </c>
      <c r="Y193" s="1">
        <f>MAX(intermediate_results[[#This Row], [Team1 laps '[laps']]:[Team9 laps '[laps']]]) - intermediate_results[[#This Row], [Team6 laps '[laps']]]</f>
        <v>1.142478121304773</v>
      </c>
      <c r="Z193" s="1">
        <f>MAX(intermediate_results[[#This Row], [Team1 laps '[laps']]:[Team9 laps '[laps']]]) - intermediate_results[[#This Row], [Team7 laps '[laps']]]</f>
        <v>0.80850793647586983</v>
      </c>
      <c r="AA193" s="1">
        <f>MAX(intermediate_results[[#This Row], [Team1 laps '[laps']]:[Team9 laps '[laps']]]) - intermediate_results[[#This Row], [Team8 laps '[laps']]]</f>
        <v>1.4551883611137875</v>
      </c>
      <c r="AB193" s="1">
        <f>MAX(intermediate_results[[#This Row], [Team1 laps '[laps']]:[Team9 laps '[laps']]]) - intermediate_results[[#This Row], [Team9 laps '[laps']]]</f>
        <v>1.4273380100962889</v>
      </c>
      <c r="AC193" s="1">
        <f>9 * intermediate_results[[#This Row], [All cumulative times '[sec']]] / SUM(intermediate_results[[#This Row], [Team1 laps '[laps']]:[Team9 laps '[laps']]])</f>
        <v>54.681527987865287</v>
      </c>
      <c r="AD193" s="1">
        <f>intermediate_results[[#This Row], [All cumulative times '[sec']]] / intermediate_results[[#This Row], [Team1 laps '[laps']]] - intermediate_results[[#This Row], [Total running average '[sec']]]</f>
        <v>-1.9199576573443835</v>
      </c>
      <c r="AE193" s="1">
        <f>intermediate_results[[#This Row], [All cumulative times '[sec']]] / intermediate_results[[#This Row], [Team2 laps '[laps']]] - intermediate_results[[#This Row], [Total running average '[sec']]]</f>
        <v>-1.5686949238999333</v>
      </c>
      <c r="AF193" s="1">
        <f>intermediate_results[[#This Row], [All cumulative times '[sec']]] / intermediate_results[[#This Row], [Team3 laps '[laps']]] - intermediate_results[[#This Row], [Total running average '[sec']]]</f>
        <v>-0.8704604164613059</v>
      </c>
      <c r="AG193" s="1">
        <f>intermediate_results[[#This Row], [All cumulative times '[sec']]] / intermediate_results[[#This Row], [Team4 laps '[laps']]] - intermediate_results[[#This Row], [Total running average '[sec']]]</f>
        <v>6.4804461727220541E-2</v>
      </c>
      <c r="AH193" s="1">
        <f>intermediate_results[[#This Row], [All cumulative times '[sec']]] / intermediate_results[[#This Row], [Team5 laps '[laps']]] - intermediate_results[[#This Row], [Total running average '[sec']]]</f>
        <v>0.1859964954211577</v>
      </c>
      <c r="AI193" s="1">
        <f>intermediate_results[[#This Row], [All cumulative times '[sec']]] / intermediate_results[[#This Row], [Team6 laps '[laps']]] - intermediate_results[[#This Row], [Total running average '[sec']]]</f>
        <v>0.90835179133901534</v>
      </c>
      <c r="AJ193" s="1">
        <f>intermediate_results[[#This Row], [All cumulative times '[sec']]] / intermediate_results[[#This Row], [Team7 laps '[laps']]] - intermediate_results[[#This Row], [Total running average '[sec']]]</f>
        <v>5.0697774174025767E-2</v>
      </c>
      <c r="AK193" s="1">
        <f>intermediate_results[[#This Row], [All cumulative times '[sec']]] / intermediate_results[[#This Row], [Team8 laps '[laps']]] - intermediate_results[[#This Row], [Total running average '[sec']]]</f>
        <v>1.7361386788013604</v>
      </c>
      <c r="AL193" s="1">
        <f>intermediate_results[[#This Row], [All cumulative times '[sec']]] / intermediate_results[[#This Row], [Team9 laps '[laps']]] - intermediate_results[[#This Row], [Total running average '[sec']]]</f>
        <v>1.6614162609590224</v>
      </c>
    </row>
    <row r="194" spans="1:38" x14ac:dyDescent="0.25">
      <c r="A194" s="1">
        <v>1203.7750000000001</v>
      </c>
      <c r="B194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22.821389343867434</v>
      </c>
      <c r="C194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22.666332323996972</v>
      </c>
      <c r="D194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22.377194810114599</v>
      </c>
      <c r="E194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21.993400441206461</v>
      </c>
      <c r="F194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21.942062763809872</v>
      </c>
      <c r="G194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21.656400332766665</v>
      </c>
      <c r="H194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22.000000000000004</v>
      </c>
      <c r="I194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21.327971834875061</v>
      </c>
      <c r="J194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21.365609170887765</v>
      </c>
      <c r="K194" s="1">
        <f>intermediate_results[[#This Row], [Team1 laps '[laps']]] - intermediate_results[[#This Row], [Team1 laps '[laps']]]</f>
        <v>0</v>
      </c>
      <c r="L194" s="1">
        <f>intermediate_results[[#This Row], [Team1 laps '[laps']]] - intermediate_results[[#This Row], [Team2 laps '[laps']]]</f>
        <v>0.15505701987046194</v>
      </c>
      <c r="M194" s="1">
        <f>intermediate_results[[#This Row], [Team1 laps '[laps']]] - intermediate_results[[#This Row], [Team3 laps '[laps']]]</f>
        <v>0.44419453375283524</v>
      </c>
      <c r="N194" s="1">
        <f>intermediate_results[[#This Row], [Team1 laps '[laps']]] - intermediate_results[[#This Row], [Team4 laps '[laps']]]</f>
        <v>0.82798890266097303</v>
      </c>
      <c r="O194" s="1">
        <f>intermediate_results[[#This Row], [Team1 laps '[laps']]] - intermediate_results[[#This Row], [Team5 laps '[laps']]]</f>
        <v>0.87932658005756181</v>
      </c>
      <c r="P194" s="1">
        <f>intermediate_results[[#This Row], [Team1 laps '[laps']]] - intermediate_results[[#This Row], [Team6 laps '[laps']]]</f>
        <v>1.1649890111007686</v>
      </c>
      <c r="Q194" s="1">
        <f>intermediate_results[[#This Row], [Team1 laps '[laps']]] - intermediate_results[[#This Row], [Team7 laps '[laps']]]</f>
        <v>0.82138934386743045</v>
      </c>
      <c r="R194" s="1">
        <f>intermediate_results[[#This Row], [Team1 laps '[laps']]] - intermediate_results[[#This Row], [Team8 laps '[laps']]]</f>
        <v>1.4934175089923727</v>
      </c>
      <c r="S194" s="1">
        <f>intermediate_results[[#This Row], [Team1 laps '[laps']]] - intermediate_results[[#This Row], [Team9 laps '[laps']]]</f>
        <v>1.4557801729796687</v>
      </c>
      <c r="T194" s="1">
        <f>MAX(intermediate_results[[#This Row], [Team1 laps '[laps']]:[Team9 laps '[laps']]]) - intermediate_results[[#This Row], [Team1 laps '[laps']]]</f>
        <v>0</v>
      </c>
      <c r="U194" s="1">
        <f>MAX(intermediate_results[[#This Row], [Team1 laps '[laps']]:[Team9 laps '[laps']]]) - intermediate_results[[#This Row], [Team2 laps '[laps']]]</f>
        <v>0.15505701987046194</v>
      </c>
      <c r="V194" s="1">
        <f>MAX(intermediate_results[[#This Row], [Team1 laps '[laps']]:[Team9 laps '[laps']]]) - intermediate_results[[#This Row], [Team3 laps '[laps']]]</f>
        <v>0.44419453375283524</v>
      </c>
      <c r="W194" s="1">
        <f>MAX(intermediate_results[[#This Row], [Team1 laps '[laps']]:[Team9 laps '[laps']]]) - intermediate_results[[#This Row], [Team4 laps '[laps']]]</f>
        <v>0.82798890266097303</v>
      </c>
      <c r="X194" s="1">
        <f>MAX(intermediate_results[[#This Row], [Team1 laps '[laps']]:[Team9 laps '[laps']]]) - intermediate_results[[#This Row], [Team5 laps '[laps']]]</f>
        <v>0.87932658005756181</v>
      </c>
      <c r="Y194" s="1">
        <f>MAX(intermediate_results[[#This Row], [Team1 laps '[laps']]:[Team9 laps '[laps']]]) - intermediate_results[[#This Row], [Team6 laps '[laps']]]</f>
        <v>1.1649890111007686</v>
      </c>
      <c r="Z194" s="1">
        <f>MAX(intermediate_results[[#This Row], [Team1 laps '[laps']]:[Team9 laps '[laps']]]) - intermediate_results[[#This Row], [Team7 laps '[laps']]]</f>
        <v>0.82138934386743045</v>
      </c>
      <c r="AA194" s="1">
        <f>MAX(intermediate_results[[#This Row], [Team1 laps '[laps']]:[Team9 laps '[laps']]]) - intermediate_results[[#This Row], [Team8 laps '[laps']]]</f>
        <v>1.4934175089923727</v>
      </c>
      <c r="AB194" s="1">
        <f>MAX(intermediate_results[[#This Row], [Team1 laps '[laps']]:[Team9 laps '[laps']]]) - intermediate_results[[#This Row], [Team9 laps '[laps']]]</f>
        <v>1.4557801729796687</v>
      </c>
      <c r="AC194" s="1">
        <f>9 * intermediate_results[[#This Row], [All cumulative times '[sec']]] / SUM(intermediate_results[[#This Row], [Team1 laps '[laps']]:[Team9 laps '[laps']]])</f>
        <v>54.675524910212602</v>
      </c>
      <c r="AD194" s="1">
        <f>intermediate_results[[#This Row], [All cumulative times '[sec']]] / intermediate_results[[#This Row], [Team1 laps '[laps']]] - intermediate_results[[#This Row], [Total running average '[sec']]]</f>
        <v>-1.9278599077977248</v>
      </c>
      <c r="AE194" s="1">
        <f>intermediate_results[[#This Row], [All cumulative times '[sec']]] / intermediate_results[[#This Row], [Team2 laps '[laps']]] - intermediate_results[[#This Row], [Total running average '[sec']]]</f>
        <v>-1.5670209496685814</v>
      </c>
      <c r="AF194" s="1">
        <f>intermediate_results[[#This Row], [All cumulative times '[sec']]] / intermediate_results[[#This Row], [Team3 laps '[laps']]] - intermediate_results[[#This Row], [Total running average '[sec']]]</f>
        <v>-0.88080174607908646</v>
      </c>
      <c r="AG194" s="1">
        <f>intermediate_results[[#This Row], [All cumulative times '[sec']]] / intermediate_results[[#This Row], [Team4 laps '[laps']]] - intermediate_results[[#This Row], [Total running average '[sec']]]</f>
        <v>5.7939485980888605E-2</v>
      </c>
      <c r="AH194" s="1">
        <f>intermediate_results[[#This Row], [All cumulative times '[sec']]] / intermediate_results[[#This Row], [Team5 laps '[laps']]] - intermediate_results[[#This Row], [Total running average '[sec']]]</f>
        <v>0.18599895642429942</v>
      </c>
      <c r="AI194" s="1">
        <f>intermediate_results[[#This Row], [All cumulative times '[sec']]] / intermediate_results[[#This Row], [Team6 laps '[laps']]] - intermediate_results[[#This Row], [Total running average '[sec']]]</f>
        <v>0.90965921563951468</v>
      </c>
      <c r="AJ194" s="1">
        <f>intermediate_results[[#This Row], [All cumulative times '[sec']]] / intermediate_results[[#This Row], [Team7 laps '[laps']]] - intermediate_results[[#This Row], [Total running average '[sec']]]</f>
        <v>4.1520544332847464E-2</v>
      </c>
      <c r="AK194" s="1">
        <f>intermediate_results[[#This Row], [All cumulative times '[sec']]] / intermediate_results[[#This Row], [Team8 laps '[laps']]] - intermediate_results[[#This Row], [Total running average '[sec']]]</f>
        <v>1.7656130151297376</v>
      </c>
      <c r="AL194" s="1">
        <f>intermediate_results[[#This Row], [All cumulative times '[sec']]] / intermediate_results[[#This Row], [Team9 laps '[laps']]] - intermediate_results[[#This Row], [Total running average '[sec']]]</f>
        <v>1.6661871548116522</v>
      </c>
    </row>
    <row r="195" spans="1:38" x14ac:dyDescent="0.25">
      <c r="A195" s="1">
        <v>1204.1310000000001</v>
      </c>
      <c r="B195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22.828249349648338</v>
      </c>
      <c r="C195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22.673069644208933</v>
      </c>
      <c r="D195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22.383937872904635</v>
      </c>
      <c r="E195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22.000000000000004</v>
      </c>
      <c r="F195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21.948596072673883</v>
      </c>
      <c r="G195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21.662838644337544</v>
      </c>
      <c r="H195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22.006542914905353</v>
      </c>
      <c r="I195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21.334115697915237</v>
      </c>
      <c r="J195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21.371936372522885</v>
      </c>
      <c r="K195" s="1">
        <f>intermediate_results[[#This Row], [Team1 laps '[laps']]] - intermediate_results[[#This Row], [Team1 laps '[laps']]]</f>
        <v>0</v>
      </c>
      <c r="L195" s="1">
        <f>intermediate_results[[#This Row], [Team1 laps '[laps']]] - intermediate_results[[#This Row], [Team2 laps '[laps']]]</f>
        <v>0.15517970543940507</v>
      </c>
      <c r="M195" s="1">
        <f>intermediate_results[[#This Row], [Team1 laps '[laps']]] - intermediate_results[[#This Row], [Team3 laps '[laps']]]</f>
        <v>0.44431147674370308</v>
      </c>
      <c r="N195" s="1">
        <f>intermediate_results[[#This Row], [Team1 laps '[laps']]] - intermediate_results[[#This Row], [Team4 laps '[laps']]]</f>
        <v>0.82824934964833474</v>
      </c>
      <c r="O195" s="1">
        <f>intermediate_results[[#This Row], [Team1 laps '[laps']]] - intermediate_results[[#This Row], [Team5 laps '[laps']]]</f>
        <v>0.87965327697445517</v>
      </c>
      <c r="P195" s="1">
        <f>intermediate_results[[#This Row], [Team1 laps '[laps']]] - intermediate_results[[#This Row], [Team6 laps '[laps']]]</f>
        <v>1.1654107053107943</v>
      </c>
      <c r="Q195" s="1">
        <f>intermediate_results[[#This Row], [Team1 laps '[laps']]] - intermediate_results[[#This Row], [Team7 laps '[laps']]]</f>
        <v>0.82170643474298544</v>
      </c>
      <c r="R195" s="1">
        <f>intermediate_results[[#This Row], [Team1 laps '[laps']]] - intermediate_results[[#This Row], [Team8 laps '[laps']]]</f>
        <v>1.494133651733101</v>
      </c>
      <c r="S195" s="1">
        <f>intermediate_results[[#This Row], [Team1 laps '[laps']]] - intermediate_results[[#This Row], [Team9 laps '[laps']]]</f>
        <v>1.456312977125453</v>
      </c>
      <c r="T195" s="1">
        <f>MAX(intermediate_results[[#This Row], [Team1 laps '[laps']]:[Team9 laps '[laps']]]) - intermediate_results[[#This Row], [Team1 laps '[laps']]]</f>
        <v>0</v>
      </c>
      <c r="U195" s="1">
        <f>MAX(intermediate_results[[#This Row], [Team1 laps '[laps']]:[Team9 laps '[laps']]]) - intermediate_results[[#This Row], [Team2 laps '[laps']]]</f>
        <v>0.15517970543940507</v>
      </c>
      <c r="V195" s="1">
        <f>MAX(intermediate_results[[#This Row], [Team1 laps '[laps']]:[Team9 laps '[laps']]]) - intermediate_results[[#This Row], [Team3 laps '[laps']]]</f>
        <v>0.44431147674370308</v>
      </c>
      <c r="W195" s="1">
        <f>MAX(intermediate_results[[#This Row], [Team1 laps '[laps']]:[Team9 laps '[laps']]]) - intermediate_results[[#This Row], [Team4 laps '[laps']]]</f>
        <v>0.82824934964833474</v>
      </c>
      <c r="X195" s="1">
        <f>MAX(intermediate_results[[#This Row], [Team1 laps '[laps']]:[Team9 laps '[laps']]]) - intermediate_results[[#This Row], [Team5 laps '[laps']]]</f>
        <v>0.87965327697445517</v>
      </c>
      <c r="Y195" s="1">
        <f>MAX(intermediate_results[[#This Row], [Team1 laps '[laps']]:[Team9 laps '[laps']]]) - intermediate_results[[#This Row], [Team6 laps '[laps']]]</f>
        <v>1.1654107053107943</v>
      </c>
      <c r="Z195" s="1">
        <f>MAX(intermediate_results[[#This Row], [Team1 laps '[laps']]:[Team9 laps '[laps']]]) - intermediate_results[[#This Row], [Team7 laps '[laps']]]</f>
        <v>0.82170643474298544</v>
      </c>
      <c r="AA195" s="1">
        <f>MAX(intermediate_results[[#This Row], [Team1 laps '[laps']]:[Team9 laps '[laps']]]) - intermediate_results[[#This Row], [Team8 laps '[laps']]]</f>
        <v>1.494133651733101</v>
      </c>
      <c r="AB195" s="1">
        <f>MAX(intermediate_results[[#This Row], [Team1 laps '[laps']]:[Team9 laps '[laps']]]) - intermediate_results[[#This Row], [Team9 laps '[laps']]]</f>
        <v>1.456312977125453</v>
      </c>
      <c r="AC195" s="1">
        <f>9 * intermediate_results[[#This Row], [All cumulative times '[sec']]] / SUM(intermediate_results[[#This Row], [Team1 laps '[laps']]:[Team9 laps '[laps']]])</f>
        <v>54.675435180586291</v>
      </c>
      <c r="AD195" s="1">
        <f>intermediate_results[[#This Row], [All cumulative times '[sec']]] / intermediate_results[[#This Row], [Team1 laps '[laps']]] - intermediate_results[[#This Row], [Total running average '[sec']]]</f>
        <v>-1.9280264083691918</v>
      </c>
      <c r="AE195" s="1">
        <f>intermediate_results[[#This Row], [All cumulative times '[sec']]] / intermediate_results[[#This Row], [Team2 laps '[laps']]] - intermediate_results[[#This Row], [Total running average '[sec']]]</f>
        <v>-1.5670110062021863</v>
      </c>
      <c r="AF195" s="1">
        <f>intermediate_results[[#This Row], [All cumulative times '[sec']]] / intermediate_results[[#This Row], [Team3 laps '[laps']]] - intermediate_results[[#This Row], [Total running average '[sec']]]</f>
        <v>-0.88101317865697126</v>
      </c>
      <c r="AG195" s="1">
        <f>intermediate_results[[#This Row], [All cumulative times '[sec']]] / intermediate_results[[#This Row], [Team4 laps '[laps']]] - intermediate_results[[#This Row], [Total running average '[sec']]]</f>
        <v>5.7792092140978468E-2</v>
      </c>
      <c r="AH195" s="1">
        <f>intermediate_results[[#This Row], [All cumulative times '[sec']]] / intermediate_results[[#This Row], [Team5 laps '[laps']]] - intermediate_results[[#This Row], [Total running average '[sec']]]</f>
        <v>0.18597809673715204</v>
      </c>
      <c r="AI195" s="1">
        <f>intermediate_results[[#This Row], [All cumulative times '[sec']]] / intermediate_results[[#This Row], [Team6 laps '[laps']]] - intermediate_results[[#This Row], [Total running average '[sec']]]</f>
        <v>0.90966240378537577</v>
      </c>
      <c r="AJ195" s="1">
        <f>intermediate_results[[#This Row], [All cumulative times '[sec']]] / intermediate_results[[#This Row], [Team7 laps '[laps']]] - intermediate_results[[#This Row], [Total running average '[sec']]]</f>
        <v>4.1518984187341346E-2</v>
      </c>
      <c r="AK195" s="1">
        <f>intermediate_results[[#This Row], [All cumulative times '[sec']]] / intermediate_results[[#This Row], [Team8 laps '[laps']]] - intermediate_results[[#This Row], [Total running average '[sec']]]</f>
        <v>1.7661355435130162</v>
      </c>
      <c r="AL195" s="1">
        <f>intermediate_results[[#This Row], [All cumulative times '[sec']]] / intermediate_results[[#This Row], [Team9 laps '[laps']]] - intermediate_results[[#This Row], [Total running average '[sec']]]</f>
        <v>1.6662541736879959</v>
      </c>
    </row>
    <row r="196" spans="1:38" x14ac:dyDescent="0.25">
      <c r="A196" s="1">
        <v>1206.932</v>
      </c>
      <c r="B196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22.882223720975052</v>
      </c>
      <c r="C196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22.726078728236185</v>
      </c>
      <c r="D196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22.436992139407142</v>
      </c>
      <c r="E196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22.051440744889906</v>
      </c>
      <c r="F196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21.999999999999996</v>
      </c>
      <c r="G196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21.713495135096032</v>
      </c>
      <c r="H196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22.058022422348834</v>
      </c>
      <c r="I196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21.38245547425101</v>
      </c>
      <c r="J196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21.421718652803698</v>
      </c>
      <c r="K196" s="1">
        <f>intermediate_results[[#This Row], [Team1 laps '[laps']]] - intermediate_results[[#This Row], [Team1 laps '[laps']]]</f>
        <v>0</v>
      </c>
      <c r="L196" s="1">
        <f>intermediate_results[[#This Row], [Team1 laps '[laps']]] - intermediate_results[[#This Row], [Team2 laps '[laps']]]</f>
        <v>0.15614499273886651</v>
      </c>
      <c r="M196" s="1">
        <f>intermediate_results[[#This Row], [Team1 laps '[laps']]] - intermediate_results[[#This Row], [Team3 laps '[laps']]]</f>
        <v>0.44523158156790998</v>
      </c>
      <c r="N196" s="1">
        <f>intermediate_results[[#This Row], [Team1 laps '[laps']]] - intermediate_results[[#This Row], [Team4 laps '[laps']]]</f>
        <v>0.83078297608514617</v>
      </c>
      <c r="O196" s="1">
        <f>intermediate_results[[#This Row], [Team1 laps '[laps']]] - intermediate_results[[#This Row], [Team5 laps '[laps']]]</f>
        <v>0.88222372097505541</v>
      </c>
      <c r="P196" s="1">
        <f>intermediate_results[[#This Row], [Team1 laps '[laps']]] - intermediate_results[[#This Row], [Team6 laps '[laps']]]</f>
        <v>1.1687285858790197</v>
      </c>
      <c r="Q196" s="1">
        <f>intermediate_results[[#This Row], [Team1 laps '[laps']]] - intermediate_results[[#This Row], [Team7 laps '[laps']]]</f>
        <v>0.82420129862621749</v>
      </c>
      <c r="R196" s="1">
        <f>intermediate_results[[#This Row], [Team1 laps '[laps']]] - intermediate_results[[#This Row], [Team8 laps '[laps']]]</f>
        <v>1.4997682467240416</v>
      </c>
      <c r="S196" s="1">
        <f>intermediate_results[[#This Row], [Team1 laps '[laps']]] - intermediate_results[[#This Row], [Team9 laps '[laps']]]</f>
        <v>1.4605050681713543</v>
      </c>
      <c r="T196" s="1">
        <f>MAX(intermediate_results[[#This Row], [Team1 laps '[laps']]:[Team9 laps '[laps']]]) - intermediate_results[[#This Row], [Team1 laps '[laps']]]</f>
        <v>0</v>
      </c>
      <c r="U196" s="1">
        <f>MAX(intermediate_results[[#This Row], [Team1 laps '[laps']]:[Team9 laps '[laps']]]) - intermediate_results[[#This Row], [Team2 laps '[laps']]]</f>
        <v>0.15614499273886651</v>
      </c>
      <c r="V196" s="1">
        <f>MAX(intermediate_results[[#This Row], [Team1 laps '[laps']]:[Team9 laps '[laps']]]) - intermediate_results[[#This Row], [Team3 laps '[laps']]]</f>
        <v>0.44523158156790998</v>
      </c>
      <c r="W196" s="1">
        <f>MAX(intermediate_results[[#This Row], [Team1 laps '[laps']]:[Team9 laps '[laps']]]) - intermediate_results[[#This Row], [Team4 laps '[laps']]]</f>
        <v>0.83078297608514617</v>
      </c>
      <c r="X196" s="1">
        <f>MAX(intermediate_results[[#This Row], [Team1 laps '[laps']]:[Team9 laps '[laps']]]) - intermediate_results[[#This Row], [Team5 laps '[laps']]]</f>
        <v>0.88222372097505541</v>
      </c>
      <c r="Y196" s="1">
        <f>MAX(intermediate_results[[#This Row], [Team1 laps '[laps']]:[Team9 laps '[laps']]]) - intermediate_results[[#This Row], [Team6 laps '[laps']]]</f>
        <v>1.1687285858790197</v>
      </c>
      <c r="Z196" s="1">
        <f>MAX(intermediate_results[[#This Row], [Team1 laps '[laps']]:[Team9 laps '[laps']]]) - intermediate_results[[#This Row], [Team7 laps '[laps']]]</f>
        <v>0.82420129862621749</v>
      </c>
      <c r="AA196" s="1">
        <f>MAX(intermediate_results[[#This Row], [Team1 laps '[laps']]:[Team9 laps '[laps']]]) - intermediate_results[[#This Row], [Team8 laps '[laps']]]</f>
        <v>1.4997682467240416</v>
      </c>
      <c r="AB196" s="1">
        <f>MAX(intermediate_results[[#This Row], [Team1 laps '[laps']]:[Team9 laps '[laps']]]) - intermediate_results[[#This Row], [Team9 laps '[laps']]]</f>
        <v>1.4605050681713543</v>
      </c>
      <c r="AC196" s="1">
        <f>9 * intermediate_results[[#This Row], [All cumulative times '[sec']]] / SUM(intermediate_results[[#This Row], [Team1 laps '[laps']]:[Team9 laps '[laps']]])</f>
        <v>54.674864363616116</v>
      </c>
      <c r="AD196" s="1">
        <f>intermediate_results[[#This Row], [All cumulative times '[sec']]] / intermediate_results[[#This Row], [Team1 laps '[laps']]] - intermediate_results[[#This Row], [Total running average '[sec']]]</f>
        <v>-1.929466245090488</v>
      </c>
      <c r="AE196" s="1">
        <f>intermediate_results[[#This Row], [All cumulative times '[sec']]] / intermediate_results[[#This Row], [Team2 laps '[laps']]] - intermediate_results[[#This Row], [Total running average '[sec']]]</f>
        <v>-1.5670662945881162</v>
      </c>
      <c r="AF196" s="1">
        <f>intermediate_results[[#This Row], [All cumulative times '[sec']]] / intermediate_results[[#This Row], [Team3 laps '[laps']]] - intermediate_results[[#This Row], [Total running average '[sec']]]</f>
        <v>-0.88280558403448595</v>
      </c>
      <c r="AG196" s="1">
        <f>intermediate_results[[#This Row], [All cumulative times '[sec']]] / intermediate_results[[#This Row], [Team4 laps '[laps']]] - intermediate_results[[#This Row], [Total running average '[sec']]]</f>
        <v>5.7704540285939743E-2</v>
      </c>
      <c r="AH196" s="1">
        <f>intermediate_results[[#This Row], [All cumulative times '[sec']]] / intermediate_results[[#This Row], [Team5 laps '[laps']]] - intermediate_results[[#This Row], [Total running average '[sec']]]</f>
        <v>0.18568109092935003</v>
      </c>
      <c r="AI196" s="1">
        <f>intermediate_results[[#This Row], [All cumulative times '[sec']]] / intermediate_results[[#This Row], [Team6 laps '[laps']]] - intermediate_results[[#This Row], [Total running average '[sec']]]</f>
        <v>0.90955410474955301</v>
      </c>
      <c r="AJ196" s="1">
        <f>intermediate_results[[#This Row], [All cumulative times '[sec']]] / intermediate_results[[#This Row], [Team7 laps '[laps']]] - intermediate_results[[#This Row], [Total running average '[sec']]]</f>
        <v>4.1373424643445844E-2</v>
      </c>
      <c r="AK196" s="1">
        <f>intermediate_results[[#This Row], [All cumulative times '[sec']]] / intermediate_results[[#This Row], [Team8 laps '[laps']]] - intermediate_results[[#This Row], [Total running average '[sec']]]</f>
        <v>1.7701029346158776</v>
      </c>
      <c r="AL196" s="1">
        <f>intermediate_results[[#This Row], [All cumulative times '[sec']]] / intermediate_results[[#This Row], [Team9 laps '[laps']]] - intermediate_results[[#This Row], [Total running average '[sec']]]</f>
        <v>1.6666467710208579</v>
      </c>
    </row>
    <row r="197" spans="1:38" x14ac:dyDescent="0.25">
      <c r="A197" s="1">
        <v>1213.0440000000001</v>
      </c>
      <c r="B197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23.000000000000007</v>
      </c>
      <c r="C197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22.841748675246027</v>
      </c>
      <c r="D197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22.552760678094522</v>
      </c>
      <c r="E197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22.163688453839235</v>
      </c>
      <c r="F197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22.109642120369536</v>
      </c>
      <c r="G197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21.824031540492641</v>
      </c>
      <c r="H197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22.170354714206951</v>
      </c>
      <c r="I197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21.487936628468876</v>
      </c>
      <c r="J197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21.530347462898785</v>
      </c>
      <c r="K197" s="1">
        <f>intermediate_results[[#This Row], [Team1 laps '[laps']]] - intermediate_results[[#This Row], [Team1 laps '[laps']]]</f>
        <v>0</v>
      </c>
      <c r="L197" s="1">
        <f>intermediate_results[[#This Row], [Team1 laps '[laps']]] - intermediate_results[[#This Row], [Team2 laps '[laps']]]</f>
        <v>0.15825132475398007</v>
      </c>
      <c r="M197" s="1">
        <f>intermediate_results[[#This Row], [Team1 laps '[laps']]] - intermediate_results[[#This Row], [Team3 laps '[laps']]]</f>
        <v>0.4472393219054851</v>
      </c>
      <c r="N197" s="1">
        <f>intermediate_results[[#This Row], [Team1 laps '[laps']]] - intermediate_results[[#This Row], [Team4 laps '[laps']]]</f>
        <v>0.83631154616077197</v>
      </c>
      <c r="O197" s="1">
        <f>intermediate_results[[#This Row], [Team1 laps '[laps']]] - intermediate_results[[#This Row], [Team5 laps '[laps']]]</f>
        <v>0.89035787963047142</v>
      </c>
      <c r="P197" s="1">
        <f>intermediate_results[[#This Row], [Team1 laps '[laps']]] - intermediate_results[[#This Row], [Team6 laps '[laps']]]</f>
        <v>1.1759684595073665</v>
      </c>
      <c r="Q197" s="1">
        <f>intermediate_results[[#This Row], [Team1 laps '[laps']]] - intermediate_results[[#This Row], [Team7 laps '[laps']]]</f>
        <v>0.82964528579305608</v>
      </c>
      <c r="R197" s="1">
        <f>intermediate_results[[#This Row], [Team1 laps '[laps']]] - intermediate_results[[#This Row], [Team8 laps '[laps']]]</f>
        <v>1.5120633715311307</v>
      </c>
      <c r="S197" s="1">
        <f>intermediate_results[[#This Row], [Team1 laps '[laps']]] - intermediate_results[[#This Row], [Team9 laps '[laps']]]</f>
        <v>1.4696525371012221</v>
      </c>
      <c r="T197" s="1">
        <f>MAX(intermediate_results[[#This Row], [Team1 laps '[laps']]:[Team9 laps '[laps']]]) - intermediate_results[[#This Row], [Team1 laps '[laps']]]</f>
        <v>0</v>
      </c>
      <c r="U197" s="1">
        <f>MAX(intermediate_results[[#This Row], [Team1 laps '[laps']]:[Team9 laps '[laps']]]) - intermediate_results[[#This Row], [Team2 laps '[laps']]]</f>
        <v>0.15825132475398007</v>
      </c>
      <c r="V197" s="1">
        <f>MAX(intermediate_results[[#This Row], [Team1 laps '[laps']]:[Team9 laps '[laps']]]) - intermediate_results[[#This Row], [Team3 laps '[laps']]]</f>
        <v>0.4472393219054851</v>
      </c>
      <c r="W197" s="1">
        <f>MAX(intermediate_results[[#This Row], [Team1 laps '[laps']]:[Team9 laps '[laps']]]) - intermediate_results[[#This Row], [Team4 laps '[laps']]]</f>
        <v>0.83631154616077197</v>
      </c>
      <c r="X197" s="1">
        <f>MAX(intermediate_results[[#This Row], [Team1 laps '[laps']]:[Team9 laps '[laps']]]) - intermediate_results[[#This Row], [Team5 laps '[laps']]]</f>
        <v>0.89035787963047142</v>
      </c>
      <c r="Y197" s="1">
        <f>MAX(intermediate_results[[#This Row], [Team1 laps '[laps']]:[Team9 laps '[laps']]]) - intermediate_results[[#This Row], [Team6 laps '[laps']]]</f>
        <v>1.1759684595073665</v>
      </c>
      <c r="Z197" s="1">
        <f>MAX(intermediate_results[[#This Row], [Team1 laps '[laps']]:[Team9 laps '[laps']]]) - intermediate_results[[#This Row], [Team7 laps '[laps']]]</f>
        <v>0.82964528579305608</v>
      </c>
      <c r="AA197" s="1">
        <f>MAX(intermediate_results[[#This Row], [Team1 laps '[laps']]:[Team9 laps '[laps']]]) - intermediate_results[[#This Row], [Team8 laps '[laps']]]</f>
        <v>1.5120633715311307</v>
      </c>
      <c r="AB197" s="1">
        <f>MAX(intermediate_results[[#This Row], [Team1 laps '[laps']]:[Team9 laps '[laps']]]) - intermediate_results[[#This Row], [Team9 laps '[laps']]]</f>
        <v>1.4696525371012221</v>
      </c>
      <c r="AC197" s="1">
        <f>9 * intermediate_results[[#This Row], [All cumulative times '[sec']]] / SUM(intermediate_results[[#This Row], [Team1 laps '[laps']]:[Team9 laps '[laps']]])</f>
        <v>54.674319416753299</v>
      </c>
      <c r="AD197" s="1">
        <f>intermediate_results[[#This Row], [All cumulative times '[sec']]] / intermediate_results[[#This Row], [Team1 laps '[laps']]] - intermediate_results[[#This Row], [Total running average '[sec']]]</f>
        <v>-1.9332759384924429</v>
      </c>
      <c r="AE197" s="1">
        <f>intermediate_results[[#This Row], [All cumulative times '[sec']]] / intermediate_results[[#This Row], [Team2 laps '[laps']]] - intermediate_results[[#This Row], [Total running average '[sec']]]</f>
        <v>-1.5678774693118811</v>
      </c>
      <c r="AF197" s="1">
        <f>intermediate_results[[#This Row], [All cumulative times '[sec']]] / intermediate_results[[#This Row], [Team3 laps '[laps']]] - intermediate_results[[#This Row], [Total running average '[sec']]]</f>
        <v>-0.88737877058093062</v>
      </c>
      <c r="AG197" s="1">
        <f>intermediate_results[[#This Row], [All cumulative times '[sec']]] / intermediate_results[[#This Row], [Team4 laps '[laps']]] - intermediate_results[[#This Row], [Total running average '[sec']]]</f>
        <v>5.682348513469293E-2</v>
      </c>
      <c r="AH197" s="1">
        <f>intermediate_results[[#This Row], [All cumulative times '[sec']]] / intermediate_results[[#This Row], [Team5 laps '[laps']]] - intermediate_results[[#This Row], [Total running average '[sec']]]</f>
        <v>0.19061206408812836</v>
      </c>
      <c r="AI197" s="1">
        <f>intermediate_results[[#This Row], [All cumulative times '[sec']]] / intermediate_results[[#This Row], [Team6 laps '[laps']]] - intermediate_results[[#This Row], [Total running average '[sec']]]</f>
        <v>0.90862811286788059</v>
      </c>
      <c r="AJ197" s="1">
        <f>intermediate_results[[#This Row], [All cumulative times '[sec']]] / intermediate_results[[#This Row], [Team7 laps '[laps']]] - intermediate_results[[#This Row], [Total running average '[sec']]]</f>
        <v>4.0366732254106807E-2</v>
      </c>
      <c r="AK197" s="1">
        <f>intermediate_results[[#This Row], [All cumulative times '[sec']]] / intermediate_results[[#This Row], [Team8 laps '[laps']]] - intermediate_results[[#This Row], [Total running average '[sec']]]</f>
        <v>1.7780064148887149</v>
      </c>
      <c r="AL197" s="1">
        <f>intermediate_results[[#This Row], [All cumulative times '[sec']]] / intermediate_results[[#This Row], [Team9 laps '[laps']]] - intermediate_results[[#This Row], [Total running average '[sec']]]</f>
        <v>1.6668056900441783</v>
      </c>
    </row>
    <row r="198" spans="1:38" x14ac:dyDescent="0.25">
      <c r="A198" s="1">
        <v>1221.4059999999999</v>
      </c>
      <c r="B198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23.161142372620063</v>
      </c>
      <c r="C198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23</v>
      </c>
      <c r="D198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22.711146888909937</v>
      </c>
      <c r="E198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22.317257717948248</v>
      </c>
      <c r="F198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22.259646605076682</v>
      </c>
      <c r="G198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21.975259521828768</v>
      </c>
      <c r="H198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22.324039698584819</v>
      </c>
      <c r="I198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21.632248377744038</v>
      </c>
      <c r="J198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21.678965609170888</v>
      </c>
      <c r="K198" s="1">
        <f>intermediate_results[[#This Row], [Team1 laps '[laps']]] - intermediate_results[[#This Row], [Team1 laps '[laps']]]</f>
        <v>0</v>
      </c>
      <c r="L198" s="1">
        <f>intermediate_results[[#This Row], [Team1 laps '[laps']]] - intermediate_results[[#This Row], [Team2 laps '[laps']]]</f>
        <v>0.1611423726200627</v>
      </c>
      <c r="M198" s="1">
        <f>intermediate_results[[#This Row], [Team1 laps '[laps']]] - intermediate_results[[#This Row], [Team3 laps '[laps']]]</f>
        <v>0.44999548371012565</v>
      </c>
      <c r="N198" s="1">
        <f>intermediate_results[[#This Row], [Team1 laps '[laps']]] - intermediate_results[[#This Row], [Team4 laps '[laps']]]</f>
        <v>0.84388465467181462</v>
      </c>
      <c r="O198" s="1">
        <f>intermediate_results[[#This Row], [Team1 laps '[laps']]] - intermediate_results[[#This Row], [Team5 laps '[laps']]]</f>
        <v>0.90149576754338057</v>
      </c>
      <c r="P198" s="1">
        <f>intermediate_results[[#This Row], [Team1 laps '[laps']]] - intermediate_results[[#This Row], [Team6 laps '[laps']]]</f>
        <v>1.1858828507912946</v>
      </c>
      <c r="Q198" s="1">
        <f>intermediate_results[[#This Row], [Team1 laps '[laps']]] - intermediate_results[[#This Row], [Team7 laps '[laps']]]</f>
        <v>0.83710267403524341</v>
      </c>
      <c r="R198" s="1">
        <f>intermediate_results[[#This Row], [Team1 laps '[laps']]] - intermediate_results[[#This Row], [Team8 laps '[laps']]]</f>
        <v>1.5288939948760252</v>
      </c>
      <c r="S198" s="1">
        <f>intermediate_results[[#This Row], [Team1 laps '[laps']]] - intermediate_results[[#This Row], [Team9 laps '[laps']]]</f>
        <v>1.4821767634491749</v>
      </c>
      <c r="T198" s="1">
        <f>MAX(intermediate_results[[#This Row], [Team1 laps '[laps']]:[Team9 laps '[laps']]]) - intermediate_results[[#This Row], [Team1 laps '[laps']]]</f>
        <v>0</v>
      </c>
      <c r="U198" s="1">
        <f>MAX(intermediate_results[[#This Row], [Team1 laps '[laps']]:[Team9 laps '[laps']]]) - intermediate_results[[#This Row], [Team2 laps '[laps']]]</f>
        <v>0.1611423726200627</v>
      </c>
      <c r="V198" s="1">
        <f>MAX(intermediate_results[[#This Row], [Team1 laps '[laps']]:[Team9 laps '[laps']]]) - intermediate_results[[#This Row], [Team3 laps '[laps']]]</f>
        <v>0.44999548371012565</v>
      </c>
      <c r="W198" s="1">
        <f>MAX(intermediate_results[[#This Row], [Team1 laps '[laps']]:[Team9 laps '[laps']]]) - intermediate_results[[#This Row], [Team4 laps '[laps']]]</f>
        <v>0.84388465467181462</v>
      </c>
      <c r="X198" s="1">
        <f>MAX(intermediate_results[[#This Row], [Team1 laps '[laps']]:[Team9 laps '[laps']]]) - intermediate_results[[#This Row], [Team5 laps '[laps']]]</f>
        <v>0.90149576754338057</v>
      </c>
      <c r="Y198" s="1">
        <f>MAX(intermediate_results[[#This Row], [Team1 laps '[laps']]:[Team9 laps '[laps']]]) - intermediate_results[[#This Row], [Team6 laps '[laps']]]</f>
        <v>1.1858828507912946</v>
      </c>
      <c r="Z198" s="1">
        <f>MAX(intermediate_results[[#This Row], [Team1 laps '[laps']]:[Team9 laps '[laps']]]) - intermediate_results[[#This Row], [Team7 laps '[laps']]]</f>
        <v>0.83710267403524341</v>
      </c>
      <c r="AA198" s="1">
        <f>MAX(intermediate_results[[#This Row], [Team1 laps '[laps']]:[Team9 laps '[laps']]]) - intermediate_results[[#This Row], [Team8 laps '[laps']]]</f>
        <v>1.5288939948760252</v>
      </c>
      <c r="AB198" s="1">
        <f>MAX(intermediate_results[[#This Row], [Team1 laps '[laps']]:[Team9 laps '[laps']]]) - intermediate_results[[#This Row], [Team9 laps '[laps']]]</f>
        <v>1.4821767634491749</v>
      </c>
      <c r="AC198" s="1">
        <f>9 * intermediate_results[[#This Row], [All cumulative times '[sec']]] / SUM(intermediate_results[[#This Row], [Team1 laps '[laps']]:[Team9 laps '[laps']]])</f>
        <v>54.673580178740018</v>
      </c>
      <c r="AD198" s="1">
        <f>intermediate_results[[#This Row], [All cumulative times '[sec']]] / intermediate_results[[#This Row], [Team1 laps '[laps']]] - intermediate_results[[#This Row], [Total running average '[sec']]]</f>
        <v>-1.9384438737240473</v>
      </c>
      <c r="AE198" s="1">
        <f>intermediate_results[[#This Row], [All cumulative times '[sec']]] / intermediate_results[[#This Row], [Team2 laps '[laps']]] - intermediate_results[[#This Row], [Total running average '[sec']]]</f>
        <v>-1.568971483087843</v>
      </c>
      <c r="AF198" s="1">
        <f>intermediate_results[[#This Row], [All cumulative times '[sec']]] / intermediate_results[[#This Row], [Team3 laps '[laps']]] - intermediate_results[[#This Row], [Total running average '[sec']]]</f>
        <v>-0.89355726864982898</v>
      </c>
      <c r="AG198" s="1">
        <f>intermediate_results[[#This Row], [All cumulative times '[sec']]] / intermediate_results[[#This Row], [Team4 laps '[laps']]] - intermediate_results[[#This Row], [Total running average '[sec']]]</f>
        <v>5.563500694591994E-2</v>
      </c>
      <c r="AH198" s="1">
        <f>intermediate_results[[#This Row], [All cumulative times '[sec']]] / intermediate_results[[#This Row], [Team5 laps '[laps']]] - intermediate_results[[#This Row], [Total running average '[sec']]]</f>
        <v>0.1972819544188269</v>
      </c>
      <c r="AI198" s="1">
        <f>intermediate_results[[#This Row], [All cumulative times '[sec']]] / intermediate_results[[#This Row], [Team6 laps '[laps']]] - intermediate_results[[#This Row], [Total running average '[sec']]]</f>
        <v>0.90737888964941504</v>
      </c>
      <c r="AJ198" s="1">
        <f>intermediate_results[[#This Row], [All cumulative times '[sec']]] / intermediate_results[[#This Row], [Team7 laps '[laps']]] - intermediate_results[[#This Row], [Total running average '[sec']]]</f>
        <v>3.9008424900039529E-2</v>
      </c>
      <c r="AK198" s="1">
        <f>intermediate_results[[#This Row], [All cumulative times '[sec']]] / intermediate_results[[#This Row], [Team8 laps '[laps']]] - intermediate_results[[#This Row], [Total running average '[sec']]]</f>
        <v>1.7886968195502888</v>
      </c>
      <c r="AL198" s="1">
        <f>intermediate_results[[#This Row], [All cumulative times '[sec']]] / intermediate_results[[#This Row], [Team9 laps '[laps']]] - intermediate_results[[#This Row], [Total running average '[sec']]]</f>
        <v>1.6670230594193995</v>
      </c>
    </row>
    <row r="199" spans="1:38" x14ac:dyDescent="0.25">
      <c r="A199" s="1">
        <v>1222.7739999999999</v>
      </c>
      <c r="B199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23.187504817698301</v>
      </c>
      <c r="C199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23.025909090909089</v>
      </c>
      <c r="D199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22.737058433563785</v>
      </c>
      <c r="E199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22.342381223485337</v>
      </c>
      <c r="F199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22.28418692259395</v>
      </c>
      <c r="G199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21.999999999999996</v>
      </c>
      <c r="H199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22.349182135636831</v>
      </c>
      <c r="I199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21.655857379538872</v>
      </c>
      <c r="J199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21.703279125566514</v>
      </c>
      <c r="K199" s="1">
        <f>intermediate_results[[#This Row], [Team1 laps '[laps']]] - intermediate_results[[#This Row], [Team1 laps '[laps']]]</f>
        <v>0</v>
      </c>
      <c r="L199" s="1">
        <f>intermediate_results[[#This Row], [Team1 laps '[laps']]] - intermediate_results[[#This Row], [Team2 laps '[laps']]]</f>
        <v>0.16159572678921208</v>
      </c>
      <c r="M199" s="1">
        <f>intermediate_results[[#This Row], [Team1 laps '[laps']]] - intermediate_results[[#This Row], [Team3 laps '[laps']]]</f>
        <v>0.45044638413451565</v>
      </c>
      <c r="N199" s="1">
        <f>intermediate_results[[#This Row], [Team1 laps '[laps']]] - intermediate_results[[#This Row], [Team4 laps '[laps']]]</f>
        <v>0.84512359421296424</v>
      </c>
      <c r="O199" s="1">
        <f>intermediate_results[[#This Row], [Team1 laps '[laps']]] - intermediate_results[[#This Row], [Team5 laps '[laps']]]</f>
        <v>0.90331789510435101</v>
      </c>
      <c r="P199" s="1">
        <f>intermediate_results[[#This Row], [Team1 laps '[laps']]] - intermediate_results[[#This Row], [Team6 laps '[laps']]]</f>
        <v>1.1875048176983043</v>
      </c>
      <c r="Q199" s="1">
        <f>intermediate_results[[#This Row], [Team1 laps '[laps']]] - intermediate_results[[#This Row], [Team7 laps '[laps']]]</f>
        <v>0.8383226820614702</v>
      </c>
      <c r="R199" s="1">
        <f>intermediate_results[[#This Row], [Team1 laps '[laps']]] - intermediate_results[[#This Row], [Team8 laps '[laps']]]</f>
        <v>1.5316474381594283</v>
      </c>
      <c r="S199" s="1">
        <f>intermediate_results[[#This Row], [Team1 laps '[laps']]] - intermediate_results[[#This Row], [Team9 laps '[laps']]]</f>
        <v>1.4842256921317869</v>
      </c>
      <c r="T199" s="1">
        <f>MAX(intermediate_results[[#This Row], [Team1 laps '[laps']]:[Team9 laps '[laps']]]) - intermediate_results[[#This Row], [Team1 laps '[laps']]]</f>
        <v>0</v>
      </c>
      <c r="U199" s="1">
        <f>MAX(intermediate_results[[#This Row], [Team1 laps '[laps']]:[Team9 laps '[laps']]]) - intermediate_results[[#This Row], [Team2 laps '[laps']]]</f>
        <v>0.16159572678921208</v>
      </c>
      <c r="V199" s="1">
        <f>MAX(intermediate_results[[#This Row], [Team1 laps '[laps']]:[Team9 laps '[laps']]]) - intermediate_results[[#This Row], [Team3 laps '[laps']]]</f>
        <v>0.45044638413451565</v>
      </c>
      <c r="W199" s="1">
        <f>MAX(intermediate_results[[#This Row], [Team1 laps '[laps']]:[Team9 laps '[laps']]]) - intermediate_results[[#This Row], [Team4 laps '[laps']]]</f>
        <v>0.84512359421296424</v>
      </c>
      <c r="X199" s="1">
        <f>MAX(intermediate_results[[#This Row], [Team1 laps '[laps']]:[Team9 laps '[laps']]]) - intermediate_results[[#This Row], [Team5 laps '[laps']]]</f>
        <v>0.90331789510435101</v>
      </c>
      <c r="Y199" s="1">
        <f>MAX(intermediate_results[[#This Row], [Team1 laps '[laps']]:[Team9 laps '[laps']]]) - intermediate_results[[#This Row], [Team6 laps '[laps']]]</f>
        <v>1.1875048176983043</v>
      </c>
      <c r="Z199" s="1">
        <f>MAX(intermediate_results[[#This Row], [Team1 laps '[laps']]:[Team9 laps '[laps']]]) - intermediate_results[[#This Row], [Team7 laps '[laps']]]</f>
        <v>0.8383226820614702</v>
      </c>
      <c r="AA199" s="1">
        <f>MAX(intermediate_results[[#This Row], [Team1 laps '[laps']]:[Team9 laps '[laps']]]) - intermediate_results[[#This Row], [Team8 laps '[laps']]]</f>
        <v>1.5316474381594283</v>
      </c>
      <c r="AB199" s="1">
        <f>MAX(intermediate_results[[#This Row], [Team1 laps '[laps']]:[Team9 laps '[laps']]]) - intermediate_results[[#This Row], [Team9 laps '[laps']]]</f>
        <v>1.4842256921317869</v>
      </c>
      <c r="AC199" s="1">
        <f>9 * intermediate_results[[#This Row], [All cumulative times '[sec']]] / SUM(intermediate_results[[#This Row], [Team1 laps '[laps']]:[Team9 laps '[laps']]])</f>
        <v>54.673454878293079</v>
      </c>
      <c r="AD199" s="1">
        <f>intermediate_results[[#This Row], [All cumulative times '[sec']]] / intermediate_results[[#This Row], [Team1 laps '[laps']]] - intermediate_results[[#This Row], [Total running average '[sec']]]</f>
        <v>-1.9392771556993793</v>
      </c>
      <c r="AE199" s="1">
        <f>intermediate_results[[#This Row], [All cumulative times '[sec']]] / intermediate_results[[#This Row], [Team2 laps '[laps']]] - intermediate_results[[#This Row], [Total running average '[sec']]]</f>
        <v>-1.5691889328166369</v>
      </c>
      <c r="AF199" s="1">
        <f>intermediate_results[[#This Row], [All cumulative times '[sec']]] / intermediate_results[[#This Row], [Team3 laps '[laps']]] - intermediate_results[[#This Row], [Total running average '[sec']]]</f>
        <v>-0.89455451733097391</v>
      </c>
      <c r="AG199" s="1">
        <f>intermediate_results[[#This Row], [All cumulative times '[sec']]] / intermediate_results[[#This Row], [Team4 laps '[laps']]] - intermediate_results[[#This Row], [Total running average '[sec']]]</f>
        <v>5.5447460669483917E-2</v>
      </c>
      <c r="AH199" s="1">
        <f>intermediate_results[[#This Row], [All cumulative times '[sec']]] / intermediate_results[[#This Row], [Team5 laps '[laps']]] - intermediate_results[[#This Row], [Total running average '[sec']]]</f>
        <v>0.19836989356918622</v>
      </c>
      <c r="AI199" s="1">
        <f>intermediate_results[[#This Row], [All cumulative times '[sec']]] / intermediate_results[[#This Row], [Team6 laps '[laps']]] - intermediate_results[[#This Row], [Total running average '[sec']]]</f>
        <v>0.90718148534328691</v>
      </c>
      <c r="AJ199" s="1">
        <f>intermediate_results[[#This Row], [All cumulative times '[sec']]] / intermediate_results[[#This Row], [Team7 laps '[laps']]] - intermediate_results[[#This Row], [Total running average '[sec']]]</f>
        <v>3.8793318486739281E-2</v>
      </c>
      <c r="AK199" s="1">
        <f>intermediate_results[[#This Row], [All cumulative times '[sec']]] / intermediate_results[[#This Row], [Team8 laps '[laps']]] - intermediate_results[[#This Row], [Total running average '[sec']]]</f>
        <v>1.7904374797769762</v>
      </c>
      <c r="AL199" s="1">
        <f>intermediate_results[[#This Row], [All cumulative times '[sec']]] / intermediate_results[[#This Row], [Team9 laps '[laps']]] - intermediate_results[[#This Row], [Total running average '[sec']]]</f>
        <v>1.6670636638828498</v>
      </c>
    </row>
    <row r="200" spans="1:38" x14ac:dyDescent="0.25">
      <c r="A200" s="1">
        <v>1236.6559999999999</v>
      </c>
      <c r="B200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23.455021968704237</v>
      </c>
      <c r="C200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23.288825757575758</v>
      </c>
      <c r="D200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23</v>
      </c>
      <c r="E200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22.597326036252781</v>
      </c>
      <c r="F200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22.533213741142699</v>
      </c>
      <c r="G200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22.24909831506038</v>
      </c>
      <c r="H200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22.604319058996509</v>
      </c>
      <c r="I200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21.895433522021271</v>
      </c>
      <c r="J200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21.950004443259576</v>
      </c>
      <c r="K200" s="1">
        <f>intermediate_results[[#This Row], [Team1 laps '[laps']]] - intermediate_results[[#This Row], [Team1 laps '[laps']]]</f>
        <v>0</v>
      </c>
      <c r="L200" s="1">
        <f>intermediate_results[[#This Row], [Team1 laps '[laps']]] - intermediate_results[[#This Row], [Team2 laps '[laps']]]</f>
        <v>0.16619621112847938</v>
      </c>
      <c r="M200" s="1">
        <f>intermediate_results[[#This Row], [Team1 laps '[laps']]] - intermediate_results[[#This Row], [Team3 laps '[laps']]]</f>
        <v>0.45502196870423717</v>
      </c>
      <c r="N200" s="1">
        <f>intermediate_results[[#This Row], [Team1 laps '[laps']]] - intermediate_results[[#This Row], [Team4 laps '[laps']]]</f>
        <v>0.85769593245145614</v>
      </c>
      <c r="O200" s="1">
        <f>intermediate_results[[#This Row], [Team1 laps '[laps']]] - intermediate_results[[#This Row], [Team5 laps '[laps']]]</f>
        <v>0.92180822756153802</v>
      </c>
      <c r="P200" s="1">
        <f>intermediate_results[[#This Row], [Team1 laps '[laps']]] - intermediate_results[[#This Row], [Team6 laps '[laps']]]</f>
        <v>1.2059236536438576</v>
      </c>
      <c r="Q200" s="1">
        <f>intermediate_results[[#This Row], [Team1 laps '[laps']]] - intermediate_results[[#This Row], [Team7 laps '[laps']]]</f>
        <v>0.85070290970772788</v>
      </c>
      <c r="R200" s="1">
        <f>intermediate_results[[#This Row], [Team1 laps '[laps']]] - intermediate_results[[#This Row], [Team8 laps '[laps']]]</f>
        <v>1.5595884466829659</v>
      </c>
      <c r="S200" s="1">
        <f>intermediate_results[[#This Row], [Team1 laps '[laps']]] - intermediate_results[[#This Row], [Team9 laps '[laps']]]</f>
        <v>1.5050175254446607</v>
      </c>
      <c r="T200" s="1">
        <f>MAX(intermediate_results[[#This Row], [Team1 laps '[laps']]:[Team9 laps '[laps']]]) - intermediate_results[[#This Row], [Team1 laps '[laps']]]</f>
        <v>0</v>
      </c>
      <c r="U200" s="1">
        <f>MAX(intermediate_results[[#This Row], [Team1 laps '[laps']]:[Team9 laps '[laps']]]) - intermediate_results[[#This Row], [Team2 laps '[laps']]]</f>
        <v>0.16619621112847938</v>
      </c>
      <c r="V200" s="1">
        <f>MAX(intermediate_results[[#This Row], [Team1 laps '[laps']]:[Team9 laps '[laps']]]) - intermediate_results[[#This Row], [Team3 laps '[laps']]]</f>
        <v>0.45502196870423717</v>
      </c>
      <c r="W200" s="1">
        <f>MAX(intermediate_results[[#This Row], [Team1 laps '[laps']]:[Team9 laps '[laps']]]) - intermediate_results[[#This Row], [Team4 laps '[laps']]]</f>
        <v>0.85769593245145614</v>
      </c>
      <c r="X200" s="1">
        <f>MAX(intermediate_results[[#This Row], [Team1 laps '[laps']]:[Team9 laps '[laps']]]) - intermediate_results[[#This Row], [Team5 laps '[laps']]]</f>
        <v>0.92180822756153802</v>
      </c>
      <c r="Y200" s="1">
        <f>MAX(intermediate_results[[#This Row], [Team1 laps '[laps']]:[Team9 laps '[laps']]]) - intermediate_results[[#This Row], [Team6 laps '[laps']]]</f>
        <v>1.2059236536438576</v>
      </c>
      <c r="Z200" s="1">
        <f>MAX(intermediate_results[[#This Row], [Team1 laps '[laps']]:[Team9 laps '[laps']]]) - intermediate_results[[#This Row], [Team7 laps '[laps']]]</f>
        <v>0.85070290970772788</v>
      </c>
      <c r="AA200" s="1">
        <f>MAX(intermediate_results[[#This Row], [Team1 laps '[laps']]:[Team9 laps '[laps']]]) - intermediate_results[[#This Row], [Team8 laps '[laps']]]</f>
        <v>1.5595884466829659</v>
      </c>
      <c r="AB200" s="1">
        <f>MAX(intermediate_results[[#This Row], [Team1 laps '[laps']]:[Team9 laps '[laps']]]) - intermediate_results[[#This Row], [Team9 laps '[laps']]]</f>
        <v>1.5050175254446607</v>
      </c>
      <c r="AC200" s="1">
        <f>9 * intermediate_results[[#This Row], [All cumulative times '[sec']]] / SUM(intermediate_results[[#This Row], [Team1 laps '[laps']]:[Team9 laps '[laps']]])</f>
        <v>54.672725376698416</v>
      </c>
      <c r="AD200" s="1">
        <f>intermediate_results[[#This Row], [All cumulative times '[sec']]] / intermediate_results[[#This Row], [Team1 laps '[laps']]] - intermediate_results[[#This Row], [Total running average '[sec']]]</f>
        <v>-1.9481531443613207</v>
      </c>
      <c r="AE200" s="1">
        <f>intermediate_results[[#This Row], [All cumulative times '[sec']]] / intermediate_results[[#This Row], [Team2 laps '[laps']]] - intermediate_results[[#This Row], [Total running average '[sec']]]</f>
        <v>-1.5718944085367497</v>
      </c>
      <c r="AF200" s="1">
        <f>intermediate_results[[#This Row], [All cumulative times '[sec']]] / intermediate_results[[#This Row], [Team3 laps '[laps']]] - intermediate_results[[#This Row], [Total running average '[sec']]]</f>
        <v>-0.90507320278537406</v>
      </c>
      <c r="AG200" s="1">
        <f>intermediate_results[[#This Row], [All cumulative times '[sec']]] / intermediate_results[[#This Row], [Team4 laps '[laps']]] - intermediate_results[[#This Row], [Total running average '[sec']]]</f>
        <v>5.3041646180247426E-2</v>
      </c>
      <c r="AH200" s="1">
        <f>intermediate_results[[#This Row], [All cumulative times '[sec']]] / intermediate_results[[#This Row], [Team5 laps '[laps']]] - intermediate_results[[#This Row], [Total running average '[sec']]]</f>
        <v>0.20874933021513442</v>
      </c>
      <c r="AI200" s="1">
        <f>intermediate_results[[#This Row], [All cumulative times '[sec']]] / intermediate_results[[#This Row], [Team6 laps '[laps']]] - intermediate_results[[#This Row], [Total running average '[sec']]]</f>
        <v>0.90957204894195343</v>
      </c>
      <c r="AJ200" s="1">
        <f>intermediate_results[[#This Row], [All cumulative times '[sec']]] / intermediate_results[[#This Row], [Team7 laps '[laps']]] - intermediate_results[[#This Row], [Total running average '[sec']]]</f>
        <v>3.6111318287595395E-2</v>
      </c>
      <c r="AK200" s="1">
        <f>intermediate_results[[#This Row], [All cumulative times '[sec']]] / intermediate_results[[#This Row], [Team8 laps '[laps']]] - intermediate_results[[#This Row], [Total running average '[sec']]]</f>
        <v>1.8073620696742054</v>
      </c>
      <c r="AL200" s="1">
        <f>intermediate_results[[#This Row], [All cumulative times '[sec']]] / intermediate_results[[#This Row], [Team9 laps '[laps']]] - intermediate_results[[#This Row], [Total running average '[sec']]]</f>
        <v>1.6669443120589023</v>
      </c>
    </row>
    <row r="201" spans="1:38" x14ac:dyDescent="0.25">
      <c r="A201" s="1">
        <v>1239.4690000000001</v>
      </c>
      <c r="B201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23.50923070993603</v>
      </c>
      <c r="C201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23.342102272727274</v>
      </c>
      <c r="D201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23.052926677830254</v>
      </c>
      <c r="E201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22.648987162770201</v>
      </c>
      <c r="F201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22.583675665979008</v>
      </c>
      <c r="G201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22.299574727700119</v>
      </c>
      <c r="H201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22.656019114133436</v>
      </c>
      <c r="I201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21.943980394864017</v>
      </c>
      <c r="J201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22</v>
      </c>
      <c r="K201" s="1">
        <f>intermediate_results[[#This Row], [Team1 laps '[laps']]] - intermediate_results[[#This Row], [Team1 laps '[laps']]]</f>
        <v>0</v>
      </c>
      <c r="L201" s="1">
        <f>intermediate_results[[#This Row], [Team1 laps '[laps']]] - intermediate_results[[#This Row], [Team2 laps '[laps']]]</f>
        <v>0.16712843720875625</v>
      </c>
      <c r="M201" s="1">
        <f>intermediate_results[[#This Row], [Team1 laps '[laps']]] - intermediate_results[[#This Row], [Team3 laps '[laps']]]</f>
        <v>0.45630403210577697</v>
      </c>
      <c r="N201" s="1">
        <f>intermediate_results[[#This Row], [Team1 laps '[laps']]] - intermediate_results[[#This Row], [Team4 laps '[laps']]]</f>
        <v>0.86024354716582963</v>
      </c>
      <c r="O201" s="1">
        <f>intermediate_results[[#This Row], [Team1 laps '[laps']]] - intermediate_results[[#This Row], [Team5 laps '[laps']]]</f>
        <v>0.92555504395702215</v>
      </c>
      <c r="P201" s="1">
        <f>intermediate_results[[#This Row], [Team1 laps '[laps']]] - intermediate_results[[#This Row], [Team6 laps '[laps']]]</f>
        <v>1.2096559822359119</v>
      </c>
      <c r="Q201" s="1">
        <f>intermediate_results[[#This Row], [Team1 laps '[laps']]] - intermediate_results[[#This Row], [Team7 laps '[laps']]]</f>
        <v>0.85321159580259476</v>
      </c>
      <c r="R201" s="1">
        <f>intermediate_results[[#This Row], [Team1 laps '[laps']]] - intermediate_results[[#This Row], [Team8 laps '[laps']]]</f>
        <v>1.5652503150720136</v>
      </c>
      <c r="S201" s="1">
        <f>intermediate_results[[#This Row], [Team1 laps '[laps']]] - intermediate_results[[#This Row], [Team9 laps '[laps']]]</f>
        <v>1.5092307099360305</v>
      </c>
      <c r="T201" s="1">
        <f>MAX(intermediate_results[[#This Row], [Team1 laps '[laps']]:[Team9 laps '[laps']]]) - intermediate_results[[#This Row], [Team1 laps '[laps']]]</f>
        <v>0</v>
      </c>
      <c r="U201" s="1">
        <f>MAX(intermediate_results[[#This Row], [Team1 laps '[laps']]:[Team9 laps '[laps']]]) - intermediate_results[[#This Row], [Team2 laps '[laps']]]</f>
        <v>0.16712843720875625</v>
      </c>
      <c r="V201" s="1">
        <f>MAX(intermediate_results[[#This Row], [Team1 laps '[laps']]:[Team9 laps '[laps']]]) - intermediate_results[[#This Row], [Team3 laps '[laps']]]</f>
        <v>0.45630403210577697</v>
      </c>
      <c r="W201" s="1">
        <f>MAX(intermediate_results[[#This Row], [Team1 laps '[laps']]:[Team9 laps '[laps']]]) - intermediate_results[[#This Row], [Team4 laps '[laps']]]</f>
        <v>0.86024354716582963</v>
      </c>
      <c r="X201" s="1">
        <f>MAX(intermediate_results[[#This Row], [Team1 laps '[laps']]:[Team9 laps '[laps']]]) - intermediate_results[[#This Row], [Team5 laps '[laps']]]</f>
        <v>0.92555504395702215</v>
      </c>
      <c r="Y201" s="1">
        <f>MAX(intermediate_results[[#This Row], [Team1 laps '[laps']]:[Team9 laps '[laps']]]) - intermediate_results[[#This Row], [Team6 laps '[laps']]]</f>
        <v>1.2096559822359119</v>
      </c>
      <c r="Z201" s="1">
        <f>MAX(intermediate_results[[#This Row], [Team1 laps '[laps']]:[Team9 laps '[laps']]]) - intermediate_results[[#This Row], [Team7 laps '[laps']]]</f>
        <v>0.85321159580259476</v>
      </c>
      <c r="AA201" s="1">
        <f>MAX(intermediate_results[[#This Row], [Team1 laps '[laps']]:[Team9 laps '[laps']]]) - intermediate_results[[#This Row], [Team8 laps '[laps']]]</f>
        <v>1.5652503150720136</v>
      </c>
      <c r="AB201" s="1">
        <f>MAX(intermediate_results[[#This Row], [Team1 laps '[laps']]:[Team9 laps '[laps']]]) - intermediate_results[[#This Row], [Team9 laps '[laps']]]</f>
        <v>1.5092307099360305</v>
      </c>
      <c r="AC201" s="1">
        <f>9 * intermediate_results[[#This Row], [All cumulative times '[sec']]] / SUM(intermediate_results[[#This Row], [Team1 laps '[laps']]:[Team9 laps '[laps']]])</f>
        <v>54.672674639104279</v>
      </c>
      <c r="AD201" s="1">
        <f>intermediate_results[[#This Row], [All cumulative times '[sec']]] / intermediate_results[[#This Row], [Team1 laps '[laps']]] - intermediate_results[[#This Row], [Total running average '[sec']]]</f>
        <v>-1.9500221927974692</v>
      </c>
      <c r="AE201" s="1">
        <f>intermediate_results[[#This Row], [All cumulative times '[sec']]] / intermediate_results[[#This Row], [Team2 laps '[laps']]] - intermediate_results[[#This Row], [Total running average '[sec']]]</f>
        <v>-1.5725302940002095</v>
      </c>
      <c r="AF201" s="1">
        <f>intermediate_results[[#This Row], [All cumulative times '[sec']]] / intermediate_results[[#This Row], [Team3 laps '[laps']]] - intermediate_results[[#This Row], [Total running average '[sec']]]</f>
        <v>-0.90644281431893603</v>
      </c>
      <c r="AG201" s="1">
        <f>intermediate_results[[#This Row], [All cumulative times '[sec']]] / intermediate_results[[#This Row], [Team4 laps '[laps']]] - intermediate_results[[#This Row], [Total running average '[sec']]]</f>
        <v>5.2465654913198989E-2</v>
      </c>
      <c r="AH201" s="1">
        <f>intermediate_results[[#This Row], [All cumulative times '[sec']]] / intermediate_results[[#This Row], [Team5 laps '[laps']]] - intermediate_results[[#This Row], [Total running average '[sec']]]</f>
        <v>0.21072956542863608</v>
      </c>
      <c r="AI201" s="1">
        <f>intermediate_results[[#This Row], [All cumulative times '[sec']]] / intermediate_results[[#This Row], [Team6 laps '[laps']]] - intermediate_results[[#This Row], [Total running average '[sec']]]</f>
        <v>0.90995485653155583</v>
      </c>
      <c r="AJ201" s="1">
        <f>intermediate_results[[#This Row], [All cumulative times '[sec']]] / intermediate_results[[#This Row], [Team7 laps '[laps']]] - intermediate_results[[#This Row], [Total running average '[sec']]]</f>
        <v>3.5480123476489211E-2</v>
      </c>
      <c r="AK201" s="1">
        <f>intermediate_results[[#This Row], [All cumulative times '[sec']]] / intermediate_results[[#This Row], [Team8 laps '[laps']]] - intermediate_results[[#This Row], [Total running average '[sec']]]</f>
        <v>1.8106514346875784</v>
      </c>
      <c r="AL201" s="1">
        <f>intermediate_results[[#This Row], [All cumulative times '[sec']]] / intermediate_results[[#This Row], [Team9 laps '[laps']]] - intermediate_results[[#This Row], [Total running average '[sec']]]</f>
        <v>1.6668253608957215</v>
      </c>
    </row>
    <row r="202" spans="1:38" x14ac:dyDescent="0.25">
      <c r="A202" s="1">
        <v>1242.714999999999</v>
      </c>
      <c r="B202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23.571783704617271</v>
      </c>
      <c r="C202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23.403579545454527</v>
      </c>
      <c r="D202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23.114000263410393</v>
      </c>
      <c r="E202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22.708600393013885</v>
      </c>
      <c r="F202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22.641905103596713</v>
      </c>
      <c r="G202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22.357820883202621</v>
      </c>
      <c r="H202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22.715677265208587</v>
      </c>
      <c r="I202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21.999999999999993</v>
      </c>
      <c r="J202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22.058402302986668</v>
      </c>
      <c r="K202" s="1">
        <f>intermediate_results[[#This Row], [Team1 laps '[laps']]] - intermediate_results[[#This Row], [Team1 laps '[laps']]]</f>
        <v>0</v>
      </c>
      <c r="L202" s="1">
        <f>intermediate_results[[#This Row], [Team1 laps '[laps']]] - intermediate_results[[#This Row], [Team2 laps '[laps']]]</f>
        <v>0.16820415916274456</v>
      </c>
      <c r="M202" s="1">
        <f>intermediate_results[[#This Row], [Team1 laps '[laps']]] - intermediate_results[[#This Row], [Team3 laps '[laps']]]</f>
        <v>0.45778344120687819</v>
      </c>
      <c r="N202" s="1">
        <f>intermediate_results[[#This Row], [Team1 laps '[laps']]] - intermediate_results[[#This Row], [Team4 laps '[laps']]]</f>
        <v>0.86318331160338602</v>
      </c>
      <c r="O202" s="1">
        <f>intermediate_results[[#This Row], [Team1 laps '[laps']]] - intermediate_results[[#This Row], [Team5 laps '[laps']]]</f>
        <v>0.92987860102055819</v>
      </c>
      <c r="P202" s="1">
        <f>intermediate_results[[#This Row], [Team1 laps '[laps']]] - intermediate_results[[#This Row], [Team6 laps '[laps']]]</f>
        <v>1.2139628214146505</v>
      </c>
      <c r="Q202" s="1">
        <f>intermediate_results[[#This Row], [Team1 laps '[laps']]] - intermediate_results[[#This Row], [Team7 laps '[laps']]]</f>
        <v>0.85610643940868414</v>
      </c>
      <c r="R202" s="1">
        <f>intermediate_results[[#This Row], [Team1 laps '[laps']]] - intermediate_results[[#This Row], [Team8 laps '[laps']]]</f>
        <v>1.5717837046172782</v>
      </c>
      <c r="S202" s="1">
        <f>intermediate_results[[#This Row], [Team1 laps '[laps']]] - intermediate_results[[#This Row], [Team9 laps '[laps']]]</f>
        <v>1.5133814016306033</v>
      </c>
      <c r="T202" s="1">
        <f>MAX(intermediate_results[[#This Row], [Team1 laps '[laps']]:[Team9 laps '[laps']]]) - intermediate_results[[#This Row], [Team1 laps '[laps']]]</f>
        <v>0</v>
      </c>
      <c r="U202" s="1">
        <f>MAX(intermediate_results[[#This Row], [Team1 laps '[laps']]:[Team9 laps '[laps']]]) - intermediate_results[[#This Row], [Team2 laps '[laps']]]</f>
        <v>0.16820415916274456</v>
      </c>
      <c r="V202" s="1">
        <f>MAX(intermediate_results[[#This Row], [Team1 laps '[laps']]:[Team9 laps '[laps']]]) - intermediate_results[[#This Row], [Team3 laps '[laps']]]</f>
        <v>0.45778344120687819</v>
      </c>
      <c r="W202" s="1">
        <f>MAX(intermediate_results[[#This Row], [Team1 laps '[laps']]:[Team9 laps '[laps']]]) - intermediate_results[[#This Row], [Team4 laps '[laps']]]</f>
        <v>0.86318331160338602</v>
      </c>
      <c r="X202" s="1">
        <f>MAX(intermediate_results[[#This Row], [Team1 laps '[laps']]:[Team9 laps '[laps']]]) - intermediate_results[[#This Row], [Team5 laps '[laps']]]</f>
        <v>0.92987860102055819</v>
      </c>
      <c r="Y202" s="1">
        <f>MAX(intermediate_results[[#This Row], [Team1 laps '[laps']]:[Team9 laps '[laps']]]) - intermediate_results[[#This Row], [Team6 laps '[laps']]]</f>
        <v>1.2139628214146505</v>
      </c>
      <c r="Z202" s="1">
        <f>MAX(intermediate_results[[#This Row], [Team1 laps '[laps']]:[Team9 laps '[laps']]]) - intermediate_results[[#This Row], [Team7 laps '[laps']]]</f>
        <v>0.85610643940868414</v>
      </c>
      <c r="AA202" s="1">
        <f>MAX(intermediate_results[[#This Row], [Team1 laps '[laps']]:[Team9 laps '[laps']]]) - intermediate_results[[#This Row], [Team8 laps '[laps']]]</f>
        <v>1.5717837046172782</v>
      </c>
      <c r="AB202" s="1">
        <f>MAX(intermediate_results[[#This Row], [Team1 laps '[laps']]:[Team9 laps '[laps']]]) - intermediate_results[[#This Row], [Team9 laps '[laps']]]</f>
        <v>1.5133814016306033</v>
      </c>
      <c r="AC202" s="1">
        <f>9 * intermediate_results[[#This Row], [All cumulative times '[sec']]] / SUM(intermediate_results[[#This Row], [Team1 laps '[laps']]:[Team9 laps '[laps']]])</f>
        <v>54.672426354044852</v>
      </c>
      <c r="AD202" s="1">
        <f>intermediate_results[[#This Row], [All cumulative times '[sec']]] / intermediate_results[[#This Row], [Team1 laps '[laps']]] - intermediate_results[[#This Row], [Total running average '[sec']]]</f>
        <v>-1.9519782295961932</v>
      </c>
      <c r="AE202" s="1">
        <f>intermediate_results[[#This Row], [All cumulative times '[sec']]] / intermediate_results[[#This Row], [Team2 laps '[laps']]] - intermediate_results[[#This Row], [Total running average '[sec']]]</f>
        <v>-1.5730704377247449</v>
      </c>
      <c r="AF202" s="1">
        <f>intermediate_results[[#This Row], [All cumulative times '[sec']]] / intermediate_results[[#This Row], [Team3 laps '[laps']]] - intermediate_results[[#This Row], [Total running average '[sec']]]</f>
        <v>-0.90782542656175025</v>
      </c>
      <c r="AG202" s="1">
        <f>intermediate_results[[#This Row], [All cumulative times '[sec']]] / intermediate_results[[#This Row], [Team4 laps '[laps']]] - intermediate_results[[#This Row], [Total running average '[sec']]]</f>
        <v>5.1994283622896376E-2</v>
      </c>
      <c r="AH202" s="1">
        <f>intermediate_results[[#This Row], [All cumulative times '[sec']]] / intermediate_results[[#This Row], [Team5 laps '[laps']]] - intermediate_results[[#This Row], [Total running average '[sec']]]</f>
        <v>0.21319366397170825</v>
      </c>
      <c r="AI202" s="1">
        <f>intermediate_results[[#This Row], [All cumulative times '[sec']]] / intermediate_results[[#This Row], [Team6 laps '[laps']]] - intermediate_results[[#This Row], [Total running average '[sec']]]</f>
        <v>0.91058446315191333</v>
      </c>
      <c r="AJ202" s="1">
        <f>intermediate_results[[#This Row], [All cumulative times '[sec']]] / intermediate_results[[#This Row], [Team7 laps '[laps']]] - intermediate_results[[#This Row], [Total running average '[sec']]]</f>
        <v>3.4945365104626092E-2</v>
      </c>
      <c r="AK202" s="1">
        <f>intermediate_results[[#This Row], [All cumulative times '[sec']]] / intermediate_results[[#This Row], [Team8 laps '[laps']]] - intermediate_results[[#This Row], [Total running average '[sec']]]</f>
        <v>1.814619100500579</v>
      </c>
      <c r="AL202" s="1">
        <f>intermediate_results[[#This Row], [All cumulative times '[sec']]] / intermediate_results[[#This Row], [Team9 laps '[laps']]] - intermediate_results[[#This Row], [Total running average '[sec']]]</f>
        <v>1.6650627773297089</v>
      </c>
    </row>
    <row r="203" spans="1:38" x14ac:dyDescent="0.25">
      <c r="A203" s="1">
        <v>1258.1849999999999</v>
      </c>
      <c r="B203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23.869902875202349</v>
      </c>
      <c r="C203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23.696571969696969</v>
      </c>
      <c r="D203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23.405068768932622</v>
      </c>
      <c r="E203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22.992709041156271</v>
      </c>
      <c r="F203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22.919418781953532</v>
      </c>
      <c r="G203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22.635414236752855</v>
      </c>
      <c r="H203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23</v>
      </c>
      <c r="I203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22.278829169820852</v>
      </c>
      <c r="J203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22.33673983447283</v>
      </c>
      <c r="K203" s="1">
        <f>intermediate_results[[#This Row], [Team1 laps '[laps']]] - intermediate_results[[#This Row], [Team1 laps '[laps']]]</f>
        <v>0</v>
      </c>
      <c r="L203" s="1">
        <f>intermediate_results[[#This Row], [Team1 laps '[laps']]] - intermediate_results[[#This Row], [Team2 laps '[laps']]]</f>
        <v>0.17333090550538088</v>
      </c>
      <c r="M203" s="1">
        <f>intermediate_results[[#This Row], [Team1 laps '[laps']]] - intermediate_results[[#This Row], [Team3 laps '[laps']]]</f>
        <v>0.46483410626972699</v>
      </c>
      <c r="N203" s="1">
        <f>intermediate_results[[#This Row], [Team1 laps '[laps']]] - intermediate_results[[#This Row], [Team4 laps '[laps']]]</f>
        <v>0.87719383404607854</v>
      </c>
      <c r="O203" s="1">
        <f>intermediate_results[[#This Row], [Team1 laps '[laps']]] - intermediate_results[[#This Row], [Team5 laps '[laps']]]</f>
        <v>0.95048409324881789</v>
      </c>
      <c r="P203" s="1">
        <f>intermediate_results[[#This Row], [Team1 laps '[laps']]] - intermediate_results[[#This Row], [Team6 laps '[laps']]]</f>
        <v>1.2344886384494949</v>
      </c>
      <c r="Q203" s="1">
        <f>intermediate_results[[#This Row], [Team1 laps '[laps']]] - intermediate_results[[#This Row], [Team7 laps '[laps']]]</f>
        <v>0.86990287520234943</v>
      </c>
      <c r="R203" s="1">
        <f>intermediate_results[[#This Row], [Team1 laps '[laps']]] - intermediate_results[[#This Row], [Team8 laps '[laps']]]</f>
        <v>1.5910737053814969</v>
      </c>
      <c r="S203" s="1">
        <f>intermediate_results[[#This Row], [Team1 laps '[laps']]] - intermediate_results[[#This Row], [Team9 laps '[laps']]]</f>
        <v>1.5331630407295194</v>
      </c>
      <c r="T203" s="1">
        <f>MAX(intermediate_results[[#This Row], [Team1 laps '[laps']]:[Team9 laps '[laps']]]) - intermediate_results[[#This Row], [Team1 laps '[laps']]]</f>
        <v>0</v>
      </c>
      <c r="U203" s="1">
        <f>MAX(intermediate_results[[#This Row], [Team1 laps '[laps']]:[Team9 laps '[laps']]]) - intermediate_results[[#This Row], [Team2 laps '[laps']]]</f>
        <v>0.17333090550538088</v>
      </c>
      <c r="V203" s="1">
        <f>MAX(intermediate_results[[#This Row], [Team1 laps '[laps']]:[Team9 laps '[laps']]]) - intermediate_results[[#This Row], [Team3 laps '[laps']]]</f>
        <v>0.46483410626972699</v>
      </c>
      <c r="W203" s="1">
        <f>MAX(intermediate_results[[#This Row], [Team1 laps '[laps']]:[Team9 laps '[laps']]]) - intermediate_results[[#This Row], [Team4 laps '[laps']]]</f>
        <v>0.87719383404607854</v>
      </c>
      <c r="X203" s="1">
        <f>MAX(intermediate_results[[#This Row], [Team1 laps '[laps']]:[Team9 laps '[laps']]]) - intermediate_results[[#This Row], [Team5 laps '[laps']]]</f>
        <v>0.95048409324881789</v>
      </c>
      <c r="Y203" s="1">
        <f>MAX(intermediate_results[[#This Row], [Team1 laps '[laps']]:[Team9 laps '[laps']]]) - intermediate_results[[#This Row], [Team6 laps '[laps']]]</f>
        <v>1.2344886384494949</v>
      </c>
      <c r="Z203" s="1">
        <f>MAX(intermediate_results[[#This Row], [Team1 laps '[laps']]:[Team9 laps '[laps']]]) - intermediate_results[[#This Row], [Team7 laps '[laps']]]</f>
        <v>0.86990287520234943</v>
      </c>
      <c r="AA203" s="1">
        <f>MAX(intermediate_results[[#This Row], [Team1 laps '[laps']]:[Team9 laps '[laps']]]) - intermediate_results[[#This Row], [Team8 laps '[laps']]]</f>
        <v>1.5910737053814969</v>
      </c>
      <c r="AB203" s="1">
        <f>MAX(intermediate_results[[#This Row], [Team1 laps '[laps']]:[Team9 laps '[laps']]]) - intermediate_results[[#This Row], [Team9 laps '[laps']]]</f>
        <v>1.5331630407295194</v>
      </c>
      <c r="AC203" s="1">
        <f>9 * intermediate_results[[#This Row], [All cumulative times '[sec']]] / SUM(intermediate_results[[#This Row], [Team1 laps '[laps']]:[Team9 laps '[laps']]])</f>
        <v>54.668133720085507</v>
      </c>
      <c r="AD203" s="1">
        <f>intermediate_results[[#This Row], [All cumulative times '[sec']]] / intermediate_results[[#This Row], [Team1 laps '[laps']]] - intermediate_results[[#This Row], [Total running average '[sec']]]</f>
        <v>-1.9580323603063405</v>
      </c>
      <c r="AE203" s="1">
        <f>intermediate_results[[#This Row], [All cumulative times '[sec']]] / intermediate_results[[#This Row], [Team2 laps '[laps']]] - intermediate_results[[#This Row], [Total running average '[sec']]]</f>
        <v>-1.5724791414840453</v>
      </c>
      <c r="AF203" s="1">
        <f>intermediate_results[[#This Row], [All cumulative times '[sec']]] / intermediate_results[[#This Row], [Team3 laps '[laps']]] - intermediate_results[[#This Row], [Total running average '[sec']]]</f>
        <v>-0.91118848649203699</v>
      </c>
      <c r="AG203" s="1">
        <f>intermediate_results[[#This Row], [All cumulative times '[sec']]] / intermediate_results[[#This Row], [Team4 laps '[laps']]] - intermediate_results[[#This Row], [Total running average '[sec']]]</f>
        <v>5.2908404523904551E-2</v>
      </c>
      <c r="AH203" s="1">
        <f>intermediate_results[[#This Row], [All cumulative times '[sec']]] / intermediate_results[[#This Row], [Team5 laps '[laps']]] - intermediate_results[[#This Row], [Total running average '[sec']]]</f>
        <v>0.22789187157039237</v>
      </c>
      <c r="AI203" s="1">
        <f>intermediate_results[[#This Row], [All cumulative times '[sec']]] / intermediate_results[[#This Row], [Team6 laps '[laps']]] - intermediate_results[[#This Row], [Total running average '[sec']]]</f>
        <v>0.91666746093727625</v>
      </c>
      <c r="AJ203" s="1">
        <f>intermediate_results[[#This Row], [All cumulative times '[sec']]] / intermediate_results[[#This Row], [Team7 laps '[laps']]] - intermediate_results[[#This Row], [Total running average '[sec']]]</f>
        <v>3.5561932088405968E-2</v>
      </c>
      <c r="AK203" s="1">
        <f>intermediate_results[[#This Row], [All cumulative times '[sec']]] / intermediate_results[[#This Row], [Team8 laps '[laps']]] - intermediate_results[[#This Row], [Total running average '[sec']]]</f>
        <v>1.8063331564930536</v>
      </c>
      <c r="AL203" s="1">
        <f>intermediate_results[[#This Row], [All cumulative times '[sec']]] / intermediate_results[[#This Row], [Team9 laps '[laps']]] - intermediate_results[[#This Row], [Total running average '[sec']]]</f>
        <v>1.6599163590138915</v>
      </c>
    </row>
    <row r="204" spans="1:38" x14ac:dyDescent="0.25">
      <c r="A204" s="1">
        <v>1258.5820000000001</v>
      </c>
      <c r="B204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23.877553380097133</v>
      </c>
      <c r="C204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23.704090909090912</v>
      </c>
      <c r="D204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23.412538335622497</v>
      </c>
      <c r="E204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23.000000000000004</v>
      </c>
      <c r="F204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22.926540496905549</v>
      </c>
      <c r="G204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22.642537996375317</v>
      </c>
      <c r="H204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23.007392785981644</v>
      </c>
      <c r="I204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22.285984643668229</v>
      </c>
      <c r="J204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22.34388269161569</v>
      </c>
      <c r="K204" s="1">
        <f>intermediate_results[[#This Row], [Team1 laps '[laps']]] - intermediate_results[[#This Row], [Team1 laps '[laps']]]</f>
        <v>0</v>
      </c>
      <c r="L204" s="1">
        <f>intermediate_results[[#This Row], [Team1 laps '[laps']]] - intermediate_results[[#This Row], [Team2 laps '[laps']]]</f>
        <v>0.17346247100622136</v>
      </c>
      <c r="M204" s="1">
        <f>intermediate_results[[#This Row], [Team1 laps '[laps']]] - intermediate_results[[#This Row], [Team3 laps '[laps']]]</f>
        <v>0.4650150444746366</v>
      </c>
      <c r="N204" s="1">
        <f>intermediate_results[[#This Row], [Team1 laps '[laps']]] - intermediate_results[[#This Row], [Team4 laps '[laps']]]</f>
        <v>0.87755338009712958</v>
      </c>
      <c r="O204" s="1">
        <f>intermediate_results[[#This Row], [Team1 laps '[laps']]] - intermediate_results[[#This Row], [Team5 laps '[laps']]]</f>
        <v>0.95101288319158428</v>
      </c>
      <c r="P204" s="1">
        <f>intermediate_results[[#This Row], [Team1 laps '[laps']]] - intermediate_results[[#This Row], [Team6 laps '[laps']]]</f>
        <v>1.2350153837218159</v>
      </c>
      <c r="Q204" s="1">
        <f>intermediate_results[[#This Row], [Team1 laps '[laps']]] - intermediate_results[[#This Row], [Team7 laps '[laps']]]</f>
        <v>0.87016059411548952</v>
      </c>
      <c r="R204" s="1">
        <f>intermediate_results[[#This Row], [Team1 laps '[laps']]] - intermediate_results[[#This Row], [Team8 laps '[laps']]]</f>
        <v>1.5915687364289042</v>
      </c>
      <c r="S204" s="1">
        <f>intermediate_results[[#This Row], [Team1 laps '[laps']]] - intermediate_results[[#This Row], [Team9 laps '[laps']]]</f>
        <v>1.5336706884814433</v>
      </c>
      <c r="T204" s="1">
        <f>MAX(intermediate_results[[#This Row], [Team1 laps '[laps']]:[Team9 laps '[laps']]]) - intermediate_results[[#This Row], [Team1 laps '[laps']]]</f>
        <v>0</v>
      </c>
      <c r="U204" s="1">
        <f>MAX(intermediate_results[[#This Row], [Team1 laps '[laps']]:[Team9 laps '[laps']]]) - intermediate_results[[#This Row], [Team2 laps '[laps']]]</f>
        <v>0.17346247100622136</v>
      </c>
      <c r="V204" s="1">
        <f>MAX(intermediate_results[[#This Row], [Team1 laps '[laps']]:[Team9 laps '[laps']]]) - intermediate_results[[#This Row], [Team3 laps '[laps']]]</f>
        <v>0.4650150444746366</v>
      </c>
      <c r="W204" s="1">
        <f>MAX(intermediate_results[[#This Row], [Team1 laps '[laps']]:[Team9 laps '[laps']]]) - intermediate_results[[#This Row], [Team4 laps '[laps']]]</f>
        <v>0.87755338009712958</v>
      </c>
      <c r="X204" s="1">
        <f>MAX(intermediate_results[[#This Row], [Team1 laps '[laps']]:[Team9 laps '[laps']]]) - intermediate_results[[#This Row], [Team5 laps '[laps']]]</f>
        <v>0.95101288319158428</v>
      </c>
      <c r="Y204" s="1">
        <f>MAX(intermediate_results[[#This Row], [Team1 laps '[laps']]:[Team9 laps '[laps']]]) - intermediate_results[[#This Row], [Team6 laps '[laps']]]</f>
        <v>1.2350153837218159</v>
      </c>
      <c r="Z204" s="1">
        <f>MAX(intermediate_results[[#This Row], [Team1 laps '[laps']]:[Team9 laps '[laps']]]) - intermediate_results[[#This Row], [Team7 laps '[laps']]]</f>
        <v>0.87016059411548952</v>
      </c>
      <c r="AA204" s="1">
        <f>MAX(intermediate_results[[#This Row], [Team1 laps '[laps']]:[Team9 laps '[laps']]]) - intermediate_results[[#This Row], [Team8 laps '[laps']]]</f>
        <v>1.5915687364289042</v>
      </c>
      <c r="AB204" s="1">
        <f>MAX(intermediate_results[[#This Row], [Team1 laps '[laps']]:[Team9 laps '[laps']]]) - intermediate_results[[#This Row], [Team9 laps '[laps']]]</f>
        <v>1.5336706884814433</v>
      </c>
      <c r="AC204" s="1">
        <f>9 * intermediate_results[[#This Row], [All cumulative times '[sec']]] / SUM(intermediate_results[[#This Row], [Team1 laps '[laps']]:[Team9 laps '[laps']]])</f>
        <v>54.667999540960778</v>
      </c>
      <c r="AD204" s="1">
        <f>intermediate_results[[#This Row], [All cumulative times '[sec']]] / intermediate_results[[#This Row], [Team1 laps '[laps']]] - intermediate_results[[#This Row], [Total running average '[sec']]]</f>
        <v>-1.9581603055440979</v>
      </c>
      <c r="AE204" s="1">
        <f>intermediate_results[[#This Row], [All cumulative times '[sec']]] / intermediate_results[[#This Row], [Team2 laps '[laps']]] - intermediate_results[[#This Row], [Total running average '[sec']]]</f>
        <v>-1.5724387440135743</v>
      </c>
      <c r="AF204" s="1">
        <f>intermediate_results[[#This Row], [All cumulative times '[sec']]] / intermediate_results[[#This Row], [Team3 laps '[laps']]] - intermediate_results[[#This Row], [Total running average '[sec']]]</f>
        <v>-0.91124826700555417</v>
      </c>
      <c r="AG204" s="1">
        <f>intermediate_results[[#This Row], [All cumulative times '[sec']]] / intermediate_results[[#This Row], [Team4 laps '[laps']]] - intermediate_results[[#This Row], [Total running average '[sec']]]</f>
        <v>5.2956980778347429E-2</v>
      </c>
      <c r="AH204" s="1">
        <f>intermediate_results[[#This Row], [All cumulative times '[sec']]] / intermediate_results[[#This Row], [Team5 laps '[laps']]] - intermediate_results[[#This Row], [Total running average '[sec']]]</f>
        <v>0.22828976923296551</v>
      </c>
      <c r="AI204" s="1">
        <f>intermediate_results[[#This Row], [All cumulative times '[sec']]] / intermediate_results[[#This Row], [Team6 laps '[laps']]] - intermediate_results[[#This Row], [Total running average '[sec']]]</f>
        <v>0.91684700766718663</v>
      </c>
      <c r="AJ204" s="1">
        <f>intermediate_results[[#This Row], [All cumulative times '[sec']]] / intermediate_results[[#This Row], [Team7 laps '[laps']]] - intermediate_results[[#This Row], [Total running average '[sec']]]</f>
        <v>3.5373922843930927E-2</v>
      </c>
      <c r="AK204" s="1">
        <f>intermediate_results[[#This Row], [All cumulative times '[sec']]] / intermediate_results[[#This Row], [Team8 laps '[laps']]] - intermediate_results[[#This Row], [Total running average '[sec']]]</f>
        <v>1.8061486792562462</v>
      </c>
      <c r="AL204" s="1">
        <f>intermediate_results[[#This Row], [All cumulative times '[sec']]] / intermediate_results[[#This Row], [Team9 laps '[laps']]] - intermediate_results[[#This Row], [Total running average '[sec']]]</f>
        <v>1.6598114026703357</v>
      </c>
    </row>
    <row r="205" spans="1:38" x14ac:dyDescent="0.25">
      <c r="A205" s="1">
        <v>1262.6769999999999</v>
      </c>
      <c r="B205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23.956467278193177</v>
      </c>
      <c r="C205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23.781647727272727</v>
      </c>
      <c r="D205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23.489585881201904</v>
      </c>
      <c r="E205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23.076549210206561</v>
      </c>
      <c r="F205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22.999999999999993</v>
      </c>
      <c r="G205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22.716018589962136</v>
      </c>
      <c r="H205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23.083648349192753</v>
      </c>
      <c r="I205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22.359792365091391</v>
      </c>
      <c r="J205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22.417560273479666</v>
      </c>
      <c r="K205" s="1">
        <f>intermediate_results[[#This Row], [Team1 laps '[laps']]] - intermediate_results[[#This Row], [Team1 laps '[laps']]]</f>
        <v>0</v>
      </c>
      <c r="L205" s="1">
        <f>intermediate_results[[#This Row], [Team1 laps '[laps']]] - intermediate_results[[#This Row], [Team2 laps '[laps']]]</f>
        <v>0.17481955092044998</v>
      </c>
      <c r="M205" s="1">
        <f>intermediate_results[[#This Row], [Team1 laps '[laps']]] - intermediate_results[[#This Row], [Team3 laps '[laps']]]</f>
        <v>0.46688139699127262</v>
      </c>
      <c r="N205" s="1">
        <f>intermediate_results[[#This Row], [Team1 laps '[laps']]] - intermediate_results[[#This Row], [Team4 laps '[laps']]]</f>
        <v>0.87991806798661543</v>
      </c>
      <c r="O205" s="1">
        <f>intermediate_results[[#This Row], [Team1 laps '[laps']]] - intermediate_results[[#This Row], [Team5 laps '[laps']]]</f>
        <v>0.956467278193184</v>
      </c>
      <c r="P205" s="1">
        <f>intermediate_results[[#This Row], [Team1 laps '[laps']]] - intermediate_results[[#This Row], [Team6 laps '[laps']]]</f>
        <v>1.2404486882310408</v>
      </c>
      <c r="Q205" s="1">
        <f>intermediate_results[[#This Row], [Team1 laps '[laps']]] - intermediate_results[[#This Row], [Team7 laps '[laps']]]</f>
        <v>0.87281892900042379</v>
      </c>
      <c r="R205" s="1">
        <f>intermediate_results[[#This Row], [Team1 laps '[laps']]] - intermediate_results[[#This Row], [Team8 laps '[laps']]]</f>
        <v>1.5966749131017863</v>
      </c>
      <c r="S205" s="1">
        <f>intermediate_results[[#This Row], [Team1 laps '[laps']]] - intermediate_results[[#This Row], [Team9 laps '[laps']]]</f>
        <v>1.5389070047135114</v>
      </c>
      <c r="T205" s="1">
        <f>MAX(intermediate_results[[#This Row], [Team1 laps '[laps']]:[Team9 laps '[laps']]]) - intermediate_results[[#This Row], [Team1 laps '[laps']]]</f>
        <v>0</v>
      </c>
      <c r="U205" s="1">
        <f>MAX(intermediate_results[[#This Row], [Team1 laps '[laps']]:[Team9 laps '[laps']]]) - intermediate_results[[#This Row], [Team2 laps '[laps']]]</f>
        <v>0.17481955092044998</v>
      </c>
      <c r="V205" s="1">
        <f>MAX(intermediate_results[[#This Row], [Team1 laps '[laps']]:[Team9 laps '[laps']]]) - intermediate_results[[#This Row], [Team3 laps '[laps']]]</f>
        <v>0.46688139699127262</v>
      </c>
      <c r="W205" s="1">
        <f>MAX(intermediate_results[[#This Row], [Team1 laps '[laps']]:[Team9 laps '[laps']]]) - intermediate_results[[#This Row], [Team4 laps '[laps']]]</f>
        <v>0.87991806798661543</v>
      </c>
      <c r="X205" s="1">
        <f>MAX(intermediate_results[[#This Row], [Team1 laps '[laps']]:[Team9 laps '[laps']]]) - intermediate_results[[#This Row], [Team5 laps '[laps']]]</f>
        <v>0.956467278193184</v>
      </c>
      <c r="Y205" s="1">
        <f>MAX(intermediate_results[[#This Row], [Team1 laps '[laps']]:[Team9 laps '[laps']]]) - intermediate_results[[#This Row], [Team6 laps '[laps']]]</f>
        <v>1.2404486882310408</v>
      </c>
      <c r="Z205" s="1">
        <f>MAX(intermediate_results[[#This Row], [Team1 laps '[laps']]:[Team9 laps '[laps']]]) - intermediate_results[[#This Row], [Team7 laps '[laps']]]</f>
        <v>0.87281892900042379</v>
      </c>
      <c r="AA205" s="1">
        <f>MAX(intermediate_results[[#This Row], [Team1 laps '[laps']]:[Team9 laps '[laps']]]) - intermediate_results[[#This Row], [Team8 laps '[laps']]]</f>
        <v>1.5966749131017863</v>
      </c>
      <c r="AB205" s="1">
        <f>MAX(intermediate_results[[#This Row], [Team1 laps '[laps']]:[Team9 laps '[laps']]]) - intermediate_results[[#This Row], [Team9 laps '[laps']]]</f>
        <v>1.5389070047135114</v>
      </c>
      <c r="AC205" s="1">
        <f>9 * intermediate_results[[#This Row], [All cumulative times '[sec']]] / SUM(intermediate_results[[#This Row], [Team1 laps '[laps']]:[Team9 laps '[laps']]])</f>
        <v>54.66626703689267</v>
      </c>
      <c r="AD205" s="1">
        <f>intermediate_results[[#This Row], [All cumulative times '[sec']]] / intermediate_results[[#This Row], [Team1 laps '[laps']]] - intermediate_results[[#This Row], [Total running average '[sec']]]</f>
        <v>-1.9591218081228448</v>
      </c>
      <c r="AE205" s="1">
        <f>intermediate_results[[#This Row], [All cumulative times '[sec']]] / intermediate_results[[#This Row], [Team2 laps '[laps']]] - intermediate_results[[#This Row], [Total running average '[sec']]]</f>
        <v>-1.5716701241663316</v>
      </c>
      <c r="AF205" s="1">
        <f>intermediate_results[[#This Row], [All cumulative times '[sec']]] / intermediate_results[[#This Row], [Team3 laps '[laps']]] - intermediate_results[[#This Row], [Total running average '[sec']]]</f>
        <v>-0.91150923120112992</v>
      </c>
      <c r="AG205" s="1">
        <f>intermediate_results[[#This Row], [All cumulative times '[sec']]] / intermediate_results[[#This Row], [Team4 laps '[laps']]] - intermediate_results[[#This Row], [Total running average '[sec']]]</f>
        <v>5.0622758810781932E-2</v>
      </c>
      <c r="AH205" s="1">
        <f>intermediate_results[[#This Row], [All cumulative times '[sec']]] / intermediate_results[[#This Row], [Team5 laps '[laps']]] - intermediate_results[[#This Row], [Total running average '[sec']]]</f>
        <v>0.23273296310734537</v>
      </c>
      <c r="AI205" s="1">
        <f>intermediate_results[[#This Row], [All cumulative times '[sec']]] / intermediate_results[[#This Row], [Team6 laps '[laps']]] - intermediate_results[[#This Row], [Total running average '[sec']]]</f>
        <v>0.91904581181039191</v>
      </c>
      <c r="AJ205" s="1">
        <f>intermediate_results[[#This Row], [All cumulative times '[sec']]] / intermediate_results[[#This Row], [Team7 laps '[laps']]] - intermediate_results[[#This Row], [Total running average '[sec']]]</f>
        <v>3.379514128361194E-2</v>
      </c>
      <c r="AK205" s="1">
        <f>intermediate_results[[#This Row], [All cumulative times '[sec']]] / intermediate_results[[#This Row], [Team8 laps '[laps']]] - intermediate_results[[#This Row], [Total running average '[sec']]]</f>
        <v>1.80460618871561</v>
      </c>
      <c r="AL205" s="1">
        <f>intermediate_results[[#This Row], [All cumulative times '[sec']]] / intermediate_results[[#This Row], [Team9 laps '[laps']]] - intermediate_results[[#This Row], [Total running average '[sec']]]</f>
        <v>1.6590861503480951</v>
      </c>
    </row>
    <row r="206" spans="1:38" x14ac:dyDescent="0.25">
      <c r="A206" s="1">
        <v>1264.9359999999999</v>
      </c>
      <c r="B206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24.000000000000004</v>
      </c>
      <c r="C206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23.824431818181818</v>
      </c>
      <c r="D206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23.532089032719334</v>
      </c>
      <c r="E206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23.118777455836995</v>
      </c>
      <c r="F206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23.041694352159464</v>
      </c>
      <c r="G206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22.756554038292446</v>
      </c>
      <c r="H206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23.125714604942178</v>
      </c>
      <c r="I206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22.400508272953399</v>
      </c>
      <c r="J206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22.458204390068367</v>
      </c>
      <c r="K206" s="1">
        <f>intermediate_results[[#This Row], [Team1 laps '[laps']]] - intermediate_results[[#This Row], [Team1 laps '[laps']]]</f>
        <v>0</v>
      </c>
      <c r="L206" s="1">
        <f>intermediate_results[[#This Row], [Team1 laps '[laps']]] - intermediate_results[[#This Row], [Team2 laps '[laps']]]</f>
        <v>0.17556818181818556</v>
      </c>
      <c r="M206" s="1">
        <f>intermediate_results[[#This Row], [Team1 laps '[laps']]] - intermediate_results[[#This Row], [Team3 laps '[laps']]]</f>
        <v>0.46791096728066961</v>
      </c>
      <c r="N206" s="1">
        <f>intermediate_results[[#This Row], [Team1 laps '[laps']]] - intermediate_results[[#This Row], [Team4 laps '[laps']]]</f>
        <v>0.88122254416300905</v>
      </c>
      <c r="O206" s="1">
        <f>intermediate_results[[#This Row], [Team1 laps '[laps']]] - intermediate_results[[#This Row], [Team5 laps '[laps']]]</f>
        <v>0.95830564784053962</v>
      </c>
      <c r="P206" s="1">
        <f>intermediate_results[[#This Row], [Team1 laps '[laps']]] - intermediate_results[[#This Row], [Team6 laps '[laps']]]</f>
        <v>1.2434459617075575</v>
      </c>
      <c r="Q206" s="1">
        <f>intermediate_results[[#This Row], [Team1 laps '[laps']]] - intermediate_results[[#This Row], [Team7 laps '[laps']]]</f>
        <v>0.8742853950578251</v>
      </c>
      <c r="R206" s="1">
        <f>intermediate_results[[#This Row], [Team1 laps '[laps']]] - intermediate_results[[#This Row], [Team8 laps '[laps']]]</f>
        <v>1.5994917270466047</v>
      </c>
      <c r="S206" s="1">
        <f>intermediate_results[[#This Row], [Team1 laps '[laps']]] - intermediate_results[[#This Row], [Team9 laps '[laps']]]</f>
        <v>1.5417956099316363</v>
      </c>
      <c r="T206" s="1">
        <f>MAX(intermediate_results[[#This Row], [Team1 laps '[laps']]:[Team9 laps '[laps']]]) - intermediate_results[[#This Row], [Team1 laps '[laps']]]</f>
        <v>0</v>
      </c>
      <c r="U206" s="1">
        <f>MAX(intermediate_results[[#This Row], [Team1 laps '[laps']]:[Team9 laps '[laps']]]) - intermediate_results[[#This Row], [Team2 laps '[laps']]]</f>
        <v>0.17556818181818556</v>
      </c>
      <c r="V206" s="1">
        <f>MAX(intermediate_results[[#This Row], [Team1 laps '[laps']]:[Team9 laps '[laps']]]) - intermediate_results[[#This Row], [Team3 laps '[laps']]]</f>
        <v>0.46791096728066961</v>
      </c>
      <c r="W206" s="1">
        <f>MAX(intermediate_results[[#This Row], [Team1 laps '[laps']]:[Team9 laps '[laps']]]) - intermediate_results[[#This Row], [Team4 laps '[laps']]]</f>
        <v>0.88122254416300905</v>
      </c>
      <c r="X206" s="1">
        <f>MAX(intermediate_results[[#This Row], [Team1 laps '[laps']]:[Team9 laps '[laps']]]) - intermediate_results[[#This Row], [Team5 laps '[laps']]]</f>
        <v>0.95830564784053962</v>
      </c>
      <c r="Y206" s="1">
        <f>MAX(intermediate_results[[#This Row], [Team1 laps '[laps']]:[Team9 laps '[laps']]]) - intermediate_results[[#This Row], [Team6 laps '[laps']]]</f>
        <v>1.2434459617075575</v>
      </c>
      <c r="Z206" s="1">
        <f>MAX(intermediate_results[[#This Row], [Team1 laps '[laps']]:[Team9 laps '[laps']]]) - intermediate_results[[#This Row], [Team7 laps '[laps']]]</f>
        <v>0.8742853950578251</v>
      </c>
      <c r="AA206" s="1">
        <f>MAX(intermediate_results[[#This Row], [Team1 laps '[laps']]:[Team9 laps '[laps']]]) - intermediate_results[[#This Row], [Team8 laps '[laps']]]</f>
        <v>1.5994917270466047</v>
      </c>
      <c r="AB206" s="1">
        <f>MAX(intermediate_results[[#This Row], [Team1 laps '[laps']]:[Team9 laps '[laps']]]) - intermediate_results[[#This Row], [Team9 laps '[laps']]]</f>
        <v>1.5417956099316363</v>
      </c>
      <c r="AC206" s="1">
        <f>9 * intermediate_results[[#This Row], [All cumulative times '[sec']]] / SUM(intermediate_results[[#This Row], [Team1 laps '[laps']]:[Team9 laps '[laps']]])</f>
        <v>54.665008898554134</v>
      </c>
      <c r="AD206" s="1">
        <f>intermediate_results[[#This Row], [All cumulative times '[sec']]] / intermediate_results[[#This Row], [Team1 laps '[laps']]] - intermediate_results[[#This Row], [Total running average '[sec']]]</f>
        <v>-1.9593422318874758</v>
      </c>
      <c r="AE206" s="1">
        <f>intermediate_results[[#This Row], [All cumulative times '[sec']]] / intermediate_results[[#This Row], [Team2 laps '[laps']]] - intermediate_results[[#This Row], [Total running average '[sec']]]</f>
        <v>-1.5709410251430569</v>
      </c>
      <c r="AF206" s="1">
        <f>intermediate_results[[#This Row], [All cumulative times '[sec']]] / intermediate_results[[#This Row], [Team3 laps '[laps']]] - intermediate_results[[#This Row], [Total running average '[sec']]]</f>
        <v>-0.91134519954229631</v>
      </c>
      <c r="AG206" s="1">
        <f>intermediate_results[[#This Row], [All cumulative times '[sec']]] / intermediate_results[[#This Row], [Team4 laps '[laps']]] - intermediate_results[[#This Row], [Total running average '[sec']]]</f>
        <v>4.9649020376207886E-2</v>
      </c>
      <c r="AH206" s="1">
        <f>intermediate_results[[#This Row], [All cumulative times '[sec']]] / intermediate_results[[#This Row], [Team5 laps '[laps']]] - intermediate_results[[#This Row], [Total running average '[sec']]]</f>
        <v>0.23269005826977462</v>
      </c>
      <c r="AI206" s="1">
        <f>intermediate_results[[#This Row], [All cumulative times '[sec']]] / intermediate_results[[#This Row], [Team6 laps '[laps']]] - intermediate_results[[#This Row], [Total running average '[sec']]]</f>
        <v>0.92055989501155722</v>
      </c>
      <c r="AJ206" s="1">
        <f>intermediate_results[[#This Row], [All cumulative times '[sec']]] / intermediate_results[[#This Row], [Team7 laps '[laps']]] - intermediate_results[[#This Row], [Total running average '[sec']]]</f>
        <v>3.3235960425116673E-2</v>
      </c>
      <c r="AK206" s="1">
        <f>intermediate_results[[#This Row], [All cumulative times '[sec']]] / intermediate_results[[#This Row], [Team8 laps '[laps']]] - intermediate_results[[#This Row], [Total running average '[sec']]]</f>
        <v>1.8040669182342057</v>
      </c>
      <c r="AL206" s="1">
        <f>intermediate_results[[#This Row], [All cumulative times '[sec']]] / intermediate_results[[#This Row], [Team9 laps '[laps']]] - intermediate_results[[#This Row], [Total running average '[sec']]]</f>
        <v>1.6589953731047871</v>
      </c>
    </row>
    <row r="207" spans="1:38" x14ac:dyDescent="0.25">
      <c r="A207" s="1">
        <v>1274.2059999999999</v>
      </c>
      <c r="B207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24.178403033044017</v>
      </c>
      <c r="C207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24</v>
      </c>
      <c r="D207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23.706504355679314</v>
      </c>
      <c r="E207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23.292064678941959</v>
      </c>
      <c r="F207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23.212790697674414</v>
      </c>
      <c r="G207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22.922894722675803</v>
      </c>
      <c r="H207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23.298337088694808</v>
      </c>
      <c r="I207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22.56758948848276</v>
      </c>
      <c r="J207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22.624991003958257</v>
      </c>
      <c r="K207" s="1">
        <f>intermediate_results[[#This Row], [Team1 laps '[laps']]] - intermediate_results[[#This Row], [Team1 laps '[laps']]]</f>
        <v>0</v>
      </c>
      <c r="L207" s="1">
        <f>intermediate_results[[#This Row], [Team1 laps '[laps']]] - intermediate_results[[#This Row], [Team2 laps '[laps']]]</f>
        <v>0.17840303304401672</v>
      </c>
      <c r="M207" s="1">
        <f>intermediate_results[[#This Row], [Team1 laps '[laps']]] - intermediate_results[[#This Row], [Team3 laps '[laps']]]</f>
        <v>0.47189867736470248</v>
      </c>
      <c r="N207" s="1">
        <f>intermediate_results[[#This Row], [Team1 laps '[laps']]] - intermediate_results[[#This Row], [Team4 laps '[laps']]]</f>
        <v>0.88633835410205819</v>
      </c>
      <c r="O207" s="1">
        <f>intermediate_results[[#This Row], [Team1 laps '[laps']]] - intermediate_results[[#This Row], [Team5 laps '[laps']]]</f>
        <v>0.96561233536960245</v>
      </c>
      <c r="P207" s="1">
        <f>intermediate_results[[#This Row], [Team1 laps '[laps']]] - intermediate_results[[#This Row], [Team6 laps '[laps']]]</f>
        <v>1.2555083103682136</v>
      </c>
      <c r="Q207" s="1">
        <f>intermediate_results[[#This Row], [Team1 laps '[laps']]] - intermediate_results[[#This Row], [Team7 laps '[laps']]]</f>
        <v>0.88006594434920871</v>
      </c>
      <c r="R207" s="1">
        <f>intermediate_results[[#This Row], [Team1 laps '[laps']]] - intermediate_results[[#This Row], [Team8 laps '[laps']]]</f>
        <v>1.6108135445612568</v>
      </c>
      <c r="S207" s="1">
        <f>intermediate_results[[#This Row], [Team1 laps '[laps']]] - intermediate_results[[#This Row], [Team9 laps '[laps']]]</f>
        <v>1.5534120290857594</v>
      </c>
      <c r="T207" s="1">
        <f>MAX(intermediate_results[[#This Row], [Team1 laps '[laps']]:[Team9 laps '[laps']]]) - intermediate_results[[#This Row], [Team1 laps '[laps']]]</f>
        <v>0</v>
      </c>
      <c r="U207" s="1">
        <f>MAX(intermediate_results[[#This Row], [Team1 laps '[laps']]:[Team9 laps '[laps']]]) - intermediate_results[[#This Row], [Team2 laps '[laps']]]</f>
        <v>0.17840303304401672</v>
      </c>
      <c r="V207" s="1">
        <f>MAX(intermediate_results[[#This Row], [Team1 laps '[laps']]:[Team9 laps '[laps']]]) - intermediate_results[[#This Row], [Team3 laps '[laps']]]</f>
        <v>0.47189867736470248</v>
      </c>
      <c r="W207" s="1">
        <f>MAX(intermediate_results[[#This Row], [Team1 laps '[laps']]:[Team9 laps '[laps']]]) - intermediate_results[[#This Row], [Team4 laps '[laps']]]</f>
        <v>0.88633835410205819</v>
      </c>
      <c r="X207" s="1">
        <f>MAX(intermediate_results[[#This Row], [Team1 laps '[laps']]:[Team9 laps '[laps']]]) - intermediate_results[[#This Row], [Team5 laps '[laps']]]</f>
        <v>0.96561233536960245</v>
      </c>
      <c r="Y207" s="1">
        <f>MAX(intermediate_results[[#This Row], [Team1 laps '[laps']]:[Team9 laps '[laps']]]) - intermediate_results[[#This Row], [Team6 laps '[laps']]]</f>
        <v>1.2555083103682136</v>
      </c>
      <c r="Z207" s="1">
        <f>MAX(intermediate_results[[#This Row], [Team1 laps '[laps']]:[Team9 laps '[laps']]]) - intermediate_results[[#This Row], [Team7 laps '[laps']]]</f>
        <v>0.88006594434920871</v>
      </c>
      <c r="AA207" s="1">
        <f>MAX(intermediate_results[[#This Row], [Team1 laps '[laps']]:[Team9 laps '[laps']]]) - intermediate_results[[#This Row], [Team8 laps '[laps']]]</f>
        <v>1.6108135445612568</v>
      </c>
      <c r="AB207" s="1">
        <f>MAX(intermediate_results[[#This Row], [Team1 laps '[laps']]:[Team9 laps '[laps']]]) - intermediate_results[[#This Row], [Team9 laps '[laps']]]</f>
        <v>1.5534120290857594</v>
      </c>
      <c r="AC207" s="1">
        <f>9 * intermediate_results[[#This Row], [All cumulative times '[sec']]] / SUM(intermediate_results[[#This Row], [Team1 laps '[laps']]:[Team9 laps '[laps']]])</f>
        <v>54.659955132891284</v>
      </c>
      <c r="AD207" s="1">
        <f>intermediate_results[[#This Row], [All cumulative times '[sec']]] / intermediate_results[[#This Row], [Team1 laps '[laps']]] - intermediate_results[[#This Row], [Total running average '[sec']]]</f>
        <v>-1.959783071958455</v>
      </c>
      <c r="AE207" s="1">
        <f>intermediate_results[[#This Row], [All cumulative times '[sec']]] / intermediate_results[[#This Row], [Team2 laps '[laps']]] - intermediate_results[[#This Row], [Total running average '[sec']]]</f>
        <v>-1.5680384662246212</v>
      </c>
      <c r="AF207" s="1">
        <f>intermediate_results[[#This Row], [All cumulative times '[sec']]] / intermediate_results[[#This Row], [Team3 laps '[laps']]] - intermediate_results[[#This Row], [Total running average '[sec']]]</f>
        <v>-0.91074011229963503</v>
      </c>
      <c r="AG207" s="1">
        <f>intermediate_results[[#This Row], [All cumulative times '[sec']]] / intermediate_results[[#This Row], [Team4 laps '[laps']]] - intermediate_results[[#This Row], [Total running average '[sec']]]</f>
        <v>4.562883159050557E-2</v>
      </c>
      <c r="AH207" s="1">
        <f>intermediate_results[[#This Row], [All cumulative times '[sec']]] / intermediate_results[[#This Row], [Team5 laps '[laps']]] - intermediate_results[[#This Row], [Total running average '[sec']]]</f>
        <v>0.23245382367837664</v>
      </c>
      <c r="AI207" s="1">
        <f>intermediate_results[[#This Row], [All cumulative times '[sec']]] / intermediate_results[[#This Row], [Team6 laps '[laps']]] - intermediate_results[[#This Row], [Total running average '[sec']]]</f>
        <v>0.92665447359654252</v>
      </c>
      <c r="AJ207" s="1">
        <f>intermediate_results[[#This Row], [All cumulative times '[sec']]] / intermediate_results[[#This Row], [Team7 laps '[laps']]] - intermediate_results[[#This Row], [Total running average '[sec']]]</f>
        <v>3.0900920448701186E-2</v>
      </c>
      <c r="AK207" s="1">
        <f>intermediate_results[[#This Row], [All cumulative times '[sec']]] / intermediate_results[[#This Row], [Team8 laps '[laps']]] - intermediate_results[[#This Row], [Total running average '[sec']]]</f>
        <v>1.8018127776905573</v>
      </c>
      <c r="AL207" s="1">
        <f>intermediate_results[[#This Row], [All cumulative times '[sec']]] / intermediate_results[[#This Row], [Team9 laps '[laps']]] - intermediate_results[[#This Row], [Total running average '[sec']]]</f>
        <v>1.6585644977718488</v>
      </c>
    </row>
    <row r="208" spans="1:38" x14ac:dyDescent="0.25">
      <c r="A208" s="1">
        <v>1278.5029999999999</v>
      </c>
      <c r="B208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24.261099670907029</v>
      </c>
      <c r="C208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24.081291738398381</v>
      </c>
      <c r="D208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23.787352537206722</v>
      </c>
      <c r="E208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23.372389942985325</v>
      </c>
      <c r="F208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23.292100406053891</v>
      </c>
      <c r="G208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22.999999999999996</v>
      </c>
      <c r="H208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23.378354220591795</v>
      </c>
      <c r="I208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22.645038030352193</v>
      </c>
      <c r="J208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22.702302986685854</v>
      </c>
      <c r="K208" s="1">
        <f>intermediate_results[[#This Row], [Team1 laps '[laps']]] - intermediate_results[[#This Row], [Team1 laps '[laps']]]</f>
        <v>0</v>
      </c>
      <c r="L208" s="1">
        <f>intermediate_results[[#This Row], [Team1 laps '[laps']]] - intermediate_results[[#This Row], [Team2 laps '[laps']]]</f>
        <v>0.17980793250864835</v>
      </c>
      <c r="M208" s="1">
        <f>intermediate_results[[#This Row], [Team1 laps '[laps']]] - intermediate_results[[#This Row], [Team3 laps '[laps']]]</f>
        <v>0.47374713370030719</v>
      </c>
      <c r="N208" s="1">
        <f>intermediate_results[[#This Row], [Team1 laps '[laps']]] - intermediate_results[[#This Row], [Team4 laps '[laps']]]</f>
        <v>0.88870972792170377</v>
      </c>
      <c r="O208" s="1">
        <f>intermediate_results[[#This Row], [Team1 laps '[laps']]] - intermediate_results[[#This Row], [Team5 laps '[laps']]]</f>
        <v>0.9689992648531387</v>
      </c>
      <c r="P208" s="1">
        <f>intermediate_results[[#This Row], [Team1 laps '[laps']]] - intermediate_results[[#This Row], [Team6 laps '[laps']]]</f>
        <v>1.2610996709070328</v>
      </c>
      <c r="Q208" s="1">
        <f>intermediate_results[[#This Row], [Team1 laps '[laps']]] - intermediate_results[[#This Row], [Team7 laps '[laps']]]</f>
        <v>0.88274545031523388</v>
      </c>
      <c r="R208" s="1">
        <f>intermediate_results[[#This Row], [Team1 laps '[laps']]] - intermediate_results[[#This Row], [Team8 laps '[laps']]]</f>
        <v>1.616061640554836</v>
      </c>
      <c r="S208" s="1">
        <f>intermediate_results[[#This Row], [Team1 laps '[laps']]] - intermediate_results[[#This Row], [Team9 laps '[laps']]]</f>
        <v>1.5587966842211749</v>
      </c>
      <c r="T208" s="1">
        <f>MAX(intermediate_results[[#This Row], [Team1 laps '[laps']]:[Team9 laps '[laps']]]) - intermediate_results[[#This Row], [Team1 laps '[laps']]]</f>
        <v>0</v>
      </c>
      <c r="U208" s="1">
        <f>MAX(intermediate_results[[#This Row], [Team1 laps '[laps']]:[Team9 laps '[laps']]]) - intermediate_results[[#This Row], [Team2 laps '[laps']]]</f>
        <v>0.17980793250864835</v>
      </c>
      <c r="V208" s="1">
        <f>MAX(intermediate_results[[#This Row], [Team1 laps '[laps']]:[Team9 laps '[laps']]]) - intermediate_results[[#This Row], [Team3 laps '[laps']]]</f>
        <v>0.47374713370030719</v>
      </c>
      <c r="W208" s="1">
        <f>MAX(intermediate_results[[#This Row], [Team1 laps '[laps']]:[Team9 laps '[laps']]]) - intermediate_results[[#This Row], [Team4 laps '[laps']]]</f>
        <v>0.88870972792170377</v>
      </c>
      <c r="X208" s="1">
        <f>MAX(intermediate_results[[#This Row], [Team1 laps '[laps']]:[Team9 laps '[laps']]]) - intermediate_results[[#This Row], [Team5 laps '[laps']]]</f>
        <v>0.9689992648531387</v>
      </c>
      <c r="Y208" s="1">
        <f>MAX(intermediate_results[[#This Row], [Team1 laps '[laps']]:[Team9 laps '[laps']]]) - intermediate_results[[#This Row], [Team6 laps '[laps']]]</f>
        <v>1.2610996709070328</v>
      </c>
      <c r="Z208" s="1">
        <f>MAX(intermediate_results[[#This Row], [Team1 laps '[laps']]:[Team9 laps '[laps']]]) - intermediate_results[[#This Row], [Team7 laps '[laps']]]</f>
        <v>0.88274545031523388</v>
      </c>
      <c r="AA208" s="1">
        <f>MAX(intermediate_results[[#This Row], [Team1 laps '[laps']]:[Team9 laps '[laps']]]) - intermediate_results[[#This Row], [Team8 laps '[laps']]]</f>
        <v>1.616061640554836</v>
      </c>
      <c r="AB208" s="1">
        <f>MAX(intermediate_results[[#This Row], [Team1 laps '[laps']]:[Team9 laps '[laps']]]) - intermediate_results[[#This Row], [Team9 laps '[laps']]]</f>
        <v>1.5587966842211749</v>
      </c>
      <c r="AC208" s="1">
        <f>9 * intermediate_results[[#This Row], [All cumulative times '[sec']]] / SUM(intermediate_results[[#This Row], [Team1 laps '[laps']]:[Team9 laps '[laps']]])</f>
        <v>54.657661274707934</v>
      </c>
      <c r="AD208" s="1">
        <f>intermediate_results[[#This Row], [All cumulative times '[sec']]] / intermediate_results[[#This Row], [Team1 laps '[laps']]] - intermediate_results[[#This Row], [Total running average '[sec']]]</f>
        <v>-1.9600087633862344</v>
      </c>
      <c r="AE208" s="1">
        <f>intermediate_results[[#This Row], [All cumulative times '[sec']]] / intermediate_results[[#This Row], [Team2 laps '[laps']]] - intermediate_results[[#This Row], [Total running average '[sec']]]</f>
        <v>-1.5665308698805873</v>
      </c>
      <c r="AF208" s="1">
        <f>intermediate_results[[#This Row], [All cumulative times '[sec']]] / intermediate_results[[#This Row], [Team3 laps '[laps']]] - intermediate_results[[#This Row], [Total running average '[sec']]]</f>
        <v>-0.91048625805807148</v>
      </c>
      <c r="AG208" s="1">
        <f>intermediate_results[[#This Row], [All cumulative times '[sec']]] / intermediate_results[[#This Row], [Team4 laps '[laps']]] - intermediate_results[[#This Row], [Total running average '[sec']]]</f>
        <v>4.3762204824275841E-2</v>
      </c>
      <c r="AH208" s="1">
        <f>intermediate_results[[#This Row], [All cumulative times '[sec']]] / intermediate_results[[#This Row], [Team5 laps '[laps']]] - intermediate_results[[#This Row], [Total running average '[sec']]]</f>
        <v>0.23232192610731062</v>
      </c>
      <c r="AI208" s="1">
        <f>intermediate_results[[#This Row], [All cumulative times '[sec']]] / intermediate_results[[#This Row], [Team6 laps '[laps']]] - intermediate_results[[#This Row], [Total running average '[sec']]]</f>
        <v>0.92942568181381091</v>
      </c>
      <c r="AJ208" s="1">
        <f>intermediate_results[[#This Row], [All cumulative times '[sec']]] / intermediate_results[[#This Row], [Team7 laps '[laps']]] - intermediate_results[[#This Row], [Total running average '[sec']]]</f>
        <v>2.9806796670968083E-2</v>
      </c>
      <c r="AK208" s="1">
        <f>intermediate_results[[#This Row], [All cumulative times '[sec']]] / intermediate_results[[#This Row], [Team8 laps '[laps']]] - intermediate_results[[#This Row], [Total running average '[sec']]]</f>
        <v>1.8007557209430871</v>
      </c>
      <c r="AL208" s="1">
        <f>intermediate_results[[#This Row], [All cumulative times '[sec']]] / intermediate_results[[#This Row], [Team9 laps '[laps']]] - intermediate_results[[#This Row], [Total running average '[sec']]]</f>
        <v>1.6583433504527534</v>
      </c>
    </row>
    <row r="209" spans="1:38" x14ac:dyDescent="0.25">
      <c r="A209" s="1">
        <v>1289.8050000000001</v>
      </c>
      <c r="B209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24.478608956717544</v>
      </c>
      <c r="C209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24.295105847632385</v>
      </c>
      <c r="D209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24.000000000000004</v>
      </c>
      <c r="E209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23.583662024488273</v>
      </c>
      <c r="F209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23.500701365817644</v>
      </c>
      <c r="G209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23.203364822312189</v>
      </c>
      <c r="H209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23.588815850729038</v>
      </c>
      <c r="I209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22.848743736707412</v>
      </c>
      <c r="J209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22.905649514213746</v>
      </c>
      <c r="K209" s="1">
        <f>intermediate_results[[#This Row], [Team1 laps '[laps']]] - intermediate_results[[#This Row], [Team1 laps '[laps']]]</f>
        <v>0</v>
      </c>
      <c r="L209" s="1">
        <f>intermediate_results[[#This Row], [Team1 laps '[laps']]] - intermediate_results[[#This Row], [Team2 laps '[laps']]]</f>
        <v>0.18350310908515866</v>
      </c>
      <c r="M209" s="1">
        <f>intermediate_results[[#This Row], [Team1 laps '[laps']]] - intermediate_results[[#This Row], [Team3 laps '[laps']]]</f>
        <v>0.47860895671754022</v>
      </c>
      <c r="N209" s="1">
        <f>intermediate_results[[#This Row], [Team1 laps '[laps']]] - intermediate_results[[#This Row], [Team4 laps '[laps']]]</f>
        <v>0.89494693222927069</v>
      </c>
      <c r="O209" s="1">
        <f>intermediate_results[[#This Row], [Team1 laps '[laps']]] - intermediate_results[[#This Row], [Team5 laps '[laps']]]</f>
        <v>0.97790759089989976</v>
      </c>
      <c r="P209" s="1">
        <f>intermediate_results[[#This Row], [Team1 laps '[laps']]] - intermediate_results[[#This Row], [Team6 laps '[laps']]]</f>
        <v>1.2752441344053551</v>
      </c>
      <c r="Q209" s="1">
        <f>intermediate_results[[#This Row], [Team1 laps '[laps']]] - intermediate_results[[#This Row], [Team7 laps '[laps']]]</f>
        <v>0.88979310598850603</v>
      </c>
      <c r="R209" s="1">
        <f>intermediate_results[[#This Row], [Team1 laps '[laps']]] - intermediate_results[[#This Row], [Team8 laps '[laps']]]</f>
        <v>1.6298652200101316</v>
      </c>
      <c r="S209" s="1">
        <f>intermediate_results[[#This Row], [Team1 laps '[laps']]] - intermediate_results[[#This Row], [Team9 laps '[laps']]]</f>
        <v>1.572959442503798</v>
      </c>
      <c r="T209" s="1">
        <f>MAX(intermediate_results[[#This Row], [Team1 laps '[laps']]:[Team9 laps '[laps']]]) - intermediate_results[[#This Row], [Team1 laps '[laps']]]</f>
        <v>0</v>
      </c>
      <c r="U209" s="1">
        <f>MAX(intermediate_results[[#This Row], [Team1 laps '[laps']]:[Team9 laps '[laps']]]) - intermediate_results[[#This Row], [Team2 laps '[laps']]]</f>
        <v>0.18350310908515866</v>
      </c>
      <c r="V209" s="1">
        <f>MAX(intermediate_results[[#This Row], [Team1 laps '[laps']]:[Team9 laps '[laps']]]) - intermediate_results[[#This Row], [Team3 laps '[laps']]]</f>
        <v>0.47860895671754022</v>
      </c>
      <c r="W209" s="1">
        <f>MAX(intermediate_results[[#This Row], [Team1 laps '[laps']]:[Team9 laps '[laps']]]) - intermediate_results[[#This Row], [Team4 laps '[laps']]]</f>
        <v>0.89494693222927069</v>
      </c>
      <c r="X209" s="1">
        <f>MAX(intermediate_results[[#This Row], [Team1 laps '[laps']]:[Team9 laps '[laps']]]) - intermediate_results[[#This Row], [Team5 laps '[laps']]]</f>
        <v>0.97790759089989976</v>
      </c>
      <c r="Y209" s="1">
        <f>MAX(intermediate_results[[#This Row], [Team1 laps '[laps']]:[Team9 laps '[laps']]]) - intermediate_results[[#This Row], [Team6 laps '[laps']]]</f>
        <v>1.2752441344053551</v>
      </c>
      <c r="Z209" s="1">
        <f>MAX(intermediate_results[[#This Row], [Team1 laps '[laps']]:[Team9 laps '[laps']]]) - intermediate_results[[#This Row], [Team7 laps '[laps']]]</f>
        <v>0.88979310598850603</v>
      </c>
      <c r="AA209" s="1">
        <f>MAX(intermediate_results[[#This Row], [Team1 laps '[laps']]:[Team9 laps '[laps']]]) - intermediate_results[[#This Row], [Team8 laps '[laps']]]</f>
        <v>1.6298652200101316</v>
      </c>
      <c r="AB209" s="1">
        <f>MAX(intermediate_results[[#This Row], [Team1 laps '[laps']]:[Team9 laps '[laps']]]) - intermediate_results[[#This Row], [Team9 laps '[laps']]]</f>
        <v>1.572959442503798</v>
      </c>
      <c r="AC209" s="1">
        <f>9 * intermediate_results[[#This Row], [All cumulative times '[sec']]] / SUM(intermediate_results[[#This Row], [Team1 laps '[laps']]:[Team9 laps '[laps']]])</f>
        <v>54.651557224449725</v>
      </c>
      <c r="AD209" s="1">
        <f>intermediate_results[[#This Row], [All cumulative times '[sec']]] / intermediate_results[[#This Row], [Team1 laps '[laps']]] - intermediate_results[[#This Row], [Total running average '[sec']]]</f>
        <v>-1.9604503776268274</v>
      </c>
      <c r="AE209" s="1">
        <f>intermediate_results[[#This Row], [All cumulative times '[sec']]] / intermediate_results[[#This Row], [Team2 laps '[laps']]] - intermediate_results[[#This Row], [Total running average '[sec']]]</f>
        <v>-1.5624697313119</v>
      </c>
      <c r="AF209" s="1">
        <f>intermediate_results[[#This Row], [All cumulative times '[sec']]] / intermediate_results[[#This Row], [Team3 laps '[laps']]] - intermediate_results[[#This Row], [Total running average '[sec']]]</f>
        <v>-0.90968222444973179</v>
      </c>
      <c r="AG209" s="1">
        <f>intermediate_results[[#This Row], [All cumulative times '[sec']]] / intermediate_results[[#This Row], [Team4 laps '[laps']]] - intermediate_results[[#This Row], [Total running average '[sec']]]</f>
        <v>3.9058620567104185E-2</v>
      </c>
      <c r="AH209" s="1">
        <f>intermediate_results[[#This Row], [All cumulative times '[sec']]] / intermediate_results[[#This Row], [Team5 laps '[laps']]] - intermediate_results[[#This Row], [Total running average '[sec']]]</f>
        <v>0.23212390159758201</v>
      </c>
      <c r="AI209" s="1">
        <f>intermediate_results[[#This Row], [All cumulative times '[sec']]] / intermediate_results[[#This Row], [Team6 laps '[laps']]] - intermediate_results[[#This Row], [Total running average '[sec']]]</f>
        <v>0.93542379649827723</v>
      </c>
      <c r="AJ209" s="1">
        <f>intermediate_results[[#This Row], [All cumulative times '[sec']]] / intermediate_results[[#This Row], [Team7 laps '[laps']]] - intermediate_results[[#This Row], [Total running average '[sec']]]</f>
        <v>2.7109486161663199E-2</v>
      </c>
      <c r="AK209" s="1">
        <f>intermediate_results[[#This Row], [All cumulative times '[sec']]] / intermediate_results[[#This Row], [Team8 laps '[laps']]] - intermediate_results[[#This Row], [Total running average '[sec']]]</f>
        <v>1.7981546224155025</v>
      </c>
      <c r="AL209" s="1">
        <f>intermediate_results[[#This Row], [All cumulative times '[sec']]] / intermediate_results[[#This Row], [Team9 laps '[laps']]] - intermediate_results[[#This Row], [Total running average '[sec']]]</f>
        <v>1.6579134674698182</v>
      </c>
    </row>
    <row r="210" spans="1:38" x14ac:dyDescent="0.25">
      <c r="A210" s="1">
        <v>1295.049</v>
      </c>
      <c r="B210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24.57953080194762</v>
      </c>
      <c r="C210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24.394313172780418</v>
      </c>
      <c r="D210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24.097976570820023</v>
      </c>
      <c r="E210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23.681689877558654</v>
      </c>
      <c r="F210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23.597489848652636</v>
      </c>
      <c r="G210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23.297723796671161</v>
      </c>
      <c r="H210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23.686467663544441</v>
      </c>
      <c r="I210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22.943260877401688</v>
      </c>
      <c r="J210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23</v>
      </c>
      <c r="K210" s="1">
        <f>intermediate_results[[#This Row], [Team1 laps '[laps']]] - intermediate_results[[#This Row], [Team1 laps '[laps']]]</f>
        <v>0</v>
      </c>
      <c r="L210" s="1">
        <f>intermediate_results[[#This Row], [Team1 laps '[laps']]] - intermediate_results[[#This Row], [Team2 laps '[laps']]]</f>
        <v>0.18521762916720164</v>
      </c>
      <c r="M210" s="1">
        <f>intermediate_results[[#This Row], [Team1 laps '[laps']]] - intermediate_results[[#This Row], [Team3 laps '[laps']]]</f>
        <v>0.48155423112759621</v>
      </c>
      <c r="N210" s="1">
        <f>intermediate_results[[#This Row], [Team1 laps '[laps']]] - intermediate_results[[#This Row], [Team4 laps '[laps']]]</f>
        <v>0.89784092438896579</v>
      </c>
      <c r="O210" s="1">
        <f>intermediate_results[[#This Row], [Team1 laps '[laps']]] - intermediate_results[[#This Row], [Team5 laps '[laps']]]</f>
        <v>0.98204095329498386</v>
      </c>
      <c r="P210" s="1">
        <f>intermediate_results[[#This Row], [Team1 laps '[laps']]] - intermediate_results[[#This Row], [Team6 laps '[laps']]]</f>
        <v>1.281807005276459</v>
      </c>
      <c r="Q210" s="1">
        <f>intermediate_results[[#This Row], [Team1 laps '[laps']]] - intermediate_results[[#This Row], [Team7 laps '[laps']]]</f>
        <v>0.89306313840317841</v>
      </c>
      <c r="R210" s="1">
        <f>intermediate_results[[#This Row], [Team1 laps '[laps']]] - intermediate_results[[#This Row], [Team8 laps '[laps']]]</f>
        <v>1.6362699245459318</v>
      </c>
      <c r="S210" s="1">
        <f>intermediate_results[[#This Row], [Team1 laps '[laps']]] - intermediate_results[[#This Row], [Team9 laps '[laps']]]</f>
        <v>1.5795308019476195</v>
      </c>
      <c r="T210" s="1">
        <f>MAX(intermediate_results[[#This Row], [Team1 laps '[laps']]:[Team9 laps '[laps']]]) - intermediate_results[[#This Row], [Team1 laps '[laps']]]</f>
        <v>0</v>
      </c>
      <c r="U210" s="1">
        <f>MAX(intermediate_results[[#This Row], [Team1 laps '[laps']]:[Team9 laps '[laps']]]) - intermediate_results[[#This Row], [Team2 laps '[laps']]]</f>
        <v>0.18521762916720164</v>
      </c>
      <c r="V210" s="1">
        <f>MAX(intermediate_results[[#This Row], [Team1 laps '[laps']]:[Team9 laps '[laps']]]) - intermediate_results[[#This Row], [Team3 laps '[laps']]]</f>
        <v>0.48155423112759621</v>
      </c>
      <c r="W210" s="1">
        <f>MAX(intermediate_results[[#This Row], [Team1 laps '[laps']]:[Team9 laps '[laps']]]) - intermediate_results[[#This Row], [Team4 laps '[laps']]]</f>
        <v>0.89784092438896579</v>
      </c>
      <c r="X210" s="1">
        <f>MAX(intermediate_results[[#This Row], [Team1 laps '[laps']]:[Team9 laps '[laps']]]) - intermediate_results[[#This Row], [Team5 laps '[laps']]]</f>
        <v>0.98204095329498386</v>
      </c>
      <c r="Y210" s="1">
        <f>MAX(intermediate_results[[#This Row], [Team1 laps '[laps']]:[Team9 laps '[laps']]]) - intermediate_results[[#This Row], [Team6 laps '[laps']]]</f>
        <v>1.281807005276459</v>
      </c>
      <c r="Z210" s="1">
        <f>MAX(intermediate_results[[#This Row], [Team1 laps '[laps']]:[Team9 laps '[laps']]]) - intermediate_results[[#This Row], [Team7 laps '[laps']]]</f>
        <v>0.89306313840317841</v>
      </c>
      <c r="AA210" s="1">
        <f>MAX(intermediate_results[[#This Row], [Team1 laps '[laps']]:[Team9 laps '[laps']]]) - intermediate_results[[#This Row], [Team8 laps '[laps']]]</f>
        <v>1.6362699245459318</v>
      </c>
      <c r="AB210" s="1">
        <f>MAX(intermediate_results[[#This Row], [Team1 laps '[laps']]:[Team9 laps '[laps']]]) - intermediate_results[[#This Row], [Team9 laps '[laps']]]</f>
        <v>1.5795308019476195</v>
      </c>
      <c r="AC210" s="1">
        <f>9 * intermediate_results[[#This Row], [All cumulative times '[sec']]] / SUM(intermediate_results[[#This Row], [Team1 laps '[laps']]:[Team9 laps '[laps']]])</f>
        <v>54.648938312334586</v>
      </c>
      <c r="AD210" s="1">
        <f>intermediate_results[[#This Row], [All cumulative times '[sec']]] / intermediate_results[[#This Row], [Team1 laps '[laps']]] - intermediate_results[[#This Row], [Total running average '[sec']]]</f>
        <v>-1.9608292334833521</v>
      </c>
      <c r="AE210" s="1">
        <f>intermediate_results[[#This Row], [All cumulative times '[sec']]] / intermediate_results[[#This Row], [Team2 laps '[laps']]] - intermediate_results[[#This Row], [Total running average '[sec']]]</f>
        <v>-1.5607865440348618</v>
      </c>
      <c r="AF210" s="1">
        <f>intermediate_results[[#This Row], [All cumulative times '[sec']]] / intermediate_results[[#This Row], [Team3 laps '[laps']]] - intermediate_results[[#This Row], [Total running average '[sec']]]</f>
        <v>-0.90795320538744306</v>
      </c>
      <c r="AG210" s="1">
        <f>intermediate_results[[#This Row], [All cumulative times '[sec']]] / intermediate_results[[#This Row], [Team4 laps '[laps']]] - intermediate_results[[#This Row], [Total running average '[sec']]]</f>
        <v>3.6728407219072778E-2</v>
      </c>
      <c r="AH210" s="1">
        <f>intermediate_results[[#This Row], [All cumulative times '[sec']]] / intermediate_results[[#This Row], [Team5 laps '[laps']]] - intermediate_results[[#This Row], [Total running average '[sec']]]</f>
        <v>0.23185656483513384</v>
      </c>
      <c r="AI210" s="1">
        <f>intermediate_results[[#This Row], [All cumulative times '[sec']]] / intermediate_results[[#This Row], [Team6 laps '[laps']]] - intermediate_results[[#This Row], [Total running average '[sec']]]</f>
        <v>0.93799418383655819</v>
      </c>
      <c r="AJ210" s="1">
        <f>intermediate_results[[#This Row], [All cumulative times '[sec']]] / intermediate_results[[#This Row], [Team7 laps '[laps']]] - intermediate_results[[#This Row], [Total running average '[sec']]]</f>
        <v>2.5697787719892062E-2</v>
      </c>
      <c r="AK210" s="1">
        <f>intermediate_results[[#This Row], [All cumulative times '[sec']]] / intermediate_results[[#This Row], [Team8 laps '[laps']]] - intermediate_results[[#This Row], [Total running average '[sec']]]</f>
        <v>1.7967869452977396</v>
      </c>
      <c r="AL210" s="1">
        <f>intermediate_results[[#This Row], [All cumulative times '[sec']]] / intermediate_results[[#This Row], [Team9 laps '[laps']]] - intermediate_results[[#This Row], [Total running average '[sec']]]</f>
        <v>1.6575399485349749</v>
      </c>
    </row>
    <row r="211" spans="1:38" x14ac:dyDescent="0.25">
      <c r="A211" s="1">
        <v>1298.196999999999</v>
      </c>
      <c r="B211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24.64011470141066</v>
      </c>
      <c r="C211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24.453867837075975</v>
      </c>
      <c r="D211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24.15679240700258</v>
      </c>
      <c r="E211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23.740536498738184</v>
      </c>
      <c r="F211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23.655592469545937</v>
      </c>
      <c r="G211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23.354367971210056</v>
      </c>
      <c r="H211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23.745088545837117</v>
      </c>
      <c r="I211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22.999999999999993</v>
      </c>
      <c r="J211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23.053799090815858</v>
      </c>
      <c r="K211" s="1">
        <f>intermediate_results[[#This Row], [Team1 laps '[laps']]] - intermediate_results[[#This Row], [Team1 laps '[laps']]]</f>
        <v>0</v>
      </c>
      <c r="L211" s="1">
        <f>intermediate_results[[#This Row], [Team1 laps '[laps']]] - intermediate_results[[#This Row], [Team2 laps '[laps']]]</f>
        <v>0.1862468643346844</v>
      </c>
      <c r="M211" s="1">
        <f>intermediate_results[[#This Row], [Team1 laps '[laps']]] - intermediate_results[[#This Row], [Team3 laps '[laps']]]</f>
        <v>0.4833222944080795</v>
      </c>
      <c r="N211" s="1">
        <f>intermediate_results[[#This Row], [Team1 laps '[laps']]] - intermediate_results[[#This Row], [Team4 laps '[laps']]]</f>
        <v>0.89957820267247612</v>
      </c>
      <c r="O211" s="1">
        <f>intermediate_results[[#This Row], [Team1 laps '[laps']]] - intermediate_results[[#This Row], [Team5 laps '[laps']]]</f>
        <v>0.9845222318647231</v>
      </c>
      <c r="P211" s="1">
        <f>intermediate_results[[#This Row], [Team1 laps '[laps']]] - intermediate_results[[#This Row], [Team6 laps '[laps']]]</f>
        <v>1.2857467302006036</v>
      </c>
      <c r="Q211" s="1">
        <f>intermediate_results[[#This Row], [Team1 laps '[laps']]] - intermediate_results[[#This Row], [Team7 laps '[laps']]]</f>
        <v>0.89502615557354304</v>
      </c>
      <c r="R211" s="1">
        <f>intermediate_results[[#This Row], [Team1 laps '[laps']]] - intermediate_results[[#This Row], [Team8 laps '[laps']]]</f>
        <v>1.640114701410667</v>
      </c>
      <c r="S211" s="1">
        <f>intermediate_results[[#This Row], [Team1 laps '[laps']]] - intermediate_results[[#This Row], [Team9 laps '[laps']]]</f>
        <v>1.5863156105948022</v>
      </c>
      <c r="T211" s="1">
        <f>MAX(intermediate_results[[#This Row], [Team1 laps '[laps']]:[Team9 laps '[laps']]]) - intermediate_results[[#This Row], [Team1 laps '[laps']]]</f>
        <v>0</v>
      </c>
      <c r="U211" s="1">
        <f>MAX(intermediate_results[[#This Row], [Team1 laps '[laps']]:[Team9 laps '[laps']]]) - intermediate_results[[#This Row], [Team2 laps '[laps']]]</f>
        <v>0.1862468643346844</v>
      </c>
      <c r="V211" s="1">
        <f>MAX(intermediate_results[[#This Row], [Team1 laps '[laps']]:[Team9 laps '[laps']]]) - intermediate_results[[#This Row], [Team3 laps '[laps']]]</f>
        <v>0.4833222944080795</v>
      </c>
      <c r="W211" s="1">
        <f>MAX(intermediate_results[[#This Row], [Team1 laps '[laps']]:[Team9 laps '[laps']]]) - intermediate_results[[#This Row], [Team4 laps '[laps']]]</f>
        <v>0.89957820267247612</v>
      </c>
      <c r="X211" s="1">
        <f>MAX(intermediate_results[[#This Row], [Team1 laps '[laps']]:[Team9 laps '[laps']]]) - intermediate_results[[#This Row], [Team5 laps '[laps']]]</f>
        <v>0.9845222318647231</v>
      </c>
      <c r="Y211" s="1">
        <f>MAX(intermediate_results[[#This Row], [Team1 laps '[laps']]:[Team9 laps '[laps']]]) - intermediate_results[[#This Row], [Team6 laps '[laps']]]</f>
        <v>1.2857467302006036</v>
      </c>
      <c r="Z211" s="1">
        <f>MAX(intermediate_results[[#This Row], [Team1 laps '[laps']]:[Team9 laps '[laps']]]) - intermediate_results[[#This Row], [Team7 laps '[laps']]]</f>
        <v>0.89502615557354304</v>
      </c>
      <c r="AA211" s="1">
        <f>MAX(intermediate_results[[#This Row], [Team1 laps '[laps']]:[Team9 laps '[laps']]]) - intermediate_results[[#This Row], [Team8 laps '[laps']]]</f>
        <v>1.640114701410667</v>
      </c>
      <c r="AB211" s="1">
        <f>MAX(intermediate_results[[#This Row], [Team1 laps '[laps']]:[Team9 laps '[laps']]]) - intermediate_results[[#This Row], [Team9 laps '[laps']]]</f>
        <v>1.5863156105948022</v>
      </c>
      <c r="AC211" s="1">
        <f>9 * intermediate_results[[#This Row], [All cumulative times '[sec']]] / SUM(intermediate_results[[#This Row], [Team1 laps '[laps']]:[Team9 laps '[laps']]])</f>
        <v>54.648102350071461</v>
      </c>
      <c r="AD211" s="1">
        <f>intermediate_results[[#This Row], [All cumulative times '[sec']]] / intermediate_results[[#This Row], [Team1 laps '[laps']]] - intermediate_results[[#This Row], [Total running average '[sec']]]</f>
        <v>-1.9617810511825198</v>
      </c>
      <c r="AE211" s="1">
        <f>intermediate_results[[#This Row], [All cumulative times '[sec']]] / intermediate_results[[#This Row], [Team2 laps '[laps']]] - intermediate_results[[#This Row], [Total running average '[sec']]]</f>
        <v>-1.5605086553135052</v>
      </c>
      <c r="AF211" s="1">
        <f>intermediate_results[[#This Row], [All cumulative times '[sec']]] / intermediate_results[[#This Row], [Team3 laps '[laps']]] - intermediate_results[[#This Row], [Total running average '[sec']]]</f>
        <v>-0.90764798313832529</v>
      </c>
      <c r="AG211" s="1">
        <f>intermediate_results[[#This Row], [All cumulative times '[sec']]] / intermediate_results[[#This Row], [Team4 laps '[laps']]] - intermediate_results[[#This Row], [Total running average '[sec']]]</f>
        <v>3.4613016070267122E-2</v>
      </c>
      <c r="AH211" s="1">
        <f>intermediate_results[[#This Row], [All cumulative times '[sec']]] / intermediate_results[[#This Row], [Team5 laps '[laps']]] - intermediate_results[[#This Row], [Total running average '[sec']]]</f>
        <v>0.23097124198883989</v>
      </c>
      <c r="AI211" s="1">
        <f>intermediate_results[[#This Row], [All cumulative times '[sec']]] / intermediate_results[[#This Row], [Team6 laps '[laps']]] - intermediate_results[[#This Row], [Total running average '[sec']]]</f>
        <v>0.93880120477287221</v>
      </c>
      <c r="AJ211" s="1">
        <f>intermediate_results[[#This Row], [All cumulative times '[sec']]] / intermediate_results[[#This Row], [Team7 laps '[laps']]] - intermediate_results[[#This Row], [Total running average '[sec']]]</f>
        <v>2.4130077867539512E-2</v>
      </c>
      <c r="AK211" s="1">
        <f>intermediate_results[[#This Row], [All cumulative times '[sec']]] / intermediate_results[[#This Row], [Team8 laps '[laps']]] - intermediate_results[[#This Row], [Total running average '[sec']]]</f>
        <v>1.7952454760154666</v>
      </c>
      <c r="AL211" s="1">
        <f>intermediate_results[[#This Row], [All cumulative times '[sec']]] / intermediate_results[[#This Row], [Team9 laps '[laps']]] - intermediate_results[[#This Row], [Total running average '[sec']]]</f>
        <v>1.6635274548908399</v>
      </c>
    </row>
    <row r="212" spans="1:38" x14ac:dyDescent="0.25">
      <c r="A212" s="1">
        <v>1311.886</v>
      </c>
      <c r="B212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24.903562287099945</v>
      </c>
      <c r="C212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24.71283981914149</v>
      </c>
      <c r="D212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24.412551613325114</v>
      </c>
      <c r="E212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23.996429572857277</v>
      </c>
      <c r="F212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23.908250276854925</v>
      </c>
      <c r="G212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23.600683760683758</v>
      </c>
      <c r="H212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24</v>
      </c>
      <c r="I212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23.240778850720289</v>
      </c>
      <c r="J212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23.287743104214375</v>
      </c>
      <c r="K212" s="1">
        <f>intermediate_results[[#This Row], [Team1 laps '[laps']]] - intermediate_results[[#This Row], [Team1 laps '[laps']]]</f>
        <v>0</v>
      </c>
      <c r="L212" s="1">
        <f>intermediate_results[[#This Row], [Team1 laps '[laps']]] - intermediate_results[[#This Row], [Team2 laps '[laps']]]</f>
        <v>0.19072246795845516</v>
      </c>
      <c r="M212" s="1">
        <f>intermediate_results[[#This Row], [Team1 laps '[laps']]] - intermediate_results[[#This Row], [Team3 laps '[laps']]]</f>
        <v>0.49101067377483076</v>
      </c>
      <c r="N212" s="1">
        <f>intermediate_results[[#This Row], [Team1 laps '[laps']]] - intermediate_results[[#This Row], [Team4 laps '[laps']]]</f>
        <v>0.9071327142426675</v>
      </c>
      <c r="O212" s="1">
        <f>intermediate_results[[#This Row], [Team1 laps '[laps']]] - intermediate_results[[#This Row], [Team5 laps '[laps']]]</f>
        <v>0.99531201024501925</v>
      </c>
      <c r="P212" s="1">
        <f>intermediate_results[[#This Row], [Team1 laps '[laps']]] - intermediate_results[[#This Row], [Team6 laps '[laps']]]</f>
        <v>1.3028785264161868</v>
      </c>
      <c r="Q212" s="1">
        <f>intermediate_results[[#This Row], [Team1 laps '[laps']]] - intermediate_results[[#This Row], [Team7 laps '[laps']]]</f>
        <v>0.90356228709994468</v>
      </c>
      <c r="R212" s="1">
        <f>intermediate_results[[#This Row], [Team1 laps '[laps']]] - intermediate_results[[#This Row], [Team8 laps '[laps']]]</f>
        <v>1.6627834363796552</v>
      </c>
      <c r="S212" s="1">
        <f>intermediate_results[[#This Row], [Team1 laps '[laps']]] - intermediate_results[[#This Row], [Team9 laps '[laps']]]</f>
        <v>1.6158191828855699</v>
      </c>
      <c r="T212" s="1">
        <f>MAX(intermediate_results[[#This Row], [Team1 laps '[laps']]:[Team9 laps '[laps']]]) - intermediate_results[[#This Row], [Team1 laps '[laps']]]</f>
        <v>0</v>
      </c>
      <c r="U212" s="1">
        <f>MAX(intermediate_results[[#This Row], [Team1 laps '[laps']]:[Team9 laps '[laps']]]) - intermediate_results[[#This Row], [Team2 laps '[laps']]]</f>
        <v>0.19072246795845516</v>
      </c>
      <c r="V212" s="1">
        <f>MAX(intermediate_results[[#This Row], [Team1 laps '[laps']]:[Team9 laps '[laps']]]) - intermediate_results[[#This Row], [Team3 laps '[laps']]]</f>
        <v>0.49101067377483076</v>
      </c>
      <c r="W212" s="1">
        <f>MAX(intermediate_results[[#This Row], [Team1 laps '[laps']]:[Team9 laps '[laps']]]) - intermediate_results[[#This Row], [Team4 laps '[laps']]]</f>
        <v>0.9071327142426675</v>
      </c>
      <c r="X212" s="1">
        <f>MAX(intermediate_results[[#This Row], [Team1 laps '[laps']]:[Team9 laps '[laps']]]) - intermediate_results[[#This Row], [Team5 laps '[laps']]]</f>
        <v>0.99531201024501925</v>
      </c>
      <c r="Y212" s="1">
        <f>MAX(intermediate_results[[#This Row], [Team1 laps '[laps']]:[Team9 laps '[laps']]]) - intermediate_results[[#This Row], [Team6 laps '[laps']]]</f>
        <v>1.3028785264161868</v>
      </c>
      <c r="Z212" s="1">
        <f>MAX(intermediate_results[[#This Row], [Team1 laps '[laps']]:[Team9 laps '[laps']]]) - intermediate_results[[#This Row], [Team7 laps '[laps']]]</f>
        <v>0.90356228709994468</v>
      </c>
      <c r="AA212" s="1">
        <f>MAX(intermediate_results[[#This Row], [Team1 laps '[laps']]:[Team9 laps '[laps']]]) - intermediate_results[[#This Row], [Team8 laps '[laps']]]</f>
        <v>1.6627834363796552</v>
      </c>
      <c r="AB212" s="1">
        <f>MAX(intermediate_results[[#This Row], [Team1 laps '[laps']]:[Team9 laps '[laps']]]) - intermediate_results[[#This Row], [Team9 laps '[laps']]]</f>
        <v>1.6158191828855699</v>
      </c>
      <c r="AC212" s="1">
        <f>9 * intermediate_results[[#This Row], [All cumulative times '[sec']]] / SUM(intermediate_results[[#This Row], [Team1 laps '[laps']]:[Team9 laps '[laps']]])</f>
        <v>54.646018903933332</v>
      </c>
      <c r="AD212" s="1">
        <f>intermediate_results[[#This Row], [All cumulative times '[sec']]] / intermediate_results[[#This Row], [Team1 laps '[laps']]] - intermediate_results[[#This Row], [Total running average '[sec']]]</f>
        <v>-1.9673705693712762</v>
      </c>
      <c r="AE212" s="1">
        <f>intermediate_results[[#This Row], [All cumulative times '[sec']]] / intermediate_results[[#This Row], [Team2 laps '[laps']]] - intermediate_results[[#This Row], [Total running average '[sec']]]</f>
        <v>-1.5608206992385334</v>
      </c>
      <c r="AF212" s="1">
        <f>intermediate_results[[#This Row], [All cumulative times '[sec']]] / intermediate_results[[#This Row], [Team3 laps '[laps']]] - intermediate_results[[#This Row], [Total running average '[sec']]]</f>
        <v>-0.9078427075568456</v>
      </c>
      <c r="AG212" s="1">
        <f>intermediate_results[[#This Row], [All cumulative times '[sec']]] / intermediate_results[[#This Row], [Team4 laps '[laps']]] - intermediate_results[[#This Row], [Total running average '[sec']]]</f>
        <v>2.4030905638923628E-2</v>
      </c>
      <c r="AH212" s="1">
        <f>intermediate_results[[#This Row], [All cumulative times '[sec']]] / intermediate_results[[#This Row], [Team5 laps '[laps']]] - intermediate_results[[#This Row], [Total running average '[sec']]]</f>
        <v>0.22566701237185072</v>
      </c>
      <c r="AI212" s="1">
        <f>intermediate_results[[#This Row], [All cumulative times '[sec']]] / intermediate_results[[#This Row], [Team6 laps '[laps']]] - intermediate_results[[#This Row], [Total running average '[sec']]]</f>
        <v>0.94076041580245118</v>
      </c>
      <c r="AJ212" s="1">
        <f>intermediate_results[[#This Row], [All cumulative times '[sec']]] / intermediate_results[[#This Row], [Team7 laps '[laps']]] - intermediate_results[[#This Row], [Total running average '[sec']]]</f>
        <v>1.5897762733331433E-2</v>
      </c>
      <c r="AK212" s="1">
        <f>intermediate_results[[#This Row], [All cumulative times '[sec']]] / intermediate_results[[#This Row], [Team8 laps '[laps']]] - intermediate_results[[#This Row], [Total running average '[sec']]]</f>
        <v>1.8015729959113429</v>
      </c>
      <c r="AL212" s="1">
        <f>intermediate_results[[#This Row], [All cumulative times '[sec']]] / intermediate_results[[#This Row], [Team9 laps '[laps']]] - intermediate_results[[#This Row], [Total running average '[sec']]]</f>
        <v>1.6877354718862989</v>
      </c>
    </row>
    <row r="213" spans="1:38" x14ac:dyDescent="0.25">
      <c r="A213" s="1">
        <v>1312.077</v>
      </c>
      <c r="B213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24.907238120898374</v>
      </c>
      <c r="C213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24.71645320569818</v>
      </c>
      <c r="D213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24.416120172636067</v>
      </c>
      <c r="E213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24.000000000000004</v>
      </c>
      <c r="F213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23.911775562938352</v>
      </c>
      <c r="G213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23.604120557804766</v>
      </c>
      <c r="H213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24.002149835667012</v>
      </c>
      <c r="I213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23.244138391993395</v>
      </c>
      <c r="J213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23.291007280308985</v>
      </c>
      <c r="K213" s="1">
        <f>intermediate_results[[#This Row], [Team1 laps '[laps']]] - intermediate_results[[#This Row], [Team1 laps '[laps']]]</f>
        <v>0</v>
      </c>
      <c r="L213" s="1">
        <f>intermediate_results[[#This Row], [Team1 laps '[laps']]] - intermediate_results[[#This Row], [Team2 laps '[laps']]]</f>
        <v>0.19078491520019369</v>
      </c>
      <c r="M213" s="1">
        <f>intermediate_results[[#This Row], [Team1 laps '[laps']]] - intermediate_results[[#This Row], [Team3 laps '[laps']]]</f>
        <v>0.49111794826230692</v>
      </c>
      <c r="N213" s="1">
        <f>intermediate_results[[#This Row], [Team1 laps '[laps']]] - intermediate_results[[#This Row], [Team4 laps '[laps']]]</f>
        <v>0.90723812089836997</v>
      </c>
      <c r="O213" s="1">
        <f>intermediate_results[[#This Row], [Team1 laps '[laps']]] - intermediate_results[[#This Row], [Team5 laps '[laps']]]</f>
        <v>0.99546255796002114</v>
      </c>
      <c r="P213" s="1">
        <f>intermediate_results[[#This Row], [Team1 laps '[laps']]] - intermediate_results[[#This Row], [Team6 laps '[laps']]]</f>
        <v>1.3031175630936076</v>
      </c>
      <c r="Q213" s="1">
        <f>intermediate_results[[#This Row], [Team1 laps '[laps']]] - intermediate_results[[#This Row], [Team7 laps '[laps']]]</f>
        <v>0.90508828523136131</v>
      </c>
      <c r="R213" s="1">
        <f>intermediate_results[[#This Row], [Team1 laps '[laps']]] - intermediate_results[[#This Row], [Team8 laps '[laps']]]</f>
        <v>1.663099728904978</v>
      </c>
      <c r="S213" s="1">
        <f>intermediate_results[[#This Row], [Team1 laps '[laps']]] - intermediate_results[[#This Row], [Team9 laps '[laps']]]</f>
        <v>1.6162308405893882</v>
      </c>
      <c r="T213" s="1">
        <f>MAX(intermediate_results[[#This Row], [Team1 laps '[laps']]:[Team9 laps '[laps']]]) - intermediate_results[[#This Row], [Team1 laps '[laps']]]</f>
        <v>0</v>
      </c>
      <c r="U213" s="1">
        <f>MAX(intermediate_results[[#This Row], [Team1 laps '[laps']]:[Team9 laps '[laps']]]) - intermediate_results[[#This Row], [Team2 laps '[laps']]]</f>
        <v>0.19078491520019369</v>
      </c>
      <c r="V213" s="1">
        <f>MAX(intermediate_results[[#This Row], [Team1 laps '[laps']]:[Team9 laps '[laps']]]) - intermediate_results[[#This Row], [Team3 laps '[laps']]]</f>
        <v>0.49111794826230692</v>
      </c>
      <c r="W213" s="1">
        <f>MAX(intermediate_results[[#This Row], [Team1 laps '[laps']]:[Team9 laps '[laps']]]) - intermediate_results[[#This Row], [Team4 laps '[laps']]]</f>
        <v>0.90723812089836997</v>
      </c>
      <c r="X213" s="1">
        <f>MAX(intermediate_results[[#This Row], [Team1 laps '[laps']]:[Team9 laps '[laps']]]) - intermediate_results[[#This Row], [Team5 laps '[laps']]]</f>
        <v>0.99546255796002114</v>
      </c>
      <c r="Y213" s="1">
        <f>MAX(intermediate_results[[#This Row], [Team1 laps '[laps']]:[Team9 laps '[laps']]]) - intermediate_results[[#This Row], [Team6 laps '[laps']]]</f>
        <v>1.3031175630936076</v>
      </c>
      <c r="Z213" s="1">
        <f>MAX(intermediate_results[[#This Row], [Team1 laps '[laps']]:[Team9 laps '[laps']]]) - intermediate_results[[#This Row], [Team7 laps '[laps']]]</f>
        <v>0.90508828523136131</v>
      </c>
      <c r="AA213" s="1">
        <f>MAX(intermediate_results[[#This Row], [Team1 laps '[laps']]:[Team9 laps '[laps']]]) - intermediate_results[[#This Row], [Team8 laps '[laps']]]</f>
        <v>1.663099728904978</v>
      </c>
      <c r="AB213" s="1">
        <f>MAX(intermediate_results[[#This Row], [Team1 laps '[laps']]:[Team9 laps '[laps']]]) - intermediate_results[[#This Row], [Team9 laps '[laps']]]</f>
        <v>1.6162308405893882</v>
      </c>
      <c r="AC213" s="1">
        <f>9 * intermediate_results[[#This Row], [All cumulative times '[sec']]] / SUM(intermediate_results[[#This Row], [Team1 laps '[laps']]:[Team9 laps '[laps']]])</f>
        <v>54.646345920826811</v>
      </c>
      <c r="AD213" s="1">
        <f>intermediate_results[[#This Row], [All cumulative times '[sec']]] / intermediate_results[[#This Row], [Team1 laps '[laps']]] - intermediate_results[[#This Row], [Total running average '[sec']]]</f>
        <v>-1.9678034974858534</v>
      </c>
      <c r="AE213" s="1">
        <f>intermediate_results[[#This Row], [All cumulative times '[sec']]] / intermediate_results[[#This Row], [Team2 laps '[laps']]] - intermediate_results[[#This Row], [Total running average '[sec']]]</f>
        <v>-1.5611807848553099</v>
      </c>
      <c r="AF213" s="1">
        <f>intermediate_results[[#This Row], [All cumulative times '[sec']]] / intermediate_results[[#This Row], [Team3 laps '[laps']]] - intermediate_results[[#This Row], [Total running average '[sec']]]</f>
        <v>-0.90820117371473685</v>
      </c>
      <c r="AG213" s="1">
        <f>intermediate_results[[#This Row], [All cumulative times '[sec']]] / intermediate_results[[#This Row], [Team4 laps '[laps']]] - intermediate_results[[#This Row], [Total running average '[sec']]]</f>
        <v>2.3529079173179923E-2</v>
      </c>
      <c r="AH213" s="1">
        <f>intermediate_results[[#This Row], [All cumulative times '[sec']]] / intermediate_results[[#This Row], [Team5 laps '[laps']]] - intermediate_results[[#This Row], [Total running average '[sec']]]</f>
        <v>0.22523802100440093</v>
      </c>
      <c r="AI213" s="1">
        <f>intermediate_results[[#This Row], [All cumulative times '[sec']]] / intermediate_results[[#This Row], [Team6 laps '[laps']]] - intermediate_results[[#This Row], [Total running average '[sec']]]</f>
        <v>0.94043168382146547</v>
      </c>
      <c r="AJ213" s="1">
        <f>intermediate_results[[#This Row], [All cumulative times '[sec']]] / intermediate_results[[#This Row], [Team7 laps '[laps']]] - intermediate_results[[#This Row], [Total running average '[sec']]]</f>
        <v>1.8632382502651978E-2</v>
      </c>
      <c r="AK213" s="1">
        <f>intermediate_results[[#This Row], [All cumulative times '[sec']]] / intermediate_results[[#This Row], [Team8 laps '[laps']]] - intermediate_results[[#This Row], [Total running average '[sec']]]</f>
        <v>1.8013045738008557</v>
      </c>
      <c r="AL213" s="1">
        <f>intermediate_results[[#This Row], [All cumulative times '[sec']]] / intermediate_results[[#This Row], [Team9 laps '[laps']]] - intermediate_results[[#This Row], [Total running average '[sec']]]</f>
        <v>1.6877140109338384</v>
      </c>
    </row>
    <row r="214" spans="1:38" x14ac:dyDescent="0.25">
      <c r="A214" s="1">
        <v>1316.857</v>
      </c>
      <c r="B214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24.99923019187468</v>
      </c>
      <c r="C214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24.806882460886509</v>
      </c>
      <c r="D214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24.505427573192836</v>
      </c>
      <c r="E214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24.089825985642879</v>
      </c>
      <c r="F214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23.999999999999996</v>
      </c>
      <c r="G214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23.690130454340977</v>
      </c>
      <c r="H214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24.055952005762911</v>
      </c>
      <c r="I214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23.328214869927717</v>
      </c>
      <c r="J214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23.372697132310215</v>
      </c>
      <c r="K214" s="1">
        <f>intermediate_results[[#This Row], [Team1 laps '[laps']]] - intermediate_results[[#This Row], [Team1 laps '[laps']]]</f>
        <v>0</v>
      </c>
      <c r="L214" s="1">
        <f>intermediate_results[[#This Row], [Team1 laps '[laps']]] - intermediate_results[[#This Row], [Team2 laps '[laps']]]</f>
        <v>0.19234773098817115</v>
      </c>
      <c r="M214" s="1">
        <f>intermediate_results[[#This Row], [Team1 laps '[laps']]] - intermediate_results[[#This Row], [Team3 laps '[laps']]]</f>
        <v>0.49380261868184405</v>
      </c>
      <c r="N214" s="1">
        <f>intermediate_results[[#This Row], [Team1 laps '[laps']]] - intermediate_results[[#This Row], [Team4 laps '[laps']]]</f>
        <v>0.90940420623180174</v>
      </c>
      <c r="O214" s="1">
        <f>intermediate_results[[#This Row], [Team1 laps '[laps']]] - intermediate_results[[#This Row], [Team5 laps '[laps']]]</f>
        <v>0.99923019187468398</v>
      </c>
      <c r="P214" s="1">
        <f>intermediate_results[[#This Row], [Team1 laps '[laps']]] - intermediate_results[[#This Row], [Team6 laps '[laps']]]</f>
        <v>1.3090997375337032</v>
      </c>
      <c r="Q214" s="1">
        <f>intermediate_results[[#This Row], [Team1 laps '[laps']]] - intermediate_results[[#This Row], [Team7 laps '[laps']]]</f>
        <v>0.94327818611176895</v>
      </c>
      <c r="R214" s="1">
        <f>intermediate_results[[#This Row], [Team1 laps '[laps']]] - intermediate_results[[#This Row], [Team8 laps '[laps']]]</f>
        <v>1.6710153219469639</v>
      </c>
      <c r="S214" s="1">
        <f>intermediate_results[[#This Row], [Team1 laps '[laps']]] - intermediate_results[[#This Row], [Team9 laps '[laps']]]</f>
        <v>1.6265330595644656</v>
      </c>
      <c r="T214" s="1">
        <f>MAX(intermediate_results[[#This Row], [Team1 laps '[laps']]:[Team9 laps '[laps']]]) - intermediate_results[[#This Row], [Team1 laps '[laps']]]</f>
        <v>0</v>
      </c>
      <c r="U214" s="1">
        <f>MAX(intermediate_results[[#This Row], [Team1 laps '[laps']]:[Team9 laps '[laps']]]) - intermediate_results[[#This Row], [Team2 laps '[laps']]]</f>
        <v>0.19234773098817115</v>
      </c>
      <c r="V214" s="1">
        <f>MAX(intermediate_results[[#This Row], [Team1 laps '[laps']]:[Team9 laps '[laps']]]) - intermediate_results[[#This Row], [Team3 laps '[laps']]]</f>
        <v>0.49380261868184405</v>
      </c>
      <c r="W214" s="1">
        <f>MAX(intermediate_results[[#This Row], [Team1 laps '[laps']]:[Team9 laps '[laps']]]) - intermediate_results[[#This Row], [Team4 laps '[laps']]]</f>
        <v>0.90940420623180174</v>
      </c>
      <c r="X214" s="1">
        <f>MAX(intermediate_results[[#This Row], [Team1 laps '[laps']]:[Team9 laps '[laps']]]) - intermediate_results[[#This Row], [Team5 laps '[laps']]]</f>
        <v>0.99923019187468398</v>
      </c>
      <c r="Y214" s="1">
        <f>MAX(intermediate_results[[#This Row], [Team1 laps '[laps']]:[Team9 laps '[laps']]]) - intermediate_results[[#This Row], [Team6 laps '[laps']]]</f>
        <v>1.3090997375337032</v>
      </c>
      <c r="Z214" s="1">
        <f>MAX(intermediate_results[[#This Row], [Team1 laps '[laps']]:[Team9 laps '[laps']]]) - intermediate_results[[#This Row], [Team7 laps '[laps']]]</f>
        <v>0.94327818611176895</v>
      </c>
      <c r="AA214" s="1">
        <f>MAX(intermediate_results[[#This Row], [Team1 laps '[laps']]:[Team9 laps '[laps']]]) - intermediate_results[[#This Row], [Team8 laps '[laps']]]</f>
        <v>1.6710153219469639</v>
      </c>
      <c r="AB214" s="1">
        <f>MAX(intermediate_results[[#This Row], [Team1 laps '[laps']]:[Team9 laps '[laps']]]) - intermediate_results[[#This Row], [Team9 laps '[laps']]]</f>
        <v>1.6265330595644656</v>
      </c>
      <c r="AC214" s="1">
        <f>9 * intermediate_results[[#This Row], [All cumulative times '[sec']]] / SUM(intermediate_results[[#This Row], [Team1 laps '[laps']]:[Team9 laps '[laps']]])</f>
        <v>54.654381352786324</v>
      </c>
      <c r="AD214" s="1">
        <f>intermediate_results[[#This Row], [All cumulative times '[sec']]] / intermediate_results[[#This Row], [Team1 laps '[laps']]] - intermediate_results[[#This Row], [Total running average '[sec']]]</f>
        <v>-1.9784793392911837</v>
      </c>
      <c r="AE214" s="1">
        <f>intermediate_results[[#This Row], [All cumulative times '[sec']]] / intermediate_results[[#This Row], [Team2 laps '[laps']]] - intermediate_results[[#This Row], [Total running average '[sec']]]</f>
        <v>-1.5700406632089923</v>
      </c>
      <c r="AF214" s="1">
        <f>intermediate_results[[#This Row], [All cumulative times '[sec']]] / intermediate_results[[#This Row], [Team3 laps '[laps']]] - intermediate_results[[#This Row], [Total running average '[sec']]]</f>
        <v>-0.91702067761303141</v>
      </c>
      <c r="AG214" s="1">
        <f>intermediate_results[[#This Row], [All cumulative times '[sec']]] / intermediate_results[[#This Row], [Team4 laps '[laps']]] - intermediate_results[[#This Row], [Total running average '[sec']]]</f>
        <v>1.0064990031764864E-2</v>
      </c>
      <c r="AH214" s="1">
        <f>intermediate_results[[#This Row], [All cumulative times '[sec']]] / intermediate_results[[#This Row], [Team5 laps '[laps']]] - intermediate_results[[#This Row], [Total running average '[sec']]]</f>
        <v>0.21466031388035134</v>
      </c>
      <c r="AI214" s="1">
        <f>intermediate_results[[#This Row], [All cumulative times '[sec']]] / intermediate_results[[#This Row], [Team6 laps '[laps']]] - intermediate_results[[#This Row], [Total running average '[sec']]]</f>
        <v>0.93235349183751737</v>
      </c>
      <c r="AJ214" s="1">
        <f>intermediate_results[[#This Row], [All cumulative times '[sec']]] / intermediate_results[[#This Row], [Team7 laps '[laps']]] - intermediate_results[[#This Row], [Total running average '[sec']]]</f>
        <v>8.7039800886167029E-2</v>
      </c>
      <c r="AK214" s="1">
        <f>intermediate_results[[#This Row], [All cumulative times '[sec']]] / intermediate_results[[#This Row], [Team8 laps '[laps']]] - intermediate_results[[#This Row], [Total running average '[sec']]]</f>
        <v>1.7947300491132552</v>
      </c>
      <c r="AL214" s="1">
        <f>intermediate_results[[#This Row], [All cumulative times '[sec']]] / intermediate_results[[#This Row], [Team9 laps '[laps']]] - intermediate_results[[#This Row], [Total running average '[sec']]]</f>
        <v>1.6872976817478715</v>
      </c>
    </row>
    <row r="215" spans="1:38" x14ac:dyDescent="0.25">
      <c r="A215" s="1">
        <v>1316.8969999999999</v>
      </c>
      <c r="B215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25.000000000000004</v>
      </c>
      <c r="C215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24.807639191055451</v>
      </c>
      <c r="D215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24.50617491545691</v>
      </c>
      <c r="E215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24.090577667531104</v>
      </c>
      <c r="F215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24.000726414237715</v>
      </c>
      <c r="G215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23.690850202429147</v>
      </c>
      <c r="H215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24.056402233127731</v>
      </c>
      <c r="I215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23.328918438780725</v>
      </c>
      <c r="J215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23.373380729398093</v>
      </c>
      <c r="K215" s="1">
        <f>intermediate_results[[#This Row], [Team1 laps '[laps']]] - intermediate_results[[#This Row], [Team1 laps '[laps']]]</f>
        <v>0</v>
      </c>
      <c r="L215" s="1">
        <f>intermediate_results[[#This Row], [Team1 laps '[laps']]] - intermediate_results[[#This Row], [Team2 laps '[laps']]]</f>
        <v>0.19236080894455299</v>
      </c>
      <c r="M215" s="1">
        <f>intermediate_results[[#This Row], [Team1 laps '[laps']]] - intermediate_results[[#This Row], [Team3 laps '[laps']]]</f>
        <v>0.4938250845430936</v>
      </c>
      <c r="N215" s="1">
        <f>intermediate_results[[#This Row], [Team1 laps '[laps']]] - intermediate_results[[#This Row], [Team4 laps '[laps']]]</f>
        <v>0.9094223324688997</v>
      </c>
      <c r="O215" s="1">
        <f>intermediate_results[[#This Row], [Team1 laps '[laps']]] - intermediate_results[[#This Row], [Team5 laps '[laps']]]</f>
        <v>0.99927358576228897</v>
      </c>
      <c r="P215" s="1">
        <f>intermediate_results[[#This Row], [Team1 laps '[laps']]] - intermediate_results[[#This Row], [Team6 laps '[laps']]]</f>
        <v>1.309149797570857</v>
      </c>
      <c r="Q215" s="1">
        <f>intermediate_results[[#This Row], [Team1 laps '[laps']]] - intermediate_results[[#This Row], [Team7 laps '[laps']]]</f>
        <v>0.94359776687227281</v>
      </c>
      <c r="R215" s="1">
        <f>intermediate_results[[#This Row], [Team1 laps '[laps']]] - intermediate_results[[#This Row], [Team8 laps '[laps']]]</f>
        <v>1.6710815612192782</v>
      </c>
      <c r="S215" s="1">
        <f>intermediate_results[[#This Row], [Team1 laps '[laps']]] - intermediate_results[[#This Row], [Team9 laps '[laps']]]</f>
        <v>1.6266192706019105</v>
      </c>
      <c r="T215" s="1">
        <f>MAX(intermediate_results[[#This Row], [Team1 laps '[laps']]:[Team9 laps '[laps']]]) - intermediate_results[[#This Row], [Team1 laps '[laps']]]</f>
        <v>0</v>
      </c>
      <c r="U215" s="1">
        <f>MAX(intermediate_results[[#This Row], [Team1 laps '[laps']]:[Team9 laps '[laps']]]) - intermediate_results[[#This Row], [Team2 laps '[laps']]]</f>
        <v>0.19236080894455299</v>
      </c>
      <c r="V215" s="1">
        <f>MAX(intermediate_results[[#This Row], [Team1 laps '[laps']]:[Team9 laps '[laps']]]) - intermediate_results[[#This Row], [Team3 laps '[laps']]]</f>
        <v>0.4938250845430936</v>
      </c>
      <c r="W215" s="1">
        <f>MAX(intermediate_results[[#This Row], [Team1 laps '[laps']]:[Team9 laps '[laps']]]) - intermediate_results[[#This Row], [Team4 laps '[laps']]]</f>
        <v>0.9094223324688997</v>
      </c>
      <c r="X215" s="1">
        <f>MAX(intermediate_results[[#This Row], [Team1 laps '[laps']]:[Team9 laps '[laps']]]) - intermediate_results[[#This Row], [Team5 laps '[laps']]]</f>
        <v>0.99927358576228897</v>
      </c>
      <c r="Y215" s="1">
        <f>MAX(intermediate_results[[#This Row], [Team1 laps '[laps']]:[Team9 laps '[laps']]]) - intermediate_results[[#This Row], [Team6 laps '[laps']]]</f>
        <v>1.309149797570857</v>
      </c>
      <c r="Z215" s="1">
        <f>MAX(intermediate_results[[#This Row], [Team1 laps '[laps']]:[Team9 laps '[laps']]]) - intermediate_results[[#This Row], [Team7 laps '[laps']]]</f>
        <v>0.94359776687227281</v>
      </c>
      <c r="AA215" s="1">
        <f>MAX(intermediate_results[[#This Row], [Team1 laps '[laps']]:[Team9 laps '[laps']]]) - intermediate_results[[#This Row], [Team8 laps '[laps']]]</f>
        <v>1.6710815612192782</v>
      </c>
      <c r="AB215" s="1">
        <f>MAX(intermediate_results[[#This Row], [Team1 laps '[laps']]:[Team9 laps '[laps']]]) - intermediate_results[[#This Row], [Team9 laps '[laps']]]</f>
        <v>1.6266192706019105</v>
      </c>
      <c r="AC215" s="1">
        <f>9 * intermediate_results[[#This Row], [All cumulative times '[sec']]] / SUM(intermediate_results[[#This Row], [Team1 laps '[laps']]:[Team9 laps '[laps']]])</f>
        <v>54.654451349224821</v>
      </c>
      <c r="AD215" s="1">
        <f>intermediate_results[[#This Row], [All cumulative times '[sec']]] / intermediate_results[[#This Row], [Team1 laps '[laps']]] - intermediate_results[[#This Row], [Total running average '[sec']]]</f>
        <v>-1.9785713492248291</v>
      </c>
      <c r="AE215" s="1">
        <f>intermediate_results[[#This Row], [All cumulative times '[sec']]] / intermediate_results[[#This Row], [Team2 laps '[laps']]] - intermediate_results[[#This Row], [Total running average '[sec']]]</f>
        <v>-1.5701175334212039</v>
      </c>
      <c r="AF215" s="1">
        <f>intermediate_results[[#This Row], [All cumulative times '[sec']]] / intermediate_results[[#This Row], [Team3 laps '[laps']]] - intermediate_results[[#This Row], [Total running average '[sec']]]</f>
        <v>-0.91709721121177523</v>
      </c>
      <c r="AG215" s="1">
        <f>intermediate_results[[#This Row], [All cumulative times '[sec']]] / intermediate_results[[#This Row], [Team4 laps '[laps']]] - intermediate_results[[#This Row], [Total running average '[sec']]]</f>
        <v>9.9497363038452136E-3</v>
      </c>
      <c r="AH215" s="1">
        <f>intermediate_results[[#This Row], [All cumulative times '[sec']]] / intermediate_results[[#This Row], [Team5 laps '[laps']]] - intermediate_results[[#This Row], [Total running average '[sec']]]</f>
        <v>0.21459624838414726</v>
      </c>
      <c r="AI215" s="1">
        <f>intermediate_results[[#This Row], [All cumulative times '[sec']]] / intermediate_results[[#This Row], [Team6 laps '[laps']]] - intermediate_results[[#This Row], [Total running average '[sec']]]</f>
        <v>0.93228313888450032</v>
      </c>
      <c r="AJ215" s="1">
        <f>intermediate_results[[#This Row], [All cumulative times '[sec']]] / intermediate_results[[#This Row], [Team7 laps '[laps']]] - intermediate_results[[#This Row], [Total running average '[sec']]]</f>
        <v>8.7608050934349535E-2</v>
      </c>
      <c r="AK215" s="1">
        <f>intermediate_results[[#This Row], [All cumulative times '[sec']]] / intermediate_results[[#This Row], [Team8 laps '[laps']]] - intermediate_results[[#This Row], [Total running average '[sec']]]</f>
        <v>1.7946722334125127</v>
      </c>
      <c r="AL215" s="1">
        <f>intermediate_results[[#This Row], [All cumulative times '[sec']]] / intermediate_results[[#This Row], [Team9 laps '[laps']]] - intermediate_results[[#This Row], [Total running average '[sec']]]</f>
        <v>1.6872912187923106</v>
      </c>
    </row>
    <row r="216" spans="1:38" x14ac:dyDescent="0.25">
      <c r="A216" s="1">
        <v>1327.0650000000001</v>
      </c>
      <c r="B216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25.187580710622445</v>
      </c>
      <c r="C216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25.000000000000004</v>
      </c>
      <c r="D216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24.696149318984364</v>
      </c>
      <c r="E216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24.281655203517875</v>
      </c>
      <c r="F216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24.185380913465902</v>
      </c>
      <c r="G216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23.873810166441743</v>
      </c>
      <c r="H216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24.170850029264781</v>
      </c>
      <c r="I216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23.507765641215073</v>
      </c>
      <c r="J216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23.547151109136276</v>
      </c>
      <c r="K216" s="1">
        <f>intermediate_results[[#This Row], [Team1 laps '[laps']]] - intermediate_results[[#This Row], [Team1 laps '[laps']]]</f>
        <v>0</v>
      </c>
      <c r="L216" s="1">
        <f>intermediate_results[[#This Row], [Team1 laps '[laps']]] - intermediate_results[[#This Row], [Team2 laps '[laps']]]</f>
        <v>0.18758071062244142</v>
      </c>
      <c r="M216" s="1">
        <f>intermediate_results[[#This Row], [Team1 laps '[laps']]] - intermediate_results[[#This Row], [Team3 laps '[laps']]]</f>
        <v>0.49143139163808058</v>
      </c>
      <c r="N216" s="1">
        <f>intermediate_results[[#This Row], [Team1 laps '[laps']]] - intermediate_results[[#This Row], [Team4 laps '[laps']]]</f>
        <v>0.90592550710456976</v>
      </c>
      <c r="O216" s="1">
        <f>intermediate_results[[#This Row], [Team1 laps '[laps']]] - intermediate_results[[#This Row], [Team5 laps '[laps']]]</f>
        <v>1.0021997971565426</v>
      </c>
      <c r="P216" s="1">
        <f>intermediate_results[[#This Row], [Team1 laps '[laps']]] - intermediate_results[[#This Row], [Team6 laps '[laps']]]</f>
        <v>1.3137705441807022</v>
      </c>
      <c r="Q216" s="1">
        <f>intermediate_results[[#This Row], [Team1 laps '[laps']]] - intermediate_results[[#This Row], [Team7 laps '[laps']]]</f>
        <v>1.0167306813576644</v>
      </c>
      <c r="R216" s="1">
        <f>intermediate_results[[#This Row], [Team1 laps '[laps']]] - intermediate_results[[#This Row], [Team8 laps '[laps']]]</f>
        <v>1.6798150694073719</v>
      </c>
      <c r="S216" s="1">
        <f>intermediate_results[[#This Row], [Team1 laps '[laps']]] - intermediate_results[[#This Row], [Team9 laps '[laps']]]</f>
        <v>1.6404296014861686</v>
      </c>
      <c r="T216" s="1">
        <f>MAX(intermediate_results[[#This Row], [Team1 laps '[laps']]:[Team9 laps '[laps']]]) - intermediate_results[[#This Row], [Team1 laps '[laps']]]</f>
        <v>0</v>
      </c>
      <c r="U216" s="1">
        <f>MAX(intermediate_results[[#This Row], [Team1 laps '[laps']]:[Team9 laps '[laps']]]) - intermediate_results[[#This Row], [Team2 laps '[laps']]]</f>
        <v>0.18758071062244142</v>
      </c>
      <c r="V216" s="1">
        <f>MAX(intermediate_results[[#This Row], [Team1 laps '[laps']]:[Team9 laps '[laps']]]) - intermediate_results[[#This Row], [Team3 laps '[laps']]]</f>
        <v>0.49143139163808058</v>
      </c>
      <c r="W216" s="1">
        <f>MAX(intermediate_results[[#This Row], [Team1 laps '[laps']]:[Team9 laps '[laps']]]) - intermediate_results[[#This Row], [Team4 laps '[laps']]]</f>
        <v>0.90592550710456976</v>
      </c>
      <c r="X216" s="1">
        <f>MAX(intermediate_results[[#This Row], [Team1 laps '[laps']]:[Team9 laps '[laps']]]) - intermediate_results[[#This Row], [Team5 laps '[laps']]]</f>
        <v>1.0021997971565426</v>
      </c>
      <c r="Y216" s="1">
        <f>MAX(intermediate_results[[#This Row], [Team1 laps '[laps']]:[Team9 laps '[laps']]]) - intermediate_results[[#This Row], [Team6 laps '[laps']]]</f>
        <v>1.3137705441807022</v>
      </c>
      <c r="Z216" s="1">
        <f>MAX(intermediate_results[[#This Row], [Team1 laps '[laps']]:[Team9 laps '[laps']]]) - intermediate_results[[#This Row], [Team7 laps '[laps']]]</f>
        <v>1.0167306813576644</v>
      </c>
      <c r="AA216" s="1">
        <f>MAX(intermediate_results[[#This Row], [Team1 laps '[laps']]:[Team9 laps '[laps']]]) - intermediate_results[[#This Row], [Team8 laps '[laps']]]</f>
        <v>1.6798150694073719</v>
      </c>
      <c r="AB216" s="1">
        <f>MAX(intermediate_results[[#This Row], [Team1 laps '[laps']]:[Team9 laps '[laps']]]) - intermediate_results[[#This Row], [Team9 laps '[laps']]]</f>
        <v>1.6404296014861686</v>
      </c>
      <c r="AC216" s="1">
        <f>9 * intermediate_results[[#This Row], [All cumulative times '[sec']]] / SUM(intermediate_results[[#This Row], [Team1 laps '[laps']]:[Team9 laps '[laps']]])</f>
        <v>54.674141642041384</v>
      </c>
      <c r="AD216" s="1">
        <f>intermediate_results[[#This Row], [All cumulative times '[sec']]] / intermediate_results[[#This Row], [Team1 laps '[laps']]] - intermediate_results[[#This Row], [Total running average '[sec']]]</f>
        <v>-1.986866303988279</v>
      </c>
      <c r="AE216" s="1">
        <f>intermediate_results[[#This Row], [All cumulative times '[sec']]] / intermediate_results[[#This Row], [Team2 laps '[laps']]] - intermediate_results[[#This Row], [Total running average '[sec']]]</f>
        <v>-1.5915416420413919</v>
      </c>
      <c r="AF216" s="1">
        <f>intermediate_results[[#This Row], [All cumulative times '[sec']]] / intermediate_results[[#This Row], [Team3 laps '[laps']]] - intermediate_results[[#This Row], [Total running average '[sec']]]</f>
        <v>-0.93843641694130042</v>
      </c>
      <c r="AG216" s="1">
        <f>intermediate_results[[#This Row], [All cumulative times '[sec']]] / intermediate_results[[#This Row], [Team4 laps '[laps']]] - intermediate_results[[#This Row], [Total running average '[sec']]]</f>
        <v>-2.1154072736898399E-2</v>
      </c>
      <c r="AH216" s="1">
        <f>intermediate_results[[#This Row], [All cumulative times '[sec']]] / intermediate_results[[#This Row], [Team5 laps '[laps']]] - intermediate_results[[#This Row], [Total running average '[sec']]]</f>
        <v>0.19640204499720681</v>
      </c>
      <c r="AI216" s="1">
        <f>intermediate_results[[#This Row], [All cumulative times '[sec']]] / intermediate_results[[#This Row], [Team6 laps '[laps']]] - intermediate_results[[#This Row], [Total running average '[sec']]]</f>
        <v>0.91250291733401667</v>
      </c>
      <c r="AJ216" s="1">
        <f>intermediate_results[[#This Row], [All cumulative times '[sec']]] / intermediate_results[[#This Row], [Team7 laps '[laps']]] - intermediate_results[[#This Row], [Total running average '[sec']]]</f>
        <v>0.22938878379222416</v>
      </c>
      <c r="AK216" s="1">
        <f>intermediate_results[[#This Row], [All cumulative times '[sec']]] / intermediate_results[[#This Row], [Team8 laps '[laps']]] - intermediate_results[[#This Row], [Total running average '[sec']]]</f>
        <v>1.7780546344655903</v>
      </c>
      <c r="AL216" s="1">
        <f>intermediate_results[[#This Row], [All cumulative times '[sec']]] / intermediate_results[[#This Row], [Team9 laps '[laps']]] - intermediate_results[[#This Row], [Total running average '[sec']]]</f>
        <v>1.683631485133219</v>
      </c>
    </row>
    <row r="217" spans="1:38" x14ac:dyDescent="0.25">
      <c r="A217" s="1">
        <v>1334.078</v>
      </c>
      <c r="B217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25.316957532376495</v>
      </c>
      <c r="C217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25.131052267673279</v>
      </c>
      <c r="D217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24.82717710143303</v>
      </c>
      <c r="E217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24.413443830570905</v>
      </c>
      <c r="F217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24.312739489693993</v>
      </c>
      <c r="G217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23.999999999999996</v>
      </c>
      <c r="H217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24.24978614200171</v>
      </c>
      <c r="I217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23.631118850368505</v>
      </c>
      <c r="J217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23.667002768568207</v>
      </c>
      <c r="K217" s="1">
        <f>intermediate_results[[#This Row], [Team1 laps '[laps']]] - intermediate_results[[#This Row], [Team1 laps '[laps']]]</f>
        <v>0</v>
      </c>
      <c r="L217" s="1">
        <f>intermediate_results[[#This Row], [Team1 laps '[laps']]] - intermediate_results[[#This Row], [Team2 laps '[laps']]]</f>
        <v>0.18590526470321578</v>
      </c>
      <c r="M217" s="1">
        <f>intermediate_results[[#This Row], [Team1 laps '[laps']]] - intermediate_results[[#This Row], [Team3 laps '[laps']]]</f>
        <v>0.48978043094346546</v>
      </c>
      <c r="N217" s="1">
        <f>intermediate_results[[#This Row], [Team1 laps '[laps']]] - intermediate_results[[#This Row], [Team4 laps '[laps']]]</f>
        <v>0.90351370180558987</v>
      </c>
      <c r="O217" s="1">
        <f>intermediate_results[[#This Row], [Team1 laps '[laps']]] - intermediate_results[[#This Row], [Team5 laps '[laps']]]</f>
        <v>1.0042180426825027</v>
      </c>
      <c r="P217" s="1">
        <f>intermediate_results[[#This Row], [Team1 laps '[laps']]] - intermediate_results[[#This Row], [Team6 laps '[laps']]]</f>
        <v>1.3169575323764988</v>
      </c>
      <c r="Q217" s="1">
        <f>intermediate_results[[#This Row], [Team1 laps '[laps']]] - intermediate_results[[#This Row], [Team7 laps '[laps']]]</f>
        <v>1.067171390374785</v>
      </c>
      <c r="R217" s="1">
        <f>intermediate_results[[#This Row], [Team1 laps '[laps']]] - intermediate_results[[#This Row], [Team8 laps '[laps']]]</f>
        <v>1.68583868200799</v>
      </c>
      <c r="S217" s="1">
        <f>intermediate_results[[#This Row], [Team1 laps '[laps']]] - intermediate_results[[#This Row], [Team9 laps '[laps']]]</f>
        <v>1.6499547638082888</v>
      </c>
      <c r="T217" s="1">
        <f>MAX(intermediate_results[[#This Row], [Team1 laps '[laps']]:[Team9 laps '[laps']]]) - intermediate_results[[#This Row], [Team1 laps '[laps']]]</f>
        <v>0</v>
      </c>
      <c r="U217" s="1">
        <f>MAX(intermediate_results[[#This Row], [Team1 laps '[laps']]:[Team9 laps '[laps']]]) - intermediate_results[[#This Row], [Team2 laps '[laps']]]</f>
        <v>0.18590526470321578</v>
      </c>
      <c r="V217" s="1">
        <f>MAX(intermediate_results[[#This Row], [Team1 laps '[laps']]:[Team9 laps '[laps']]]) - intermediate_results[[#This Row], [Team3 laps '[laps']]]</f>
        <v>0.48978043094346546</v>
      </c>
      <c r="W217" s="1">
        <f>MAX(intermediate_results[[#This Row], [Team1 laps '[laps']]:[Team9 laps '[laps']]]) - intermediate_results[[#This Row], [Team4 laps '[laps']]]</f>
        <v>0.90351370180558987</v>
      </c>
      <c r="X217" s="1">
        <f>MAX(intermediate_results[[#This Row], [Team1 laps '[laps']]:[Team9 laps '[laps']]]) - intermediate_results[[#This Row], [Team5 laps '[laps']]]</f>
        <v>1.0042180426825027</v>
      </c>
      <c r="Y217" s="1">
        <f>MAX(intermediate_results[[#This Row], [Team1 laps '[laps']]:[Team9 laps '[laps']]]) - intermediate_results[[#This Row], [Team6 laps '[laps']]]</f>
        <v>1.3169575323764988</v>
      </c>
      <c r="Z217" s="1">
        <f>MAX(intermediate_results[[#This Row], [Team1 laps '[laps']]:[Team9 laps '[laps']]]) - intermediate_results[[#This Row], [Team7 laps '[laps']]]</f>
        <v>1.067171390374785</v>
      </c>
      <c r="AA217" s="1">
        <f>MAX(intermediate_results[[#This Row], [Team1 laps '[laps']]:[Team9 laps '[laps']]]) - intermediate_results[[#This Row], [Team8 laps '[laps']]]</f>
        <v>1.68583868200799</v>
      </c>
      <c r="AB217" s="1">
        <f>MAX(intermediate_results[[#This Row], [Team1 laps '[laps']]:[Team9 laps '[laps']]]) - intermediate_results[[#This Row], [Team9 laps '[laps']]]</f>
        <v>1.6499547638082888</v>
      </c>
      <c r="AC217" s="1">
        <f>9 * intermediate_results[[#This Row], [All cumulative times '[sec']]] / SUM(intermediate_results[[#This Row], [Team1 laps '[laps']]:[Team9 laps '[laps']]])</f>
        <v>54.687959397192181</v>
      </c>
      <c r="AD217" s="1">
        <f>intermediate_results[[#This Row], [All cumulative times '[sec']]] / intermediate_results[[#This Row], [Team1 laps '[laps']]] - intermediate_results[[#This Row], [Total running average '[sec']]]</f>
        <v>-1.9929229460736195</v>
      </c>
      <c r="AE217" s="1">
        <f>intermediate_results[[#This Row], [All cumulative times '[sec']]] / intermediate_results[[#This Row], [Team2 laps '[laps']]] - intermediate_results[[#This Row], [Total running average '[sec']]]</f>
        <v>-1.6031149668593159</v>
      </c>
      <c r="AF217" s="1">
        <f>intermediate_results[[#This Row], [All cumulative times '[sec']]] / intermediate_results[[#This Row], [Team3 laps '[laps']]] - intermediate_results[[#This Row], [Total running average '[sec']]]</f>
        <v>-0.95337674409640272</v>
      </c>
      <c r="AG217" s="1">
        <f>intermediate_results[[#This Row], [All cumulative times '[sec']]] / intermediate_results[[#This Row], [Team4 laps '[laps']]] - intermediate_results[[#This Row], [Total running average '[sec']]]</f>
        <v>-4.2739769085223145E-2</v>
      </c>
      <c r="AH217" s="1">
        <f>intermediate_results[[#This Row], [All cumulative times '[sec']]] / intermediate_results[[#This Row], [Team5 laps '[laps']]] - intermediate_results[[#This Row], [Total running average '[sec']]]</f>
        <v>0.18360291957210961</v>
      </c>
      <c r="AI217" s="1">
        <f>intermediate_results[[#This Row], [All cumulative times '[sec']]] / intermediate_results[[#This Row], [Team6 laps '[laps']]] - intermediate_results[[#This Row], [Total running average '[sec']]]</f>
        <v>0.89862393614115632</v>
      </c>
      <c r="AJ217" s="1">
        <f>intermediate_results[[#This Row], [All cumulative times '[sec']]] / intermediate_results[[#This Row], [Team7 laps '[laps']]] - intermediate_results[[#This Row], [Total running average '[sec']]]</f>
        <v>0.32605153832355427</v>
      </c>
      <c r="AK217" s="1">
        <f>intermediate_results[[#This Row], [All cumulative times '[sec']]] / intermediate_results[[#This Row], [Team8 laps '[laps']]] - intermediate_results[[#This Row], [Total running average '[sec']]]</f>
        <v>1.7663290538684535</v>
      </c>
      <c r="AL217" s="1">
        <f>intermediate_results[[#This Row], [All cumulative times '[sec']]] / intermediate_results[[#This Row], [Team9 laps '[laps']]] - intermediate_results[[#This Row], [Total running average '[sec']]]</f>
        <v>1.6807330412001065</v>
      </c>
    </row>
    <row r="218" spans="1:38" x14ac:dyDescent="0.25">
      <c r="A218" s="1">
        <v>1343.328</v>
      </c>
      <c r="B218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25.487602848393173</v>
      </c>
      <c r="C218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25.303907461738273</v>
      </c>
      <c r="D218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25.000000000000004</v>
      </c>
      <c r="E218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24.587270267222916</v>
      </c>
      <c r="F218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24.480722782166527</v>
      </c>
      <c r="G218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24.163946048457131</v>
      </c>
      <c r="H218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24.35390122011616</v>
      </c>
      <c r="I218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23.793819147626344</v>
      </c>
      <c r="J218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23.825084595139625</v>
      </c>
      <c r="K218" s="1">
        <f>intermediate_results[[#This Row], [Team1 laps '[laps']]] - intermediate_results[[#This Row], [Team1 laps '[laps']]]</f>
        <v>0</v>
      </c>
      <c r="L218" s="1">
        <f>intermediate_results[[#This Row], [Team1 laps '[laps']]] - intermediate_results[[#This Row], [Team2 laps '[laps']]]</f>
        <v>0.18369538665490026</v>
      </c>
      <c r="M218" s="1">
        <f>intermediate_results[[#This Row], [Team1 laps '[laps']]] - intermediate_results[[#This Row], [Team3 laps '[laps']]]</f>
        <v>0.48760284839316981</v>
      </c>
      <c r="N218" s="1">
        <f>intermediate_results[[#This Row], [Team1 laps '[laps']]] - intermediate_results[[#This Row], [Team4 laps '[laps']]]</f>
        <v>0.90033258117025738</v>
      </c>
      <c r="O218" s="1">
        <f>intermediate_results[[#This Row], [Team1 laps '[laps']]] - intermediate_results[[#This Row], [Team5 laps '[laps']]]</f>
        <v>1.0068800662266462</v>
      </c>
      <c r="P218" s="1">
        <f>intermediate_results[[#This Row], [Team1 laps '[laps']]] - intermediate_results[[#This Row], [Team6 laps '[laps']]]</f>
        <v>1.3236567999360425</v>
      </c>
      <c r="Q218" s="1">
        <f>intermediate_results[[#This Row], [Team1 laps '[laps']]] - intermediate_results[[#This Row], [Team7 laps '[laps']]]</f>
        <v>1.1337016282770129</v>
      </c>
      <c r="R218" s="1">
        <f>intermediate_results[[#This Row], [Team1 laps '[laps']]] - intermediate_results[[#This Row], [Team8 laps '[laps']]]</f>
        <v>1.6937837007668293</v>
      </c>
      <c r="S218" s="1">
        <f>intermediate_results[[#This Row], [Team1 laps '[laps']]] - intermediate_results[[#This Row], [Team9 laps '[laps']]]</f>
        <v>1.6625182532535483</v>
      </c>
      <c r="T218" s="1">
        <f>MAX(intermediate_results[[#This Row], [Team1 laps '[laps']]:[Team9 laps '[laps']]]) - intermediate_results[[#This Row], [Team1 laps '[laps']]]</f>
        <v>0</v>
      </c>
      <c r="U218" s="1">
        <f>MAX(intermediate_results[[#This Row], [Team1 laps '[laps']]:[Team9 laps '[laps']]]) - intermediate_results[[#This Row], [Team2 laps '[laps']]]</f>
        <v>0.18369538665490026</v>
      </c>
      <c r="V218" s="1">
        <f>MAX(intermediate_results[[#This Row], [Team1 laps '[laps']]:[Team9 laps '[laps']]]) - intermediate_results[[#This Row], [Team3 laps '[laps']]]</f>
        <v>0.48760284839316981</v>
      </c>
      <c r="W218" s="1">
        <f>MAX(intermediate_results[[#This Row], [Team1 laps '[laps']]:[Team9 laps '[laps']]]) - intermediate_results[[#This Row], [Team4 laps '[laps']]]</f>
        <v>0.90033258117025738</v>
      </c>
      <c r="X218" s="1">
        <f>MAX(intermediate_results[[#This Row], [Team1 laps '[laps']]:[Team9 laps '[laps']]]) - intermediate_results[[#This Row], [Team5 laps '[laps']]]</f>
        <v>1.0068800662266462</v>
      </c>
      <c r="Y218" s="1">
        <f>MAX(intermediate_results[[#This Row], [Team1 laps '[laps']]:[Team9 laps '[laps']]]) - intermediate_results[[#This Row], [Team6 laps '[laps']]]</f>
        <v>1.3236567999360425</v>
      </c>
      <c r="Z218" s="1">
        <f>MAX(intermediate_results[[#This Row], [Team1 laps '[laps']]:[Team9 laps '[laps']]]) - intermediate_results[[#This Row], [Team7 laps '[laps']]]</f>
        <v>1.1337016282770129</v>
      </c>
      <c r="AA218" s="1">
        <f>MAX(intermediate_results[[#This Row], [Team1 laps '[laps']]:[Team9 laps '[laps']]]) - intermediate_results[[#This Row], [Team8 laps '[laps']]]</f>
        <v>1.6937837007668293</v>
      </c>
      <c r="AB218" s="1">
        <f>MAX(intermediate_results[[#This Row], [Team1 laps '[laps']]:[Team9 laps '[laps']]]) - intermediate_results[[#This Row], [Team9 laps '[laps']]]</f>
        <v>1.6625182532535483</v>
      </c>
      <c r="AC218" s="1">
        <f>9 * intermediate_results[[#This Row], [All cumulative times '[sec']]] / SUM(intermediate_results[[#This Row], [Team1 laps '[laps']]:[Team9 laps '[laps']]])</f>
        <v>54.706592355685373</v>
      </c>
      <c r="AD218" s="1">
        <f>intermediate_results[[#This Row], [All cumulative times '[sec']]] / intermediate_results[[#This Row], [Team1 laps '[laps']]] - intermediate_results[[#This Row], [Total running average '[sec']]]</f>
        <v>-2.0014396588836831</v>
      </c>
      <c r="AE218" s="1">
        <f>intermediate_results[[#This Row], [All cumulative times '[sec']]] / intermediate_results[[#This Row], [Team2 laps '[laps']]] - intermediate_results[[#This Row], [Total running average '[sec']]]</f>
        <v>-1.6188231235527581</v>
      </c>
      <c r="AF218" s="1">
        <f>intermediate_results[[#This Row], [All cumulative times '[sec']]] / intermediate_results[[#This Row], [Team3 laps '[laps']]] - intermediate_results[[#This Row], [Total running average '[sec']]]</f>
        <v>-0.97347235568538082</v>
      </c>
      <c r="AG218" s="1">
        <f>intermediate_results[[#This Row], [All cumulative times '[sec']]] / intermediate_results[[#This Row], [Team4 laps '[laps']]] - intermediate_results[[#This Row], [Total running average '[sec']]]</f>
        <v>-7.1491126461921795E-2</v>
      </c>
      <c r="AH218" s="1">
        <f>intermediate_results[[#This Row], [All cumulative times '[sec']]] / intermediate_results[[#This Row], [Team5 laps '[laps']]] - intermediate_results[[#This Row], [Total running average '[sec']]]</f>
        <v>0.16629730338033966</v>
      </c>
      <c r="AI218" s="1">
        <f>intermediate_results[[#This Row], [All cumulative times '[sec']]] / intermediate_results[[#This Row], [Team6 laps '[laps']]] - intermediate_results[[#This Row], [Total running average '[sec']]]</f>
        <v>0.88565227630309806</v>
      </c>
      <c r="AJ218" s="1">
        <f>intermediate_results[[#This Row], [All cumulative times '[sec']]] / intermediate_results[[#This Row], [Team7 laps '[laps']]] - intermediate_results[[#This Row], [Total running average '[sec']]]</f>
        <v>0.45204477019817801</v>
      </c>
      <c r="AK218" s="1">
        <f>intermediate_results[[#This Row], [All cumulative times '[sec']]] / intermediate_results[[#This Row], [Team8 laps '[laps']]] - intermediate_results[[#This Row], [Total running average '[sec']]]</f>
        <v>1.7504224541464239</v>
      </c>
      <c r="AL218" s="1">
        <f>intermediate_results[[#This Row], [All cumulative times '[sec']]] / intermediate_results[[#This Row], [Team9 laps '[laps']]] - intermediate_results[[#This Row], [Total running average '[sec']]]</f>
        <v>1.6763344136089557</v>
      </c>
    </row>
    <row r="219" spans="1:38" x14ac:dyDescent="0.25">
      <c r="A219" s="1">
        <v>1353.5630000000001</v>
      </c>
      <c r="B219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25.676419584547844</v>
      </c>
      <c r="C219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25.495169398090187</v>
      </c>
      <c r="D219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25.191867876424723</v>
      </c>
      <c r="E219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24.779606870372465</v>
      </c>
      <c r="F219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24.666594025242894</v>
      </c>
      <c r="G219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24.345350135587811</v>
      </c>
      <c r="H219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24.469103147089282</v>
      </c>
      <c r="I219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23.973844827889479</v>
      </c>
      <c r="J219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24.000000000000004</v>
      </c>
      <c r="K219" s="1">
        <f>intermediate_results[[#This Row], [Team1 laps '[laps']]] - intermediate_results[[#This Row], [Team1 laps '[laps']]]</f>
        <v>0</v>
      </c>
      <c r="L219" s="1">
        <f>intermediate_results[[#This Row], [Team1 laps '[laps']]] - intermediate_results[[#This Row], [Team2 laps '[laps']]]</f>
        <v>0.18125018645765678</v>
      </c>
      <c r="M219" s="1">
        <f>intermediate_results[[#This Row], [Team1 laps '[laps']]] - intermediate_results[[#This Row], [Team3 laps '[laps']]]</f>
        <v>0.48455170812312076</v>
      </c>
      <c r="N219" s="1">
        <f>intermediate_results[[#This Row], [Team1 laps '[laps']]] - intermediate_results[[#This Row], [Team4 laps '[laps']]]</f>
        <v>0.896812714175379</v>
      </c>
      <c r="O219" s="1">
        <f>intermediate_results[[#This Row], [Team1 laps '[laps']]] - intermediate_results[[#This Row], [Team5 laps '[laps']]]</f>
        <v>1.0098255593049501</v>
      </c>
      <c r="P219" s="1">
        <f>intermediate_results[[#This Row], [Team1 laps '[laps']]] - intermediate_results[[#This Row], [Team6 laps '[laps']]]</f>
        <v>1.331069448960033</v>
      </c>
      <c r="Q219" s="1">
        <f>intermediate_results[[#This Row], [Team1 laps '[laps']]] - intermediate_results[[#This Row], [Team7 laps '[laps']]]</f>
        <v>1.2073164374585623</v>
      </c>
      <c r="R219" s="1">
        <f>intermediate_results[[#This Row], [Team1 laps '[laps']]] - intermediate_results[[#This Row], [Team8 laps '[laps']]]</f>
        <v>1.7025747566583647</v>
      </c>
      <c r="S219" s="1">
        <f>intermediate_results[[#This Row], [Team1 laps '[laps']]] - intermediate_results[[#This Row], [Team9 laps '[laps']]]</f>
        <v>1.6764195845478405</v>
      </c>
      <c r="T219" s="1">
        <f>MAX(intermediate_results[[#This Row], [Team1 laps '[laps']]:[Team9 laps '[laps']]]) - intermediate_results[[#This Row], [Team1 laps '[laps']]]</f>
        <v>0</v>
      </c>
      <c r="U219" s="1">
        <f>MAX(intermediate_results[[#This Row], [Team1 laps '[laps']]:[Team9 laps '[laps']]]) - intermediate_results[[#This Row], [Team2 laps '[laps']]]</f>
        <v>0.18125018645765678</v>
      </c>
      <c r="V219" s="1">
        <f>MAX(intermediate_results[[#This Row], [Team1 laps '[laps']]:[Team9 laps '[laps']]]) - intermediate_results[[#This Row], [Team3 laps '[laps']]]</f>
        <v>0.48455170812312076</v>
      </c>
      <c r="W219" s="1">
        <f>MAX(intermediate_results[[#This Row], [Team1 laps '[laps']]:[Team9 laps '[laps']]]) - intermediate_results[[#This Row], [Team4 laps '[laps']]]</f>
        <v>0.896812714175379</v>
      </c>
      <c r="X219" s="1">
        <f>MAX(intermediate_results[[#This Row], [Team1 laps '[laps']]:[Team9 laps '[laps']]]) - intermediate_results[[#This Row], [Team5 laps '[laps']]]</f>
        <v>1.0098255593049501</v>
      </c>
      <c r="Y219" s="1">
        <f>MAX(intermediate_results[[#This Row], [Team1 laps '[laps']]:[Team9 laps '[laps']]]) - intermediate_results[[#This Row], [Team6 laps '[laps']]]</f>
        <v>1.331069448960033</v>
      </c>
      <c r="Z219" s="1">
        <f>MAX(intermediate_results[[#This Row], [Team1 laps '[laps']]:[Team9 laps '[laps']]]) - intermediate_results[[#This Row], [Team7 laps '[laps']]]</f>
        <v>1.2073164374585623</v>
      </c>
      <c r="AA219" s="1">
        <f>MAX(intermediate_results[[#This Row], [Team1 laps '[laps']]:[Team9 laps '[laps']]]) - intermediate_results[[#This Row], [Team8 laps '[laps']]]</f>
        <v>1.7025747566583647</v>
      </c>
      <c r="AB219" s="1">
        <f>MAX(intermediate_results[[#This Row], [Team1 laps '[laps']]:[Team9 laps '[laps']]]) - intermediate_results[[#This Row], [Team9 laps '[laps']]]</f>
        <v>1.6764195845478405</v>
      </c>
      <c r="AC219" s="1">
        <f>9 * intermediate_results[[#This Row], [All cumulative times '[sec']]] / SUM(intermediate_results[[#This Row], [Team1 laps '[laps']]:[Team9 laps '[laps']]])</f>
        <v>54.726769402027777</v>
      </c>
      <c r="AD219" s="1">
        <f>intermediate_results[[#This Row], [All cumulative times '[sec']]] / intermediate_results[[#This Row], [Team1 laps '[laps']]] - intermediate_results[[#This Row], [Total running average '[sec']]]</f>
        <v>-2.0105799215217459</v>
      </c>
      <c r="AE219" s="1">
        <f>intermediate_results[[#This Row], [All cumulative times '[sec']]] / intermediate_results[[#This Row], [Team2 laps '[laps']]] - intermediate_results[[#This Row], [Total running average '[sec']]]</f>
        <v>-1.6358101357836432</v>
      </c>
      <c r="AF219" s="1">
        <f>intermediate_results[[#This Row], [All cumulative times '[sec']]] / intermediate_results[[#This Row], [Team3 laps '[laps']]] - intermediate_results[[#This Row], [Total running average '[sec']]]</f>
        <v>-0.9966130420580015</v>
      </c>
      <c r="AG219" s="1">
        <f>intermediate_results[[#This Row], [All cumulative times '[sec']]] / intermediate_results[[#This Row], [Team4 laps '[laps']]] - intermediate_results[[#This Row], [Total running average '[sec']]]</f>
        <v>-0.10269860539312248</v>
      </c>
      <c r="AH219" s="1">
        <f>intermediate_results[[#This Row], [All cumulative times '[sec']]] / intermediate_results[[#This Row], [Team5 laps '[laps']]] - intermediate_results[[#This Row], [Total running average '[sec']]]</f>
        <v>0.14756787432310858</v>
      </c>
      <c r="AI219" s="1">
        <f>intermediate_results[[#This Row], [All cumulative times '[sec']]] / intermediate_results[[#This Row], [Team6 laps '[laps']]] - intermediate_results[[#This Row], [Total running average '[sec']]]</f>
        <v>0.87165052052548475</v>
      </c>
      <c r="AJ219" s="1">
        <f>intermediate_results[[#This Row], [All cumulative times '[sec']]] / intermediate_results[[#This Row], [Team7 laps '[laps']]] - intermediate_results[[#This Row], [Total running average '[sec']]]</f>
        <v>0.59046032492332756</v>
      </c>
      <c r="AK219" s="1">
        <f>intermediate_results[[#This Row], [All cumulative times '[sec']]] / intermediate_results[[#This Row], [Team8 laps '[laps']]] - intermediate_results[[#This Row], [Total running average '[sec']]]</f>
        <v>1.7332189610136126</v>
      </c>
      <c r="AL219" s="1">
        <f>intermediate_results[[#This Row], [All cumulative times '[sec']]] / intermediate_results[[#This Row], [Team9 laps '[laps']]] - intermediate_results[[#This Row], [Total running average '[sec']]]</f>
        <v>1.6716889313055532</v>
      </c>
    </row>
    <row r="220" spans="1:38" x14ac:dyDescent="0.25">
      <c r="A220" s="1">
        <v>1355.049999999999</v>
      </c>
      <c r="B220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25.703851972106396</v>
      </c>
      <c r="C220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25.522957038476616</v>
      </c>
      <c r="D220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25.219743551289728</v>
      </c>
      <c r="E220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24.807550644567204</v>
      </c>
      <c r="F220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24.693598474530081</v>
      </c>
      <c r="G220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24.371705570620847</v>
      </c>
      <c r="H220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24.485840349376424</v>
      </c>
      <c r="I220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23.999999999999993</v>
      </c>
      <c r="J220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24.026691317693079</v>
      </c>
      <c r="K220" s="1">
        <f>intermediate_results[[#This Row], [Team1 laps '[laps']]] - intermediate_results[[#This Row], [Team1 laps '[laps']]]</f>
        <v>0</v>
      </c>
      <c r="L220" s="1">
        <f>intermediate_results[[#This Row], [Team1 laps '[laps']]] - intermediate_results[[#This Row], [Team2 laps '[laps']]]</f>
        <v>0.18089493362978004</v>
      </c>
      <c r="M220" s="1">
        <f>intermediate_results[[#This Row], [Team1 laps '[laps']]] - intermediate_results[[#This Row], [Team3 laps '[laps']]]</f>
        <v>0.48410842081666772</v>
      </c>
      <c r="N220" s="1">
        <f>intermediate_results[[#This Row], [Team1 laps '[laps']]] - intermediate_results[[#This Row], [Team4 laps '[laps']]]</f>
        <v>0.89630132753919156</v>
      </c>
      <c r="O220" s="1">
        <f>intermediate_results[[#This Row], [Team1 laps '[laps']]] - intermediate_results[[#This Row], [Team5 laps '[laps']]]</f>
        <v>1.0102534975763149</v>
      </c>
      <c r="P220" s="1">
        <f>intermediate_results[[#This Row], [Team1 laps '[laps']]] - intermediate_results[[#This Row], [Team6 laps '[laps']]]</f>
        <v>1.3321464014855486</v>
      </c>
      <c r="Q220" s="1">
        <f>intermediate_results[[#This Row], [Team1 laps '[laps']]] - intermediate_results[[#This Row], [Team7 laps '[laps']]]</f>
        <v>1.2180116227299713</v>
      </c>
      <c r="R220" s="1">
        <f>intermediate_results[[#This Row], [Team1 laps '[laps']]] - intermediate_results[[#This Row], [Team8 laps '[laps']]]</f>
        <v>1.7038519721064027</v>
      </c>
      <c r="S220" s="1">
        <f>intermediate_results[[#This Row], [Team1 laps '[laps']]] - intermediate_results[[#This Row], [Team9 laps '[laps']]]</f>
        <v>1.6771606544133171</v>
      </c>
      <c r="T220" s="1">
        <f>MAX(intermediate_results[[#This Row], [Team1 laps '[laps']]:[Team9 laps '[laps']]]) - intermediate_results[[#This Row], [Team1 laps '[laps']]]</f>
        <v>0</v>
      </c>
      <c r="U220" s="1">
        <f>MAX(intermediate_results[[#This Row], [Team1 laps '[laps']]:[Team9 laps '[laps']]]) - intermediate_results[[#This Row], [Team2 laps '[laps']]]</f>
        <v>0.18089493362978004</v>
      </c>
      <c r="V220" s="1">
        <f>MAX(intermediate_results[[#This Row], [Team1 laps '[laps']]:[Team9 laps '[laps']]]) - intermediate_results[[#This Row], [Team3 laps '[laps']]]</f>
        <v>0.48410842081666772</v>
      </c>
      <c r="W220" s="1">
        <f>MAX(intermediate_results[[#This Row], [Team1 laps '[laps']]:[Team9 laps '[laps']]]) - intermediate_results[[#This Row], [Team4 laps '[laps']]]</f>
        <v>0.89630132753919156</v>
      </c>
      <c r="X220" s="1">
        <f>MAX(intermediate_results[[#This Row], [Team1 laps '[laps']]:[Team9 laps '[laps']]]) - intermediate_results[[#This Row], [Team5 laps '[laps']]]</f>
        <v>1.0102534975763149</v>
      </c>
      <c r="Y220" s="1">
        <f>MAX(intermediate_results[[#This Row], [Team1 laps '[laps']]:[Team9 laps '[laps']]]) - intermediate_results[[#This Row], [Team6 laps '[laps']]]</f>
        <v>1.3321464014855486</v>
      </c>
      <c r="Z220" s="1">
        <f>MAX(intermediate_results[[#This Row], [Team1 laps '[laps']]:[Team9 laps '[laps']]]) - intermediate_results[[#This Row], [Team7 laps '[laps']]]</f>
        <v>1.2180116227299713</v>
      </c>
      <c r="AA220" s="1">
        <f>MAX(intermediate_results[[#This Row], [Team1 laps '[laps']]:[Team9 laps '[laps']]]) - intermediate_results[[#This Row], [Team8 laps '[laps']]]</f>
        <v>1.7038519721064027</v>
      </c>
      <c r="AB220" s="1">
        <f>MAX(intermediate_results[[#This Row], [Team1 laps '[laps']]:[Team9 laps '[laps']]]) - intermediate_results[[#This Row], [Team9 laps '[laps']]]</f>
        <v>1.6771606544133171</v>
      </c>
      <c r="AC220" s="1">
        <f>9 * intermediate_results[[#This Row], [All cumulative times '[sec']]] / SUM(intermediate_results[[#This Row], [Team1 laps '[laps']]:[Team9 laps '[laps']]])</f>
        <v>54.729362672070359</v>
      </c>
      <c r="AD220" s="1">
        <f>intermediate_results[[#This Row], [All cumulative times '[sec']]] / intermediate_results[[#This Row], [Team1 laps '[laps']]] - intermediate_results[[#This Row], [Total running average '[sec']]]</f>
        <v>-2.0115831940960902</v>
      </c>
      <c r="AE220" s="1">
        <f>intermediate_results[[#This Row], [All cumulative times '[sec']]] / intermediate_results[[#This Row], [Team2 laps '[laps']]] - intermediate_results[[#This Row], [Total running average '[sec']]]</f>
        <v>-1.6379439168994381</v>
      </c>
      <c r="AF220" s="1">
        <f>intermediate_results[[#This Row], [All cumulative times '[sec']]] / intermediate_results[[#This Row], [Team3 laps '[laps']]] - intermediate_results[[#This Row], [Total running average '[sec']]]</f>
        <v>-0.99963313520112251</v>
      </c>
      <c r="AG220" s="1">
        <f>intermediate_results[[#This Row], [All cumulative times '[sec']]] / intermediate_results[[#This Row], [Team4 laps '[laps']]] - intermediate_results[[#This Row], [Total running average '[sec']]]</f>
        <v>-0.10688021039484852</v>
      </c>
      <c r="AH220" s="1">
        <f>intermediate_results[[#This Row], [All cumulative times '[sec']]] / intermediate_results[[#This Row], [Team5 laps '[laps']]] - intermediate_results[[#This Row], [Total running average '[sec']]]</f>
        <v>0.14518310940613333</v>
      </c>
      <c r="AI220" s="1">
        <f>intermediate_results[[#This Row], [All cumulative times '[sec']]] / intermediate_results[[#This Row], [Team6 laps '[laps']]] - intermediate_results[[#This Row], [Total running average '[sec']]]</f>
        <v>0.86994678427969774</v>
      </c>
      <c r="AJ220" s="1">
        <f>intermediate_results[[#This Row], [All cumulative times '[sec']]] / intermediate_results[[#This Row], [Team7 laps '[laps']]] - intermediate_results[[#This Row], [Total running average '[sec']]]</f>
        <v>0.61078415015246179</v>
      </c>
      <c r="AK220" s="1">
        <f>intermediate_results[[#This Row], [All cumulative times '[sec']]] / intermediate_results[[#This Row], [Team8 laps '[laps']]] - intermediate_results[[#This Row], [Total running average '[sec']]]</f>
        <v>1.7310539945962873</v>
      </c>
      <c r="AL220" s="1">
        <f>intermediate_results[[#This Row], [All cumulative times '[sec']]] / intermediate_results[[#This Row], [Team9 laps '[laps']]] - intermediate_results[[#This Row], [Total running average '[sec']]]</f>
        <v>1.6683319619032417</v>
      </c>
    </row>
    <row r="221" spans="1:38" x14ac:dyDescent="0.25">
      <c r="A221" s="1">
        <v>1365.2909999999999</v>
      </c>
      <c r="B221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25.892779397114715</v>
      </c>
      <c r="C221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25.714331097116592</v>
      </c>
      <c r="D221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25.41172390521896</v>
      </c>
      <c r="E221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25.000000000000004</v>
      </c>
      <c r="F221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24.879578679742117</v>
      </c>
      <c r="G221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24.553216001134324</v>
      </c>
      <c r="H221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24.601109810454279</v>
      </c>
      <c r="I221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24.181974874282574</v>
      </c>
      <c r="J221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24.210514979088511</v>
      </c>
      <c r="K221" s="1">
        <f>intermediate_results[[#This Row], [Team1 laps '[laps']]] - intermediate_results[[#This Row], [Team1 laps '[laps']]]</f>
        <v>0</v>
      </c>
      <c r="L221" s="1">
        <f>intermediate_results[[#This Row], [Team1 laps '[laps']]] - intermediate_results[[#This Row], [Team2 laps '[laps']]]</f>
        <v>0.17844829999812362</v>
      </c>
      <c r="M221" s="1">
        <f>intermediate_results[[#This Row], [Team1 laps '[laps']]] - intermediate_results[[#This Row], [Team3 laps '[laps']]]</f>
        <v>0.48105549189575569</v>
      </c>
      <c r="N221" s="1">
        <f>intermediate_results[[#This Row], [Team1 laps '[laps']]] - intermediate_results[[#This Row], [Team4 laps '[laps']]]</f>
        <v>0.89277939711471177</v>
      </c>
      <c r="O221" s="1">
        <f>intermediate_results[[#This Row], [Team1 laps '[laps']]] - intermediate_results[[#This Row], [Team5 laps '[laps']]]</f>
        <v>1.0132007173725981</v>
      </c>
      <c r="P221" s="1">
        <f>intermediate_results[[#This Row], [Team1 laps '[laps']]] - intermediate_results[[#This Row], [Team6 laps '[laps']]]</f>
        <v>1.3395633959803916</v>
      </c>
      <c r="Q221" s="1">
        <f>intermediate_results[[#This Row], [Team1 laps '[laps']]] - intermediate_results[[#This Row], [Team7 laps '[laps']]]</f>
        <v>1.2916695866604364</v>
      </c>
      <c r="R221" s="1">
        <f>intermediate_results[[#This Row], [Team1 laps '[laps']]] - intermediate_results[[#This Row], [Team8 laps '[laps']]]</f>
        <v>1.7108045228321416</v>
      </c>
      <c r="S221" s="1">
        <f>intermediate_results[[#This Row], [Team1 laps '[laps']]] - intermediate_results[[#This Row], [Team9 laps '[laps']]]</f>
        <v>1.6822644180262039</v>
      </c>
      <c r="T221" s="1">
        <f>MAX(intermediate_results[[#This Row], [Team1 laps '[laps']]:[Team9 laps '[laps']]]) - intermediate_results[[#This Row], [Team1 laps '[laps']]]</f>
        <v>0</v>
      </c>
      <c r="U221" s="1">
        <f>MAX(intermediate_results[[#This Row], [Team1 laps '[laps']]:[Team9 laps '[laps']]]) - intermediate_results[[#This Row], [Team2 laps '[laps']]]</f>
        <v>0.17844829999812362</v>
      </c>
      <c r="V221" s="1">
        <f>MAX(intermediate_results[[#This Row], [Team1 laps '[laps']]:[Team9 laps '[laps']]]) - intermediate_results[[#This Row], [Team3 laps '[laps']]]</f>
        <v>0.48105549189575569</v>
      </c>
      <c r="W221" s="1">
        <f>MAX(intermediate_results[[#This Row], [Team1 laps '[laps']]:[Team9 laps '[laps']]]) - intermediate_results[[#This Row], [Team4 laps '[laps']]]</f>
        <v>0.89277939711471177</v>
      </c>
      <c r="X221" s="1">
        <f>MAX(intermediate_results[[#This Row], [Team1 laps '[laps']]:[Team9 laps '[laps']]]) - intermediate_results[[#This Row], [Team5 laps '[laps']]]</f>
        <v>1.0132007173725981</v>
      </c>
      <c r="Y221" s="1">
        <f>MAX(intermediate_results[[#This Row], [Team1 laps '[laps']]:[Team9 laps '[laps']]]) - intermediate_results[[#This Row], [Team6 laps '[laps']]]</f>
        <v>1.3395633959803916</v>
      </c>
      <c r="Z221" s="1">
        <f>MAX(intermediate_results[[#This Row], [Team1 laps '[laps']]:[Team9 laps '[laps']]]) - intermediate_results[[#This Row], [Team7 laps '[laps']]]</f>
        <v>1.2916695866604364</v>
      </c>
      <c r="AA221" s="1">
        <f>MAX(intermediate_results[[#This Row], [Team1 laps '[laps']]:[Team9 laps '[laps']]]) - intermediate_results[[#This Row], [Team8 laps '[laps']]]</f>
        <v>1.7108045228321416</v>
      </c>
      <c r="AB221" s="1">
        <f>MAX(intermediate_results[[#This Row], [Team1 laps '[laps']]:[Team9 laps '[laps']]]) - intermediate_results[[#This Row], [Team9 laps '[laps']]]</f>
        <v>1.6822644180262039</v>
      </c>
      <c r="AC221" s="1">
        <f>9 * intermediate_results[[#This Row], [All cumulative times '[sec']]] / SUM(intermediate_results[[#This Row], [Team1 laps '[laps']]:[Team9 laps '[laps']]])</f>
        <v>54.746626019868785</v>
      </c>
      <c r="AD221" s="1">
        <f>intermediate_results[[#This Row], [All cumulative times '[sec']]] / intermediate_results[[#This Row], [Team1 laps '[laps']]] - intermediate_results[[#This Row], [Total running average '[sec']]]</f>
        <v>-2.0179876971656938</v>
      </c>
      <c r="AE221" s="1">
        <f>intermediate_results[[#This Row], [All cumulative times '[sec']]] / intermediate_results[[#This Row], [Team2 laps '[laps']]] - intermediate_results[[#This Row], [Total running average '[sec']]]</f>
        <v>-1.6520697258070172</v>
      </c>
      <c r="AF221" s="1">
        <f>intermediate_results[[#This Row], [All cumulative times '[sec']]] / intermediate_results[[#This Row], [Team3 laps '[laps']]] - intermediate_results[[#This Row], [Total running average '[sec']]]</f>
        <v>-1.019810590412547</v>
      </c>
      <c r="AG221" s="1">
        <f>intermediate_results[[#This Row], [All cumulative times '[sec']]] / intermediate_results[[#This Row], [Team4 laps '[laps']]] - intermediate_results[[#This Row], [Total running average '[sec']]]</f>
        <v>-0.13498601986879777</v>
      </c>
      <c r="AH221" s="1">
        <f>intermediate_results[[#This Row], [All cumulative times '[sec']]] / intermediate_results[[#This Row], [Team5 laps '[laps']]] - intermediate_results[[#This Row], [Total running average '[sec']]]</f>
        <v>0.12934344788072138</v>
      </c>
      <c r="AI221" s="1">
        <f>intermediate_results[[#This Row], [All cumulative times '[sec']]] / intermediate_results[[#This Row], [Team6 laps '[laps']]] - intermediate_results[[#This Row], [Total running average '[sec']]]</f>
        <v>0.85875780996945394</v>
      </c>
      <c r="AJ221" s="1">
        <f>intermediate_results[[#This Row], [All cumulative times '[sec']]] / intermediate_results[[#This Row], [Team7 laps '[laps']]] - intermediate_results[[#This Row], [Total running average '[sec']]]</f>
        <v>0.75050441527189093</v>
      </c>
      <c r="AK221" s="1">
        <f>intermediate_results[[#This Row], [All cumulative times '[sec']]] / intermediate_results[[#This Row], [Team8 laps '[laps']]] - intermediate_results[[#This Row], [Total running average '[sec']]]</f>
        <v>1.7124103945632356</v>
      </c>
      <c r="AL221" s="1">
        <f>intermediate_results[[#This Row], [All cumulative times '[sec']]] / intermediate_results[[#This Row], [Team9 laps '[laps']]] - intermediate_results[[#This Row], [Total running average '[sec']]]</f>
        <v>1.6458547340206167</v>
      </c>
    </row>
    <row r="222" spans="1:38" x14ac:dyDescent="0.25">
      <c r="A222" s="1">
        <v>1371.1030000000001</v>
      </c>
      <c r="B222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26.000000000000007</v>
      </c>
      <c r="C222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25.822940220133429</v>
      </c>
      <c r="D222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25.52067711457709</v>
      </c>
      <c r="E222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25.109086131496468</v>
      </c>
      <c r="F222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24.9851266684827</v>
      </c>
      <c r="G222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24.656227291256798</v>
      </c>
      <c r="H222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24.666527846562516</v>
      </c>
      <c r="I222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24.285249746788217</v>
      </c>
      <c r="J222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24.314839080253453</v>
      </c>
      <c r="K222" s="1">
        <f>intermediate_results[[#This Row], [Team1 laps '[laps']]] - intermediate_results[[#This Row], [Team1 laps '[laps']]]</f>
        <v>0</v>
      </c>
      <c r="L222" s="1">
        <f>intermediate_results[[#This Row], [Team1 laps '[laps']]] - intermediate_results[[#This Row], [Team2 laps '[laps']]]</f>
        <v>0.17705977986657828</v>
      </c>
      <c r="M222" s="1">
        <f>intermediate_results[[#This Row], [Team1 laps '[laps']]] - intermediate_results[[#This Row], [Team3 laps '[laps']]]</f>
        <v>0.47932288542291701</v>
      </c>
      <c r="N222" s="1">
        <f>intermediate_results[[#This Row], [Team1 laps '[laps']]] - intermediate_results[[#This Row], [Team4 laps '[laps']]]</f>
        <v>0.89091386850353871</v>
      </c>
      <c r="O222" s="1">
        <f>intermediate_results[[#This Row], [Team1 laps '[laps']]] - intermediate_results[[#This Row], [Team5 laps '[laps']]]</f>
        <v>1.0148733315173075</v>
      </c>
      <c r="P222" s="1">
        <f>intermediate_results[[#This Row], [Team1 laps '[laps']]] - intermediate_results[[#This Row], [Team6 laps '[laps']]]</f>
        <v>1.3437727087432094</v>
      </c>
      <c r="Q222" s="1">
        <f>intermediate_results[[#This Row], [Team1 laps '[laps']]] - intermediate_results[[#This Row], [Team7 laps '[laps']]]</f>
        <v>1.3334721534374907</v>
      </c>
      <c r="R222" s="1">
        <f>intermediate_results[[#This Row], [Team1 laps '[laps']]] - intermediate_results[[#This Row], [Team8 laps '[laps']]]</f>
        <v>1.7147502532117898</v>
      </c>
      <c r="S222" s="1">
        <f>intermediate_results[[#This Row], [Team1 laps '[laps']]] - intermediate_results[[#This Row], [Team9 laps '[laps']]]</f>
        <v>1.6851609197465542</v>
      </c>
      <c r="T222" s="1">
        <f>MAX(intermediate_results[[#This Row], [Team1 laps '[laps']]:[Team9 laps '[laps']]]) - intermediate_results[[#This Row], [Team1 laps '[laps']]]</f>
        <v>0</v>
      </c>
      <c r="U222" s="1">
        <f>MAX(intermediate_results[[#This Row], [Team1 laps '[laps']]:[Team9 laps '[laps']]]) - intermediate_results[[#This Row], [Team2 laps '[laps']]]</f>
        <v>0.17705977986657828</v>
      </c>
      <c r="V222" s="1">
        <f>MAX(intermediate_results[[#This Row], [Team1 laps '[laps']]:[Team9 laps '[laps']]]) - intermediate_results[[#This Row], [Team3 laps '[laps']]]</f>
        <v>0.47932288542291701</v>
      </c>
      <c r="W222" s="1">
        <f>MAX(intermediate_results[[#This Row], [Team1 laps '[laps']]:[Team9 laps '[laps']]]) - intermediate_results[[#This Row], [Team4 laps '[laps']]]</f>
        <v>0.89091386850353871</v>
      </c>
      <c r="X222" s="1">
        <f>MAX(intermediate_results[[#This Row], [Team1 laps '[laps']]:[Team9 laps '[laps']]]) - intermediate_results[[#This Row], [Team5 laps '[laps']]]</f>
        <v>1.0148733315173075</v>
      </c>
      <c r="Y222" s="1">
        <f>MAX(intermediate_results[[#This Row], [Team1 laps '[laps']]:[Team9 laps '[laps']]]) - intermediate_results[[#This Row], [Team6 laps '[laps']]]</f>
        <v>1.3437727087432094</v>
      </c>
      <c r="Z222" s="1">
        <f>MAX(intermediate_results[[#This Row], [Team1 laps '[laps']]:[Team9 laps '[laps']]]) - intermediate_results[[#This Row], [Team7 laps '[laps']]]</f>
        <v>1.3334721534374907</v>
      </c>
      <c r="AA222" s="1">
        <f>MAX(intermediate_results[[#This Row], [Team1 laps '[laps']]:[Team9 laps '[laps']]]) - intermediate_results[[#This Row], [Team8 laps '[laps']]]</f>
        <v>1.7147502532117898</v>
      </c>
      <c r="AB222" s="1">
        <f>MAX(intermediate_results[[#This Row], [Team1 laps '[laps']]:[Team9 laps '[laps']]]) - intermediate_results[[#This Row], [Team9 laps '[laps']]]</f>
        <v>1.6851609197465542</v>
      </c>
      <c r="AC222" s="1">
        <f>9 * intermediate_results[[#This Row], [All cumulative times '[sec']]] / SUM(intermediate_results[[#This Row], [Team1 laps '[laps']]:[Team9 laps '[laps']]])</f>
        <v>54.756345796822416</v>
      </c>
      <c r="AD222" s="1">
        <f>intermediate_results[[#This Row], [All cumulative times '[sec']]] / intermediate_results[[#This Row], [Team1 laps '[laps']]] - intermediate_results[[#This Row], [Total running average '[sec']]]</f>
        <v>-2.0216150275916576</v>
      </c>
      <c r="AE222" s="1">
        <f>intermediate_results[[#This Row], [All cumulative times '[sec']]] / intermediate_results[[#This Row], [Team2 laps '[laps']]] - intermediate_results[[#This Row], [Total running average '[sec']]]</f>
        <v>-1.660029563592353</v>
      </c>
      <c r="AF222" s="1">
        <f>intermediate_results[[#This Row], [All cumulative times '[sec']]] / intermediate_results[[#This Row], [Team3 laps '[laps']]] - intermediate_results[[#This Row], [Total running average '[sec']]]</f>
        <v>-1.031164688016986</v>
      </c>
      <c r="AG222" s="1">
        <f>intermediate_results[[#This Row], [All cumulative times '[sec']]] / intermediate_results[[#This Row], [Team4 laps '[laps']]] - intermediate_results[[#This Row], [Total running average '[sec']]]</f>
        <v>-0.15049543574102842</v>
      </c>
      <c r="AH222" s="1">
        <f>intermediate_results[[#This Row], [All cumulative times '[sec']]] / intermediate_results[[#This Row], [Team5 laps '[laps']]] - intermediate_results[[#This Row], [Total running average '[sec']]]</f>
        <v>0.12042221770871464</v>
      </c>
      <c r="AI222" s="1">
        <f>intermediate_results[[#This Row], [All cumulative times '[sec']]] / intermediate_results[[#This Row], [Team6 laps '[laps']]] - intermediate_results[[#This Row], [Total running average '[sec']]]</f>
        <v>0.85244559707420819</v>
      </c>
      <c r="AJ222" s="1">
        <f>intermediate_results[[#This Row], [All cumulative times '[sec']]] / intermediate_results[[#This Row], [Team7 laps '[laps']]] - intermediate_results[[#This Row], [Total running average '[sec']]]</f>
        <v>0.82922378674078345</v>
      </c>
      <c r="AK222" s="1">
        <f>intermediate_results[[#This Row], [All cumulative times '[sec']]] / intermediate_results[[#This Row], [Team8 laps '[laps']]] - intermediate_results[[#This Row], [Total running average '[sec']]]</f>
        <v>1.7019164939053866</v>
      </c>
      <c r="AL222" s="1">
        <f>intermediate_results[[#This Row], [All cumulative times '[sec']]] / intermediate_results[[#This Row], [Team9 laps '[laps']]] - intermediate_results[[#This Row], [Total running average '[sec']]]</f>
        <v>1.633211027902739</v>
      </c>
    </row>
    <row r="223" spans="1:38" x14ac:dyDescent="0.25">
      <c r="A223" s="1">
        <v>1371.922</v>
      </c>
      <c r="B223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26.015609514370674</v>
      </c>
      <c r="C223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25.838244912451184</v>
      </c>
      <c r="D223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25.536030293941216</v>
      </c>
      <c r="E223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25.124458041629918</v>
      </c>
      <c r="F223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24.999999999999996</v>
      </c>
      <c r="G223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24.67074316300668</v>
      </c>
      <c r="H223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24.675746251857188</v>
      </c>
      <c r="I223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24.299802761341233</v>
      </c>
      <c r="J223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24.329539947227659</v>
      </c>
      <c r="K223" s="1">
        <f>intermediate_results[[#This Row], [Team1 laps '[laps']]] - intermediate_results[[#This Row], [Team1 laps '[laps']]]</f>
        <v>0</v>
      </c>
      <c r="L223" s="1">
        <f>intermediate_results[[#This Row], [Team1 laps '[laps']]] - intermediate_results[[#This Row], [Team2 laps '[laps']]]</f>
        <v>0.17736460191948922</v>
      </c>
      <c r="M223" s="1">
        <f>intermediate_results[[#This Row], [Team1 laps '[laps']]] - intermediate_results[[#This Row], [Team3 laps '[laps']]]</f>
        <v>0.47957922042945711</v>
      </c>
      <c r="N223" s="1">
        <f>intermediate_results[[#This Row], [Team1 laps '[laps']]] - intermediate_results[[#This Row], [Team4 laps '[laps']]]</f>
        <v>0.89115147274075568</v>
      </c>
      <c r="O223" s="1">
        <f>intermediate_results[[#This Row], [Team1 laps '[laps']]] - intermediate_results[[#This Row], [Team5 laps '[laps']]]</f>
        <v>1.0156095143706771</v>
      </c>
      <c r="P223" s="1">
        <f>intermediate_results[[#This Row], [Team1 laps '[laps']]] - intermediate_results[[#This Row], [Team6 laps '[laps']]]</f>
        <v>1.3448663513639936</v>
      </c>
      <c r="Q223" s="1">
        <f>intermediate_results[[#This Row], [Team1 laps '[laps']]] - intermediate_results[[#This Row], [Team7 laps '[laps']]]</f>
        <v>1.3398632625134859</v>
      </c>
      <c r="R223" s="1">
        <f>intermediate_results[[#This Row], [Team1 laps '[laps']]] - intermediate_results[[#This Row], [Team8 laps '[laps']]]</f>
        <v>1.7158067530294403</v>
      </c>
      <c r="S223" s="1">
        <f>intermediate_results[[#This Row], [Team1 laps '[laps']]] - intermediate_results[[#This Row], [Team9 laps '[laps']]]</f>
        <v>1.686069567143015</v>
      </c>
      <c r="T223" s="1">
        <f>MAX(intermediate_results[[#This Row], [Team1 laps '[laps']]:[Team9 laps '[laps']]]) - intermediate_results[[#This Row], [Team1 laps '[laps']]]</f>
        <v>0</v>
      </c>
      <c r="U223" s="1">
        <f>MAX(intermediate_results[[#This Row], [Team1 laps '[laps']]:[Team9 laps '[laps']]]) - intermediate_results[[#This Row], [Team2 laps '[laps']]]</f>
        <v>0.17736460191948922</v>
      </c>
      <c r="V223" s="1">
        <f>MAX(intermediate_results[[#This Row], [Team1 laps '[laps']]:[Team9 laps '[laps']]]) - intermediate_results[[#This Row], [Team3 laps '[laps']]]</f>
        <v>0.47957922042945711</v>
      </c>
      <c r="W223" s="1">
        <f>MAX(intermediate_results[[#This Row], [Team1 laps '[laps']]:[Team9 laps '[laps']]]) - intermediate_results[[#This Row], [Team4 laps '[laps']]]</f>
        <v>0.89115147274075568</v>
      </c>
      <c r="X223" s="1">
        <f>MAX(intermediate_results[[#This Row], [Team1 laps '[laps']]:[Team9 laps '[laps']]]) - intermediate_results[[#This Row], [Team5 laps '[laps']]]</f>
        <v>1.0156095143706771</v>
      </c>
      <c r="Y223" s="1">
        <f>MAX(intermediate_results[[#This Row], [Team1 laps '[laps']]:[Team9 laps '[laps']]]) - intermediate_results[[#This Row], [Team6 laps '[laps']]]</f>
        <v>1.3448663513639936</v>
      </c>
      <c r="Z223" s="1">
        <f>MAX(intermediate_results[[#This Row], [Team1 laps '[laps']]:[Team9 laps '[laps']]]) - intermediate_results[[#This Row], [Team7 laps '[laps']]]</f>
        <v>1.3398632625134859</v>
      </c>
      <c r="AA223" s="1">
        <f>MAX(intermediate_results[[#This Row], [Team1 laps '[laps']]:[Team9 laps '[laps']]]) - intermediate_results[[#This Row], [Team8 laps '[laps']]]</f>
        <v>1.7158067530294403</v>
      </c>
      <c r="AB223" s="1">
        <f>MAX(intermediate_results[[#This Row], [Team1 laps '[laps']]:[Team9 laps '[laps']]]) - intermediate_results[[#This Row], [Team9 laps '[laps']]]</f>
        <v>1.686069567143015</v>
      </c>
      <c r="AC223" s="1">
        <f>9 * intermediate_results[[#This Row], [All cumulative times '[sec']]] / SUM(intermediate_results[[#This Row], [Team1 laps '[laps']]:[Team9 laps '[laps']]])</f>
        <v>54.757587581152514</v>
      </c>
      <c r="AD223" s="1">
        <f>intermediate_results[[#This Row], [All cumulative times '[sec']]] / intermediate_results[[#This Row], [Team1 laps '[laps']]] - intermediate_results[[#This Row], [Total running average '[sec']]]</f>
        <v>-2.0230168519074923</v>
      </c>
      <c r="AE223" s="1">
        <f>intermediate_results[[#This Row], [All cumulative times '[sec']]] / intermediate_results[[#This Row], [Team2 laps '[laps']]] - intermediate_results[[#This Row], [Total running average '[sec']]]</f>
        <v>-1.6610245348410757</v>
      </c>
      <c r="AF223" s="1">
        <f>intermediate_results[[#This Row], [All cumulative times '[sec']]] / intermediate_results[[#This Row], [Team3 laps '[laps']]] - intermediate_results[[#This Row], [Total running average '[sec']]]</f>
        <v>-1.0326356521321358</v>
      </c>
      <c r="AG223" s="1">
        <f>intermediate_results[[#This Row], [All cumulative times '[sec']]] / intermediate_results[[#This Row], [Team4 laps '[laps']]] - intermediate_results[[#This Row], [Total running average '[sec']]]</f>
        <v>-0.15254902761250122</v>
      </c>
      <c r="AH223" s="1">
        <f>intermediate_results[[#This Row], [All cumulative times '[sec']]] / intermediate_results[[#This Row], [Team5 laps '[laps']]] - intermediate_results[[#This Row], [Total running average '[sec']]]</f>
        <v>0.11929241884749331</v>
      </c>
      <c r="AI223" s="1">
        <f>intermediate_results[[#This Row], [All cumulative times '[sec']]] / intermediate_results[[#This Row], [Team6 laps '[laps']]] - intermediate_results[[#This Row], [Total running average '[sec']]]</f>
        <v>0.8516817033322539</v>
      </c>
      <c r="AJ223" s="1">
        <f>intermediate_results[[#This Row], [All cumulative times '[sec']]] / intermediate_results[[#This Row], [Team7 laps '[laps']]] - intermediate_results[[#This Row], [Total running average '[sec']]]</f>
        <v>0.84040674077175481</v>
      </c>
      <c r="AK223" s="1">
        <f>intermediate_results[[#This Row], [All cumulative times '[sec']]] / intermediate_results[[#This Row], [Team8 laps '[laps']]] - intermediate_results[[#This Row], [Total running average '[sec']]]</f>
        <v>1.7005661526136961</v>
      </c>
      <c r="AL223" s="1">
        <f>intermediate_results[[#This Row], [All cumulative times '[sec']]] / intermediate_results[[#This Row], [Team9 laps '[laps']]] - intermediate_results[[#This Row], [Total running average '[sec']]]</f>
        <v>1.6315592327941246</v>
      </c>
    </row>
    <row r="224" spans="1:38" x14ac:dyDescent="0.25">
      <c r="A224" s="1">
        <v>1380.578</v>
      </c>
      <c r="B224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26.180586262102622</v>
      </c>
      <c r="C224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26.000000000000004</v>
      </c>
      <c r="D224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25.698297840431916</v>
      </c>
      <c r="E224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25.286923553370002</v>
      </c>
      <c r="F224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25.159867023732566</v>
      </c>
      <c r="G224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24.824161216568296</v>
      </c>
      <c r="H224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24.773175453604072</v>
      </c>
      <c r="I224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24.45361337669031</v>
      </c>
      <c r="J224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24.484913212830502</v>
      </c>
      <c r="K224" s="1">
        <f>intermediate_results[[#This Row], [Team1 laps '[laps']]] - intermediate_results[[#This Row], [Team1 laps '[laps']]]</f>
        <v>0</v>
      </c>
      <c r="L224" s="1">
        <f>intermediate_results[[#This Row], [Team1 laps '[laps']]] - intermediate_results[[#This Row], [Team2 laps '[laps']]]</f>
        <v>0.18058626210261863</v>
      </c>
      <c r="M224" s="1">
        <f>intermediate_results[[#This Row], [Team1 laps '[laps']]] - intermediate_results[[#This Row], [Team3 laps '[laps']]]</f>
        <v>0.48228842167070596</v>
      </c>
      <c r="N224" s="1">
        <f>intermediate_results[[#This Row], [Team1 laps '[laps']]] - intermediate_results[[#This Row], [Team4 laps '[laps']]]</f>
        <v>0.8936627087326201</v>
      </c>
      <c r="O224" s="1">
        <f>intermediate_results[[#This Row], [Team1 laps '[laps']]] - intermediate_results[[#This Row], [Team5 laps '[laps']]]</f>
        <v>1.0207192383700558</v>
      </c>
      <c r="P224" s="1">
        <f>intermediate_results[[#This Row], [Team1 laps '[laps']]] - intermediate_results[[#This Row], [Team6 laps '[laps']]]</f>
        <v>1.3564250455343263</v>
      </c>
      <c r="Q224" s="1">
        <f>intermediate_results[[#This Row], [Team1 laps '[laps']]] - intermediate_results[[#This Row], [Team7 laps '[laps']]]</f>
        <v>1.4074108084985504</v>
      </c>
      <c r="R224" s="1">
        <f>intermediate_results[[#This Row], [Team1 laps '[laps']]] - intermediate_results[[#This Row], [Team8 laps '[laps']]]</f>
        <v>1.7269728854123123</v>
      </c>
      <c r="S224" s="1">
        <f>intermediate_results[[#This Row], [Team1 laps '[laps']]] - intermediate_results[[#This Row], [Team9 laps '[laps']]]</f>
        <v>1.6956730492721199</v>
      </c>
      <c r="T224" s="1">
        <f>MAX(intermediate_results[[#This Row], [Team1 laps '[laps']]:[Team9 laps '[laps']]]) - intermediate_results[[#This Row], [Team1 laps '[laps']]]</f>
        <v>0</v>
      </c>
      <c r="U224" s="1">
        <f>MAX(intermediate_results[[#This Row], [Team1 laps '[laps']]:[Team9 laps '[laps']]]) - intermediate_results[[#This Row], [Team2 laps '[laps']]]</f>
        <v>0.18058626210261863</v>
      </c>
      <c r="V224" s="1">
        <f>MAX(intermediate_results[[#This Row], [Team1 laps '[laps']]:[Team9 laps '[laps']]]) - intermediate_results[[#This Row], [Team3 laps '[laps']]]</f>
        <v>0.48228842167070596</v>
      </c>
      <c r="W224" s="1">
        <f>MAX(intermediate_results[[#This Row], [Team1 laps '[laps']]:[Team9 laps '[laps']]]) - intermediate_results[[#This Row], [Team4 laps '[laps']]]</f>
        <v>0.8936627087326201</v>
      </c>
      <c r="X224" s="1">
        <f>MAX(intermediate_results[[#This Row], [Team1 laps '[laps']]:[Team9 laps '[laps']]]) - intermediate_results[[#This Row], [Team5 laps '[laps']]]</f>
        <v>1.0207192383700558</v>
      </c>
      <c r="Y224" s="1">
        <f>MAX(intermediate_results[[#This Row], [Team1 laps '[laps']]:[Team9 laps '[laps']]]) - intermediate_results[[#This Row], [Team6 laps '[laps']]]</f>
        <v>1.3564250455343263</v>
      </c>
      <c r="Z224" s="1">
        <f>MAX(intermediate_results[[#This Row], [Team1 laps '[laps']]:[Team9 laps '[laps']]]) - intermediate_results[[#This Row], [Team7 laps '[laps']]]</f>
        <v>1.4074108084985504</v>
      </c>
      <c r="AA224" s="1">
        <f>MAX(intermediate_results[[#This Row], [Team1 laps '[laps']]:[Team9 laps '[laps']]]) - intermediate_results[[#This Row], [Team8 laps '[laps']]]</f>
        <v>1.7269728854123123</v>
      </c>
      <c r="AB224" s="1">
        <f>MAX(intermediate_results[[#This Row], [Team1 laps '[laps']]:[Team9 laps '[laps']]]) - intermediate_results[[#This Row], [Team9 laps '[laps']]]</f>
        <v>1.6956730492721199</v>
      </c>
      <c r="AC224" s="1">
        <f>9 * intermediate_results[[#This Row], [All cumulative times '[sec']]] / SUM(intermediate_results[[#This Row], [Team1 laps '[laps']]:[Team9 laps '[laps']]])</f>
        <v>54.769980459723769</v>
      </c>
      <c r="AD224" s="1">
        <f>intermediate_results[[#This Row], [All cumulative times '[sec']]] / intermediate_results[[#This Row], [Team1 laps '[laps']]] - intermediate_results[[#This Row], [Total running average '[sec']]]</f>
        <v>-2.0370895237236724</v>
      </c>
      <c r="AE224" s="1">
        <f>intermediate_results[[#This Row], [All cumulative times '[sec']]] / intermediate_results[[#This Row], [Team2 laps '[laps']]] - intermediate_results[[#This Row], [Total running average '[sec']]]</f>
        <v>-1.670826613569929</v>
      </c>
      <c r="AF224" s="1">
        <f>intermediate_results[[#This Row], [All cumulative times '[sec']]] / intermediate_results[[#This Row], [Team3 laps '[laps']]] - intermediate_results[[#This Row], [Total running average '[sec']]]</f>
        <v>-1.0474339870972997</v>
      </c>
      <c r="AG224" s="1">
        <f>intermediate_results[[#This Row], [All cumulative times '[sec']]] / intermediate_results[[#This Row], [Team4 laps '[laps']]] - intermediate_results[[#This Row], [Total running average '[sec']]]</f>
        <v>-0.17346154803474434</v>
      </c>
      <c r="AH224" s="1">
        <f>intermediate_results[[#This Row], [All cumulative times '[sec']]] / intermediate_results[[#This Row], [Team5 laps '[laps']]] - intermediate_results[[#This Row], [Total running average '[sec']]]</f>
        <v>0.10224913901541299</v>
      </c>
      <c r="AI224" s="1">
        <f>intermediate_results[[#This Row], [All cumulative times '[sec']]] / intermediate_results[[#This Row], [Team6 laps '[laps']]] - intermediate_results[[#This Row], [Total running average '[sec']]]</f>
        <v>0.84430547548704737</v>
      </c>
      <c r="AJ224" s="1">
        <f>intermediate_results[[#This Row], [All cumulative times '[sec']]] / intermediate_results[[#This Row], [Team7 laps '[laps']]] - intermediate_results[[#This Row], [Total running average '[sec']]]</f>
        <v>0.95876544067914438</v>
      </c>
      <c r="AK224" s="1">
        <f>intermediate_results[[#This Row], [All cumulative times '[sec']]] / intermediate_results[[#This Row], [Team8 laps '[laps']]] - intermediate_results[[#This Row], [Total running average '[sec']]]</f>
        <v>1.6870338364127448</v>
      </c>
      <c r="AL224" s="1">
        <f>intermediate_results[[#This Row], [All cumulative times '[sec']]] / intermediate_results[[#This Row], [Team9 laps '[laps']]] - intermediate_results[[#This Row], [Total running average '[sec']]]</f>
        <v>1.6148630559377111</v>
      </c>
    </row>
    <row r="225" spans="1:38" x14ac:dyDescent="0.25">
      <c r="A225" s="1">
        <v>1390.499</v>
      </c>
      <c r="B225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26.369672943508434</v>
      </c>
      <c r="C225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26.187284088120368</v>
      </c>
      <c r="D225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25.88427939412118</v>
      </c>
      <c r="E225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25.473132003228294</v>
      </c>
      <c r="F225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25.343097238895552</v>
      </c>
      <c r="G225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24.999999999999996</v>
      </c>
      <c r="H225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24.884843095763362</v>
      </c>
      <c r="I225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24.629902091440563</v>
      </c>
      <c r="J225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24.662992945737827</v>
      </c>
      <c r="K225" s="1">
        <f>intermediate_results[[#This Row], [Team1 laps '[laps']]] - intermediate_results[[#This Row], [Team1 laps '[laps']]]</f>
        <v>0</v>
      </c>
      <c r="L225" s="1">
        <f>intermediate_results[[#This Row], [Team1 laps '[laps']]] - intermediate_results[[#This Row], [Team2 laps '[laps']]]</f>
        <v>0.18238885538806571</v>
      </c>
      <c r="M225" s="1">
        <f>intermediate_results[[#This Row], [Team1 laps '[laps']]] - intermediate_results[[#This Row], [Team3 laps '[laps']]]</f>
        <v>0.4853935493872541</v>
      </c>
      <c r="N225" s="1">
        <f>intermediate_results[[#This Row], [Team1 laps '[laps']]] - intermediate_results[[#This Row], [Team4 laps '[laps']]]</f>
        <v>0.89654094028013986</v>
      </c>
      <c r="O225" s="1">
        <f>intermediate_results[[#This Row], [Team1 laps '[laps']]] - intermediate_results[[#This Row], [Team5 laps '[laps']]]</f>
        <v>1.0265757046128812</v>
      </c>
      <c r="P225" s="1">
        <f>intermediate_results[[#This Row], [Team1 laps '[laps']]] - intermediate_results[[#This Row], [Team6 laps '[laps']]]</f>
        <v>1.3696729435084372</v>
      </c>
      <c r="Q225" s="1">
        <f>intermediate_results[[#This Row], [Team1 laps '[laps']]] - intermediate_results[[#This Row], [Team7 laps '[laps']]]</f>
        <v>1.4848298477450719</v>
      </c>
      <c r="R225" s="1">
        <f>intermediate_results[[#This Row], [Team1 laps '[laps']]] - intermediate_results[[#This Row], [Team8 laps '[laps']]]</f>
        <v>1.7397708520678705</v>
      </c>
      <c r="S225" s="1">
        <f>intermediate_results[[#This Row], [Team1 laps '[laps']]] - intermediate_results[[#This Row], [Team9 laps '[laps']]]</f>
        <v>1.7066799977706069</v>
      </c>
      <c r="T225" s="1">
        <f>MAX(intermediate_results[[#This Row], [Team1 laps '[laps']]:[Team9 laps '[laps']]]) - intermediate_results[[#This Row], [Team1 laps '[laps']]]</f>
        <v>0</v>
      </c>
      <c r="U225" s="1">
        <f>MAX(intermediate_results[[#This Row], [Team1 laps '[laps']]:[Team9 laps '[laps']]]) - intermediate_results[[#This Row], [Team2 laps '[laps']]]</f>
        <v>0.18238885538806571</v>
      </c>
      <c r="V225" s="1">
        <f>MAX(intermediate_results[[#This Row], [Team1 laps '[laps']]:[Team9 laps '[laps']]]) - intermediate_results[[#This Row], [Team3 laps '[laps']]]</f>
        <v>0.4853935493872541</v>
      </c>
      <c r="W225" s="1">
        <f>MAX(intermediate_results[[#This Row], [Team1 laps '[laps']]:[Team9 laps '[laps']]]) - intermediate_results[[#This Row], [Team4 laps '[laps']]]</f>
        <v>0.89654094028013986</v>
      </c>
      <c r="X225" s="1">
        <f>MAX(intermediate_results[[#This Row], [Team1 laps '[laps']]:[Team9 laps '[laps']]]) - intermediate_results[[#This Row], [Team5 laps '[laps']]]</f>
        <v>1.0265757046128812</v>
      </c>
      <c r="Y225" s="1">
        <f>MAX(intermediate_results[[#This Row], [Team1 laps '[laps']]:[Team9 laps '[laps']]]) - intermediate_results[[#This Row], [Team6 laps '[laps']]]</f>
        <v>1.3696729435084372</v>
      </c>
      <c r="Z225" s="1">
        <f>MAX(intermediate_results[[#This Row], [Team1 laps '[laps']]:[Team9 laps '[laps']]]) - intermediate_results[[#This Row], [Team7 laps '[laps']]]</f>
        <v>1.4848298477450719</v>
      </c>
      <c r="AA225" s="1">
        <f>MAX(intermediate_results[[#This Row], [Team1 laps '[laps']]:[Team9 laps '[laps']]]) - intermediate_results[[#This Row], [Team8 laps '[laps']]]</f>
        <v>1.7397708520678705</v>
      </c>
      <c r="AB225" s="1">
        <f>MAX(intermediate_results[[#This Row], [Team1 laps '[laps']]:[Team9 laps '[laps']]]) - intermediate_results[[#This Row], [Team9 laps '[laps']]]</f>
        <v>1.7066799977706069</v>
      </c>
      <c r="AC225" s="1">
        <f>9 * intermediate_results[[#This Row], [All cumulative times '[sec']]] / SUM(intermediate_results[[#This Row], [Team1 laps '[laps']]:[Team9 laps '[laps']]])</f>
        <v>54.783548208760465</v>
      </c>
      <c r="AD225" s="1">
        <f>intermediate_results[[#This Row], [All cumulative times '[sec']]] / intermediate_results[[#This Row], [Team1 laps '[laps']]] - intermediate_results[[#This Row], [Total running average '[sec']]]</f>
        <v>-2.0525567027658198</v>
      </c>
      <c r="AE225" s="1">
        <f>intermediate_results[[#This Row], [All cumulative times '[sec']]] / intermediate_results[[#This Row], [Team2 laps '[laps']]] - intermediate_results[[#This Row], [Total running average '[sec']]]</f>
        <v>-1.6852965794214896</v>
      </c>
      <c r="AF225" s="1">
        <f>intermediate_results[[#This Row], [All cumulative times '[sec']]] / intermediate_results[[#This Row], [Team3 laps '[laps']]] - intermediate_results[[#This Row], [Total running average '[sec']]]</f>
        <v>-1.0637216365048232</v>
      </c>
      <c r="AG225" s="1">
        <f>intermediate_results[[#This Row], [All cumulative times '[sec']]] / intermediate_results[[#This Row], [Team4 laps '[laps']]] - intermediate_results[[#This Row], [Total running average '[sec']]]</f>
        <v>-0.19666035281179006</v>
      </c>
      <c r="AH225" s="1">
        <f>intermediate_results[[#This Row], [All cumulative times '[sec']]] / intermediate_results[[#This Row], [Team5 laps '[laps']]] - intermediate_results[[#This Row], [Total running average '[sec']]]</f>
        <v>8.342353082308307E-2</v>
      </c>
      <c r="AI225" s="1">
        <f>intermediate_results[[#This Row], [All cumulative times '[sec']]] / intermediate_results[[#This Row], [Team6 laps '[laps']]] - intermediate_results[[#This Row], [Total running average '[sec']]]</f>
        <v>0.83641179123954146</v>
      </c>
      <c r="AJ225" s="1">
        <f>intermediate_results[[#This Row], [All cumulative times '[sec']]] / intermediate_results[[#This Row], [Team7 laps '[laps']]] - intermediate_results[[#This Row], [Total running average '[sec']]]</f>
        <v>1.0937982807873112</v>
      </c>
      <c r="AK225" s="1">
        <f>intermediate_results[[#This Row], [All cumulative times '[sec']]] / intermediate_results[[#This Row], [Team8 laps '[laps']]] - intermediate_results[[#This Row], [Total running average '[sec']]]</f>
        <v>1.6721776336589116</v>
      </c>
      <c r="AL225" s="1">
        <f>intermediate_results[[#This Row], [All cumulative times '[sec']]] / intermediate_results[[#This Row], [Team9 laps '[laps']]] - intermediate_results[[#This Row], [Total running average '[sec']]]</f>
        <v>1.5964298036121676</v>
      </c>
    </row>
    <row r="226" spans="1:38" x14ac:dyDescent="0.25">
      <c r="A226" s="1">
        <v>1396.672</v>
      </c>
      <c r="B226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26.487325607989639</v>
      </c>
      <c r="C226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26.303815151114723</v>
      </c>
      <c r="D226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26.000000000000004</v>
      </c>
      <c r="E226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25.588993787420939</v>
      </c>
      <c r="F226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25.45710591929079</v>
      </c>
      <c r="G226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25.111833762092825</v>
      </c>
      <c r="H226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24.954324433839091</v>
      </c>
      <c r="I226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24.739591662668595</v>
      </c>
      <c r="J226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24.773796916228395</v>
      </c>
      <c r="K226" s="1">
        <f>intermediate_results[[#This Row], [Team1 laps '[laps']]] - intermediate_results[[#This Row], [Team1 laps '[laps']]]</f>
        <v>0</v>
      </c>
      <c r="L226" s="1">
        <f>intermediate_results[[#This Row], [Team1 laps '[laps']]] - intermediate_results[[#This Row], [Team2 laps '[laps']]]</f>
        <v>0.18351045687491663</v>
      </c>
      <c r="M226" s="1">
        <f>intermediate_results[[#This Row], [Team1 laps '[laps']]] - intermediate_results[[#This Row], [Team3 laps '[laps']]]</f>
        <v>0.48732560798963576</v>
      </c>
      <c r="N226" s="1">
        <f>intermediate_results[[#This Row], [Team1 laps '[laps']]] - intermediate_results[[#This Row], [Team4 laps '[laps']]]</f>
        <v>0.89833182056869987</v>
      </c>
      <c r="O226" s="1">
        <f>intermediate_results[[#This Row], [Team1 laps '[laps']]] - intermediate_results[[#This Row], [Team5 laps '[laps']]]</f>
        <v>1.0302196886988497</v>
      </c>
      <c r="P226" s="1">
        <f>intermediate_results[[#This Row], [Team1 laps '[laps']]] - intermediate_results[[#This Row], [Team6 laps '[laps']]]</f>
        <v>1.3754918458968142</v>
      </c>
      <c r="Q226" s="1">
        <f>intermediate_results[[#This Row], [Team1 laps '[laps']]] - intermediate_results[[#This Row], [Team7 laps '[laps']]]</f>
        <v>1.5330011741505487</v>
      </c>
      <c r="R226" s="1">
        <f>intermediate_results[[#This Row], [Team1 laps '[laps']]] - intermediate_results[[#This Row], [Team8 laps '[laps']]]</f>
        <v>1.7477339453210448</v>
      </c>
      <c r="S226" s="1">
        <f>intermediate_results[[#This Row], [Team1 laps '[laps']]] - intermediate_results[[#This Row], [Team9 laps '[laps']]]</f>
        <v>1.713528691761244</v>
      </c>
      <c r="T226" s="1">
        <f>MAX(intermediate_results[[#This Row], [Team1 laps '[laps']]:[Team9 laps '[laps']]]) - intermediate_results[[#This Row], [Team1 laps '[laps']]]</f>
        <v>0</v>
      </c>
      <c r="U226" s="1">
        <f>MAX(intermediate_results[[#This Row], [Team1 laps '[laps']]:[Team9 laps '[laps']]]) - intermediate_results[[#This Row], [Team2 laps '[laps']]]</f>
        <v>0.18351045687491663</v>
      </c>
      <c r="V226" s="1">
        <f>MAX(intermediate_results[[#This Row], [Team1 laps '[laps']]:[Team9 laps '[laps']]]) - intermediate_results[[#This Row], [Team3 laps '[laps']]]</f>
        <v>0.48732560798963576</v>
      </c>
      <c r="W226" s="1">
        <f>MAX(intermediate_results[[#This Row], [Team1 laps '[laps']]:[Team9 laps '[laps']]]) - intermediate_results[[#This Row], [Team4 laps '[laps']]]</f>
        <v>0.89833182056869987</v>
      </c>
      <c r="X226" s="1">
        <f>MAX(intermediate_results[[#This Row], [Team1 laps '[laps']]:[Team9 laps '[laps']]]) - intermediate_results[[#This Row], [Team5 laps '[laps']]]</f>
        <v>1.0302196886988497</v>
      </c>
      <c r="Y226" s="1">
        <f>MAX(intermediate_results[[#This Row], [Team1 laps '[laps']]:[Team9 laps '[laps']]]) - intermediate_results[[#This Row], [Team6 laps '[laps']]]</f>
        <v>1.3754918458968142</v>
      </c>
      <c r="Z226" s="1">
        <f>MAX(intermediate_results[[#This Row], [Team1 laps '[laps']]:[Team9 laps '[laps']]]) - intermediate_results[[#This Row], [Team7 laps '[laps']]]</f>
        <v>1.5330011741505487</v>
      </c>
      <c r="AA226" s="1">
        <f>MAX(intermediate_results[[#This Row], [Team1 laps '[laps']]:[Team9 laps '[laps']]]) - intermediate_results[[#This Row], [Team8 laps '[laps']]]</f>
        <v>1.7477339453210448</v>
      </c>
      <c r="AB226" s="1">
        <f>MAX(intermediate_results[[#This Row], [Team1 laps '[laps']]:[Team9 laps '[laps']]]) - intermediate_results[[#This Row], [Team9 laps '[laps']]]</f>
        <v>1.713528691761244</v>
      </c>
      <c r="AC226" s="1">
        <f>9 * intermediate_results[[#This Row], [All cumulative times '[sec']]] / SUM(intermediate_results[[#This Row], [Team1 laps '[laps']]:[Team9 laps '[laps']]])</f>
        <v>54.791317371273017</v>
      </c>
      <c r="AD226" s="1">
        <f>intermediate_results[[#This Row], [All cumulative times '[sec']]] / intermediate_results[[#This Row], [Team1 laps '[laps']]] - intermediate_results[[#This Row], [Total running average '[sec']]]</f>
        <v>-2.0614940334760234</v>
      </c>
      <c r="AE226" s="1">
        <f>intermediate_results[[#This Row], [All cumulative times '[sec']]] / intermediate_results[[#This Row], [Team2 laps '[laps']]] - intermediate_results[[#This Row], [Total running average '[sec']]]</f>
        <v>-1.6936206312314539</v>
      </c>
      <c r="AF226" s="1">
        <f>intermediate_results[[#This Row], [All cumulative times '[sec']]] / intermediate_results[[#This Row], [Team3 laps '[laps']]] - intermediate_results[[#This Row], [Total running average '[sec']]]</f>
        <v>-1.0731635251191776</v>
      </c>
      <c r="AG226" s="1">
        <f>intermediate_results[[#This Row], [All cumulative times '[sec']]] / intermediate_results[[#This Row], [Team4 laps '[laps']]] - intermediate_results[[#This Row], [Total running average '[sec']]]</f>
        <v>-0.21035136679584099</v>
      </c>
      <c r="AH226" s="1">
        <f>intermediate_results[[#This Row], [All cumulative times '[sec']]] / intermediate_results[[#This Row], [Team5 laps '[laps']]] - intermediate_results[[#This Row], [Total running average '[sec']]]</f>
        <v>7.242104534076077E-2</v>
      </c>
      <c r="AI226" s="1">
        <f>intermediate_results[[#This Row], [All cumulative times '[sec']]] / intermediate_results[[#This Row], [Team6 laps '[laps']]] - intermediate_results[[#This Row], [Total running average '[sec']]]</f>
        <v>0.82676345993750289</v>
      </c>
      <c r="AJ226" s="1">
        <f>intermediate_results[[#This Row], [All cumulative times '[sec']]] / intermediate_results[[#This Row], [Team7 laps '[laps']]] - intermediate_results[[#This Row], [Total running average '[sec']]]</f>
        <v>1.1778195093093018</v>
      </c>
      <c r="AK226" s="1">
        <f>intermediate_results[[#This Row], [All cumulative times '[sec']]] / intermediate_results[[#This Row], [Team8 laps '[laps']]] - intermediate_results[[#This Row], [Total running average '[sec']]]</f>
        <v>1.663616042504465</v>
      </c>
      <c r="AL226" s="1">
        <f>intermediate_results[[#This Row], [All cumulative times '[sec']]] / intermediate_results[[#This Row], [Team9 laps '[laps']]] - intermediate_results[[#This Row], [Total running average '[sec']]]</f>
        <v>1.5856685515062239</v>
      </c>
    </row>
    <row r="227" spans="1:38" x14ac:dyDescent="0.25">
      <c r="A227" s="1">
        <v>1400.73</v>
      </c>
      <c r="B227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26.564667988107043</v>
      </c>
      <c r="C227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26.380420214071325</v>
      </c>
      <c r="D227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26.076778990785769</v>
      </c>
      <c r="E227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25.665158880609628</v>
      </c>
      <c r="F227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25.532052821128445</v>
      </c>
      <c r="G227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25.185350918511535</v>
      </c>
      <c r="H227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25</v>
      </c>
      <c r="I227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24.811699273237743</v>
      </c>
      <c r="J227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24.84663710936799</v>
      </c>
      <c r="K227" s="1">
        <f>intermediate_results[[#This Row], [Team1 laps '[laps']]] - intermediate_results[[#This Row], [Team1 laps '[laps']]]</f>
        <v>0</v>
      </c>
      <c r="L227" s="1">
        <f>intermediate_results[[#This Row], [Team1 laps '[laps']]] - intermediate_results[[#This Row], [Team2 laps '[laps']]]</f>
        <v>0.18424777403571824</v>
      </c>
      <c r="M227" s="1">
        <f>intermediate_results[[#This Row], [Team1 laps '[laps']]] - intermediate_results[[#This Row], [Team3 laps '[laps']]]</f>
        <v>0.48788899732127433</v>
      </c>
      <c r="N227" s="1">
        <f>intermediate_results[[#This Row], [Team1 laps '[laps']]] - intermediate_results[[#This Row], [Team4 laps '[laps']]]</f>
        <v>0.89950910749741553</v>
      </c>
      <c r="O227" s="1">
        <f>intermediate_results[[#This Row], [Team1 laps '[laps']]] - intermediate_results[[#This Row], [Team5 laps '[laps']]]</f>
        <v>1.0326151669785979</v>
      </c>
      <c r="P227" s="1">
        <f>intermediate_results[[#This Row], [Team1 laps '[laps']]] - intermediate_results[[#This Row], [Team6 laps '[laps']]]</f>
        <v>1.3793170695955084</v>
      </c>
      <c r="Q227" s="1">
        <f>intermediate_results[[#This Row], [Team1 laps '[laps']]] - intermediate_results[[#This Row], [Team7 laps '[laps']]]</f>
        <v>1.5646679881070433</v>
      </c>
      <c r="R227" s="1">
        <f>intermediate_results[[#This Row], [Team1 laps '[laps']]] - intermediate_results[[#This Row], [Team8 laps '[laps']]]</f>
        <v>1.7529687148693007</v>
      </c>
      <c r="S227" s="1">
        <f>intermediate_results[[#This Row], [Team1 laps '[laps']]] - intermediate_results[[#This Row], [Team9 laps '[laps']]]</f>
        <v>1.7180308787390537</v>
      </c>
      <c r="T227" s="1">
        <f>MAX(intermediate_results[[#This Row], [Team1 laps '[laps']]:[Team9 laps '[laps']]]) - intermediate_results[[#This Row], [Team1 laps '[laps']]]</f>
        <v>0</v>
      </c>
      <c r="U227" s="1">
        <f>MAX(intermediate_results[[#This Row], [Team1 laps '[laps']]:[Team9 laps '[laps']]]) - intermediate_results[[#This Row], [Team2 laps '[laps']]]</f>
        <v>0.18424777403571824</v>
      </c>
      <c r="V227" s="1">
        <f>MAX(intermediate_results[[#This Row], [Team1 laps '[laps']]:[Team9 laps '[laps']]]) - intermediate_results[[#This Row], [Team3 laps '[laps']]]</f>
        <v>0.48788899732127433</v>
      </c>
      <c r="W227" s="1">
        <f>MAX(intermediate_results[[#This Row], [Team1 laps '[laps']]:[Team9 laps '[laps']]]) - intermediate_results[[#This Row], [Team4 laps '[laps']]]</f>
        <v>0.89950910749741553</v>
      </c>
      <c r="X227" s="1">
        <f>MAX(intermediate_results[[#This Row], [Team1 laps '[laps']]:[Team9 laps '[laps']]]) - intermediate_results[[#This Row], [Team5 laps '[laps']]]</f>
        <v>1.0326151669785979</v>
      </c>
      <c r="Y227" s="1">
        <f>MAX(intermediate_results[[#This Row], [Team1 laps '[laps']]:[Team9 laps '[laps']]]) - intermediate_results[[#This Row], [Team6 laps '[laps']]]</f>
        <v>1.3793170695955084</v>
      </c>
      <c r="Z227" s="1">
        <f>MAX(intermediate_results[[#This Row], [Team1 laps '[laps']]:[Team9 laps '[laps']]]) - intermediate_results[[#This Row], [Team7 laps '[laps']]]</f>
        <v>1.5646679881070433</v>
      </c>
      <c r="AA227" s="1">
        <f>MAX(intermediate_results[[#This Row], [Team1 laps '[laps']]:[Team9 laps '[laps']]]) - intermediate_results[[#This Row], [Team8 laps '[laps']]]</f>
        <v>1.7529687148693007</v>
      </c>
      <c r="AB227" s="1">
        <f>MAX(intermediate_results[[#This Row], [Team1 laps '[laps']]:[Team9 laps '[laps']]]) - intermediate_results[[#This Row], [Team9 laps '[laps']]]</f>
        <v>1.7180308787390537</v>
      </c>
      <c r="AC227" s="1">
        <f>9 * intermediate_results[[#This Row], [All cumulative times '[sec']]] / SUM(intermediate_results[[#This Row], [Team1 laps '[laps']]:[Team9 laps '[laps']]])</f>
        <v>54.796220216138032</v>
      </c>
      <c r="AD227" s="1">
        <f>intermediate_results[[#This Row], [All cumulative times '[sec']]] / intermediate_results[[#This Row], [Team1 laps '[laps']]] - intermediate_results[[#This Row], [Total running average '[sec']]]</f>
        <v>-2.0671591705753869</v>
      </c>
      <c r="AE227" s="1">
        <f>intermediate_results[[#This Row], [All cumulative times '[sec']]] / intermediate_results[[#This Row], [Team2 laps '[laps']]] - intermediate_results[[#This Row], [Total running average '[sec']]]</f>
        <v>-1.6988855780472321</v>
      </c>
      <c r="AF227" s="1">
        <f>intermediate_results[[#This Row], [All cumulative times '[sec']]] / intermediate_results[[#This Row], [Team3 laps '[laps']]] - intermediate_results[[#This Row], [Total running average '[sec']]]</f>
        <v>-1.0806136799570112</v>
      </c>
      <c r="AG227" s="1">
        <f>intermediate_results[[#This Row], [All cumulative times '[sec']]] / intermediate_results[[#This Row], [Team4 laps '[laps']]] - intermediate_results[[#This Row], [Total running average '[sec']]]</f>
        <v>-0.21911798521163917</v>
      </c>
      <c r="AH227" s="1">
        <f>intermediate_results[[#This Row], [All cumulative times '[sec']]] / intermediate_results[[#This Row], [Team5 laps '[laps']]] - intermediate_results[[#This Row], [Total running average '[sec']]]</f>
        <v>6.5408412518848991E-2</v>
      </c>
      <c r="AI227" s="1">
        <f>intermediate_results[[#This Row], [All cumulative times '[sec']]] / intermediate_results[[#This Row], [Team6 laps '[laps']]] - intermediate_results[[#This Row], [Total running average '[sec']]]</f>
        <v>0.82063438049364379</v>
      </c>
      <c r="AJ227" s="1">
        <f>intermediate_results[[#This Row], [All cumulative times '[sec']]] / intermediate_results[[#This Row], [Team7 laps '[laps']]] - intermediate_results[[#This Row], [Total running average '[sec']]]</f>
        <v>1.2329797838619712</v>
      </c>
      <c r="AK227" s="1">
        <f>intermediate_results[[#This Row], [All cumulative times '[sec']]] / intermediate_results[[#This Row], [Team8 laps '[laps']]] - intermediate_results[[#This Row], [Total running average '[sec']]]</f>
        <v>1.6581960886270224</v>
      </c>
      <c r="AL227" s="1">
        <f>intermediate_results[[#This Row], [All cumulative times '[sec']]] / intermediate_results[[#This Row], [Team9 laps '[laps']]] - intermediate_results[[#This Row], [Total running average '[sec']]]</f>
        <v>1.5788133078908331</v>
      </c>
    </row>
    <row r="228" spans="1:38" x14ac:dyDescent="0.25">
      <c r="A228" s="1">
        <v>1409.2739999999999</v>
      </c>
      <c r="B228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26.72751010139514</v>
      </c>
      <c r="C228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26.541709927699021</v>
      </c>
      <c r="D228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26.238434904357369</v>
      </c>
      <c r="E228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25.825522250793</v>
      </c>
      <c r="F228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25.689851325145437</v>
      </c>
      <c r="G228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25.340139135475916</v>
      </c>
      <c r="H228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25.159892207500558</v>
      </c>
      <c r="I228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24.963519732750509</v>
      </c>
      <c r="J228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25</v>
      </c>
      <c r="K228" s="1">
        <f>intermediate_results[[#This Row], [Team1 laps '[laps']]] - intermediate_results[[#This Row], [Team1 laps '[laps']]]</f>
        <v>0</v>
      </c>
      <c r="L228" s="1">
        <f>intermediate_results[[#This Row], [Team1 laps '[laps']]] - intermediate_results[[#This Row], [Team2 laps '[laps']]]</f>
        <v>0.18580017369611923</v>
      </c>
      <c r="M228" s="1">
        <f>intermediate_results[[#This Row], [Team1 laps '[laps']]] - intermediate_results[[#This Row], [Team3 laps '[laps']]]</f>
        <v>0.48907519703777069</v>
      </c>
      <c r="N228" s="1">
        <f>intermediate_results[[#This Row], [Team1 laps '[laps']]] - intermediate_results[[#This Row], [Team4 laps '[laps']]]</f>
        <v>0.90198785060213993</v>
      </c>
      <c r="O228" s="1">
        <f>intermediate_results[[#This Row], [Team1 laps '[laps']]] - intermediate_results[[#This Row], [Team5 laps '[laps']]]</f>
        <v>1.0376587762497032</v>
      </c>
      <c r="P228" s="1">
        <f>intermediate_results[[#This Row], [Team1 laps '[laps']]] - intermediate_results[[#This Row], [Team6 laps '[laps']]]</f>
        <v>1.3873709659192244</v>
      </c>
      <c r="Q228" s="1">
        <f>intermediate_results[[#This Row], [Team1 laps '[laps']]] - intermediate_results[[#This Row], [Team7 laps '[laps']]]</f>
        <v>1.5676178938945817</v>
      </c>
      <c r="R228" s="1">
        <f>intermediate_results[[#This Row], [Team1 laps '[laps']]] - intermediate_results[[#This Row], [Team8 laps '[laps']]]</f>
        <v>1.763990368644631</v>
      </c>
      <c r="S228" s="1">
        <f>intermediate_results[[#This Row], [Team1 laps '[laps']]] - intermediate_results[[#This Row], [Team9 laps '[laps']]]</f>
        <v>1.7275101013951399</v>
      </c>
      <c r="T228" s="1">
        <f>MAX(intermediate_results[[#This Row], [Team1 laps '[laps']]:[Team9 laps '[laps']]]) - intermediate_results[[#This Row], [Team1 laps '[laps']]]</f>
        <v>0</v>
      </c>
      <c r="U228" s="1">
        <f>MAX(intermediate_results[[#This Row], [Team1 laps '[laps']]:[Team9 laps '[laps']]]) - intermediate_results[[#This Row], [Team2 laps '[laps']]]</f>
        <v>0.18580017369611923</v>
      </c>
      <c r="V228" s="1">
        <f>MAX(intermediate_results[[#This Row], [Team1 laps '[laps']]:[Team9 laps '[laps']]]) - intermediate_results[[#This Row], [Team3 laps '[laps']]]</f>
        <v>0.48907519703777069</v>
      </c>
      <c r="W228" s="1">
        <f>MAX(intermediate_results[[#This Row], [Team1 laps '[laps']]:[Team9 laps '[laps']]]) - intermediate_results[[#This Row], [Team4 laps '[laps']]]</f>
        <v>0.90198785060213993</v>
      </c>
      <c r="X228" s="1">
        <f>MAX(intermediate_results[[#This Row], [Team1 laps '[laps']]:[Team9 laps '[laps']]]) - intermediate_results[[#This Row], [Team5 laps '[laps']]]</f>
        <v>1.0376587762497032</v>
      </c>
      <c r="Y228" s="1">
        <f>MAX(intermediate_results[[#This Row], [Team1 laps '[laps']]:[Team9 laps '[laps']]]) - intermediate_results[[#This Row], [Team6 laps '[laps']]]</f>
        <v>1.3873709659192244</v>
      </c>
      <c r="Z228" s="1">
        <f>MAX(intermediate_results[[#This Row], [Team1 laps '[laps']]:[Team9 laps '[laps']]]) - intermediate_results[[#This Row], [Team7 laps '[laps']]]</f>
        <v>1.5676178938945817</v>
      </c>
      <c r="AA228" s="1">
        <f>MAX(intermediate_results[[#This Row], [Team1 laps '[laps']]:[Team9 laps '[laps']]]) - intermediate_results[[#This Row], [Team8 laps '[laps']]]</f>
        <v>1.763990368644631</v>
      </c>
      <c r="AB228" s="1">
        <f>MAX(intermediate_results[[#This Row], [Team1 laps '[laps']]:[Team9 laps '[laps']]]) - intermediate_results[[#This Row], [Team9 laps '[laps']]]</f>
        <v>1.7275101013951399</v>
      </c>
      <c r="AC228" s="1">
        <f>9 * intermediate_results[[#This Row], [All cumulative times '[sec']]] / SUM(intermediate_results[[#This Row], [Team1 laps '[laps']]:[Team9 laps '[laps']]])</f>
        <v>54.791366405482371</v>
      </c>
      <c r="AD228" s="1">
        <f>intermediate_results[[#This Row], [All cumulative times '[sec']]] / intermediate_results[[#This Row], [Team1 laps '[laps']]] - intermediate_results[[#This Row], [Total running average '[sec']]]</f>
        <v>-2.0638959208135574</v>
      </c>
      <c r="AE228" s="1">
        <f>intermediate_results[[#This Row], [All cumulative times '[sec']]] / intermediate_results[[#This Row], [Team2 laps '[laps']]] - intermediate_results[[#This Row], [Total running average '[sec']]]</f>
        <v>-1.6947873290425122</v>
      </c>
      <c r="AF228" s="1">
        <f>intermediate_results[[#This Row], [All cumulative times '[sec']]] / intermediate_results[[#This Row], [Team3 laps '[laps']]] - intermediate_results[[#This Row], [Total running average '[sec']]]</f>
        <v>-1.0810744182890204</v>
      </c>
      <c r="AG228" s="1">
        <f>intermediate_results[[#This Row], [All cumulative times '[sec']]] / intermediate_results[[#This Row], [Team4 laps '[laps']]] - intermediate_results[[#This Row], [Total running average '[sec']]]</f>
        <v>-0.22232472979170126</v>
      </c>
      <c r="AH228" s="1">
        <f>intermediate_results[[#This Row], [All cumulative times '[sec']]] / intermediate_results[[#This Row], [Team5 laps '[laps']]] - intermediate_results[[#This Row], [Total running average '[sec']]]</f>
        <v>6.5860371092661296E-2</v>
      </c>
      <c r="AI228" s="1">
        <f>intermediate_results[[#This Row], [All cumulative times '[sec']]] / intermediate_results[[#This Row], [Team6 laps '[laps']]] - intermediate_results[[#This Row], [Total running average '[sec']]]</f>
        <v>0.82292965128362283</v>
      </c>
      <c r="AJ228" s="1">
        <f>intermediate_results[[#This Row], [All cumulative times '[sec']]] / intermediate_results[[#This Row], [Team7 laps '[laps']]] - intermediate_results[[#This Row], [Total running average '[sec']]]</f>
        <v>1.221353695912704</v>
      </c>
      <c r="AK228" s="1">
        <f>intermediate_results[[#This Row], [All cumulative times '[sec']]] / intermediate_results[[#This Row], [Team8 laps '[laps']]] - intermediate_results[[#This Row], [Total running average '[sec']]]</f>
        <v>1.6619709078102076</v>
      </c>
      <c r="AL228" s="1">
        <f>intermediate_results[[#This Row], [All cumulative times '[sec']]] / intermediate_results[[#This Row], [Team9 laps '[laps']]] - intermediate_results[[#This Row], [Total running average '[sec']]]</f>
        <v>1.5795935945176254</v>
      </c>
    </row>
    <row r="229" spans="1:38" x14ac:dyDescent="0.25">
      <c r="A229" s="1">
        <v>1411.327</v>
      </c>
      <c r="B229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26.766638713120386</v>
      </c>
      <c r="C229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26.580465520170659</v>
      </c>
      <c r="D229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26.277278489395119</v>
      </c>
      <c r="E229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25.864055256292353</v>
      </c>
      <c r="F229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25.727768030289035</v>
      </c>
      <c r="G229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25.377332512047534</v>
      </c>
      <c r="H229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25.198311999401152</v>
      </c>
      <c r="I229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25.000000000000007</v>
      </c>
      <c r="J229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25.037069136738712</v>
      </c>
      <c r="K229" s="1">
        <f>intermediate_results[[#This Row], [Team1 laps '[laps']]] - intermediate_results[[#This Row], [Team1 laps '[laps']]]</f>
        <v>0</v>
      </c>
      <c r="L229" s="1">
        <f>intermediate_results[[#This Row], [Team1 laps '[laps']]] - intermediate_results[[#This Row], [Team2 laps '[laps']]]</f>
        <v>0.18617319294972745</v>
      </c>
      <c r="M229" s="1">
        <f>intermediate_results[[#This Row], [Team1 laps '[laps']]] - intermediate_results[[#This Row], [Team3 laps '[laps']]]</f>
        <v>0.48936022372526722</v>
      </c>
      <c r="N229" s="1">
        <f>intermediate_results[[#This Row], [Team1 laps '[laps']]] - intermediate_results[[#This Row], [Team4 laps '[laps']]]</f>
        <v>0.90258345682803309</v>
      </c>
      <c r="O229" s="1">
        <f>intermediate_results[[#This Row], [Team1 laps '[laps']]] - intermediate_results[[#This Row], [Team5 laps '[laps']]]</f>
        <v>1.0388706828313516</v>
      </c>
      <c r="P229" s="1">
        <f>intermediate_results[[#This Row], [Team1 laps '[laps']]] - intermediate_results[[#This Row], [Team6 laps '[laps']]]</f>
        <v>1.3893062010728521</v>
      </c>
      <c r="Q229" s="1">
        <f>intermediate_results[[#This Row], [Team1 laps '[laps']]] - intermediate_results[[#This Row], [Team7 laps '[laps']]]</f>
        <v>1.5683267137192338</v>
      </c>
      <c r="R229" s="1">
        <f>intermediate_results[[#This Row], [Team1 laps '[laps']]] - intermediate_results[[#This Row], [Team8 laps '[laps']]]</f>
        <v>1.7666387131203791</v>
      </c>
      <c r="S229" s="1">
        <f>intermediate_results[[#This Row], [Team1 laps '[laps']]] - intermediate_results[[#This Row], [Team9 laps '[laps']]]</f>
        <v>1.7295695763816745</v>
      </c>
      <c r="T229" s="1">
        <f>MAX(intermediate_results[[#This Row], [Team1 laps '[laps']]:[Team9 laps '[laps']]]) - intermediate_results[[#This Row], [Team1 laps '[laps']]]</f>
        <v>0</v>
      </c>
      <c r="U229" s="1">
        <f>MAX(intermediate_results[[#This Row], [Team1 laps '[laps']]:[Team9 laps '[laps']]]) - intermediate_results[[#This Row], [Team2 laps '[laps']]]</f>
        <v>0.18617319294972745</v>
      </c>
      <c r="V229" s="1">
        <f>MAX(intermediate_results[[#This Row], [Team1 laps '[laps']]:[Team9 laps '[laps']]]) - intermediate_results[[#This Row], [Team3 laps '[laps']]]</f>
        <v>0.48936022372526722</v>
      </c>
      <c r="W229" s="1">
        <f>MAX(intermediate_results[[#This Row], [Team1 laps '[laps']]:[Team9 laps '[laps']]]) - intermediate_results[[#This Row], [Team4 laps '[laps']]]</f>
        <v>0.90258345682803309</v>
      </c>
      <c r="X229" s="1">
        <f>MAX(intermediate_results[[#This Row], [Team1 laps '[laps']]:[Team9 laps '[laps']]]) - intermediate_results[[#This Row], [Team5 laps '[laps']]]</f>
        <v>1.0388706828313516</v>
      </c>
      <c r="Y229" s="1">
        <f>MAX(intermediate_results[[#This Row], [Team1 laps '[laps']]:[Team9 laps '[laps']]]) - intermediate_results[[#This Row], [Team6 laps '[laps']]]</f>
        <v>1.3893062010728521</v>
      </c>
      <c r="Z229" s="1">
        <f>MAX(intermediate_results[[#This Row], [Team1 laps '[laps']]:[Team9 laps '[laps']]]) - intermediate_results[[#This Row], [Team7 laps '[laps']]]</f>
        <v>1.5683267137192338</v>
      </c>
      <c r="AA229" s="1">
        <f>MAX(intermediate_results[[#This Row], [Team1 laps '[laps']]:[Team9 laps '[laps']]]) - intermediate_results[[#This Row], [Team8 laps '[laps']]]</f>
        <v>1.7666387131203791</v>
      </c>
      <c r="AB229" s="1">
        <f>MAX(intermediate_results[[#This Row], [Team1 laps '[laps']]:[Team9 laps '[laps']]]) - intermediate_results[[#This Row], [Team9 laps '[laps']]]</f>
        <v>1.7295695763816745</v>
      </c>
      <c r="AC229" s="1">
        <f>9 * intermediate_results[[#This Row], [All cumulative times '[sec']]] / SUM(intermediate_results[[#This Row], [Team1 laps '[laps']]:[Team9 laps '[laps']]])</f>
        <v>54.790157409041534</v>
      </c>
      <c r="AD229" s="1">
        <f>intermediate_results[[#This Row], [All cumulative times '[sec']]] / intermediate_results[[#This Row], [Team1 laps '[laps']]] - intermediate_results[[#This Row], [Total running average '[sec']]]</f>
        <v>-2.0630662293709179</v>
      </c>
      <c r="AE229" s="1">
        <f>intermediate_results[[#This Row], [All cumulative times '[sec']]] / intermediate_results[[#This Row], [Team2 laps '[laps']]] - intermediate_results[[#This Row], [Total running average '[sec']]]</f>
        <v>-1.6937585168170699</v>
      </c>
      <c r="AF229" s="1">
        <f>intermediate_results[[#This Row], [All cumulative times '[sec']]] / intermediate_results[[#This Row], [Team3 laps '[laps']]] - intermediate_results[[#This Row], [Total running average '[sec']]]</f>
        <v>-1.0811326875667504</v>
      </c>
      <c r="AG229" s="1">
        <f>intermediate_results[[#This Row], [All cumulative times '[sec']]] / intermediate_results[[#This Row], [Team4 laps '[laps']]] - intermediate_results[[#This Row], [Total running average '[sec']]]</f>
        <v>-0.22303767414828002</v>
      </c>
      <c r="AH229" s="1">
        <f>intermediate_results[[#This Row], [All cumulative times '[sec']]] / intermediate_results[[#This Row], [Team5 laps '[laps']]] - intermediate_results[[#This Row], [Total running average '[sec']]]</f>
        <v>6.6019712054213642E-2</v>
      </c>
      <c r="AI229" s="1">
        <f>intermediate_results[[#This Row], [All cumulative times '[sec']]] / intermediate_results[[#This Row], [Team6 laps '[laps']]] - intermediate_results[[#This Row], [Total running average '[sec']]]</f>
        <v>0.8235285183502512</v>
      </c>
      <c r="AJ229" s="1">
        <f>intermediate_results[[#This Row], [All cumulative times '[sec']]] / intermediate_results[[#This Row], [Team7 laps '[laps']]] - intermediate_results[[#This Row], [Total running average '[sec']]]</f>
        <v>1.2186339748234118</v>
      </c>
      <c r="AK229" s="1">
        <f>intermediate_results[[#This Row], [All cumulative times '[sec']]] / intermediate_results[[#This Row], [Team8 laps '[laps']]] - intermediate_results[[#This Row], [Total running average '[sec']]]</f>
        <v>1.662922590958452</v>
      </c>
      <c r="AL229" s="1">
        <f>intermediate_results[[#This Row], [All cumulative times '[sec']]] / intermediate_results[[#This Row], [Team9 laps '[laps']]] - intermediate_results[[#This Row], [Total running average '[sec']]]</f>
        <v>1.579339846891564</v>
      </c>
    </row>
    <row r="230" spans="1:38" x14ac:dyDescent="0.25">
      <c r="A230" s="1">
        <v>1418.57</v>
      </c>
      <c r="B230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26.904684760234815</v>
      </c>
      <c r="C230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26.717195552451251</v>
      </c>
      <c r="D230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26.414318960134715</v>
      </c>
      <c r="E230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26.000000000000004</v>
      </c>
      <c r="F230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25.861538461538455</v>
      </c>
      <c r="G230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25.508551034457764</v>
      </c>
      <c r="H230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25.333857324650047</v>
      </c>
      <c r="I230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25.131323204119383</v>
      </c>
      <c r="J230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25.167849340050196</v>
      </c>
      <c r="K230" s="1">
        <f>intermediate_results[[#This Row], [Team1 laps '[laps']]] - intermediate_results[[#This Row], [Team1 laps '[laps']]]</f>
        <v>0</v>
      </c>
      <c r="L230" s="1">
        <f>intermediate_results[[#This Row], [Team1 laps '[laps']]] - intermediate_results[[#This Row], [Team2 laps '[laps']]]</f>
        <v>0.18748920778356393</v>
      </c>
      <c r="M230" s="1">
        <f>intermediate_results[[#This Row], [Team1 laps '[laps']]] - intermediate_results[[#This Row], [Team3 laps '[laps']]]</f>
        <v>0.49036580010010056</v>
      </c>
      <c r="N230" s="1">
        <f>intermediate_results[[#This Row], [Team1 laps '[laps']]] - intermediate_results[[#This Row], [Team4 laps '[laps']]]</f>
        <v>0.90468476023481159</v>
      </c>
      <c r="O230" s="1">
        <f>intermediate_results[[#This Row], [Team1 laps '[laps']]] - intermediate_results[[#This Row], [Team5 laps '[laps']]]</f>
        <v>1.0431462986963602</v>
      </c>
      <c r="P230" s="1">
        <f>intermediate_results[[#This Row], [Team1 laps '[laps']]] - intermediate_results[[#This Row], [Team6 laps '[laps']]]</f>
        <v>1.3961337257770516</v>
      </c>
      <c r="Q230" s="1">
        <f>intermediate_results[[#This Row], [Team1 laps '[laps']]] - intermediate_results[[#This Row], [Team7 laps '[laps']]]</f>
        <v>1.5708274355847678</v>
      </c>
      <c r="R230" s="1">
        <f>intermediate_results[[#This Row], [Team1 laps '[laps']]] - intermediate_results[[#This Row], [Team8 laps '[laps']]]</f>
        <v>1.7733615561154323</v>
      </c>
      <c r="S230" s="1">
        <f>intermediate_results[[#This Row], [Team1 laps '[laps']]] - intermediate_results[[#This Row], [Team9 laps '[laps']]]</f>
        <v>1.7368354201846188</v>
      </c>
      <c r="T230" s="1">
        <f>MAX(intermediate_results[[#This Row], [Team1 laps '[laps']]:[Team9 laps '[laps']]]) - intermediate_results[[#This Row], [Team1 laps '[laps']]]</f>
        <v>0</v>
      </c>
      <c r="U230" s="1">
        <f>MAX(intermediate_results[[#This Row], [Team1 laps '[laps']]:[Team9 laps '[laps']]]) - intermediate_results[[#This Row], [Team2 laps '[laps']]]</f>
        <v>0.18748920778356393</v>
      </c>
      <c r="V230" s="1">
        <f>MAX(intermediate_results[[#This Row], [Team1 laps '[laps']]:[Team9 laps '[laps']]]) - intermediate_results[[#This Row], [Team3 laps '[laps']]]</f>
        <v>0.49036580010010056</v>
      </c>
      <c r="W230" s="1">
        <f>MAX(intermediate_results[[#This Row], [Team1 laps '[laps']]:[Team9 laps '[laps']]]) - intermediate_results[[#This Row], [Team4 laps '[laps']]]</f>
        <v>0.90468476023481159</v>
      </c>
      <c r="X230" s="1">
        <f>MAX(intermediate_results[[#This Row], [Team1 laps '[laps']]:[Team9 laps '[laps']]]) - intermediate_results[[#This Row], [Team5 laps '[laps']]]</f>
        <v>1.0431462986963602</v>
      </c>
      <c r="Y230" s="1">
        <f>MAX(intermediate_results[[#This Row], [Team1 laps '[laps']]:[Team9 laps '[laps']]]) - intermediate_results[[#This Row], [Team6 laps '[laps']]]</f>
        <v>1.3961337257770516</v>
      </c>
      <c r="Z230" s="1">
        <f>MAX(intermediate_results[[#This Row], [Team1 laps '[laps']]:[Team9 laps '[laps']]]) - intermediate_results[[#This Row], [Team7 laps '[laps']]]</f>
        <v>1.5708274355847678</v>
      </c>
      <c r="AA230" s="1">
        <f>MAX(intermediate_results[[#This Row], [Team1 laps '[laps']]:[Team9 laps '[laps']]]) - intermediate_results[[#This Row], [Team8 laps '[laps']]]</f>
        <v>1.7733615561154323</v>
      </c>
      <c r="AB230" s="1">
        <f>MAX(intermediate_results[[#This Row], [Team1 laps '[laps']]:[Team9 laps '[laps']]]) - intermediate_results[[#This Row], [Team9 laps '[laps']]]</f>
        <v>1.7368354201846188</v>
      </c>
      <c r="AC230" s="1">
        <f>9 * intermediate_results[[#This Row], [All cumulative times '[sec']]] / SUM(intermediate_results[[#This Row], [Team1 laps '[laps']]:[Team9 laps '[laps']]])</f>
        <v>54.78530436253201</v>
      </c>
      <c r="AD230" s="1">
        <f>intermediate_results[[#This Row], [All cumulative times '[sec']]] / intermediate_results[[#This Row], [Team1 laps '[laps']]] - intermediate_results[[#This Row], [Total running average '[sec']]]</f>
        <v>-2.0595425614998888</v>
      </c>
      <c r="AE230" s="1">
        <f>intermediate_results[[#This Row], [All cumulative times '[sec']]] / intermediate_results[[#This Row], [Team2 laps '[laps']]] - intermediate_results[[#This Row], [Total running average '[sec']]]</f>
        <v>-1.6895369862345788</v>
      </c>
      <c r="AF230" s="1">
        <f>intermediate_results[[#This Row], [All cumulative times '[sec']]] / intermediate_results[[#This Row], [Team3 laps '[laps']]] - intermediate_results[[#This Row], [Total running average '[sec']]]</f>
        <v>-1.08072079401569</v>
      </c>
      <c r="AG230" s="1">
        <f>intermediate_results[[#This Row], [All cumulative times '[sec']]] / intermediate_results[[#This Row], [Team4 laps '[laps']]] - intermediate_results[[#This Row], [Total running average '[sec']]]</f>
        <v>-0.22491974714740337</v>
      </c>
      <c r="AH230" s="1">
        <f>intermediate_results[[#This Row], [All cumulative times '[sec']]] / intermediate_results[[#This Row], [Team5 laps '[laps']]] - intermediate_results[[#This Row], [Total running average '[sec']]]</f>
        <v>6.7194150258011121E-2</v>
      </c>
      <c r="AI230" s="1">
        <f>intermediate_results[[#This Row], [All cumulative times '[sec']]] / intermediate_results[[#This Row], [Team6 laps '[laps']]] - intermediate_results[[#This Row], [Total running average '[sec']]]</f>
        <v>0.8262432351245721</v>
      </c>
      <c r="AJ230" s="1">
        <f>intermediate_results[[#This Row], [All cumulative times '[sec']]] / intermediate_results[[#This Row], [Team7 laps '[laps']]] - intermediate_results[[#This Row], [Total running average '[sec']]]</f>
        <v>1.2097216542806706</v>
      </c>
      <c r="AK230" s="1">
        <f>intermediate_results[[#This Row], [All cumulative times '[sec']]] / intermediate_results[[#This Row], [Team8 laps '[laps']]] - intermediate_results[[#This Row], [Total running average '[sec']]]</f>
        <v>1.6609873220807643</v>
      </c>
      <c r="AL230" s="1">
        <f>intermediate_results[[#This Row], [All cumulative times '[sec']]] / intermediate_results[[#This Row], [Team9 laps '[laps']]] - intermediate_results[[#This Row], [Total running average '[sec']]]</f>
        <v>1.5790667378065422</v>
      </c>
    </row>
    <row r="231" spans="1:38" x14ac:dyDescent="0.25">
      <c r="A231" s="1">
        <v>1423.5709999999999</v>
      </c>
      <c r="B231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27.000000000000004</v>
      </c>
      <c r="C231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26.811602136937687</v>
      </c>
      <c r="D231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26.508939889883262</v>
      </c>
      <c r="E231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26.09291048935459</v>
      </c>
      <c r="F231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25.953901560624242</v>
      </c>
      <c r="G231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25.599152143193589</v>
      </c>
      <c r="H231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25.427445916610523</v>
      </c>
      <c r="I231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25.221996591362373</v>
      </c>
      <c r="J231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25.258147807088818</v>
      </c>
      <c r="K231" s="1">
        <f>intermediate_results[[#This Row], [Team1 laps '[laps']]] - intermediate_results[[#This Row], [Team1 laps '[laps']]]</f>
        <v>0</v>
      </c>
      <c r="L231" s="1">
        <f>intermediate_results[[#This Row], [Team1 laps '[laps']]] - intermediate_results[[#This Row], [Team2 laps '[laps']]]</f>
        <v>0.18839786306231687</v>
      </c>
      <c r="M231" s="1">
        <f>intermediate_results[[#This Row], [Team1 laps '[laps']]] - intermediate_results[[#This Row], [Team3 laps '[laps']]]</f>
        <v>0.49106011011674155</v>
      </c>
      <c r="N231" s="1">
        <f>intermediate_results[[#This Row], [Team1 laps '[laps']]] - intermediate_results[[#This Row], [Team4 laps '[laps']]]</f>
        <v>0.9070895106454131</v>
      </c>
      <c r="O231" s="1">
        <f>intermediate_results[[#This Row], [Team1 laps '[laps']]] - intermediate_results[[#This Row], [Team5 laps '[laps']]]</f>
        <v>1.0460984393757613</v>
      </c>
      <c r="P231" s="1">
        <f>intermediate_results[[#This Row], [Team1 laps '[laps']]] - intermediate_results[[#This Row], [Team6 laps '[laps']]]</f>
        <v>1.4008478568064149</v>
      </c>
      <c r="Q231" s="1">
        <f>intermediate_results[[#This Row], [Team1 laps '[laps']]] - intermediate_results[[#This Row], [Team7 laps '[laps']]]</f>
        <v>1.5725540833894804</v>
      </c>
      <c r="R231" s="1">
        <f>intermediate_results[[#This Row], [Team1 laps '[laps']]] - intermediate_results[[#This Row], [Team8 laps '[laps']]]</f>
        <v>1.7780034086376304</v>
      </c>
      <c r="S231" s="1">
        <f>intermediate_results[[#This Row], [Team1 laps '[laps']]] - intermediate_results[[#This Row], [Team9 laps '[laps']]]</f>
        <v>1.7418521929111854</v>
      </c>
      <c r="T231" s="1">
        <f>MAX(intermediate_results[[#This Row], [Team1 laps '[laps']]:[Team9 laps '[laps']]]) - intermediate_results[[#This Row], [Team1 laps '[laps']]]</f>
        <v>0</v>
      </c>
      <c r="U231" s="1">
        <f>MAX(intermediate_results[[#This Row], [Team1 laps '[laps']]:[Team9 laps '[laps']]]) - intermediate_results[[#This Row], [Team2 laps '[laps']]]</f>
        <v>0.18839786306231687</v>
      </c>
      <c r="V231" s="1">
        <f>MAX(intermediate_results[[#This Row], [Team1 laps '[laps']]:[Team9 laps '[laps']]]) - intermediate_results[[#This Row], [Team3 laps '[laps']]]</f>
        <v>0.49106011011674155</v>
      </c>
      <c r="W231" s="1">
        <f>MAX(intermediate_results[[#This Row], [Team1 laps '[laps']]:[Team9 laps '[laps']]]) - intermediate_results[[#This Row], [Team4 laps '[laps']]]</f>
        <v>0.9070895106454131</v>
      </c>
      <c r="X231" s="1">
        <f>MAX(intermediate_results[[#This Row], [Team1 laps '[laps']]:[Team9 laps '[laps']]]) - intermediate_results[[#This Row], [Team5 laps '[laps']]]</f>
        <v>1.0460984393757613</v>
      </c>
      <c r="Y231" s="1">
        <f>MAX(intermediate_results[[#This Row], [Team1 laps '[laps']]:[Team9 laps '[laps']]]) - intermediate_results[[#This Row], [Team6 laps '[laps']]]</f>
        <v>1.4008478568064149</v>
      </c>
      <c r="Z231" s="1">
        <f>MAX(intermediate_results[[#This Row], [Team1 laps '[laps']]:[Team9 laps '[laps']]]) - intermediate_results[[#This Row], [Team7 laps '[laps']]]</f>
        <v>1.5725540833894804</v>
      </c>
      <c r="AA231" s="1">
        <f>MAX(intermediate_results[[#This Row], [Team1 laps '[laps']]:[Team9 laps '[laps']]]) - intermediate_results[[#This Row], [Team8 laps '[laps']]]</f>
        <v>1.7780034086376304</v>
      </c>
      <c r="AB231" s="1">
        <f>MAX(intermediate_results[[#This Row], [Team1 laps '[laps']]:[Team9 laps '[laps']]]) - intermediate_results[[#This Row], [Team9 laps '[laps']]]</f>
        <v>1.7418521929111854</v>
      </c>
      <c r="AC231" s="1">
        <f>9 * intermediate_results[[#This Row], [All cumulative times '[sec']]] / SUM(intermediate_results[[#This Row], [Team1 laps '[laps']]:[Team9 laps '[laps']]])</f>
        <v>54.782206280290659</v>
      </c>
      <c r="AD231" s="1">
        <f>intermediate_results[[#This Row], [All cumulative times '[sec']]] / intermediate_results[[#This Row], [Team1 laps '[laps']]] - intermediate_results[[#This Row], [Total running average '[sec']]]</f>
        <v>-2.0573544284388134</v>
      </c>
      <c r="AE231" s="1">
        <f>intermediate_results[[#This Row], [All cumulative times '[sec']]] / intermediate_results[[#This Row], [Team2 laps '[laps']]] - intermediate_results[[#This Row], [Total running average '[sec']]]</f>
        <v>-1.6868711813567145</v>
      </c>
      <c r="AF231" s="1">
        <f>intermediate_results[[#This Row], [All cumulative times '[sec']]] / intermediate_results[[#This Row], [Team3 laps '[laps']]] - intermediate_results[[#This Row], [Total running average '[sec']]]</f>
        <v>-1.0806623515843867</v>
      </c>
      <c r="AG231" s="1">
        <f>intermediate_results[[#This Row], [All cumulative times '[sec']]] / intermediate_results[[#This Row], [Team4 laps '[laps']]] - intermediate_results[[#This Row], [Total running average '[sec']]]</f>
        <v>-0.22443662938147213</v>
      </c>
      <c r="AH231" s="1">
        <f>intermediate_results[[#This Row], [All cumulative times '[sec']]] / intermediate_results[[#This Row], [Team5 laps '[laps']]] - intermediate_results[[#This Row], [Total running average '[sec']]]</f>
        <v>6.7774431655919898E-2</v>
      </c>
      <c r="AI231" s="1">
        <f>intermediate_results[[#This Row], [All cumulative times '[sec']]] / intermediate_results[[#This Row], [Team6 laps '[laps']]] - intermediate_results[[#This Row], [Total running average '[sec']]]</f>
        <v>0.82787768018555141</v>
      </c>
      <c r="AJ231" s="1">
        <f>intermediate_results[[#This Row], [All cumulative times '[sec']]] / intermediate_results[[#This Row], [Team7 laps '[laps']]] - intermediate_results[[#This Row], [Total running average '[sec']]]</f>
        <v>1.2034009516983701</v>
      </c>
      <c r="AK231" s="1">
        <f>intermediate_results[[#This Row], [All cumulative times '[sec']]] / intermediate_results[[#This Row], [Team8 laps '[laps']]] - intermediate_results[[#This Row], [Total running average '[sec']]]</f>
        <v>1.6594395998583309</v>
      </c>
      <c r="AL231" s="1">
        <f>intermediate_results[[#This Row], [All cumulative times '[sec']]] / intermediate_results[[#This Row], [Team9 laps '[laps']]] - intermediate_results[[#This Row], [Total running average '[sec']]]</f>
        <v>1.5786563954938231</v>
      </c>
    </row>
    <row r="232" spans="1:38" x14ac:dyDescent="0.25">
      <c r="A232" s="1">
        <v>1426.067</v>
      </c>
      <c r="B232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27.047580921880368</v>
      </c>
      <c r="C232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26.858720480244656</v>
      </c>
      <c r="D232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26.556165212949129</v>
      </c>
      <c r="E232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26.139282131312012</v>
      </c>
      <c r="F232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25.999999999999996</v>
      </c>
      <c r="G232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25.644371172868578</v>
      </c>
      <c r="H232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25.474155999700578</v>
      </c>
      <c r="I232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25.2672516952533</v>
      </c>
      <c r="J232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25.303215788238269</v>
      </c>
      <c r="K232" s="1">
        <f>intermediate_results[[#This Row], [Team1 laps '[laps']]] - intermediate_results[[#This Row], [Team1 laps '[laps']]]</f>
        <v>0</v>
      </c>
      <c r="L232" s="1">
        <f>intermediate_results[[#This Row], [Team1 laps '[laps']]] - intermediate_results[[#This Row], [Team2 laps '[laps']]]</f>
        <v>0.18886044163571114</v>
      </c>
      <c r="M232" s="1">
        <f>intermediate_results[[#This Row], [Team1 laps '[laps']]] - intermediate_results[[#This Row], [Team3 laps '[laps']]]</f>
        <v>0.49141570893123898</v>
      </c>
      <c r="N232" s="1">
        <f>intermediate_results[[#This Row], [Team1 laps '[laps']]] - intermediate_results[[#This Row], [Team4 laps '[laps']]]</f>
        <v>0.90829879056835594</v>
      </c>
      <c r="O232" s="1">
        <f>intermediate_results[[#This Row], [Team1 laps '[laps']]] - intermediate_results[[#This Row], [Team5 laps '[laps']]]</f>
        <v>1.0475809218803711</v>
      </c>
      <c r="P232" s="1">
        <f>intermediate_results[[#This Row], [Team1 laps '[laps']]] - intermediate_results[[#This Row], [Team6 laps '[laps']]]</f>
        <v>1.4032097490117899</v>
      </c>
      <c r="Q232" s="1">
        <f>intermediate_results[[#This Row], [Team1 laps '[laps']]] - intermediate_results[[#This Row], [Team7 laps '[laps']]]</f>
        <v>1.5734249221797896</v>
      </c>
      <c r="R232" s="1">
        <f>intermediate_results[[#This Row], [Team1 laps '[laps']]] - intermediate_results[[#This Row], [Team8 laps '[laps']]]</f>
        <v>1.7803292266270674</v>
      </c>
      <c r="S232" s="1">
        <f>intermediate_results[[#This Row], [Team1 laps '[laps']]] - intermediate_results[[#This Row], [Team9 laps '[laps']]]</f>
        <v>1.7443651336420984</v>
      </c>
      <c r="T232" s="1">
        <f>MAX(intermediate_results[[#This Row], [Team1 laps '[laps']]:[Team9 laps '[laps']]]) - intermediate_results[[#This Row], [Team1 laps '[laps']]]</f>
        <v>0</v>
      </c>
      <c r="U232" s="1">
        <f>MAX(intermediate_results[[#This Row], [Team1 laps '[laps']]:[Team9 laps '[laps']]]) - intermediate_results[[#This Row], [Team2 laps '[laps']]]</f>
        <v>0.18886044163571114</v>
      </c>
      <c r="V232" s="1">
        <f>MAX(intermediate_results[[#This Row], [Team1 laps '[laps']]:[Team9 laps '[laps']]]) - intermediate_results[[#This Row], [Team3 laps '[laps']]]</f>
        <v>0.49141570893123898</v>
      </c>
      <c r="W232" s="1">
        <f>MAX(intermediate_results[[#This Row], [Team1 laps '[laps']]:[Team9 laps '[laps']]]) - intermediate_results[[#This Row], [Team4 laps '[laps']]]</f>
        <v>0.90829879056835594</v>
      </c>
      <c r="X232" s="1">
        <f>MAX(intermediate_results[[#This Row], [Team1 laps '[laps']]:[Team9 laps '[laps']]]) - intermediate_results[[#This Row], [Team5 laps '[laps']]]</f>
        <v>1.0475809218803711</v>
      </c>
      <c r="Y232" s="1">
        <f>MAX(intermediate_results[[#This Row], [Team1 laps '[laps']]:[Team9 laps '[laps']]]) - intermediate_results[[#This Row], [Team6 laps '[laps']]]</f>
        <v>1.4032097490117899</v>
      </c>
      <c r="Z232" s="1">
        <f>MAX(intermediate_results[[#This Row], [Team1 laps '[laps']]:[Team9 laps '[laps']]]) - intermediate_results[[#This Row], [Team7 laps '[laps']]]</f>
        <v>1.5734249221797896</v>
      </c>
      <c r="AA232" s="1">
        <f>MAX(intermediate_results[[#This Row], [Team1 laps '[laps']]:[Team9 laps '[laps']]]) - intermediate_results[[#This Row], [Team8 laps '[laps']]]</f>
        <v>1.7803292266270674</v>
      </c>
      <c r="AB232" s="1">
        <f>MAX(intermediate_results[[#This Row], [Team1 laps '[laps']]:[Team9 laps '[laps']]]) - intermediate_results[[#This Row], [Team9 laps '[laps']]]</f>
        <v>1.7443651336420984</v>
      </c>
      <c r="AC232" s="1">
        <f>9 * intermediate_results[[#This Row], [All cumulative times '[sec']]] / SUM(intermediate_results[[#This Row], [Team1 laps '[laps']]:[Team9 laps '[laps']]])</f>
        <v>54.780666165515939</v>
      </c>
      <c r="AD232" s="1">
        <f>intermediate_results[[#This Row], [All cumulative times '[sec']]] / intermediate_results[[#This Row], [Team1 laps '[laps']]] - intermediate_results[[#This Row], [Total running average '[sec']]]</f>
        <v>-2.056283747775538</v>
      </c>
      <c r="AE232" s="1">
        <f>intermediate_results[[#This Row], [All cumulative times '[sec']]] / intermediate_results[[#This Row], [Team2 laps '[laps']]] - intermediate_results[[#This Row], [Total running average '[sec']]]</f>
        <v>-1.6855456794558421</v>
      </c>
      <c r="AF232" s="1">
        <f>intermediate_results[[#This Row], [All cumulative times '[sec']]] / intermediate_results[[#This Row], [Team3 laps '[laps']]] - intermediate_results[[#This Row], [Total running average '[sec']]]</f>
        <v>-1.0806312182777233</v>
      </c>
      <c r="AG232" s="1">
        <f>intermediate_results[[#This Row], [All cumulative times '[sec']]] / intermediate_results[[#This Row], [Team4 laps '[laps']]] - intermediate_results[[#This Row], [Total running average '[sec']]]</f>
        <v>-0.2241946895174749</v>
      </c>
      <c r="AH232" s="1">
        <f>intermediate_results[[#This Row], [All cumulative times '[sec']]] / intermediate_results[[#This Row], [Team5 laps '[laps']]] - intermediate_results[[#This Row], [Total running average '[sec']]]</f>
        <v>6.8064603714837801E-2</v>
      </c>
      <c r="AI232" s="1">
        <f>intermediate_results[[#This Row], [All cumulative times '[sec']]] / intermediate_results[[#This Row], [Team6 laps '[laps']]] - intermediate_results[[#This Row], [Total running average '[sec']]]</f>
        <v>0.82869116233154472</v>
      </c>
      <c r="AJ232" s="1">
        <f>intermediate_results[[#This Row], [All cumulative times '[sec']]] / intermediate_results[[#This Row], [Team7 laps '[laps']]] - intermediate_results[[#This Row], [Total running average '[sec']]]</f>
        <v>1.2002660395299074</v>
      </c>
      <c r="AK232" s="1">
        <f>intermediate_results[[#This Row], [All cumulative times '[sec']]] / intermediate_results[[#This Row], [Team8 laps '[laps']]] - intermediate_results[[#This Row], [Total running average '[sec']]]</f>
        <v>1.6586734666570635</v>
      </c>
      <c r="AL232" s="1">
        <f>intermediate_results[[#This Row], [All cumulative times '[sec']]] / intermediate_results[[#This Row], [Team9 laps '[laps']]] - intermediate_results[[#This Row], [Total running average '[sec']]]</f>
        <v>1.5784548226898707</v>
      </c>
    </row>
    <row r="233" spans="1:38" x14ac:dyDescent="0.25">
      <c r="A233" s="1">
        <v>1433.5509999999999</v>
      </c>
      <c r="B233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27.190247436044078</v>
      </c>
      <c r="C233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27.000000000000004</v>
      </c>
      <c r="D233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26.697765500539234</v>
      </c>
      <c r="E233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26.278322743655487</v>
      </c>
      <c r="F233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26.135981248977956</v>
      </c>
      <c r="G233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25.779955795499831</v>
      </c>
      <c r="H233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25.614211393068341</v>
      </c>
      <c r="I233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25.402944482721114</v>
      </c>
      <c r="J233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25.438347507357854</v>
      </c>
      <c r="K233" s="1">
        <f>intermediate_results[[#This Row], [Team1 laps '[laps']]] - intermediate_results[[#This Row], [Team1 laps '[laps']]]</f>
        <v>0</v>
      </c>
      <c r="L233" s="1">
        <f>intermediate_results[[#This Row], [Team1 laps '[laps']]] - intermediate_results[[#This Row], [Team2 laps '[laps']]]</f>
        <v>0.1902474360440749</v>
      </c>
      <c r="M233" s="1">
        <f>intermediate_results[[#This Row], [Team1 laps '[laps']]] - intermediate_results[[#This Row], [Team3 laps '[laps']]]</f>
        <v>0.49248193550484487</v>
      </c>
      <c r="N233" s="1">
        <f>intermediate_results[[#This Row], [Team1 laps '[laps']]] - intermediate_results[[#This Row], [Team4 laps '[laps']]]</f>
        <v>0.91192469238859175</v>
      </c>
      <c r="O233" s="1">
        <f>intermediate_results[[#This Row], [Team1 laps '[laps']]] - intermediate_results[[#This Row], [Team5 laps '[laps']]]</f>
        <v>1.0542661870661227</v>
      </c>
      <c r="P233" s="1">
        <f>intermediate_results[[#This Row], [Team1 laps '[laps']]] - intermediate_results[[#This Row], [Team6 laps '[laps']]]</f>
        <v>1.4102916405442478</v>
      </c>
      <c r="Q233" s="1">
        <f>intermediate_results[[#This Row], [Team1 laps '[laps']]] - intermediate_results[[#This Row], [Team7 laps '[laps']]]</f>
        <v>1.576036042975737</v>
      </c>
      <c r="R233" s="1">
        <f>intermediate_results[[#This Row], [Team1 laps '[laps']]] - intermediate_results[[#This Row], [Team8 laps '[laps']]]</f>
        <v>1.7873029533229641</v>
      </c>
      <c r="S233" s="1">
        <f>intermediate_results[[#This Row], [Team1 laps '[laps']]] - intermediate_results[[#This Row], [Team9 laps '[laps']]]</f>
        <v>1.7518999286862247</v>
      </c>
      <c r="T233" s="1">
        <f>MAX(intermediate_results[[#This Row], [Team1 laps '[laps']]:[Team9 laps '[laps']]]) - intermediate_results[[#This Row], [Team1 laps '[laps']]]</f>
        <v>0</v>
      </c>
      <c r="U233" s="1">
        <f>MAX(intermediate_results[[#This Row], [Team1 laps '[laps']]:[Team9 laps '[laps']]]) - intermediate_results[[#This Row], [Team2 laps '[laps']]]</f>
        <v>0.1902474360440749</v>
      </c>
      <c r="V233" s="1">
        <f>MAX(intermediate_results[[#This Row], [Team1 laps '[laps']]:[Team9 laps '[laps']]]) - intermediate_results[[#This Row], [Team3 laps '[laps']]]</f>
        <v>0.49248193550484487</v>
      </c>
      <c r="W233" s="1">
        <f>MAX(intermediate_results[[#This Row], [Team1 laps '[laps']]:[Team9 laps '[laps']]]) - intermediate_results[[#This Row], [Team4 laps '[laps']]]</f>
        <v>0.91192469238859175</v>
      </c>
      <c r="X233" s="1">
        <f>MAX(intermediate_results[[#This Row], [Team1 laps '[laps']]:[Team9 laps '[laps']]]) - intermediate_results[[#This Row], [Team5 laps '[laps']]]</f>
        <v>1.0542661870661227</v>
      </c>
      <c r="Y233" s="1">
        <f>MAX(intermediate_results[[#This Row], [Team1 laps '[laps']]:[Team9 laps '[laps']]]) - intermediate_results[[#This Row], [Team6 laps '[laps']]]</f>
        <v>1.4102916405442478</v>
      </c>
      <c r="Z233" s="1">
        <f>MAX(intermediate_results[[#This Row], [Team1 laps '[laps']]:[Team9 laps '[laps']]]) - intermediate_results[[#This Row], [Team7 laps '[laps']]]</f>
        <v>1.576036042975737</v>
      </c>
      <c r="AA233" s="1">
        <f>MAX(intermediate_results[[#This Row], [Team1 laps '[laps']]:[Team9 laps '[laps']]]) - intermediate_results[[#This Row], [Team8 laps '[laps']]]</f>
        <v>1.7873029533229641</v>
      </c>
      <c r="AB233" s="1">
        <f>MAX(intermediate_results[[#This Row], [Team1 laps '[laps']]:[Team9 laps '[laps']]]) - intermediate_results[[#This Row], [Team9 laps '[laps']]]</f>
        <v>1.7518999286862247</v>
      </c>
      <c r="AC233" s="1">
        <f>9 * intermediate_results[[#This Row], [All cumulative times '[sec']]] / SUM(intermediate_results[[#This Row], [Team1 laps '[laps']]:[Team9 laps '[laps']]])</f>
        <v>54.776601924319692</v>
      </c>
      <c r="AD233" s="1">
        <f>intermediate_results[[#This Row], [All cumulative times '[sec']]] / intermediate_results[[#This Row], [Team1 laps '[laps']]] - intermediate_results[[#This Row], [Total running average '[sec']]]</f>
        <v>-2.05361720812882</v>
      </c>
      <c r="AE233" s="1">
        <f>intermediate_results[[#This Row], [All cumulative times '[sec']]] / intermediate_results[[#This Row], [Team2 laps '[laps']]] - intermediate_results[[#This Row], [Total running average '[sec']]]</f>
        <v>-1.6821204428382188</v>
      </c>
      <c r="AF233" s="1">
        <f>intermediate_results[[#This Row], [All cumulative times '[sec']]] / intermediate_results[[#This Row], [Team3 laps '[laps']]] - intermediate_results[[#This Row], [Total running average '[sec']]]</f>
        <v>-1.0810595025748668</v>
      </c>
      <c r="AG233" s="1">
        <f>intermediate_results[[#This Row], [All cumulative times '[sec']]] / intermediate_results[[#This Row], [Team4 laps '[laps']]] - intermediate_results[[#This Row], [Total running average '[sec']]]</f>
        <v>-0.2239954286821586</v>
      </c>
      <c r="AH233" s="1">
        <f>intermediate_results[[#This Row], [All cumulative times '[sec']]] / intermediate_results[[#This Row], [Team5 laps '[laps']]] - intermediate_results[[#This Row], [Total running average '[sec']]]</f>
        <v>7.3108379021562087E-2</v>
      </c>
      <c r="AI233" s="1">
        <f>intermediate_results[[#This Row], [All cumulative times '[sec']]] / intermediate_results[[#This Row], [Team6 laps '[laps']]] - intermediate_results[[#This Row], [Total running average '[sec']]]</f>
        <v>0.83059195031999167</v>
      </c>
      <c r="AJ233" s="1">
        <f>intermediate_results[[#This Row], [All cumulative times '[sec']]] / intermediate_results[[#This Row], [Team7 laps '[laps']]] - intermediate_results[[#This Row], [Total running average '[sec']]]</f>
        <v>1.1904149008769735</v>
      </c>
      <c r="AK233" s="1">
        <f>intermediate_results[[#This Row], [All cumulative times '[sec']]] / intermediate_results[[#This Row], [Team8 laps '[laps']]] - intermediate_results[[#This Row], [Total running average '[sec']]]</f>
        <v>1.6558719164624307</v>
      </c>
      <c r="AL233" s="1">
        <f>intermediate_results[[#This Row], [All cumulative times '[sec']]] / intermediate_results[[#This Row], [Team9 laps '[laps']]] - intermediate_results[[#This Row], [Total running average '[sec']]]</f>
        <v>1.5773337857477898</v>
      </c>
    </row>
    <row r="234" spans="1:38" x14ac:dyDescent="0.25">
      <c r="A234" s="1">
        <v>1445.6969999999999</v>
      </c>
      <c r="B234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27.42178504708529</v>
      </c>
      <c r="C234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27.229542276146201</v>
      </c>
      <c r="D234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26.927572701644184</v>
      </c>
      <c r="E234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26.503975773789623</v>
      </c>
      <c r="F234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26.356669149844645</v>
      </c>
      <c r="G234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25.999999999999993</v>
      </c>
      <c r="H234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25.841511340669211</v>
      </c>
      <c r="I234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25.623164231062123</v>
      </c>
      <c r="J234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25.657656681653215</v>
      </c>
      <c r="K234" s="1">
        <f>intermediate_results[[#This Row], [Team1 laps '[laps']]] - intermediate_results[[#This Row], [Team1 laps '[laps']]]</f>
        <v>0</v>
      </c>
      <c r="L234" s="1">
        <f>intermediate_results[[#This Row], [Team1 laps '[laps']]] - intermediate_results[[#This Row], [Team2 laps '[laps']]]</f>
        <v>0.19224277093908881</v>
      </c>
      <c r="M234" s="1">
        <f>intermediate_results[[#This Row], [Team1 laps '[laps']]] - intermediate_results[[#This Row], [Team3 laps '[laps']]]</f>
        <v>0.49421234544110604</v>
      </c>
      <c r="N234" s="1">
        <f>intermediate_results[[#This Row], [Team1 laps '[laps']]] - intermediate_results[[#This Row], [Team4 laps '[laps']]]</f>
        <v>0.91780927329566708</v>
      </c>
      <c r="O234" s="1">
        <f>intermediate_results[[#This Row], [Team1 laps '[laps']]] - intermediate_results[[#This Row], [Team5 laps '[laps']]]</f>
        <v>1.0651158972406449</v>
      </c>
      <c r="P234" s="1">
        <f>intermediate_results[[#This Row], [Team1 laps '[laps']]] - intermediate_results[[#This Row], [Team6 laps '[laps']]]</f>
        <v>1.4217850470852973</v>
      </c>
      <c r="Q234" s="1">
        <f>intermediate_results[[#This Row], [Team1 laps '[laps']]] - intermediate_results[[#This Row], [Team7 laps '[laps']]]</f>
        <v>1.5802737064160794</v>
      </c>
      <c r="R234" s="1">
        <f>intermediate_results[[#This Row], [Team1 laps '[laps']]] - intermediate_results[[#This Row], [Team8 laps '[laps']]]</f>
        <v>1.7986208160231669</v>
      </c>
      <c r="S234" s="1">
        <f>intermediate_results[[#This Row], [Team1 laps '[laps']]] - intermediate_results[[#This Row], [Team9 laps '[laps']]]</f>
        <v>1.7641283654320752</v>
      </c>
      <c r="T234" s="1">
        <f>MAX(intermediate_results[[#This Row], [Team1 laps '[laps']]:[Team9 laps '[laps']]]) - intermediate_results[[#This Row], [Team1 laps '[laps']]]</f>
        <v>0</v>
      </c>
      <c r="U234" s="1">
        <f>MAX(intermediate_results[[#This Row], [Team1 laps '[laps']]:[Team9 laps '[laps']]]) - intermediate_results[[#This Row], [Team2 laps '[laps']]]</f>
        <v>0.19224277093908881</v>
      </c>
      <c r="V234" s="1">
        <f>MAX(intermediate_results[[#This Row], [Team1 laps '[laps']]:[Team9 laps '[laps']]]) - intermediate_results[[#This Row], [Team3 laps '[laps']]]</f>
        <v>0.49421234544110604</v>
      </c>
      <c r="W234" s="1">
        <f>MAX(intermediate_results[[#This Row], [Team1 laps '[laps']]:[Team9 laps '[laps']]]) - intermediate_results[[#This Row], [Team4 laps '[laps']]]</f>
        <v>0.91780927329566708</v>
      </c>
      <c r="X234" s="1">
        <f>MAX(intermediate_results[[#This Row], [Team1 laps '[laps']]:[Team9 laps '[laps']]]) - intermediate_results[[#This Row], [Team5 laps '[laps']]]</f>
        <v>1.0651158972406449</v>
      </c>
      <c r="Y234" s="1">
        <f>MAX(intermediate_results[[#This Row], [Team1 laps '[laps']]:[Team9 laps '[laps']]]) - intermediate_results[[#This Row], [Team6 laps '[laps']]]</f>
        <v>1.4217850470852973</v>
      </c>
      <c r="Z234" s="1">
        <f>MAX(intermediate_results[[#This Row], [Team1 laps '[laps']]:[Team9 laps '[laps']]]) - intermediate_results[[#This Row], [Team7 laps '[laps']]]</f>
        <v>1.5802737064160794</v>
      </c>
      <c r="AA234" s="1">
        <f>MAX(intermediate_results[[#This Row], [Team1 laps '[laps']]:[Team9 laps '[laps']]]) - intermediate_results[[#This Row], [Team8 laps '[laps']]]</f>
        <v>1.7986208160231669</v>
      </c>
      <c r="AB234" s="1">
        <f>MAX(intermediate_results[[#This Row], [Team1 laps '[laps']]:[Team9 laps '[laps']]]) - intermediate_results[[#This Row], [Team9 laps '[laps']]]</f>
        <v>1.7641283654320752</v>
      </c>
      <c r="AC234" s="1">
        <f>9 * intermediate_results[[#This Row], [All cumulative times '[sec']]] / SUM(intermediate_results[[#This Row], [Team1 laps '[laps']]:[Team9 laps '[laps']]])</f>
        <v>54.770037824470599</v>
      </c>
      <c r="AD234" s="1">
        <f>intermediate_results[[#This Row], [All cumulative times '[sec']]] / intermediate_results[[#This Row], [Team1 laps '[laps']]] - intermediate_results[[#This Row], [Total running average '[sec']]]</f>
        <v>-2.0492905238252135</v>
      </c>
      <c r="AE234" s="1">
        <f>intermediate_results[[#This Row], [All cumulative times '[sec']]] / intermediate_results[[#This Row], [Team2 laps '[laps']]] - intermediate_results[[#This Row], [Total running average '[sec']]]</f>
        <v>-1.6770777835495778</v>
      </c>
      <c r="AF234" s="1">
        <f>intermediate_results[[#This Row], [All cumulative times '[sec']]] / intermediate_results[[#This Row], [Team3 laps '[laps']]] - intermediate_results[[#This Row], [Total running average '[sec']]]</f>
        <v>-1.0816858880286517</v>
      </c>
      <c r="AG234" s="1">
        <f>intermediate_results[[#This Row], [All cumulative times '[sec']]] / intermediate_results[[#This Row], [Team4 laps '[laps']]] - intermediate_results[[#This Row], [Total running average '[sec']]]</f>
        <v>-0.22361760665248198</v>
      </c>
      <c r="AH234" s="1">
        <f>intermediate_results[[#This Row], [All cumulative times '[sec']]] / intermediate_results[[#This Row], [Team5 laps '[laps']]] - intermediate_results[[#This Row], [Total running average '[sec']]]</f>
        <v>8.1240680443265489E-2</v>
      </c>
      <c r="AI234" s="1">
        <f>intermediate_results[[#This Row], [All cumulative times '[sec']]] / intermediate_results[[#This Row], [Team6 laps '[laps']]] - intermediate_results[[#This Row], [Total running average '[sec']]]</f>
        <v>0.83369294476018041</v>
      </c>
      <c r="AJ234" s="1">
        <f>intermediate_results[[#This Row], [All cumulative times '[sec']]] / intermediate_results[[#This Row], [Team7 laps '[laps']]] - intermediate_results[[#This Row], [Total running average '[sec']]]</f>
        <v>1.1747163712629458</v>
      </c>
      <c r="AK234" s="1">
        <f>intermediate_results[[#This Row], [All cumulative times '[sec']]] / intermediate_results[[#This Row], [Team8 laps '[laps']]] - intermediate_results[[#This Row], [Total running average '[sec']]]</f>
        <v>1.6514480998723755</v>
      </c>
      <c r="AL234" s="1">
        <f>intermediate_results[[#This Row], [All cumulative times '[sec']]] / intermediate_results[[#This Row], [Team9 laps '[laps']]] - intermediate_results[[#This Row], [Total running average '[sec']]]</f>
        <v>1.5755987992262632</v>
      </c>
    </row>
    <row r="235" spans="1:38" x14ac:dyDescent="0.25">
      <c r="A235" s="1">
        <v>1449.5250000000001</v>
      </c>
      <c r="B235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27.494757710930656</v>
      </c>
      <c r="C235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27.301886079298491</v>
      </c>
      <c r="D235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27.000000000000004</v>
      </c>
      <c r="E235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26.575093820830091</v>
      </c>
      <c r="F235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26.426222359503605</v>
      </c>
      <c r="G235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26.070339201058392</v>
      </c>
      <c r="H235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25.913148439254435</v>
      </c>
      <c r="I235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25.692569895202535</v>
      </c>
      <c r="J235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25.726775364281462</v>
      </c>
      <c r="K235" s="1">
        <f>intermediate_results[[#This Row], [Team1 laps '[laps']]] - intermediate_results[[#This Row], [Team1 laps '[laps']]]</f>
        <v>0</v>
      </c>
      <c r="L235" s="1">
        <f>intermediate_results[[#This Row], [Team1 laps '[laps']]] - intermediate_results[[#This Row], [Team2 laps '[laps']]]</f>
        <v>0.19287163163216547</v>
      </c>
      <c r="M235" s="1">
        <f>intermediate_results[[#This Row], [Team1 laps '[laps']]] - intermediate_results[[#This Row], [Team3 laps '[laps']]]</f>
        <v>0.49475771093065291</v>
      </c>
      <c r="N235" s="1">
        <f>intermediate_results[[#This Row], [Team1 laps '[laps']]] - intermediate_results[[#This Row], [Team4 laps '[laps']]]</f>
        <v>0.9196638901005656</v>
      </c>
      <c r="O235" s="1">
        <f>intermediate_results[[#This Row], [Team1 laps '[laps']]] - intermediate_results[[#This Row], [Team5 laps '[laps']]]</f>
        <v>1.0685353514270517</v>
      </c>
      <c r="P235" s="1">
        <f>intermediate_results[[#This Row], [Team1 laps '[laps']]] - intermediate_results[[#This Row], [Team6 laps '[laps']]]</f>
        <v>1.4244185098722646</v>
      </c>
      <c r="Q235" s="1">
        <f>intermediate_results[[#This Row], [Team1 laps '[laps']]] - intermediate_results[[#This Row], [Team7 laps '[laps']]]</f>
        <v>1.5816092716762213</v>
      </c>
      <c r="R235" s="1">
        <f>intermediate_results[[#This Row], [Team1 laps '[laps']]] - intermediate_results[[#This Row], [Team8 laps '[laps']]]</f>
        <v>1.8021878157281215</v>
      </c>
      <c r="S235" s="1">
        <f>intermediate_results[[#This Row], [Team1 laps '[laps']]] - intermediate_results[[#This Row], [Team9 laps '[laps']]]</f>
        <v>1.7679823466491946</v>
      </c>
      <c r="T235" s="1">
        <f>MAX(intermediate_results[[#This Row], [Team1 laps '[laps']]:[Team9 laps '[laps']]]) - intermediate_results[[#This Row], [Team1 laps '[laps']]]</f>
        <v>0</v>
      </c>
      <c r="U235" s="1">
        <f>MAX(intermediate_results[[#This Row], [Team1 laps '[laps']]:[Team9 laps '[laps']]]) - intermediate_results[[#This Row], [Team2 laps '[laps']]]</f>
        <v>0.19287163163216547</v>
      </c>
      <c r="V235" s="1">
        <f>MAX(intermediate_results[[#This Row], [Team1 laps '[laps']]:[Team9 laps '[laps']]]) - intermediate_results[[#This Row], [Team3 laps '[laps']]]</f>
        <v>0.49475771093065291</v>
      </c>
      <c r="W235" s="1">
        <f>MAX(intermediate_results[[#This Row], [Team1 laps '[laps']]:[Team9 laps '[laps']]]) - intermediate_results[[#This Row], [Team4 laps '[laps']]]</f>
        <v>0.9196638901005656</v>
      </c>
      <c r="X235" s="1">
        <f>MAX(intermediate_results[[#This Row], [Team1 laps '[laps']]:[Team9 laps '[laps']]]) - intermediate_results[[#This Row], [Team5 laps '[laps']]]</f>
        <v>1.0685353514270517</v>
      </c>
      <c r="Y235" s="1">
        <f>MAX(intermediate_results[[#This Row], [Team1 laps '[laps']]:[Team9 laps '[laps']]]) - intermediate_results[[#This Row], [Team6 laps '[laps']]]</f>
        <v>1.4244185098722646</v>
      </c>
      <c r="Z235" s="1">
        <f>MAX(intermediate_results[[#This Row], [Team1 laps '[laps']]:[Team9 laps '[laps']]]) - intermediate_results[[#This Row], [Team7 laps '[laps']]]</f>
        <v>1.5816092716762213</v>
      </c>
      <c r="AA235" s="1">
        <f>MAX(intermediate_results[[#This Row], [Team1 laps '[laps']]:[Team9 laps '[laps']]]) - intermediate_results[[#This Row], [Team8 laps '[laps']]]</f>
        <v>1.8021878157281215</v>
      </c>
      <c r="AB235" s="1">
        <f>MAX(intermediate_results[[#This Row], [Team1 laps '[laps']]:[Team9 laps '[laps']]]) - intermediate_results[[#This Row], [Team9 laps '[laps']]]</f>
        <v>1.7679823466491946</v>
      </c>
      <c r="AC235" s="1">
        <f>9 * intermediate_results[[#This Row], [All cumulative times '[sec']]] / SUM(intermediate_results[[#This Row], [Team1 laps '[laps']]:[Team9 laps '[laps']]])</f>
        <v>54.767764803789348</v>
      </c>
      <c r="AD235" s="1">
        <f>intermediate_results[[#This Row], [All cumulative times '[sec']]] / intermediate_results[[#This Row], [Team1 laps '[laps']]] - intermediate_results[[#This Row], [Total running average '[sec']]]</f>
        <v>-2.0477148495489672</v>
      </c>
      <c r="AE235" s="1">
        <f>intermediate_results[[#This Row], [All cumulative times '[sec']]] / intermediate_results[[#This Row], [Team2 laps '[laps']]] - intermediate_results[[#This Row], [Total running average '[sec']]]</f>
        <v>-1.6752789663696888</v>
      </c>
      <c r="AF235" s="1">
        <f>intermediate_results[[#This Row], [All cumulative times '[sec']]] / intermediate_results[[#This Row], [Team3 laps '[laps']]] - intermediate_results[[#This Row], [Total running average '[sec']]]</f>
        <v>-1.0816536926782376</v>
      </c>
      <c r="AG235" s="1">
        <f>intermediate_results[[#This Row], [All cumulative times '[sec']]] / intermediate_results[[#This Row], [Team4 laps '[laps']]] - intermediate_results[[#This Row], [Total running average '[sec']]]</f>
        <v>-0.22327251440245988</v>
      </c>
      <c r="AH235" s="1">
        <f>intermediate_results[[#This Row], [All cumulative times '[sec']]] / intermediate_results[[#This Row], [Team5 laps '[laps']]] - intermediate_results[[#This Row], [Total running average '[sec']]]</f>
        <v>8.4002515829475044E-2</v>
      </c>
      <c r="AI235" s="1">
        <f>intermediate_results[[#This Row], [All cumulative times '[sec']]] / intermediate_results[[#This Row], [Team6 laps '[laps']]] - intermediate_results[[#This Row], [Total running average '[sec']]]</f>
        <v>0.83277759119233963</v>
      </c>
      <c r="AJ235" s="1">
        <f>intermediate_results[[#This Row], [All cumulative times '[sec']]] / intermediate_results[[#This Row], [Team7 laps '[laps']]] - intermediate_results[[#This Row], [Total running average '[sec']]]</f>
        <v>1.1700539216339436</v>
      </c>
      <c r="AK235" s="1">
        <f>intermediate_results[[#This Row], [All cumulative times '[sec']]] / intermediate_results[[#This Row], [Team8 laps '[laps']]] - intermediate_results[[#This Row], [Total running average '[sec']]]</f>
        <v>1.6502971461234068</v>
      </c>
      <c r="AL235" s="1">
        <f>intermediate_results[[#This Row], [All cumulative times '[sec']]] / intermediate_results[[#This Row], [Team9 laps '[laps']]] - intermediate_results[[#This Row], [Total running average '[sec']]]</f>
        <v>1.5752855581495808</v>
      </c>
    </row>
    <row r="236" spans="1:38" x14ac:dyDescent="0.25">
      <c r="A236" s="1">
        <v>1454.1659999999999</v>
      </c>
      <c r="B236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27.583228487551953</v>
      </c>
      <c r="C236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27.389594436255059</v>
      </c>
      <c r="D236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27.08758752146753</v>
      </c>
      <c r="E236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26.66131609259466</v>
      </c>
      <c r="F236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26.510547449897338</v>
      </c>
      <c r="G236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26.155617213626833</v>
      </c>
      <c r="H236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26</v>
      </c>
      <c r="I236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25.776716103999718</v>
      </c>
      <c r="J236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25.810573641731217</v>
      </c>
      <c r="K236" s="1">
        <f>intermediate_results[[#This Row], [Team1 laps '[laps']]] - intermediate_results[[#This Row], [Team1 laps '[laps']]]</f>
        <v>0</v>
      </c>
      <c r="L236" s="1">
        <f>intermediate_results[[#This Row], [Team1 laps '[laps']]] - intermediate_results[[#This Row], [Team2 laps '[laps']]]</f>
        <v>0.19363405129689326</v>
      </c>
      <c r="M236" s="1">
        <f>intermediate_results[[#This Row], [Team1 laps '[laps']]] - intermediate_results[[#This Row], [Team3 laps '[laps']]]</f>
        <v>0.49564096608442298</v>
      </c>
      <c r="N236" s="1">
        <f>intermediate_results[[#This Row], [Team1 laps '[laps']]] - intermediate_results[[#This Row], [Team4 laps '[laps']]]</f>
        <v>0.92191239495729249</v>
      </c>
      <c r="O236" s="1">
        <f>intermediate_results[[#This Row], [Team1 laps '[laps']]] - intermediate_results[[#This Row], [Team5 laps '[laps']]]</f>
        <v>1.0726810376546148</v>
      </c>
      <c r="P236" s="1">
        <f>intermediate_results[[#This Row], [Team1 laps '[laps']]] - intermediate_results[[#This Row], [Team6 laps '[laps']]]</f>
        <v>1.4276112739251197</v>
      </c>
      <c r="Q236" s="1">
        <f>intermediate_results[[#This Row], [Team1 laps '[laps']]] - intermediate_results[[#This Row], [Team7 laps '[laps']]]</f>
        <v>1.5832284875519527</v>
      </c>
      <c r="R236" s="1">
        <f>intermediate_results[[#This Row], [Team1 laps '[laps']]] - intermediate_results[[#This Row], [Team8 laps '[laps']]]</f>
        <v>1.806512383552235</v>
      </c>
      <c r="S236" s="1">
        <f>intermediate_results[[#This Row], [Team1 laps '[laps']]] - intermediate_results[[#This Row], [Team9 laps '[laps']]]</f>
        <v>1.7726548458207354</v>
      </c>
      <c r="T236" s="1">
        <f>MAX(intermediate_results[[#This Row], [Team1 laps '[laps']]:[Team9 laps '[laps']]]) - intermediate_results[[#This Row], [Team1 laps '[laps']]]</f>
        <v>0</v>
      </c>
      <c r="U236" s="1">
        <f>MAX(intermediate_results[[#This Row], [Team1 laps '[laps']]:[Team9 laps '[laps']]]) - intermediate_results[[#This Row], [Team2 laps '[laps']]]</f>
        <v>0.19363405129689326</v>
      </c>
      <c r="V236" s="1">
        <f>MAX(intermediate_results[[#This Row], [Team1 laps '[laps']]:[Team9 laps '[laps']]]) - intermediate_results[[#This Row], [Team3 laps '[laps']]]</f>
        <v>0.49564096608442298</v>
      </c>
      <c r="W236" s="1">
        <f>MAX(intermediate_results[[#This Row], [Team1 laps '[laps']]:[Team9 laps '[laps']]]) - intermediate_results[[#This Row], [Team4 laps '[laps']]]</f>
        <v>0.92191239495729249</v>
      </c>
      <c r="X236" s="1">
        <f>MAX(intermediate_results[[#This Row], [Team1 laps '[laps']]:[Team9 laps '[laps']]]) - intermediate_results[[#This Row], [Team5 laps '[laps']]]</f>
        <v>1.0726810376546148</v>
      </c>
      <c r="Y236" s="1">
        <f>MAX(intermediate_results[[#This Row], [Team1 laps '[laps']]:[Team9 laps '[laps']]]) - intermediate_results[[#This Row], [Team6 laps '[laps']]]</f>
        <v>1.4276112739251197</v>
      </c>
      <c r="Z236" s="1">
        <f>MAX(intermediate_results[[#This Row], [Team1 laps '[laps']]:[Team9 laps '[laps']]]) - intermediate_results[[#This Row], [Team7 laps '[laps']]]</f>
        <v>1.5832284875519527</v>
      </c>
      <c r="AA236" s="1">
        <f>MAX(intermediate_results[[#This Row], [Team1 laps '[laps']]:[Team9 laps '[laps']]]) - intermediate_results[[#This Row], [Team8 laps '[laps']]]</f>
        <v>1.806512383552235</v>
      </c>
      <c r="AB236" s="1">
        <f>MAX(intermediate_results[[#This Row], [Team1 laps '[laps']]:[Team9 laps '[laps']]]) - intermediate_results[[#This Row], [Team9 laps '[laps']]]</f>
        <v>1.7726548458207354</v>
      </c>
      <c r="AC236" s="1">
        <f>9 * intermediate_results[[#This Row], [All cumulative times '[sec']]] / SUM(intermediate_results[[#This Row], [Team1 laps '[laps']]:[Team9 laps '[laps']]])</f>
        <v>54.765076223106782</v>
      </c>
      <c r="AD236" s="1">
        <f>intermediate_results[[#This Row], [All cumulative times '[sec']]] / intermediate_results[[#This Row], [Team1 laps '[laps']]] - intermediate_results[[#This Row], [Total running average '[sec']]]</f>
        <v>-2.0458667710206626</v>
      </c>
      <c r="AE236" s="1">
        <f>intermediate_results[[#This Row], [All cumulative times '[sec']]] / intermediate_results[[#This Row], [Team2 laps '[laps']]] - intermediate_results[[#This Row], [Total running average '[sec']]]</f>
        <v>-1.6731619421435937</v>
      </c>
      <c r="AF236" s="1">
        <f>intermediate_results[[#This Row], [All cumulative times '[sec']]] / intermediate_results[[#This Row], [Team3 laps '[laps']]] - intermediate_results[[#This Row], [Total running average '[sec']]]</f>
        <v>-1.0812256827978572</v>
      </c>
      <c r="AG236" s="1">
        <f>intermediate_results[[#This Row], [All cumulative times '[sec']]] / intermediate_results[[#This Row], [Team4 laps '[laps']]] - intermediate_results[[#This Row], [Total running average '[sec']]]</f>
        <v>-0.22290752634453526</v>
      </c>
      <c r="AH236" s="1">
        <f>intermediate_results[[#This Row], [All cumulative times '[sec']]] / intermediate_results[[#This Row], [Team5 laps '[laps']]] - intermediate_results[[#This Row], [Total running average '[sec']]]</f>
        <v>8.7280287004865897E-2</v>
      </c>
      <c r="AI236" s="1">
        <f>intermediate_results[[#This Row], [All cumulative times '[sec']]] / intermediate_results[[#This Row], [Team6 laps '[laps']]] - intermediate_results[[#This Row], [Total running average '[sec']]]</f>
        <v>0.83162364151706214</v>
      </c>
      <c r="AJ236" s="1">
        <f>intermediate_results[[#This Row], [All cumulative times '[sec']]] / intermediate_results[[#This Row], [Team7 laps '[laps']]] - intermediate_results[[#This Row], [Total running average '[sec']]]</f>
        <v>1.1643853153547568</v>
      </c>
      <c r="AK236" s="1">
        <f>intermediate_results[[#This Row], [All cumulative times '[sec']]] / intermediate_results[[#This Row], [Team8 laps '[laps']]] - intermediate_results[[#This Row], [Total running average '[sec']]]</f>
        <v>1.648859288808957</v>
      </c>
      <c r="AL236" s="1">
        <f>intermediate_results[[#This Row], [All cumulative times '[sec']]] / intermediate_results[[#This Row], [Team9 laps '[laps']]] - intermediate_results[[#This Row], [Total running average '[sec']]]</f>
        <v>1.5748571772445388</v>
      </c>
    </row>
    <row r="237" spans="1:38" x14ac:dyDescent="0.25">
      <c r="A237" s="1">
        <v>1464.6569999999999</v>
      </c>
      <c r="B237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27.783217049830345</v>
      </c>
      <c r="C237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27.587859545677897</v>
      </c>
      <c r="D237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27.28557948175968</v>
      </c>
      <c r="E237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26.856221900196935</v>
      </c>
      <c r="F237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26.701164671039479</v>
      </c>
      <c r="G237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26.348388519348784</v>
      </c>
      <c r="H237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26.196892066888125</v>
      </c>
      <c r="I237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25.966928962541257</v>
      </c>
      <c r="J237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26</v>
      </c>
      <c r="K237" s="1">
        <f>intermediate_results[[#This Row], [Team1 laps '[laps']]] - intermediate_results[[#This Row], [Team1 laps '[laps']]]</f>
        <v>0</v>
      </c>
      <c r="L237" s="1">
        <f>intermediate_results[[#This Row], [Team1 laps '[laps']]] - intermediate_results[[#This Row], [Team2 laps '[laps']]]</f>
        <v>0.19535750415244735</v>
      </c>
      <c r="M237" s="1">
        <f>intermediate_results[[#This Row], [Team1 laps '[laps']]] - intermediate_results[[#This Row], [Team3 laps '[laps']]]</f>
        <v>0.49763756807066528</v>
      </c>
      <c r="N237" s="1">
        <f>intermediate_results[[#This Row], [Team1 laps '[laps']]] - intermediate_results[[#This Row], [Team4 laps '[laps']]]</f>
        <v>0.92699514963340945</v>
      </c>
      <c r="O237" s="1">
        <f>intermediate_results[[#This Row], [Team1 laps '[laps']]] - intermediate_results[[#This Row], [Team5 laps '[laps']]]</f>
        <v>1.0820523787908662</v>
      </c>
      <c r="P237" s="1">
        <f>intermediate_results[[#This Row], [Team1 laps '[laps']]] - intermediate_results[[#This Row], [Team6 laps '[laps']]]</f>
        <v>1.4348285304815604</v>
      </c>
      <c r="Q237" s="1">
        <f>intermediate_results[[#This Row], [Team1 laps '[laps']]] - intermediate_results[[#This Row], [Team7 laps '[laps']]]</f>
        <v>1.5863249829422195</v>
      </c>
      <c r="R237" s="1">
        <f>intermediate_results[[#This Row], [Team1 laps '[laps']]] - intermediate_results[[#This Row], [Team8 laps '[laps']]]</f>
        <v>1.8162880872890881</v>
      </c>
      <c r="S237" s="1">
        <f>intermediate_results[[#This Row], [Team1 laps '[laps']]] - intermediate_results[[#This Row], [Team9 laps '[laps']]]</f>
        <v>1.7832170498303448</v>
      </c>
      <c r="T237" s="1">
        <f>MAX(intermediate_results[[#This Row], [Team1 laps '[laps']]:[Team9 laps '[laps']]]) - intermediate_results[[#This Row], [Team1 laps '[laps']]]</f>
        <v>0</v>
      </c>
      <c r="U237" s="1">
        <f>MAX(intermediate_results[[#This Row], [Team1 laps '[laps']]:[Team9 laps '[laps']]]) - intermediate_results[[#This Row], [Team2 laps '[laps']]]</f>
        <v>0.19535750415244735</v>
      </c>
      <c r="V237" s="1">
        <f>MAX(intermediate_results[[#This Row], [Team1 laps '[laps']]:[Team9 laps '[laps']]]) - intermediate_results[[#This Row], [Team3 laps '[laps']]]</f>
        <v>0.49763756807066528</v>
      </c>
      <c r="W237" s="1">
        <f>MAX(intermediate_results[[#This Row], [Team1 laps '[laps']]:[Team9 laps '[laps']]]) - intermediate_results[[#This Row], [Team4 laps '[laps']]]</f>
        <v>0.92699514963340945</v>
      </c>
      <c r="X237" s="1">
        <f>MAX(intermediate_results[[#This Row], [Team1 laps '[laps']]:[Team9 laps '[laps']]]) - intermediate_results[[#This Row], [Team5 laps '[laps']]]</f>
        <v>1.0820523787908662</v>
      </c>
      <c r="Y237" s="1">
        <f>MAX(intermediate_results[[#This Row], [Team1 laps '[laps']]:[Team9 laps '[laps']]]) - intermediate_results[[#This Row], [Team6 laps '[laps']]]</f>
        <v>1.4348285304815604</v>
      </c>
      <c r="Z237" s="1">
        <f>MAX(intermediate_results[[#This Row], [Team1 laps '[laps']]:[Team9 laps '[laps']]]) - intermediate_results[[#This Row], [Team7 laps '[laps']]]</f>
        <v>1.5863249829422195</v>
      </c>
      <c r="AA237" s="1">
        <f>MAX(intermediate_results[[#This Row], [Team1 laps '[laps']]:[Team9 laps '[laps']]]) - intermediate_results[[#This Row], [Team8 laps '[laps']]]</f>
        <v>1.8162880872890881</v>
      </c>
      <c r="AB237" s="1">
        <f>MAX(intermediate_results[[#This Row], [Team1 laps '[laps']]:[Team9 laps '[laps']]]) - intermediate_results[[#This Row], [Team9 laps '[laps']]]</f>
        <v>1.7832170498303448</v>
      </c>
      <c r="AC237" s="1">
        <f>9 * intermediate_results[[#This Row], [All cumulative times '[sec']]] / SUM(intermediate_results[[#This Row], [Team1 laps '[laps']]:[Team9 laps '[laps']]])</f>
        <v>54.758934182205515</v>
      </c>
      <c r="AD237" s="1">
        <f>intermediate_results[[#This Row], [All cumulative times '[sec']]] / intermediate_results[[#This Row], [Team1 laps '[laps']]] - intermediate_results[[#This Row], [Total running average '[sec']]]</f>
        <v>-2.0416049624439125</v>
      </c>
      <c r="AE237" s="1">
        <f>intermediate_results[[#This Row], [All cumulative times '[sec']]] / intermediate_results[[#This Row], [Team2 laps '[laps']]] - intermediate_results[[#This Row], [Total running average '[sec']]]</f>
        <v>-1.6682985141888906</v>
      </c>
      <c r="AF237" s="1">
        <f>intermediate_results[[#This Row], [All cumulative times '[sec']]] / intermediate_results[[#This Row], [Team3 laps '[laps']]] - intermediate_results[[#This Row], [Total running average '[sec']]]</f>
        <v>-1.0801401885093824</v>
      </c>
      <c r="AG237" s="1">
        <f>intermediate_results[[#This Row], [All cumulative times '[sec']]] / intermediate_results[[#This Row], [Team4 laps '[laps']]] - intermediate_results[[#This Row], [Total running average '[sec']]]</f>
        <v>-0.22196299381733553</v>
      </c>
      <c r="AH237" s="1">
        <f>intermediate_results[[#This Row], [All cumulative times '[sec']]] / intermediate_results[[#This Row], [Team5 laps '[laps']]] - intermediate_results[[#This Row], [Total running average '[sec']]]</f>
        <v>9.4740481229329987E-2</v>
      </c>
      <c r="AI237" s="1">
        <f>intermediate_results[[#This Row], [All cumulative times '[sec']]] / intermediate_results[[#This Row], [Team6 laps '[laps']]] - intermediate_results[[#This Row], [Total running average '[sec']]]</f>
        <v>0.8291712886257514</v>
      </c>
      <c r="AJ237" s="1">
        <f>intermediate_results[[#This Row], [All cumulative times '[sec']]] / intermediate_results[[#This Row], [Team7 laps '[laps']]] - intermediate_results[[#This Row], [Total running average '[sec']]]</f>
        <v>1.1506369325783865</v>
      </c>
      <c r="AK237" s="1">
        <f>intermediate_results[[#This Row], [All cumulative times '[sec']]] / intermediate_results[[#This Row], [Team8 laps '[laps']]] - intermediate_results[[#This Row], [Total running average '[sec']]]</f>
        <v>1.6457720544406982</v>
      </c>
      <c r="AL237" s="1">
        <f>intermediate_results[[#This Row], [All cumulative times '[sec']]] / intermediate_results[[#This Row], [Team9 laps '[laps']]] - intermediate_results[[#This Row], [Total running average '[sec']]]</f>
        <v>1.5740273562560176</v>
      </c>
    </row>
    <row r="238" spans="1:38" x14ac:dyDescent="0.25">
      <c r="A238" s="1">
        <v>1466.481</v>
      </c>
      <c r="B238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27.81798772351215</v>
      </c>
      <c r="C238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27.622330574139173</v>
      </c>
      <c r="D238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27.320003019608585</v>
      </c>
      <c r="E238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26.890108869319665</v>
      </c>
      <c r="F238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26.734306012318982</v>
      </c>
      <c r="G238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26.381904376906391</v>
      </c>
      <c r="H238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26.231124373627612</v>
      </c>
      <c r="I238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26.000000000000007</v>
      </c>
      <c r="J238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26.032321514007762</v>
      </c>
      <c r="K238" s="1">
        <f>intermediate_results[[#This Row], [Team1 laps '[laps']]] - intermediate_results[[#This Row], [Team1 laps '[laps']]]</f>
        <v>0</v>
      </c>
      <c r="L238" s="1">
        <f>intermediate_results[[#This Row], [Team1 laps '[laps']]] - intermediate_results[[#This Row], [Team2 laps '[laps']]]</f>
        <v>0.19565714937297685</v>
      </c>
      <c r="M238" s="1">
        <f>intermediate_results[[#This Row], [Team1 laps '[laps']]] - intermediate_results[[#This Row], [Team3 laps '[laps']]]</f>
        <v>0.49798470390356542</v>
      </c>
      <c r="N238" s="1">
        <f>intermediate_results[[#This Row], [Team1 laps '[laps']]] - intermediate_results[[#This Row], [Team4 laps '[laps']]]</f>
        <v>0.92787885419248539</v>
      </c>
      <c r="O238" s="1">
        <f>intermediate_results[[#This Row], [Team1 laps '[laps']]] - intermediate_results[[#This Row], [Team5 laps '[laps']]]</f>
        <v>1.0836817111931687</v>
      </c>
      <c r="P238" s="1">
        <f>intermediate_results[[#This Row], [Team1 laps '[laps']]] - intermediate_results[[#This Row], [Team6 laps '[laps']]]</f>
        <v>1.4360833466057592</v>
      </c>
      <c r="Q238" s="1">
        <f>intermediate_results[[#This Row], [Team1 laps '[laps']]] - intermediate_results[[#This Row], [Team7 laps '[laps']]]</f>
        <v>1.5868633498845384</v>
      </c>
      <c r="R238" s="1">
        <f>intermediate_results[[#This Row], [Team1 laps '[laps']]] - intermediate_results[[#This Row], [Team8 laps '[laps']]]</f>
        <v>1.8179877235121431</v>
      </c>
      <c r="S238" s="1">
        <f>intermediate_results[[#This Row], [Team1 laps '[laps']]] - intermediate_results[[#This Row], [Team9 laps '[laps']]]</f>
        <v>1.785666209504388</v>
      </c>
      <c r="T238" s="1">
        <f>MAX(intermediate_results[[#This Row], [Team1 laps '[laps']]:[Team9 laps '[laps']]]) - intermediate_results[[#This Row], [Team1 laps '[laps']]]</f>
        <v>0</v>
      </c>
      <c r="U238" s="1">
        <f>MAX(intermediate_results[[#This Row], [Team1 laps '[laps']]:[Team9 laps '[laps']]]) - intermediate_results[[#This Row], [Team2 laps '[laps']]]</f>
        <v>0.19565714937297685</v>
      </c>
      <c r="V238" s="1">
        <f>MAX(intermediate_results[[#This Row], [Team1 laps '[laps']]:[Team9 laps '[laps']]]) - intermediate_results[[#This Row], [Team3 laps '[laps']]]</f>
        <v>0.49798470390356542</v>
      </c>
      <c r="W238" s="1">
        <f>MAX(intermediate_results[[#This Row], [Team1 laps '[laps']]:[Team9 laps '[laps']]]) - intermediate_results[[#This Row], [Team4 laps '[laps']]]</f>
        <v>0.92787885419248539</v>
      </c>
      <c r="X238" s="1">
        <f>MAX(intermediate_results[[#This Row], [Team1 laps '[laps']]:[Team9 laps '[laps']]]) - intermediate_results[[#This Row], [Team5 laps '[laps']]]</f>
        <v>1.0836817111931687</v>
      </c>
      <c r="Y238" s="1">
        <f>MAX(intermediate_results[[#This Row], [Team1 laps '[laps']]:[Team9 laps '[laps']]]) - intermediate_results[[#This Row], [Team6 laps '[laps']]]</f>
        <v>1.4360833466057592</v>
      </c>
      <c r="Z238" s="1">
        <f>MAX(intermediate_results[[#This Row], [Team1 laps '[laps']]:[Team9 laps '[laps']]]) - intermediate_results[[#This Row], [Team7 laps '[laps']]]</f>
        <v>1.5868633498845384</v>
      </c>
      <c r="AA238" s="1">
        <f>MAX(intermediate_results[[#This Row], [Team1 laps '[laps']]:[Team9 laps '[laps']]]) - intermediate_results[[#This Row], [Team8 laps '[laps']]]</f>
        <v>1.8179877235121431</v>
      </c>
      <c r="AB238" s="1">
        <f>MAX(intermediate_results[[#This Row], [Team1 laps '[laps']]:[Team9 laps '[laps']]]) - intermediate_results[[#This Row], [Team9 laps '[laps']]]</f>
        <v>1.785666209504388</v>
      </c>
      <c r="AC238" s="1">
        <f>9 * intermediate_results[[#This Row], [All cumulative times '[sec']]] / SUM(intermediate_results[[#This Row], [Team1 laps '[laps']]:[Team9 laps '[laps']]])</f>
        <v>54.758014626534745</v>
      </c>
      <c r="AD238" s="1">
        <f>intermediate_results[[#This Row], [All cumulative times '[sec']]] / intermediate_results[[#This Row], [Team1 laps '[laps']]] - intermediate_results[[#This Row], [Total running average '[sec']]]</f>
        <v>-2.0410095514153141</v>
      </c>
      <c r="AE238" s="1">
        <f>intermediate_results[[#This Row], [All cumulative times '[sec']]] / intermediate_results[[#This Row], [Team2 laps '[laps']]] - intermediate_results[[#This Row], [Total running average '[sec']]]</f>
        <v>-1.667599389343934</v>
      </c>
      <c r="AF238" s="1">
        <f>intermediate_results[[#This Row], [All cumulative times '[sec']]] / intermediate_results[[#This Row], [Team3 laps '[laps']]] - intermediate_results[[#This Row], [Total running average '[sec']]]</f>
        <v>-1.0800923017292945</v>
      </c>
      <c r="AG238" s="1">
        <f>intermediate_results[[#This Row], [All cumulative times '[sec']]] / intermediate_results[[#This Row], [Team4 laps '[laps']]] - intermediate_results[[#This Row], [Total running average '[sec']]]</f>
        <v>-0.22193940546395652</v>
      </c>
      <c r="AH238" s="1">
        <f>intermediate_results[[#This Row], [All cumulative times '[sec']]] / intermediate_results[[#This Row], [Team5 laps '[laps']]] - intermediate_results[[#This Row], [Total running average '[sec']]]</f>
        <v>9.5887297242732927E-2</v>
      </c>
      <c r="AI238" s="1">
        <f>intermediate_results[[#This Row], [All cumulative times '[sec']]] / intermediate_results[[#This Row], [Team6 laps '[laps']]] - intermediate_results[[#This Row], [Total running average '[sec']]]</f>
        <v>0.82860941125441911</v>
      </c>
      <c r="AJ238" s="1">
        <f>intermediate_results[[#This Row], [All cumulative times '[sec']]] / intermediate_results[[#This Row], [Team7 laps '[laps']]] - intermediate_results[[#This Row], [Total running average '[sec']]]</f>
        <v>1.1481287439102701</v>
      </c>
      <c r="AK238" s="1">
        <f>intermediate_results[[#This Row], [All cumulative times '[sec']]] / intermediate_results[[#This Row], [Team8 laps '[laps']]] - intermediate_results[[#This Row], [Total running average '[sec']]]</f>
        <v>1.6451007580806234</v>
      </c>
      <c r="AL238" s="1">
        <f>intermediate_results[[#This Row], [All cumulative times '[sec']]] / intermediate_results[[#This Row], [Team9 laps '[laps']]] - intermediate_results[[#This Row], [Total running average '[sec']]]</f>
        <v>1.5750711188491024</v>
      </c>
    </row>
    <row r="239" spans="1:38" x14ac:dyDescent="0.25">
      <c r="A239" s="1">
        <v>1472.396</v>
      </c>
      <c r="B239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27.930744595676547</v>
      </c>
      <c r="C239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27.734115734966178</v>
      </c>
      <c r="D239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27.431634174420143</v>
      </c>
      <c r="E239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27.000000000000004</v>
      </c>
      <c r="F239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26.84177916674237</v>
      </c>
      <c r="G239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26.490592039983824</v>
      </c>
      <c r="H239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26.342135390274571</v>
      </c>
      <c r="I239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26.100062591984848</v>
      </c>
      <c r="J239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26.137136072865168</v>
      </c>
      <c r="K239" s="1">
        <f>intermediate_results[[#This Row], [Team1 laps '[laps']]] - intermediate_results[[#This Row], [Team1 laps '[laps']]]</f>
        <v>0</v>
      </c>
      <c r="L239" s="1">
        <f>intermediate_results[[#This Row], [Team1 laps '[laps']]] - intermediate_results[[#This Row], [Team2 laps '[laps']]]</f>
        <v>0.19662886071036922</v>
      </c>
      <c r="M239" s="1">
        <f>intermediate_results[[#This Row], [Team1 laps '[laps']]] - intermediate_results[[#This Row], [Team3 laps '[laps']]]</f>
        <v>0.49911042125640392</v>
      </c>
      <c r="N239" s="1">
        <f>intermediate_results[[#This Row], [Team1 laps '[laps']]] - intermediate_results[[#This Row], [Team4 laps '[laps']]]</f>
        <v>0.93074459567654344</v>
      </c>
      <c r="O239" s="1">
        <f>intermediate_results[[#This Row], [Team1 laps '[laps']]] - intermediate_results[[#This Row], [Team5 laps '[laps']]]</f>
        <v>1.088965428934177</v>
      </c>
      <c r="P239" s="1">
        <f>intermediate_results[[#This Row], [Team1 laps '[laps']]] - intermediate_results[[#This Row], [Team6 laps '[laps']]]</f>
        <v>1.4401525556927233</v>
      </c>
      <c r="Q239" s="1">
        <f>intermediate_results[[#This Row], [Team1 laps '[laps']]] - intermediate_results[[#This Row], [Team7 laps '[laps']]]</f>
        <v>1.5886092054019763</v>
      </c>
      <c r="R239" s="1">
        <f>intermediate_results[[#This Row], [Team1 laps '[laps']]] - intermediate_results[[#This Row], [Team8 laps '[laps']]]</f>
        <v>1.8306820036916989</v>
      </c>
      <c r="S239" s="1">
        <f>intermediate_results[[#This Row], [Team1 laps '[laps']]] - intermediate_results[[#This Row], [Team9 laps '[laps']]]</f>
        <v>1.7936085228113789</v>
      </c>
      <c r="T239" s="1">
        <f>MAX(intermediate_results[[#This Row], [Team1 laps '[laps']]:[Team9 laps '[laps']]]) - intermediate_results[[#This Row], [Team1 laps '[laps']]]</f>
        <v>0</v>
      </c>
      <c r="U239" s="1">
        <f>MAX(intermediate_results[[#This Row], [Team1 laps '[laps']]:[Team9 laps '[laps']]]) - intermediate_results[[#This Row], [Team2 laps '[laps']]]</f>
        <v>0.19662886071036922</v>
      </c>
      <c r="V239" s="1">
        <f>MAX(intermediate_results[[#This Row], [Team1 laps '[laps']]:[Team9 laps '[laps']]]) - intermediate_results[[#This Row], [Team3 laps '[laps']]]</f>
        <v>0.49911042125640392</v>
      </c>
      <c r="W239" s="1">
        <f>MAX(intermediate_results[[#This Row], [Team1 laps '[laps']]:[Team9 laps '[laps']]]) - intermediate_results[[#This Row], [Team4 laps '[laps']]]</f>
        <v>0.93074459567654344</v>
      </c>
      <c r="X239" s="1">
        <f>MAX(intermediate_results[[#This Row], [Team1 laps '[laps']]:[Team9 laps '[laps']]]) - intermediate_results[[#This Row], [Team5 laps '[laps']]]</f>
        <v>1.088965428934177</v>
      </c>
      <c r="Y239" s="1">
        <f>MAX(intermediate_results[[#This Row], [Team1 laps '[laps']]:[Team9 laps '[laps']]]) - intermediate_results[[#This Row], [Team6 laps '[laps']]]</f>
        <v>1.4401525556927233</v>
      </c>
      <c r="Z239" s="1">
        <f>MAX(intermediate_results[[#This Row], [Team1 laps '[laps']]:[Team9 laps '[laps']]]) - intermediate_results[[#This Row], [Team7 laps '[laps']]]</f>
        <v>1.5886092054019763</v>
      </c>
      <c r="AA239" s="1">
        <f>MAX(intermediate_results[[#This Row], [Team1 laps '[laps']]:[Team9 laps '[laps']]]) - intermediate_results[[#This Row], [Team8 laps '[laps']]]</f>
        <v>1.8306820036916989</v>
      </c>
      <c r="AB239" s="1">
        <f>MAX(intermediate_results[[#This Row], [Team1 laps '[laps']]:[Team9 laps '[laps']]]) - intermediate_results[[#This Row], [Team9 laps '[laps']]]</f>
        <v>1.7936085228113789</v>
      </c>
      <c r="AC239" s="1">
        <f>9 * intermediate_results[[#This Row], [All cumulative times '[sec']]] / SUM(intermediate_results[[#This Row], [Team1 laps '[laps']]:[Team9 laps '[laps']]])</f>
        <v>54.756673586940586</v>
      </c>
      <c r="AD239" s="1">
        <f>intermediate_results[[#This Row], [All cumulative times '[sec']]] / intermediate_results[[#This Row], [Team1 laps '[laps']]] - intermediate_results[[#This Row], [Total running average '[sec']]]</f>
        <v>-2.0407141195401053</v>
      </c>
      <c r="AE239" s="1">
        <f>intermediate_results[[#This Row], [All cumulative times '[sec']]] / intermediate_results[[#This Row], [Team2 laps '[laps']]] - intermediate_results[[#This Row], [Total running average '[sec']]]</f>
        <v>-1.6669694092207266</v>
      </c>
      <c r="AF239" s="1">
        <f>intermediate_results[[#This Row], [All cumulative times '[sec']]] / intermediate_results[[#This Row], [Team3 laps '[laps']]] - intermediate_results[[#This Row], [Total running average '[sec']]]</f>
        <v>-1.0815629231726334</v>
      </c>
      <c r="AG239" s="1">
        <f>intermediate_results[[#This Row], [All cumulative times '[sec']]] / intermediate_results[[#This Row], [Team4 laps '[laps']]] - intermediate_results[[#This Row], [Total running average '[sec']]]</f>
        <v>-0.22348840175541085</v>
      </c>
      <c r="AH239" s="1">
        <f>intermediate_results[[#This Row], [All cumulative times '[sec']]] / intermediate_results[[#This Row], [Team5 laps '[laps']]] - intermediate_results[[#This Row], [Total running average '[sec']]]</f>
        <v>9.7961452466009291E-2</v>
      </c>
      <c r="AI239" s="1">
        <f>intermediate_results[[#This Row], [All cumulative times '[sec']]] / intermediate_results[[#This Row], [Team6 laps '[laps']]] - intermediate_results[[#This Row], [Total running average '[sec']]]</f>
        <v>0.82517214069076772</v>
      </c>
      <c r="AJ239" s="1">
        <f>intermediate_results[[#This Row], [All cumulative times '[sec']]] / intermediate_results[[#This Row], [Team7 laps '[laps']]] - intermediate_results[[#This Row], [Total running average '[sec']]]</f>
        <v>1.138415333739843</v>
      </c>
      <c r="AK239" s="1">
        <f>intermediate_results[[#This Row], [All cumulative times '[sec']]] / intermediate_results[[#This Row], [Team8 laps '[laps']]] - intermediate_results[[#This Row], [Total running average '[sec']]]</f>
        <v>1.6568309711734912</v>
      </c>
      <c r="AL239" s="1">
        <f>intermediate_results[[#This Row], [All cumulative times '[sec']]] / intermediate_results[[#This Row], [Team9 laps '[laps']]] - intermediate_results[[#This Row], [Total running average '[sec']]]</f>
        <v>1.5768128323538235</v>
      </c>
    </row>
    <row r="240" spans="1:38" x14ac:dyDescent="0.25">
      <c r="A240" s="1">
        <v>1476.029</v>
      </c>
      <c r="B240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28.000000000000004</v>
      </c>
      <c r="C240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27.802774313036252</v>
      </c>
      <c r="D240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27.500198161813277</v>
      </c>
      <c r="E240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27.065542125202963</v>
      </c>
      <c r="F240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26.907789305376379</v>
      </c>
      <c r="G240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26.557348131270437</v>
      </c>
      <c r="H240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26.41031848807312</v>
      </c>
      <c r="I240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26.16152115439921</v>
      </c>
      <c r="J240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26.201513298956286</v>
      </c>
      <c r="K240" s="1">
        <f>intermediate_results[[#This Row], [Team1 laps '[laps']]] - intermediate_results[[#This Row], [Team1 laps '[laps']]]</f>
        <v>0</v>
      </c>
      <c r="L240" s="1">
        <f>intermediate_results[[#This Row], [Team1 laps '[laps']]] - intermediate_results[[#This Row], [Team2 laps '[laps']]]</f>
        <v>0.1972256869637512</v>
      </c>
      <c r="M240" s="1">
        <f>intermediate_results[[#This Row], [Team1 laps '[laps']]] - intermediate_results[[#This Row], [Team3 laps '[laps']]]</f>
        <v>0.49980183818672685</v>
      </c>
      <c r="N240" s="1">
        <f>intermediate_results[[#This Row], [Team1 laps '[laps']]] - intermediate_results[[#This Row], [Team4 laps '[laps']]]</f>
        <v>0.93445787479704023</v>
      </c>
      <c r="O240" s="1">
        <f>intermediate_results[[#This Row], [Team1 laps '[laps']]] - intermediate_results[[#This Row], [Team5 laps '[laps']]]</f>
        <v>1.0922106946236241</v>
      </c>
      <c r="P240" s="1">
        <f>intermediate_results[[#This Row], [Team1 laps '[laps']]] - intermediate_results[[#This Row], [Team6 laps '[laps']]]</f>
        <v>1.4426518687295662</v>
      </c>
      <c r="Q240" s="1">
        <f>intermediate_results[[#This Row], [Team1 laps '[laps']]] - intermediate_results[[#This Row], [Team7 laps '[laps']]]</f>
        <v>1.5896815119268837</v>
      </c>
      <c r="R240" s="1">
        <f>intermediate_results[[#This Row], [Team1 laps '[laps']]] - intermediate_results[[#This Row], [Team8 laps '[laps']]]</f>
        <v>1.8384788456007932</v>
      </c>
      <c r="S240" s="1">
        <f>intermediate_results[[#This Row], [Team1 laps '[laps']]] - intermediate_results[[#This Row], [Team9 laps '[laps']]]</f>
        <v>1.7984867010437178</v>
      </c>
      <c r="T240" s="1">
        <f>MAX(intermediate_results[[#This Row], [Team1 laps '[laps']]:[Team9 laps '[laps']]]) - intermediate_results[[#This Row], [Team1 laps '[laps']]]</f>
        <v>0</v>
      </c>
      <c r="U240" s="1">
        <f>MAX(intermediate_results[[#This Row], [Team1 laps '[laps']]:[Team9 laps '[laps']]]) - intermediate_results[[#This Row], [Team2 laps '[laps']]]</f>
        <v>0.1972256869637512</v>
      </c>
      <c r="V240" s="1">
        <f>MAX(intermediate_results[[#This Row], [Team1 laps '[laps']]:[Team9 laps '[laps']]]) - intermediate_results[[#This Row], [Team3 laps '[laps']]]</f>
        <v>0.49980183818672685</v>
      </c>
      <c r="W240" s="1">
        <f>MAX(intermediate_results[[#This Row], [Team1 laps '[laps']]:[Team9 laps '[laps']]]) - intermediate_results[[#This Row], [Team4 laps '[laps']]]</f>
        <v>0.93445787479704023</v>
      </c>
      <c r="X240" s="1">
        <f>MAX(intermediate_results[[#This Row], [Team1 laps '[laps']]:[Team9 laps '[laps']]]) - intermediate_results[[#This Row], [Team5 laps '[laps']]]</f>
        <v>1.0922106946236241</v>
      </c>
      <c r="Y240" s="1">
        <f>MAX(intermediate_results[[#This Row], [Team1 laps '[laps']]:[Team9 laps '[laps']]]) - intermediate_results[[#This Row], [Team6 laps '[laps']]]</f>
        <v>1.4426518687295662</v>
      </c>
      <c r="Z240" s="1">
        <f>MAX(intermediate_results[[#This Row], [Team1 laps '[laps']]:[Team9 laps '[laps']]]) - intermediate_results[[#This Row], [Team7 laps '[laps']]]</f>
        <v>1.5896815119268837</v>
      </c>
      <c r="AA240" s="1">
        <f>MAX(intermediate_results[[#This Row], [Team1 laps '[laps']]:[Team9 laps '[laps']]]) - intermediate_results[[#This Row], [Team8 laps '[laps']]]</f>
        <v>1.8384788456007932</v>
      </c>
      <c r="AB240" s="1">
        <f>MAX(intermediate_results[[#This Row], [Team1 laps '[laps']]:[Team9 laps '[laps']]]) - intermediate_results[[#This Row], [Team9 laps '[laps']]]</f>
        <v>1.7984867010437178</v>
      </c>
      <c r="AC240" s="1">
        <f>9 * intermediate_results[[#This Row], [All cumulative times '[sec']]] / SUM(intermediate_results[[#This Row], [Team1 laps '[laps']]:[Team9 laps '[laps']]])</f>
        <v>54.756296097870852</v>
      </c>
      <c r="AD240" s="1">
        <f>intermediate_results[[#This Row], [All cumulative times '[sec']]] / intermediate_results[[#This Row], [Team1 laps '[laps']]] - intermediate_results[[#This Row], [Total running average '[sec']]]</f>
        <v>-2.0409746692994304</v>
      </c>
      <c r="AE240" s="1">
        <f>intermediate_results[[#This Row], [All cumulative times '[sec']]] / intermediate_results[[#This Row], [Team2 laps '[laps']]] - intermediate_results[[#This Row], [Total running average '[sec']]]</f>
        <v>-1.6670258192600258</v>
      </c>
      <c r="AF240" s="1">
        <f>intermediate_results[[#This Row], [All cumulative times '[sec']]] / intermediate_results[[#This Row], [Team3 laps '[laps']]] - intermediate_results[[#This Row], [Total running average '[sec']]]</f>
        <v>-1.0829010439540738</v>
      </c>
      <c r="AG240" s="1">
        <f>intermediate_results[[#This Row], [All cumulative times '[sec']]] / intermediate_results[[#This Row], [Team4 laps '[laps']]] - intermediate_results[[#This Row], [Total running average '[sec']]]</f>
        <v>-0.22093917902504501</v>
      </c>
      <c r="AH240" s="1">
        <f>intermediate_results[[#This Row], [All cumulative times '[sec']]] / intermediate_results[[#This Row], [Team5 laps '[laps']]] - intermediate_results[[#This Row], [Total running average '[sec']]]</f>
        <v>9.8786318917589711E-2</v>
      </c>
      <c r="AI240" s="1">
        <f>intermediate_results[[#This Row], [All cumulative times '[sec']]] / intermediate_results[[#This Row], [Team6 laps '[laps']]] - intermediate_results[[#This Row], [Total running average '[sec']]]</f>
        <v>0.82263417423800433</v>
      </c>
      <c r="AJ240" s="1">
        <f>intermediate_results[[#This Row], [All cumulative times '[sec']]] / intermediate_results[[#This Row], [Team7 laps '[laps']]] - intermediate_results[[#This Row], [Total running average '[sec']]]</f>
        <v>1.132049234525411</v>
      </c>
      <c r="AK240" s="1">
        <f>intermediate_results[[#This Row], [All cumulative times '[sec']]] / intermediate_results[[#This Row], [Team8 laps '[laps']]] - intermediate_results[[#This Row], [Total running average '[sec']]]</f>
        <v>1.6635501063624716</v>
      </c>
      <c r="AL240" s="1">
        <f>intermediate_results[[#This Row], [All cumulative times '[sec']]] / intermediate_results[[#This Row], [Team9 laps '[laps']]] - intermediate_results[[#This Row], [Total running average '[sec']]]</f>
        <v>1.5774348267012144</v>
      </c>
    </row>
    <row r="241" spans="1:38" x14ac:dyDescent="0.25">
      <c r="A241" s="1">
        <v>1481.104</v>
      </c>
      <c r="B241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28.094408066076351</v>
      </c>
      <c r="C241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27.898684658124509</v>
      </c>
      <c r="D241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27.595976371562841</v>
      </c>
      <c r="E241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27.157099043839082</v>
      </c>
      <c r="F241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26.999999999999996</v>
      </c>
      <c r="G241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26.650600859946341</v>
      </c>
      <c r="H241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26.505564626616373</v>
      </c>
      <c r="I241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26.247373674149518</v>
      </c>
      <c r="J241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26.29144295004696</v>
      </c>
      <c r="K241" s="1">
        <f>intermediate_results[[#This Row], [Team1 laps '[laps']]] - intermediate_results[[#This Row], [Team1 laps '[laps']]]</f>
        <v>0</v>
      </c>
      <c r="L241" s="1">
        <f>intermediate_results[[#This Row], [Team1 laps '[laps']]] - intermediate_results[[#This Row], [Team2 laps '[laps']]]</f>
        <v>0.19572340795184218</v>
      </c>
      <c r="M241" s="1">
        <f>intermediate_results[[#This Row], [Team1 laps '[laps']]] - intermediate_results[[#This Row], [Team3 laps '[laps']]]</f>
        <v>0.49843169451350988</v>
      </c>
      <c r="N241" s="1">
        <f>intermediate_results[[#This Row], [Team1 laps '[laps']]] - intermediate_results[[#This Row], [Team4 laps '[laps']]]</f>
        <v>0.93730902223726886</v>
      </c>
      <c r="O241" s="1">
        <f>intermediate_results[[#This Row], [Team1 laps '[laps']]] - intermediate_results[[#This Row], [Team5 laps '[laps']]]</f>
        <v>1.0944080660763547</v>
      </c>
      <c r="P241" s="1">
        <f>intermediate_results[[#This Row], [Team1 laps '[laps']]] - intermediate_results[[#This Row], [Team6 laps '[laps']]]</f>
        <v>1.4438072061300105</v>
      </c>
      <c r="Q241" s="1">
        <f>intermediate_results[[#This Row], [Team1 laps '[laps']]] - intermediate_results[[#This Row], [Team7 laps '[laps']]]</f>
        <v>1.5888434394599784</v>
      </c>
      <c r="R241" s="1">
        <f>intermediate_results[[#This Row], [Team1 laps '[laps']]] - intermediate_results[[#This Row], [Team8 laps '[laps']]]</f>
        <v>1.8470343919268331</v>
      </c>
      <c r="S241" s="1">
        <f>intermediate_results[[#This Row], [Team1 laps '[laps']]] - intermediate_results[[#This Row], [Team9 laps '[laps']]]</f>
        <v>1.8029651160293909</v>
      </c>
      <c r="T241" s="1">
        <f>MAX(intermediate_results[[#This Row], [Team1 laps '[laps']]:[Team9 laps '[laps']]]) - intermediate_results[[#This Row], [Team1 laps '[laps']]]</f>
        <v>0</v>
      </c>
      <c r="U241" s="1">
        <f>MAX(intermediate_results[[#This Row], [Team1 laps '[laps']]:[Team9 laps '[laps']]]) - intermediate_results[[#This Row], [Team2 laps '[laps']]]</f>
        <v>0.19572340795184218</v>
      </c>
      <c r="V241" s="1">
        <f>MAX(intermediate_results[[#This Row], [Team1 laps '[laps']]:[Team9 laps '[laps']]]) - intermediate_results[[#This Row], [Team3 laps '[laps']]]</f>
        <v>0.49843169451350988</v>
      </c>
      <c r="W241" s="1">
        <f>MAX(intermediate_results[[#This Row], [Team1 laps '[laps']]:[Team9 laps '[laps']]]) - intermediate_results[[#This Row], [Team4 laps '[laps']]]</f>
        <v>0.93730902223726886</v>
      </c>
      <c r="X241" s="1">
        <f>MAX(intermediate_results[[#This Row], [Team1 laps '[laps']]:[Team9 laps '[laps']]]) - intermediate_results[[#This Row], [Team5 laps '[laps']]]</f>
        <v>1.0944080660763547</v>
      </c>
      <c r="Y241" s="1">
        <f>MAX(intermediate_results[[#This Row], [Team1 laps '[laps']]:[Team9 laps '[laps']]]) - intermediate_results[[#This Row], [Team6 laps '[laps']]]</f>
        <v>1.4438072061300105</v>
      </c>
      <c r="Z241" s="1">
        <f>MAX(intermediate_results[[#This Row], [Team1 laps '[laps']]:[Team9 laps '[laps']]]) - intermediate_results[[#This Row], [Team7 laps '[laps']]]</f>
        <v>1.5888434394599784</v>
      </c>
      <c r="AA241" s="1">
        <f>MAX(intermediate_results[[#This Row], [Team1 laps '[laps']]:[Team9 laps '[laps']]]) - intermediate_results[[#This Row], [Team8 laps '[laps']]]</f>
        <v>1.8470343919268331</v>
      </c>
      <c r="AB241" s="1">
        <f>MAX(intermediate_results[[#This Row], [Team1 laps '[laps']]:[Team9 laps '[laps']]]) - intermediate_results[[#This Row], [Team9 laps '[laps']]]</f>
        <v>1.8029651160293909</v>
      </c>
      <c r="AC241" s="1">
        <f>9 * intermediate_results[[#This Row], [All cumulative times '[sec']]] / SUM(intermediate_results[[#This Row], [Team1 laps '[laps']]:[Team9 laps '[laps']]])</f>
        <v>54.756297307546838</v>
      </c>
      <c r="AD241" s="1">
        <f>intermediate_results[[#This Row], [All cumulative times '[sec']]] / intermediate_results[[#This Row], [Team1 laps '[laps']]] - intermediate_results[[#This Row], [Total running average '[sec']]]</f>
        <v>-2.0374787968833346</v>
      </c>
      <c r="AE241" s="1">
        <f>intermediate_results[[#This Row], [All cumulative times '[sec']]] / intermediate_results[[#This Row], [Team2 laps '[laps']]] - intermediate_results[[#This Row], [Total running average '[sec']]]</f>
        <v>-1.6676295746513858</v>
      </c>
      <c r="AF241" s="1">
        <f>intermediate_results[[#This Row], [All cumulative times '[sec']]] / intermediate_results[[#This Row], [Team3 laps '[laps']]] - intermediate_results[[#This Row], [Total running average '[sec']]]</f>
        <v>-1.0852845461990981</v>
      </c>
      <c r="AG241" s="1">
        <f>intermediate_results[[#This Row], [All cumulative times '[sec']]] / intermediate_results[[#This Row], [Team4 laps '[laps']]] - intermediate_results[[#This Row], [Total running average '[sec']]]</f>
        <v>-0.21792420631508236</v>
      </c>
      <c r="AH241" s="1">
        <f>intermediate_results[[#This Row], [All cumulative times '[sec']]] / intermediate_results[[#This Row], [Team5 laps '[laps']]] - intermediate_results[[#This Row], [Total running average '[sec']]]</f>
        <v>9.9406396156872745E-2</v>
      </c>
      <c r="AI241" s="1">
        <f>intermediate_results[[#This Row], [All cumulative times '[sec']]] / intermediate_results[[#This Row], [Team6 laps '[laps']]] - intermediate_results[[#This Row], [Total running average '[sec']]]</f>
        <v>0.81858476672479696</v>
      </c>
      <c r="AJ241" s="1">
        <f>intermediate_results[[#This Row], [All cumulative times '[sec']]] / intermediate_results[[#This Row], [Team7 laps '[laps']]] - intermediate_results[[#This Row], [Total running average '[sec']]]</f>
        <v>1.1226858744489974</v>
      </c>
      <c r="AK241" s="1">
        <f>intermediate_results[[#This Row], [All cumulative times '[sec']]] / intermediate_results[[#This Row], [Team8 laps '[laps']]] - intermediate_results[[#This Row], [Total running average '[sec']]]</f>
        <v>1.6723579319184338</v>
      </c>
      <c r="AL241" s="1">
        <f>intermediate_results[[#This Row], [All cumulative times '[sec']]] / intermediate_results[[#This Row], [Team9 laps '[laps']]] - intermediate_results[[#This Row], [Total running average '[sec']]]</f>
        <v>1.5777731660311289</v>
      </c>
    </row>
    <row r="242" spans="1:38" x14ac:dyDescent="0.25">
      <c r="A242" s="1">
        <v>1486.4649999999999</v>
      </c>
      <c r="B242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28.19413646848724</v>
      </c>
      <c r="C242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28.000000000000004</v>
      </c>
      <c r="D242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27.697152131654935</v>
      </c>
      <c r="E242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27.253815623308682</v>
      </c>
      <c r="F242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27.098190409905119</v>
      </c>
      <c r="G242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26.749108816287524</v>
      </c>
      <c r="H242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26.606178330799693</v>
      </c>
      <c r="I242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26.338064385160632</v>
      </c>
      <c r="J242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26.386440557829637</v>
      </c>
      <c r="K242" s="1">
        <f>intermediate_results[[#This Row], [Team1 laps '[laps']]] - intermediate_results[[#This Row], [Team1 laps '[laps']]]</f>
        <v>0</v>
      </c>
      <c r="L242" s="1">
        <f>intermediate_results[[#This Row], [Team1 laps '[laps']]] - intermediate_results[[#This Row], [Team2 laps '[laps']]]</f>
        <v>0.19413646848723687</v>
      </c>
      <c r="M242" s="1">
        <f>intermediate_results[[#This Row], [Team1 laps '[laps']]] - intermediate_results[[#This Row], [Team3 laps '[laps']]]</f>
        <v>0.49698433683230547</v>
      </c>
      <c r="N242" s="1">
        <f>intermediate_results[[#This Row], [Team1 laps '[laps']]] - intermediate_results[[#This Row], [Team4 laps '[laps']]]</f>
        <v>0.94032084517855807</v>
      </c>
      <c r="O242" s="1">
        <f>intermediate_results[[#This Row], [Team1 laps '[laps']]] - intermediate_results[[#This Row], [Team5 laps '[laps']]]</f>
        <v>1.0959460585821219</v>
      </c>
      <c r="P242" s="1">
        <f>intermediate_results[[#This Row], [Team1 laps '[laps']]] - intermediate_results[[#This Row], [Team6 laps '[laps']]]</f>
        <v>1.4450276521997161</v>
      </c>
      <c r="Q242" s="1">
        <f>intermediate_results[[#This Row], [Team1 laps '[laps']]] - intermediate_results[[#This Row], [Team7 laps '[laps']]]</f>
        <v>1.5879581376875471</v>
      </c>
      <c r="R242" s="1">
        <f>intermediate_results[[#This Row], [Team1 laps '[laps']]] - intermediate_results[[#This Row], [Team8 laps '[laps']]]</f>
        <v>1.8560720833266089</v>
      </c>
      <c r="S242" s="1">
        <f>intermediate_results[[#This Row], [Team1 laps '[laps']]] - intermediate_results[[#This Row], [Team9 laps '[laps']]]</f>
        <v>1.8076959106576034</v>
      </c>
      <c r="T242" s="1">
        <f>MAX(intermediate_results[[#This Row], [Team1 laps '[laps']]:[Team9 laps '[laps']]]) - intermediate_results[[#This Row], [Team1 laps '[laps']]]</f>
        <v>0</v>
      </c>
      <c r="U242" s="1">
        <f>MAX(intermediate_results[[#This Row], [Team1 laps '[laps']]:[Team9 laps '[laps']]]) - intermediate_results[[#This Row], [Team2 laps '[laps']]]</f>
        <v>0.19413646848723687</v>
      </c>
      <c r="V242" s="1">
        <f>MAX(intermediate_results[[#This Row], [Team1 laps '[laps']]:[Team9 laps '[laps']]]) - intermediate_results[[#This Row], [Team3 laps '[laps']]]</f>
        <v>0.49698433683230547</v>
      </c>
      <c r="W242" s="1">
        <f>MAX(intermediate_results[[#This Row], [Team1 laps '[laps']]:[Team9 laps '[laps']]]) - intermediate_results[[#This Row], [Team4 laps '[laps']]]</f>
        <v>0.94032084517855807</v>
      </c>
      <c r="X242" s="1">
        <f>MAX(intermediate_results[[#This Row], [Team1 laps '[laps']]:[Team9 laps '[laps']]]) - intermediate_results[[#This Row], [Team5 laps '[laps']]]</f>
        <v>1.0959460585821219</v>
      </c>
      <c r="Y242" s="1">
        <f>MAX(intermediate_results[[#This Row], [Team1 laps '[laps']]:[Team9 laps '[laps']]]) - intermediate_results[[#This Row], [Team6 laps '[laps']]]</f>
        <v>1.4450276521997161</v>
      </c>
      <c r="Z242" s="1">
        <f>MAX(intermediate_results[[#This Row], [Team1 laps '[laps']]:[Team9 laps '[laps']]]) - intermediate_results[[#This Row], [Team7 laps '[laps']]]</f>
        <v>1.5879581376875471</v>
      </c>
      <c r="AA242" s="1">
        <f>MAX(intermediate_results[[#This Row], [Team1 laps '[laps']]:[Team9 laps '[laps']]]) - intermediate_results[[#This Row], [Team8 laps '[laps']]]</f>
        <v>1.8560720833266089</v>
      </c>
      <c r="AB242" s="1">
        <f>MAX(intermediate_results[[#This Row], [Team1 laps '[laps']]:[Team9 laps '[laps']]]) - intermediate_results[[#This Row], [Team9 laps '[laps']]]</f>
        <v>1.8076959106576034</v>
      </c>
      <c r="AC242" s="1">
        <f>9 * intermediate_results[[#This Row], [All cumulative times '[sec']]] / SUM(intermediate_results[[#This Row], [Team1 laps '[laps']]:[Team9 laps '[laps']]])</f>
        <v>54.756123047609123</v>
      </c>
      <c r="AD242" s="1">
        <f>intermediate_results[[#This Row], [All cumulative times '[sec']]] / intermediate_results[[#This Row], [Team1 laps '[laps']]] - intermediate_results[[#This Row], [Total running average '[sec']]]</f>
        <v>-2.0336358147963338</v>
      </c>
      <c r="AE242" s="1">
        <f>intermediate_results[[#This Row], [All cumulative times '[sec']]] / intermediate_results[[#This Row], [Team2 laps '[laps']]] - intermediate_results[[#This Row], [Total running average '[sec']]]</f>
        <v>-1.6680873333234203</v>
      </c>
      <c r="AF242" s="1">
        <f>intermediate_results[[#This Row], [All cumulative times '[sec']]] / intermediate_results[[#This Row], [Team3 laps '[laps']]] - intermediate_results[[#This Row], [Total running average '[sec']]]</f>
        <v>-1.0876089370509234</v>
      </c>
      <c r="AG242" s="1">
        <f>intermediate_results[[#This Row], [All cumulative times '[sec']]] / intermediate_results[[#This Row], [Team4 laps '[laps']]] - intermediate_results[[#This Row], [Total running average '[sec']]]</f>
        <v>-0.21458579846487424</v>
      </c>
      <c r="AH242" s="1">
        <f>intermediate_results[[#This Row], [All cumulative times '[sec']]] / intermediate_results[[#This Row], [Team5 laps '[laps']]] - intermediate_results[[#This Row], [Total running average '[sec']]]</f>
        <v>9.8646865611982548E-2</v>
      </c>
      <c r="AI242" s="1">
        <f>intermediate_results[[#This Row], [All cumulative times '[sec']]] / intermediate_results[[#This Row], [Team6 laps '[laps']]] - intermediate_results[[#This Row], [Total running average '[sec']]]</f>
        <v>0.81451335037404249</v>
      </c>
      <c r="AJ242" s="1">
        <f>intermediate_results[[#This Row], [All cumulative times '[sec']]] / intermediate_results[[#This Row], [Team7 laps '[laps']]] - intermediate_results[[#This Row], [Total running average '[sec']]]</f>
        <v>1.1130431858309748</v>
      </c>
      <c r="AK242" s="1">
        <f>intermediate_results[[#This Row], [All cumulative times '[sec']]] / intermediate_results[[#This Row], [Team8 laps '[laps']]] - intermediate_results[[#This Row], [Total running average '[sec']]]</f>
        <v>1.6817752831999826</v>
      </c>
      <c r="AL242" s="1">
        <f>intermediate_results[[#This Row], [All cumulative times '[sec']]] / intermediate_results[[#This Row], [Team9 laps '[laps']]] - intermediate_results[[#This Row], [Total running average '[sec']]]</f>
        <v>1.5783035963408452</v>
      </c>
    </row>
    <row r="243" spans="1:38" x14ac:dyDescent="0.25">
      <c r="A243" s="1">
        <v>1500.1189999999999</v>
      </c>
      <c r="B243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28.448136022025452</v>
      </c>
      <c r="C243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28.257680984373824</v>
      </c>
      <c r="D243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27.954837979126957</v>
      </c>
      <c r="E243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27.500144326177164</v>
      </c>
      <c r="F243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27.348272830506605</v>
      </c>
      <c r="G243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26.999999999999993</v>
      </c>
      <c r="H243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26.862432670833098</v>
      </c>
      <c r="I243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26.569045725982448</v>
      </c>
      <c r="J243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26.628391189552211</v>
      </c>
      <c r="K243" s="1">
        <f>intermediate_results[[#This Row], [Team1 laps '[laps']]] - intermediate_results[[#This Row], [Team1 laps '[laps']]]</f>
        <v>0</v>
      </c>
      <c r="L243" s="1">
        <f>intermediate_results[[#This Row], [Team1 laps '[laps']]] - intermediate_results[[#This Row], [Team2 laps '[laps']]]</f>
        <v>0.19045503765162763</v>
      </c>
      <c r="M243" s="1">
        <f>intermediate_results[[#This Row], [Team1 laps '[laps']]] - intermediate_results[[#This Row], [Team3 laps '[laps']]]</f>
        <v>0.49329804289849477</v>
      </c>
      <c r="N243" s="1">
        <f>intermediate_results[[#This Row], [Team1 laps '[laps']]] - intermediate_results[[#This Row], [Team4 laps '[laps']]]</f>
        <v>0.94799169584828746</v>
      </c>
      <c r="O243" s="1">
        <f>intermediate_results[[#This Row], [Team1 laps '[laps']]] - intermediate_results[[#This Row], [Team5 laps '[laps']]]</f>
        <v>1.0998631915188462</v>
      </c>
      <c r="P243" s="1">
        <f>intermediate_results[[#This Row], [Team1 laps '[laps']]] - intermediate_results[[#This Row], [Team6 laps '[laps']]]</f>
        <v>1.4481360220254587</v>
      </c>
      <c r="Q243" s="1">
        <f>intermediate_results[[#This Row], [Team1 laps '[laps']]] - intermediate_results[[#This Row], [Team7 laps '[laps']]]</f>
        <v>1.5857033511923539</v>
      </c>
      <c r="R243" s="1">
        <f>intermediate_results[[#This Row], [Team1 laps '[laps']]] - intermediate_results[[#This Row], [Team8 laps '[laps']]]</f>
        <v>1.8790902960430031</v>
      </c>
      <c r="S243" s="1">
        <f>intermediate_results[[#This Row], [Team1 laps '[laps']]] - intermediate_results[[#This Row], [Team9 laps '[laps']]]</f>
        <v>1.8197448324732406</v>
      </c>
      <c r="T243" s="1">
        <f>MAX(intermediate_results[[#This Row], [Team1 laps '[laps']]:[Team9 laps '[laps']]]) - intermediate_results[[#This Row], [Team1 laps '[laps']]]</f>
        <v>0</v>
      </c>
      <c r="U243" s="1">
        <f>MAX(intermediate_results[[#This Row], [Team1 laps '[laps']]:[Team9 laps '[laps']]]) - intermediate_results[[#This Row], [Team2 laps '[laps']]]</f>
        <v>0.19045503765162763</v>
      </c>
      <c r="V243" s="1">
        <f>MAX(intermediate_results[[#This Row], [Team1 laps '[laps']]:[Team9 laps '[laps']]]) - intermediate_results[[#This Row], [Team3 laps '[laps']]]</f>
        <v>0.49329804289849477</v>
      </c>
      <c r="W243" s="1">
        <f>MAX(intermediate_results[[#This Row], [Team1 laps '[laps']]:[Team9 laps '[laps']]]) - intermediate_results[[#This Row], [Team4 laps '[laps']]]</f>
        <v>0.94799169584828746</v>
      </c>
      <c r="X243" s="1">
        <f>MAX(intermediate_results[[#This Row], [Team1 laps '[laps']]:[Team9 laps '[laps']]]) - intermediate_results[[#This Row], [Team5 laps '[laps']]]</f>
        <v>1.0998631915188462</v>
      </c>
      <c r="Y243" s="1">
        <f>MAX(intermediate_results[[#This Row], [Team1 laps '[laps']]:[Team9 laps '[laps']]]) - intermediate_results[[#This Row], [Team6 laps '[laps']]]</f>
        <v>1.4481360220254587</v>
      </c>
      <c r="Z243" s="1">
        <f>MAX(intermediate_results[[#This Row], [Team1 laps '[laps']]:[Team9 laps '[laps']]]) - intermediate_results[[#This Row], [Team7 laps '[laps']]]</f>
        <v>1.5857033511923539</v>
      </c>
      <c r="AA243" s="1">
        <f>MAX(intermediate_results[[#This Row], [Team1 laps '[laps']]:[Team9 laps '[laps']]]) - intermediate_results[[#This Row], [Team8 laps '[laps']]]</f>
        <v>1.8790902960430031</v>
      </c>
      <c r="AB243" s="1">
        <f>MAX(intermediate_results[[#This Row], [Team1 laps '[laps']]:[Team9 laps '[laps']]]) - intermediate_results[[#This Row], [Team9 laps '[laps']]]</f>
        <v>1.8197448324732406</v>
      </c>
      <c r="AC243" s="1">
        <f>9 * intermediate_results[[#This Row], [All cumulative times '[sec']]] / SUM(intermediate_results[[#This Row], [Team1 laps '[laps']]:[Team9 laps '[laps']]])</f>
        <v>54.755764879998274</v>
      </c>
      <c r="AD243" s="1">
        <f>intermediate_results[[#This Row], [All cumulative times '[sec']]] / intermediate_results[[#This Row], [Team1 laps '[laps']]] - intermediate_results[[#This Row], [Total running average '[sec']]]</f>
        <v>-2.0240499149629514</v>
      </c>
      <c r="AE243" s="1">
        <f>intermediate_results[[#This Row], [All cumulative times '[sec']]] / intermediate_results[[#This Row], [Team2 laps '[laps']]] - intermediate_results[[#This Row], [Total running average '[sec']]]</f>
        <v>-1.6686413885288687</v>
      </c>
      <c r="AF243" s="1">
        <f>intermediate_results[[#This Row], [All cumulative times '[sec']]] / intermediate_results[[#This Row], [Team3 laps '[laps']]] - intermediate_results[[#This Row], [Total running average '[sec']]]</f>
        <v>-1.0935329214337486</v>
      </c>
      <c r="AG243" s="1">
        <f>intermediate_results[[#This Row], [All cumulative times '[sec']]] / intermediate_results[[#This Row], [Team4 laps '[laps']]] - intermediate_results[[#This Row], [Total running average '[sec']]]</f>
        <v>-0.20626934982213641</v>
      </c>
      <c r="AH243" s="1">
        <f>intermediate_results[[#This Row], [All cumulative times '[sec']]] / intermediate_results[[#This Row], [Team5 laps '[laps']]] - intermediate_results[[#This Row], [Total running average '[sec']]]</f>
        <v>9.6657036995281942E-2</v>
      </c>
      <c r="AI243" s="1">
        <f>intermediate_results[[#This Row], [All cumulative times '[sec']]] / intermediate_results[[#This Row], [Team6 laps '[laps']]] - intermediate_results[[#This Row], [Total running average '[sec']]]</f>
        <v>0.80419808296470308</v>
      </c>
      <c r="AJ243" s="1">
        <f>intermediate_results[[#This Row], [All cumulative times '[sec']]] / intermediate_results[[#This Row], [Team7 laps '[laps']]] - intermediate_results[[#This Row], [Total running average '[sec']]]</f>
        <v>1.0887306049103174</v>
      </c>
      <c r="AK243" s="1">
        <f>intermediate_results[[#This Row], [All cumulative times '[sec']]] / intermediate_results[[#This Row], [Team8 laps '[laps']]] - intermediate_results[[#This Row], [Total running average '[sec']]]</f>
        <v>1.7053897836410314</v>
      </c>
      <c r="AL243" s="1">
        <f>intermediate_results[[#This Row], [All cumulative times '[sec']]] / intermediate_results[[#This Row], [Team9 laps '[laps']]] - intermediate_results[[#This Row], [Total running average '[sec']]]</f>
        <v>1.5795574202306426</v>
      </c>
    </row>
    <row r="244" spans="1:38" x14ac:dyDescent="0.25">
      <c r="A244" s="1">
        <v>1502.5119999999999</v>
      </c>
      <c r="B244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28.492651983034456</v>
      </c>
      <c r="C244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28.302842152940293</v>
      </c>
      <c r="D244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28</v>
      </c>
      <c r="E244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27.543315893920262</v>
      </c>
      <c r="F244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27.392102274808597</v>
      </c>
      <c r="G244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27.043790945357383</v>
      </c>
      <c r="H244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26.907343805716646</v>
      </c>
      <c r="I244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26.609527515098208</v>
      </c>
      <c r="J244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26.670795456559105</v>
      </c>
      <c r="K244" s="1">
        <f>intermediate_results[[#This Row], [Team1 laps '[laps']]] - intermediate_results[[#This Row], [Team1 laps '[laps']]]</f>
        <v>0</v>
      </c>
      <c r="L244" s="1">
        <f>intermediate_results[[#This Row], [Team1 laps '[laps']]] - intermediate_results[[#This Row], [Team2 laps '[laps']]]</f>
        <v>0.18980983009416263</v>
      </c>
      <c r="M244" s="1">
        <f>intermediate_results[[#This Row], [Team1 laps '[laps']]] - intermediate_results[[#This Row], [Team3 laps '[laps']]]</f>
        <v>0.49265198303445601</v>
      </c>
      <c r="N244" s="1">
        <f>intermediate_results[[#This Row], [Team1 laps '[laps']]] - intermediate_results[[#This Row], [Team4 laps '[laps']]]</f>
        <v>0.94933608911419398</v>
      </c>
      <c r="O244" s="1">
        <f>intermediate_results[[#This Row], [Team1 laps '[laps']]] - intermediate_results[[#This Row], [Team5 laps '[laps']]]</f>
        <v>1.1005497082258593</v>
      </c>
      <c r="P244" s="1">
        <f>intermediate_results[[#This Row], [Team1 laps '[laps']]] - intermediate_results[[#This Row], [Team6 laps '[laps']]]</f>
        <v>1.448861037677073</v>
      </c>
      <c r="Q244" s="1">
        <f>intermediate_results[[#This Row], [Team1 laps '[laps']]] - intermediate_results[[#This Row], [Team7 laps '[laps']]]</f>
        <v>1.5853081773178097</v>
      </c>
      <c r="R244" s="1">
        <f>intermediate_results[[#This Row], [Team1 laps '[laps']]] - intermediate_results[[#This Row], [Team8 laps '[laps']]]</f>
        <v>1.8831244679362484</v>
      </c>
      <c r="S244" s="1">
        <f>intermediate_results[[#This Row], [Team1 laps '[laps']]] - intermediate_results[[#This Row], [Team9 laps '[laps']]]</f>
        <v>1.8218565264753508</v>
      </c>
      <c r="T244" s="1">
        <f>MAX(intermediate_results[[#This Row], [Team1 laps '[laps']]:[Team9 laps '[laps']]]) - intermediate_results[[#This Row], [Team1 laps '[laps']]]</f>
        <v>0</v>
      </c>
      <c r="U244" s="1">
        <f>MAX(intermediate_results[[#This Row], [Team1 laps '[laps']]:[Team9 laps '[laps']]]) - intermediate_results[[#This Row], [Team2 laps '[laps']]]</f>
        <v>0.18980983009416263</v>
      </c>
      <c r="V244" s="1">
        <f>MAX(intermediate_results[[#This Row], [Team1 laps '[laps']]:[Team9 laps '[laps']]]) - intermediate_results[[#This Row], [Team3 laps '[laps']]]</f>
        <v>0.49265198303445601</v>
      </c>
      <c r="W244" s="1">
        <f>MAX(intermediate_results[[#This Row], [Team1 laps '[laps']]:[Team9 laps '[laps']]]) - intermediate_results[[#This Row], [Team4 laps '[laps']]]</f>
        <v>0.94933608911419398</v>
      </c>
      <c r="X244" s="1">
        <f>MAX(intermediate_results[[#This Row], [Team1 laps '[laps']]:[Team9 laps '[laps']]]) - intermediate_results[[#This Row], [Team5 laps '[laps']]]</f>
        <v>1.1005497082258593</v>
      </c>
      <c r="Y244" s="1">
        <f>MAX(intermediate_results[[#This Row], [Team1 laps '[laps']]:[Team9 laps '[laps']]]) - intermediate_results[[#This Row], [Team6 laps '[laps']]]</f>
        <v>1.448861037677073</v>
      </c>
      <c r="Z244" s="1">
        <f>MAX(intermediate_results[[#This Row], [Team1 laps '[laps']]:[Team9 laps '[laps']]]) - intermediate_results[[#This Row], [Team7 laps '[laps']]]</f>
        <v>1.5853081773178097</v>
      </c>
      <c r="AA244" s="1">
        <f>MAX(intermediate_results[[#This Row], [Team1 laps '[laps']]:[Team9 laps '[laps']]]) - intermediate_results[[#This Row], [Team8 laps '[laps']]]</f>
        <v>1.8831244679362484</v>
      </c>
      <c r="AB244" s="1">
        <f>MAX(intermediate_results[[#This Row], [Team1 laps '[laps']]:[Team9 laps '[laps']]]) - intermediate_results[[#This Row], [Team9 laps '[laps']]]</f>
        <v>1.8218565264753508</v>
      </c>
      <c r="AC244" s="1">
        <f>9 * intermediate_results[[#This Row], [All cumulative times '[sec']]] / SUM(intermediate_results[[#This Row], [Team1 laps '[laps']]:[Team9 laps '[laps']]])</f>
        <v>54.755742741283932</v>
      </c>
      <c r="AD244" s="1">
        <f>intermediate_results[[#This Row], [All cumulative times '[sec']]] / intermediate_results[[#This Row], [Team1 laps '[laps']]] - intermediate_results[[#This Row], [Total running average '[sec']]]</f>
        <v>-2.0224274677653682</v>
      </c>
      <c r="AE244" s="1">
        <f>intermediate_results[[#This Row], [All cumulative times '[sec']]] / intermediate_results[[#This Row], [Team2 laps '[laps']]] - intermediate_results[[#This Row], [Total running average '[sec']]]</f>
        <v>-1.6687774152978037</v>
      </c>
      <c r="AF244" s="1">
        <f>intermediate_results[[#This Row], [All cumulative times '[sec']]] / intermediate_results[[#This Row], [Team3 laps '[laps']]] - intermediate_results[[#This Row], [Total running average '[sec']]]</f>
        <v>-1.0945998841410756</v>
      </c>
      <c r="AG244" s="1">
        <f>intermediate_results[[#This Row], [All cumulative times '[sec']]] / intermediate_results[[#This Row], [Team4 laps '[laps']]] - intermediate_results[[#This Row], [Total running average '[sec']]]</f>
        <v>-0.20486710282622056</v>
      </c>
      <c r="AH244" s="1">
        <f>intermediate_results[[#This Row], [All cumulative times '[sec']]] / intermediate_results[[#This Row], [Team5 laps '[laps']]] - intermediate_results[[#This Row], [Total running average '[sec']]]</f>
        <v>9.6272081316932656E-2</v>
      </c>
      <c r="AI244" s="1">
        <f>intermediate_results[[#This Row], [All cumulative times '[sec']]] / intermediate_results[[#This Row], [Team6 laps '[laps']]] - intermediate_results[[#This Row], [Total running average '[sec']]]</f>
        <v>0.80274027745633703</v>
      </c>
      <c r="AJ244" s="1">
        <f>intermediate_results[[#This Row], [All cumulative times '[sec']]] / intermediate_results[[#This Row], [Team7 laps '[laps']]] - intermediate_results[[#This Row], [Total running average '[sec']]]</f>
        <v>1.0844773431965393</v>
      </c>
      <c r="AK244" s="1">
        <f>intermediate_results[[#This Row], [All cumulative times '[sec']]] / intermediate_results[[#This Row], [Team8 laps '[laps']]] - intermediate_results[[#This Row], [Total running average '[sec']]]</f>
        <v>1.7094462459116073</v>
      </c>
      <c r="AL244" s="1">
        <f>intermediate_results[[#This Row], [All cumulative times '[sec']]] / intermediate_results[[#This Row], [Team9 laps '[laps']]] - intermediate_results[[#This Row], [Total running average '[sec']]]</f>
        <v>1.579734858072392</v>
      </c>
    </row>
    <row r="245" spans="1:38" x14ac:dyDescent="0.25">
      <c r="A245" s="1">
        <v>1507.4490000000001</v>
      </c>
      <c r="B245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28.58449289381651</v>
      </c>
      <c r="C245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28.396014191892512</v>
      </c>
      <c r="D245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28.09306665661288</v>
      </c>
      <c r="E245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27.632383186000368</v>
      </c>
      <c r="F245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27.482526832484702</v>
      </c>
      <c r="G245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27.134136075833542</v>
      </c>
      <c r="H245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27.000000000000004</v>
      </c>
      <c r="I245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26.693045522981418</v>
      </c>
      <c r="J245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26.758279729945247</v>
      </c>
      <c r="K245" s="1">
        <f>intermediate_results[[#This Row], [Team1 laps '[laps']]] - intermediate_results[[#This Row], [Team1 laps '[laps']]]</f>
        <v>0</v>
      </c>
      <c r="L245" s="1">
        <f>intermediate_results[[#This Row], [Team1 laps '[laps']]] - intermediate_results[[#This Row], [Team2 laps '[laps']]]</f>
        <v>0.18847870192399796</v>
      </c>
      <c r="M245" s="1">
        <f>intermediate_results[[#This Row], [Team1 laps '[laps']]] - intermediate_results[[#This Row], [Team3 laps '[laps']]]</f>
        <v>0.49142623720362977</v>
      </c>
      <c r="N245" s="1">
        <f>intermediate_results[[#This Row], [Team1 laps '[laps']]] - intermediate_results[[#This Row], [Team4 laps '[laps']]]</f>
        <v>0.95210970781614179</v>
      </c>
      <c r="O245" s="1">
        <f>intermediate_results[[#This Row], [Team1 laps '[laps']]] - intermediate_results[[#This Row], [Team5 laps '[laps']]]</f>
        <v>1.1019660613318081</v>
      </c>
      <c r="P245" s="1">
        <f>intermediate_results[[#This Row], [Team1 laps '[laps']]] - intermediate_results[[#This Row], [Team6 laps '[laps']]]</f>
        <v>1.4503568179829678</v>
      </c>
      <c r="Q245" s="1">
        <f>intermediate_results[[#This Row], [Team1 laps '[laps']]] - intermediate_results[[#This Row], [Team7 laps '[laps']]]</f>
        <v>1.5844928938165062</v>
      </c>
      <c r="R245" s="1">
        <f>intermediate_results[[#This Row], [Team1 laps '[laps']]] - intermediate_results[[#This Row], [Team8 laps '[laps']]]</f>
        <v>1.8914473708350918</v>
      </c>
      <c r="S245" s="1">
        <f>intermediate_results[[#This Row], [Team1 laps '[laps']]] - intermediate_results[[#This Row], [Team9 laps '[laps']]]</f>
        <v>1.8262131638712624</v>
      </c>
      <c r="T245" s="1">
        <f>MAX(intermediate_results[[#This Row], [Team1 laps '[laps']]:[Team9 laps '[laps']]]) - intermediate_results[[#This Row], [Team1 laps '[laps']]]</f>
        <v>0</v>
      </c>
      <c r="U245" s="1">
        <f>MAX(intermediate_results[[#This Row], [Team1 laps '[laps']]:[Team9 laps '[laps']]]) - intermediate_results[[#This Row], [Team2 laps '[laps']]]</f>
        <v>0.18847870192399796</v>
      </c>
      <c r="V245" s="1">
        <f>MAX(intermediate_results[[#This Row], [Team1 laps '[laps']]:[Team9 laps '[laps']]]) - intermediate_results[[#This Row], [Team3 laps '[laps']]]</f>
        <v>0.49142623720362977</v>
      </c>
      <c r="W245" s="1">
        <f>MAX(intermediate_results[[#This Row], [Team1 laps '[laps']]:[Team9 laps '[laps']]]) - intermediate_results[[#This Row], [Team4 laps '[laps']]]</f>
        <v>0.95210970781614179</v>
      </c>
      <c r="X245" s="1">
        <f>MAX(intermediate_results[[#This Row], [Team1 laps '[laps']]:[Team9 laps '[laps']]]) - intermediate_results[[#This Row], [Team5 laps '[laps']]]</f>
        <v>1.1019660613318081</v>
      </c>
      <c r="Y245" s="1">
        <f>MAX(intermediate_results[[#This Row], [Team1 laps '[laps']]:[Team9 laps '[laps']]]) - intermediate_results[[#This Row], [Team6 laps '[laps']]]</f>
        <v>1.4503568179829678</v>
      </c>
      <c r="Z245" s="1">
        <f>MAX(intermediate_results[[#This Row], [Team1 laps '[laps']]:[Team9 laps '[laps']]]) - intermediate_results[[#This Row], [Team7 laps '[laps']]]</f>
        <v>1.5844928938165062</v>
      </c>
      <c r="AA245" s="1">
        <f>MAX(intermediate_results[[#This Row], [Team1 laps '[laps']]:[Team9 laps '[laps']]]) - intermediate_results[[#This Row], [Team8 laps '[laps']]]</f>
        <v>1.8914473708350918</v>
      </c>
      <c r="AB245" s="1">
        <f>MAX(intermediate_results[[#This Row], [Team1 laps '[laps']]:[Team9 laps '[laps']]]) - intermediate_results[[#This Row], [Team9 laps '[laps']]]</f>
        <v>1.8262131638712624</v>
      </c>
      <c r="AC245" s="1">
        <f>9 * intermediate_results[[#This Row], [All cumulative times '[sec']]] / SUM(intermediate_results[[#This Row], [Team1 laps '[laps']]:[Team9 laps '[laps']]])</f>
        <v>54.755720966123718</v>
      </c>
      <c r="AD245" s="1">
        <f>intermediate_results[[#This Row], [All cumulative times '[sec']]] / intermediate_results[[#This Row], [Team1 laps '[laps']]] - intermediate_results[[#This Row], [Total running average '[sec']]]</f>
        <v>-2.0191198446780305</v>
      </c>
      <c r="AE245" s="1">
        <f>intermediate_results[[#This Row], [All cumulative times '[sec']]] / intermediate_results[[#This Row], [Team2 laps '[laps']]] - intermediate_results[[#This Row], [Total running average '[sec']]]</f>
        <v>-1.6690803618096339</v>
      </c>
      <c r="AF245" s="1">
        <f>intermediate_results[[#This Row], [All cumulative times '[sec']]] / intermediate_results[[#This Row], [Team3 laps '[laps']]] - intermediate_results[[#This Row], [Total running average '[sec']]]</f>
        <v>-1.0966093274461812</v>
      </c>
      <c r="AG245" s="1">
        <f>intermediate_results[[#This Row], [All cumulative times '[sec']]] / intermediate_results[[#This Row], [Team4 laps '[laps']]] - intermediate_results[[#This Row], [Total running average '[sec']]]</f>
        <v>-0.20201165147683753</v>
      </c>
      <c r="AH245" s="1">
        <f>intermediate_results[[#This Row], [All cumulative times '[sec']]] / intermediate_results[[#This Row], [Team5 laps '[laps']]] - intermediate_results[[#This Row], [Total running average '[sec']]]</f>
        <v>9.5458082601012961E-2</v>
      </c>
      <c r="AI245" s="1">
        <f>intermediate_results[[#This Row], [All cumulative times '[sec']]] / intermediate_results[[#This Row], [Team6 laps '[laps']]] - intermediate_results[[#This Row], [Total running average '[sec']]]</f>
        <v>0.79972387232751885</v>
      </c>
      <c r="AJ245" s="1">
        <f>intermediate_results[[#This Row], [All cumulative times '[sec']]] / intermediate_results[[#This Row], [Team7 laps '[laps']]] - intermediate_results[[#This Row], [Total running average '[sec']]]</f>
        <v>1.0757234783207181</v>
      </c>
      <c r="AK245" s="1">
        <f>intermediate_results[[#This Row], [All cumulative times '[sec']]] / intermediate_results[[#This Row], [Team8 laps '[laps']]] - intermediate_results[[#This Row], [Total running average '[sec']]]</f>
        <v>1.7177525722239224</v>
      </c>
      <c r="AL245" s="1">
        <f>intermediate_results[[#This Row], [All cumulative times '[sec']]] / intermediate_results[[#This Row], [Team9 laps '[laps']]] - intermediate_results[[#This Row], [Total running average '[sec']]]</f>
        <v>1.580075475715951</v>
      </c>
    </row>
    <row r="246" spans="1:38" x14ac:dyDescent="0.25">
      <c r="A246" s="1">
        <v>1521.09</v>
      </c>
      <c r="B246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28.838250613884963</v>
      </c>
      <c r="C246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28.653449837699107</v>
      </c>
      <c r="D246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28.350211129543055</v>
      </c>
      <c r="E246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27.87847735883096</v>
      </c>
      <c r="F246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27.732371149126337</v>
      </c>
      <c r="G246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27.383760934011629</v>
      </c>
      <c r="H246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27.25764959202176</v>
      </c>
      <c r="I246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26.923806946018647</v>
      </c>
      <c r="J246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27</v>
      </c>
      <c r="K246" s="1">
        <f>intermediate_results[[#This Row], [Team1 laps '[laps']]] - intermediate_results[[#This Row], [Team1 laps '[laps']]]</f>
        <v>0</v>
      </c>
      <c r="L246" s="1">
        <f>intermediate_results[[#This Row], [Team1 laps '[laps']]] - intermediate_results[[#This Row], [Team2 laps '[laps']]]</f>
        <v>0.18480077618585611</v>
      </c>
      <c r="M246" s="1">
        <f>intermediate_results[[#This Row], [Team1 laps '[laps']]] - intermediate_results[[#This Row], [Team3 laps '[laps']]]</f>
        <v>0.48803948434190758</v>
      </c>
      <c r="N246" s="1">
        <f>intermediate_results[[#This Row], [Team1 laps '[laps']]] - intermediate_results[[#This Row], [Team4 laps '[laps']]]</f>
        <v>0.95977325505400302</v>
      </c>
      <c r="O246" s="1">
        <f>intermediate_results[[#This Row], [Team1 laps '[laps']]] - intermediate_results[[#This Row], [Team5 laps '[laps']]]</f>
        <v>1.1058794647586261</v>
      </c>
      <c r="P246" s="1">
        <f>intermediate_results[[#This Row], [Team1 laps '[laps']]] - intermediate_results[[#This Row], [Team6 laps '[laps']]]</f>
        <v>1.4544896798733333</v>
      </c>
      <c r="Q246" s="1">
        <f>intermediate_results[[#This Row], [Team1 laps '[laps']]] - intermediate_results[[#This Row], [Team7 laps '[laps']]]</f>
        <v>1.5806010218632025</v>
      </c>
      <c r="R246" s="1">
        <f>intermediate_results[[#This Row], [Team1 laps '[laps']]] - intermediate_results[[#This Row], [Team8 laps '[laps']]]</f>
        <v>1.9144436678663155</v>
      </c>
      <c r="S246" s="1">
        <f>intermediate_results[[#This Row], [Team1 laps '[laps']]] - intermediate_results[[#This Row], [Team9 laps '[laps']]]</f>
        <v>1.8382506138849628</v>
      </c>
      <c r="T246" s="1">
        <f>MAX(intermediate_results[[#This Row], [Team1 laps '[laps']]:[Team9 laps '[laps']]]) - intermediate_results[[#This Row], [Team1 laps '[laps']]]</f>
        <v>0</v>
      </c>
      <c r="U246" s="1">
        <f>MAX(intermediate_results[[#This Row], [Team1 laps '[laps']]:[Team9 laps '[laps']]]) - intermediate_results[[#This Row], [Team2 laps '[laps']]]</f>
        <v>0.18480077618585611</v>
      </c>
      <c r="V246" s="1">
        <f>MAX(intermediate_results[[#This Row], [Team1 laps '[laps']]:[Team9 laps '[laps']]]) - intermediate_results[[#This Row], [Team3 laps '[laps']]]</f>
        <v>0.48803948434190758</v>
      </c>
      <c r="W246" s="1">
        <f>MAX(intermediate_results[[#This Row], [Team1 laps '[laps']]:[Team9 laps '[laps']]]) - intermediate_results[[#This Row], [Team4 laps '[laps']]]</f>
        <v>0.95977325505400302</v>
      </c>
      <c r="X246" s="1">
        <f>MAX(intermediate_results[[#This Row], [Team1 laps '[laps']]:[Team9 laps '[laps']]]) - intermediate_results[[#This Row], [Team5 laps '[laps']]]</f>
        <v>1.1058794647586261</v>
      </c>
      <c r="Y246" s="1">
        <f>MAX(intermediate_results[[#This Row], [Team1 laps '[laps']]:[Team9 laps '[laps']]]) - intermediate_results[[#This Row], [Team6 laps '[laps']]]</f>
        <v>1.4544896798733333</v>
      </c>
      <c r="Z246" s="1">
        <f>MAX(intermediate_results[[#This Row], [Team1 laps '[laps']]:[Team9 laps '[laps']]]) - intermediate_results[[#This Row], [Team7 laps '[laps']]]</f>
        <v>1.5806010218632025</v>
      </c>
      <c r="AA246" s="1">
        <f>MAX(intermediate_results[[#This Row], [Team1 laps '[laps']]:[Team9 laps '[laps']]]) - intermediate_results[[#This Row], [Team8 laps '[laps']]]</f>
        <v>1.9144436678663155</v>
      </c>
      <c r="AB246" s="1">
        <f>MAX(intermediate_results[[#This Row], [Team1 laps '[laps']]:[Team9 laps '[laps']]]) - intermediate_results[[#This Row], [Team9 laps '[laps']]]</f>
        <v>1.8382506138849628</v>
      </c>
      <c r="AC246" s="1">
        <f>9 * intermediate_results[[#This Row], [All cumulative times '[sec']]] / SUM(intermediate_results[[#This Row], [Team1 laps '[laps']]:[Team9 laps '[laps']]])</f>
        <v>54.755302532804684</v>
      </c>
      <c r="AD246" s="1">
        <f>intermediate_results[[#This Row], [All cumulative times '[sec']]] / intermediate_results[[#This Row], [Team1 laps '[laps']]] - intermediate_results[[#This Row], [Total running average '[sec']]]</f>
        <v>-2.0097313688024698</v>
      </c>
      <c r="AE246" s="1">
        <f>intermediate_results[[#This Row], [All cumulative times '[sec']]] / intermediate_results[[#This Row], [Team2 laps '[laps']]] - intermediate_results[[#This Row], [Total running average '[sec']]]</f>
        <v>-1.6695481606133669</v>
      </c>
      <c r="AF246" s="1">
        <f>intermediate_results[[#This Row], [All cumulative times '[sec']]] / intermediate_results[[#This Row], [Team3 laps '[laps']]] - intermediate_results[[#This Row], [Total running average '[sec']]]</f>
        <v>-1.1017338503863172</v>
      </c>
      <c r="AG246" s="1">
        <f>intermediate_results[[#This Row], [All cumulative times '[sec']]] / intermediate_results[[#This Row], [Team4 laps '[laps']]] - intermediate_results[[#This Row], [Total running average '[sec']]]</f>
        <v>-0.19385785913529929</v>
      </c>
      <c r="AH246" s="1">
        <f>intermediate_results[[#This Row], [All cumulative times '[sec']]] / intermediate_results[[#This Row], [Team5 laps '[laps']]] - intermediate_results[[#This Row], [Total running average '[sec']]]</f>
        <v>9.3595594967538887E-2</v>
      </c>
      <c r="AI246" s="1">
        <f>intermediate_results[[#This Row], [All cumulative times '[sec']]] / intermediate_results[[#This Row], [Team6 laps '[laps']]] - intermediate_results[[#This Row], [Total running average '[sec']]]</f>
        <v>0.79185198937604184</v>
      </c>
      <c r="AJ246" s="1">
        <f>intermediate_results[[#This Row], [All cumulative times '[sec']]] / intermediate_results[[#This Row], [Team7 laps '[laps']]] - intermediate_results[[#This Row], [Total running average '[sec']]]</f>
        <v>1.0488486969190589</v>
      </c>
      <c r="AK246" s="1">
        <f>intermediate_results[[#This Row], [All cumulative times '[sec']]] / intermediate_results[[#This Row], [Team8 laps '[laps']]] - intermediate_results[[#This Row], [Total running average '[sec']]]</f>
        <v>1.7407941391754562</v>
      </c>
      <c r="AL246" s="1">
        <f>intermediate_results[[#This Row], [All cumulative times '[sec']]] / intermediate_results[[#This Row], [Team9 laps '[laps']]] - intermediate_results[[#This Row], [Total running average '[sec']]]</f>
        <v>1.5813641338619817</v>
      </c>
    </row>
    <row r="247" spans="1:38" x14ac:dyDescent="0.25">
      <c r="A247" s="1">
        <v>1525.5940000000001</v>
      </c>
      <c r="B247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28.922036609866812</v>
      </c>
      <c r="C247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28.738450215143057</v>
      </c>
      <c r="D247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28.4351153672146</v>
      </c>
      <c r="E247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27.95973299657226</v>
      </c>
      <c r="F247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27.814865013370451</v>
      </c>
      <c r="G247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27.466182337225042</v>
      </c>
      <c r="H247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27.342720610456336</v>
      </c>
      <c r="I247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27.000000000000007</v>
      </c>
      <c r="J247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27.077855179685745</v>
      </c>
      <c r="K247" s="1">
        <f>intermediate_results[[#This Row], [Team1 laps '[laps']]] - intermediate_results[[#This Row], [Team1 laps '[laps']]]</f>
        <v>0</v>
      </c>
      <c r="L247" s="1">
        <f>intermediate_results[[#This Row], [Team1 laps '[laps']]] - intermediate_results[[#This Row], [Team2 laps '[laps']]]</f>
        <v>0.18358639472375415</v>
      </c>
      <c r="M247" s="1">
        <f>intermediate_results[[#This Row], [Team1 laps '[laps']]] - intermediate_results[[#This Row], [Team3 laps '[laps']]]</f>
        <v>0.48692124265221182</v>
      </c>
      <c r="N247" s="1">
        <f>intermediate_results[[#This Row], [Team1 laps '[laps']]] - intermediate_results[[#This Row], [Team4 laps '[laps']]]</f>
        <v>0.9623036132945515</v>
      </c>
      <c r="O247" s="1">
        <f>intermediate_results[[#This Row], [Team1 laps '[laps']]] - intermediate_results[[#This Row], [Team5 laps '[laps']]]</f>
        <v>1.1071715964963609</v>
      </c>
      <c r="P247" s="1">
        <f>intermediate_results[[#This Row], [Team1 laps '[laps']]] - intermediate_results[[#This Row], [Team6 laps '[laps']]]</f>
        <v>1.4558542726417691</v>
      </c>
      <c r="Q247" s="1">
        <f>intermediate_results[[#This Row], [Team1 laps '[laps']]] - intermediate_results[[#This Row], [Team7 laps '[laps']]]</f>
        <v>1.5793159994104755</v>
      </c>
      <c r="R247" s="1">
        <f>intermediate_results[[#This Row], [Team1 laps '[laps']]] - intermediate_results[[#This Row], [Team8 laps '[laps']]]</f>
        <v>1.9220366098668045</v>
      </c>
      <c r="S247" s="1">
        <f>intermediate_results[[#This Row], [Team1 laps '[laps']]] - intermediate_results[[#This Row], [Team9 laps '[laps']]]</f>
        <v>1.8441814301810666</v>
      </c>
      <c r="T247" s="1">
        <f>MAX(intermediate_results[[#This Row], [Team1 laps '[laps']]:[Team9 laps '[laps']]]) - intermediate_results[[#This Row], [Team1 laps '[laps']]]</f>
        <v>0</v>
      </c>
      <c r="U247" s="1">
        <f>MAX(intermediate_results[[#This Row], [Team1 laps '[laps']]:[Team9 laps '[laps']]]) - intermediate_results[[#This Row], [Team2 laps '[laps']]]</f>
        <v>0.18358639472375415</v>
      </c>
      <c r="V247" s="1">
        <f>MAX(intermediate_results[[#This Row], [Team1 laps '[laps']]:[Team9 laps '[laps']]]) - intermediate_results[[#This Row], [Team3 laps '[laps']]]</f>
        <v>0.48692124265221182</v>
      </c>
      <c r="W247" s="1">
        <f>MAX(intermediate_results[[#This Row], [Team1 laps '[laps']]:[Team9 laps '[laps']]]) - intermediate_results[[#This Row], [Team4 laps '[laps']]]</f>
        <v>0.9623036132945515</v>
      </c>
      <c r="X247" s="1">
        <f>MAX(intermediate_results[[#This Row], [Team1 laps '[laps']]:[Team9 laps '[laps']]]) - intermediate_results[[#This Row], [Team5 laps '[laps']]]</f>
        <v>1.1071715964963609</v>
      </c>
      <c r="Y247" s="1">
        <f>MAX(intermediate_results[[#This Row], [Team1 laps '[laps']]:[Team9 laps '[laps']]]) - intermediate_results[[#This Row], [Team6 laps '[laps']]]</f>
        <v>1.4558542726417691</v>
      </c>
      <c r="Z247" s="1">
        <f>MAX(intermediate_results[[#This Row], [Team1 laps '[laps']]:[Team9 laps '[laps']]]) - intermediate_results[[#This Row], [Team7 laps '[laps']]]</f>
        <v>1.5793159994104755</v>
      </c>
      <c r="AA247" s="1">
        <f>MAX(intermediate_results[[#This Row], [Team1 laps '[laps']]:[Team9 laps '[laps']]]) - intermediate_results[[#This Row], [Team8 laps '[laps']]]</f>
        <v>1.9220366098668045</v>
      </c>
      <c r="AB247" s="1">
        <f>MAX(intermediate_results[[#This Row], [Team1 laps '[laps']]:[Team9 laps '[laps']]]) - intermediate_results[[#This Row], [Team9 laps '[laps']]]</f>
        <v>1.8441814301810666</v>
      </c>
      <c r="AC247" s="1">
        <f>9 * intermediate_results[[#This Row], [All cumulative times '[sec']]] / SUM(intermediate_results[[#This Row], [Team1 laps '[laps']]:[Team9 laps '[laps']]])</f>
        <v>54.755593190583191</v>
      </c>
      <c r="AD247" s="1">
        <f>intermediate_results[[#This Row], [All cumulative times '[sec']]] / intermediate_results[[#This Row], [Team1 laps '[laps']]] - intermediate_results[[#This Row], [Total running average '[sec']]]</f>
        <v>-2.0070948542129017</v>
      </c>
      <c r="AE247" s="1">
        <f>intermediate_results[[#This Row], [All cumulative times '[sec']]] / intermediate_results[[#This Row], [Team2 laps '[laps']]] - intermediate_results[[#This Row], [Total running average '[sec']]]</f>
        <v>-1.6701279487545335</v>
      </c>
      <c r="AF247" s="1">
        <f>intermediate_results[[#This Row], [All cumulative times '[sec']]] / intermediate_results[[#This Row], [Team3 laps '[laps']]] - intermediate_results[[#This Row], [Total running average '[sec']]]</f>
        <v>-1.1038326720028948</v>
      </c>
      <c r="AG247" s="1">
        <f>intermediate_results[[#This Row], [All cumulative times '[sec']]] / intermediate_results[[#This Row], [Team4 laps '[laps']]] - intermediate_results[[#This Row], [Total running average '[sec']]]</f>
        <v>-0.19162435057205585</v>
      </c>
      <c r="AH247" s="1">
        <f>intermediate_results[[#This Row], [All cumulative times '[sec']]] / intermediate_results[[#This Row], [Team5 laps '[laps']]] - intermediate_results[[#This Row], [Total running average '[sec']]]</f>
        <v>9.2560818672488665E-2</v>
      </c>
      <c r="AI247" s="1">
        <f>intermediate_results[[#This Row], [All cumulative times '[sec']]] / intermediate_results[[#This Row], [Team6 laps '[laps']]] - intermediate_results[[#This Row], [Total running average '[sec']]]</f>
        <v>0.78885711812809944</v>
      </c>
      <c r="AJ247" s="1">
        <f>intermediate_results[[#This Row], [All cumulative times '[sec']]] / intermediate_results[[#This Row], [Team7 laps '[laps']]] - intermediate_results[[#This Row], [Total running average '[sec']]]</f>
        <v>1.0396592912267622</v>
      </c>
      <c r="AK247" s="1">
        <f>intermediate_results[[#This Row], [All cumulative times '[sec']]] / intermediate_results[[#This Row], [Team8 laps '[laps']]] - intermediate_results[[#This Row], [Total running average '[sec']]]</f>
        <v>1.747888290898274</v>
      </c>
      <c r="AL247" s="1">
        <f>intermediate_results[[#This Row], [All cumulative times '[sec']]] / intermediate_results[[#This Row], [Team9 laps '[laps']]] - intermediate_results[[#This Row], [Total running average '[sec']]]</f>
        <v>1.5854275393203352</v>
      </c>
    </row>
    <row r="248" spans="1:38" x14ac:dyDescent="0.25">
      <c r="A248" s="1">
        <v>1527.826</v>
      </c>
      <c r="B248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28.963557556365807</v>
      </c>
      <c r="C248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28.78057295991546</v>
      </c>
      <c r="D248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28.477190469009201</v>
      </c>
      <c r="E248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28.000000000000004</v>
      </c>
      <c r="F248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27.855745631708118</v>
      </c>
      <c r="G248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27.507027046810371</v>
      </c>
      <c r="H248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27.384878362042915</v>
      </c>
      <c r="I248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27.039530311885667</v>
      </c>
      <c r="J248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27.116437053810653</v>
      </c>
      <c r="K248" s="1">
        <f>intermediate_results[[#This Row], [Team1 laps '[laps']]] - intermediate_results[[#This Row], [Team1 laps '[laps']]]</f>
        <v>0</v>
      </c>
      <c r="L248" s="1">
        <f>intermediate_results[[#This Row], [Team1 laps '[laps']]] - intermediate_results[[#This Row], [Team2 laps '[laps']]]</f>
        <v>0.18298459645034626</v>
      </c>
      <c r="M248" s="1">
        <f>intermediate_results[[#This Row], [Team1 laps '[laps']]] - intermediate_results[[#This Row], [Team3 laps '[laps']]]</f>
        <v>0.48636708735660505</v>
      </c>
      <c r="N248" s="1">
        <f>intermediate_results[[#This Row], [Team1 laps '[laps']]] - intermediate_results[[#This Row], [Team4 laps '[laps']]]</f>
        <v>0.96355755636580298</v>
      </c>
      <c r="O248" s="1">
        <f>intermediate_results[[#This Row], [Team1 laps '[laps']]] - intermediate_results[[#This Row], [Team5 laps '[laps']]]</f>
        <v>1.107811924657689</v>
      </c>
      <c r="P248" s="1">
        <f>intermediate_results[[#This Row], [Team1 laps '[laps']]] - intermediate_results[[#This Row], [Team6 laps '[laps']]]</f>
        <v>1.4565305095554351</v>
      </c>
      <c r="Q248" s="1">
        <f>intermediate_results[[#This Row], [Team1 laps '[laps']]] - intermediate_results[[#This Row], [Team7 laps '[laps']]]</f>
        <v>1.5786791943228913</v>
      </c>
      <c r="R248" s="1">
        <f>intermediate_results[[#This Row], [Team1 laps '[laps']]] - intermediate_results[[#This Row], [Team8 laps '[laps']]]</f>
        <v>1.9240272444801398</v>
      </c>
      <c r="S248" s="1">
        <f>intermediate_results[[#This Row], [Team1 laps '[laps']]] - intermediate_results[[#This Row], [Team9 laps '[laps']]]</f>
        <v>1.8471205025551534</v>
      </c>
      <c r="T248" s="1">
        <f>MAX(intermediate_results[[#This Row], [Team1 laps '[laps']]:[Team9 laps '[laps']]]) - intermediate_results[[#This Row], [Team1 laps '[laps']]]</f>
        <v>0</v>
      </c>
      <c r="U248" s="1">
        <f>MAX(intermediate_results[[#This Row], [Team1 laps '[laps']]:[Team9 laps '[laps']]]) - intermediate_results[[#This Row], [Team2 laps '[laps']]]</f>
        <v>0.18298459645034626</v>
      </c>
      <c r="V248" s="1">
        <f>MAX(intermediate_results[[#This Row], [Team1 laps '[laps']]:[Team9 laps '[laps']]]) - intermediate_results[[#This Row], [Team3 laps '[laps']]]</f>
        <v>0.48636708735660505</v>
      </c>
      <c r="W248" s="1">
        <f>MAX(intermediate_results[[#This Row], [Team1 laps '[laps']]:[Team9 laps '[laps']]]) - intermediate_results[[#This Row], [Team4 laps '[laps']]]</f>
        <v>0.96355755636580298</v>
      </c>
      <c r="X248" s="1">
        <f>MAX(intermediate_results[[#This Row], [Team1 laps '[laps']]:[Team9 laps '[laps']]]) - intermediate_results[[#This Row], [Team5 laps '[laps']]]</f>
        <v>1.107811924657689</v>
      </c>
      <c r="Y248" s="1">
        <f>MAX(intermediate_results[[#This Row], [Team1 laps '[laps']]:[Team9 laps '[laps']]]) - intermediate_results[[#This Row], [Team6 laps '[laps']]]</f>
        <v>1.4565305095554351</v>
      </c>
      <c r="Z248" s="1">
        <f>MAX(intermediate_results[[#This Row], [Team1 laps '[laps']]:[Team9 laps '[laps']]]) - intermediate_results[[#This Row], [Team7 laps '[laps']]]</f>
        <v>1.5786791943228913</v>
      </c>
      <c r="AA248" s="1">
        <f>MAX(intermediate_results[[#This Row], [Team1 laps '[laps']]:[Team9 laps '[laps']]]) - intermediate_results[[#This Row], [Team8 laps '[laps']]]</f>
        <v>1.9240272444801398</v>
      </c>
      <c r="AB248" s="1">
        <f>MAX(intermediate_results[[#This Row], [Team1 laps '[laps']]:[Team9 laps '[laps']]]) - intermediate_results[[#This Row], [Team9 laps '[laps']]]</f>
        <v>1.8471205025551534</v>
      </c>
      <c r="AC248" s="1">
        <f>9 * intermediate_results[[#This Row], [All cumulative times '[sec']]] / SUM(intermediate_results[[#This Row], [Team1 laps '[laps']]:[Team9 laps '[laps']]])</f>
        <v>54.755350198654078</v>
      </c>
      <c r="AD248" s="1">
        <f>intermediate_results[[#This Row], [All cumulative times '[sec']]] / intermediate_results[[#This Row], [Team1 laps '[laps']]] - intermediate_results[[#This Row], [Total running average '[sec']]]</f>
        <v>-2.0054075499754092</v>
      </c>
      <c r="AE248" s="1">
        <f>intermediate_results[[#This Row], [All cumulative times '[sec']]] / intermediate_results[[#This Row], [Team2 laps '[laps']]] - intermediate_results[[#This Row], [Total running average '[sec']]]</f>
        <v>-1.6700276052539849</v>
      </c>
      <c r="AF248" s="1">
        <f>intermediate_results[[#This Row], [All cumulative times '[sec']]] / intermediate_results[[#This Row], [Team3 laps '[laps']]] - intermediate_results[[#This Row], [Total running average '[sec']]]</f>
        <v>-1.1044817373610556</v>
      </c>
      <c r="AG248" s="1">
        <f>intermediate_results[[#This Row], [All cumulative times '[sec']]] / intermediate_results[[#This Row], [Team4 laps '[laps']]] - intermediate_results[[#This Row], [Total running average '[sec']]]</f>
        <v>-0.1901359129398017</v>
      </c>
      <c r="AH248" s="1">
        <f>intermediate_results[[#This Row], [All cumulative times '[sec']]] / intermediate_results[[#This Row], [Team5 laps '[laps']]] - intermediate_results[[#This Row], [Total running average '[sec']]]</f>
        <v>9.2436688833863911E-2</v>
      </c>
      <c r="AI248" s="1">
        <f>intermediate_results[[#This Row], [All cumulative times '[sec']]] / intermediate_results[[#This Row], [Team6 laps '[laps']]] - intermediate_results[[#This Row], [Total running average '[sec']]]</f>
        <v>0.78776601670449509</v>
      </c>
      <c r="AJ248" s="1">
        <f>intermediate_results[[#This Row], [All cumulative times '[sec']]] / intermediate_results[[#This Row], [Team7 laps '[laps']]] - intermediate_results[[#This Row], [Total running average '[sec']]]</f>
        <v>1.0355129120493274</v>
      </c>
      <c r="AK248" s="1">
        <f>intermediate_results[[#This Row], [All cumulative times '[sec']]] / intermediate_results[[#This Row], [Team8 laps '[laps']]] - intermediate_results[[#This Row], [Total running average '[sec']]]</f>
        <v>1.7480721011193481</v>
      </c>
      <c r="AL248" s="1">
        <f>intermediate_results[[#This Row], [All cumulative times '[sec']]] / intermediate_results[[#This Row], [Team9 laps '[laps']]] - intermediate_results[[#This Row], [Total running average '[sec']]]</f>
        <v>1.587818963582734</v>
      </c>
    </row>
    <row r="249" spans="1:38" x14ac:dyDescent="0.25">
      <c r="A249" s="1">
        <v>1529.7850000000001</v>
      </c>
      <c r="B249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29.000000000000004</v>
      </c>
      <c r="C249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28.817543594776183</v>
      </c>
      <c r="D249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28.514119288191829</v>
      </c>
      <c r="E249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28.036417377725734</v>
      </c>
      <c r="F249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27.891626066888893</v>
      </c>
      <c r="G249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27.542875965303953</v>
      </c>
      <c r="H249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27.421879721970388</v>
      </c>
      <c r="I249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27.074225599064881</v>
      </c>
      <c r="J249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27.150299908385339</v>
      </c>
      <c r="K249" s="1">
        <f>intermediate_results[[#This Row], [Team1 laps '[laps']]] - intermediate_results[[#This Row], [Team1 laps '[laps']]]</f>
        <v>0</v>
      </c>
      <c r="L249" s="1">
        <f>intermediate_results[[#This Row], [Team1 laps '[laps']]] - intermediate_results[[#This Row], [Team2 laps '[laps']]]</f>
        <v>0.18245640522382089</v>
      </c>
      <c r="M249" s="1">
        <f>intermediate_results[[#This Row], [Team1 laps '[laps']]] - intermediate_results[[#This Row], [Team3 laps '[laps']]]</f>
        <v>0.48588071180817494</v>
      </c>
      <c r="N249" s="1">
        <f>intermediate_results[[#This Row], [Team1 laps '[laps']]] - intermediate_results[[#This Row], [Team4 laps '[laps']]]</f>
        <v>0.96358262227427005</v>
      </c>
      <c r="O249" s="1">
        <f>intermediate_results[[#This Row], [Team1 laps '[laps']]] - intermediate_results[[#This Row], [Team5 laps '[laps']]]</f>
        <v>1.1083739331111104</v>
      </c>
      <c r="P249" s="1">
        <f>intermediate_results[[#This Row], [Team1 laps '[laps']]] - intermediate_results[[#This Row], [Team6 laps '[laps']]]</f>
        <v>1.4571240346960508</v>
      </c>
      <c r="Q249" s="1">
        <f>intermediate_results[[#This Row], [Team1 laps '[laps']]] - intermediate_results[[#This Row], [Team7 laps '[laps']]]</f>
        <v>1.5781202780296155</v>
      </c>
      <c r="R249" s="1">
        <f>intermediate_results[[#This Row], [Team1 laps '[laps']]] - intermediate_results[[#This Row], [Team8 laps '[laps']]]</f>
        <v>1.9257744009351221</v>
      </c>
      <c r="S249" s="1">
        <f>intermediate_results[[#This Row], [Team1 laps '[laps']]] - intermediate_results[[#This Row], [Team9 laps '[laps']]]</f>
        <v>1.8497000916146646</v>
      </c>
      <c r="T249" s="1">
        <f>MAX(intermediate_results[[#This Row], [Team1 laps '[laps']]:[Team9 laps '[laps']]]) - intermediate_results[[#This Row], [Team1 laps '[laps']]]</f>
        <v>0</v>
      </c>
      <c r="U249" s="1">
        <f>MAX(intermediate_results[[#This Row], [Team1 laps '[laps']]:[Team9 laps '[laps']]]) - intermediate_results[[#This Row], [Team2 laps '[laps']]]</f>
        <v>0.18245640522382089</v>
      </c>
      <c r="V249" s="1">
        <f>MAX(intermediate_results[[#This Row], [Team1 laps '[laps']]:[Team9 laps '[laps']]]) - intermediate_results[[#This Row], [Team3 laps '[laps']]]</f>
        <v>0.48588071180817494</v>
      </c>
      <c r="W249" s="1">
        <f>MAX(intermediate_results[[#This Row], [Team1 laps '[laps']]:[Team9 laps '[laps']]]) - intermediate_results[[#This Row], [Team4 laps '[laps']]]</f>
        <v>0.96358262227427005</v>
      </c>
      <c r="X249" s="1">
        <f>MAX(intermediate_results[[#This Row], [Team1 laps '[laps']]:[Team9 laps '[laps']]]) - intermediate_results[[#This Row], [Team5 laps '[laps']]]</f>
        <v>1.1083739331111104</v>
      </c>
      <c r="Y249" s="1">
        <f>MAX(intermediate_results[[#This Row], [Team1 laps '[laps']]:[Team9 laps '[laps']]]) - intermediate_results[[#This Row], [Team6 laps '[laps']]]</f>
        <v>1.4571240346960508</v>
      </c>
      <c r="Z249" s="1">
        <f>MAX(intermediate_results[[#This Row], [Team1 laps '[laps']]:[Team9 laps '[laps']]]) - intermediate_results[[#This Row], [Team7 laps '[laps']]]</f>
        <v>1.5781202780296155</v>
      </c>
      <c r="AA249" s="1">
        <f>MAX(intermediate_results[[#This Row], [Team1 laps '[laps']]:[Team9 laps '[laps']]]) - intermediate_results[[#This Row], [Team8 laps '[laps']]]</f>
        <v>1.9257744009351221</v>
      </c>
      <c r="AB249" s="1">
        <f>MAX(intermediate_results[[#This Row], [Team1 laps '[laps']]:[Team9 laps '[laps']]]) - intermediate_results[[#This Row], [Team9 laps '[laps']]]</f>
        <v>1.8497000916146646</v>
      </c>
      <c r="AC249" s="1">
        <f>9 * intermediate_results[[#This Row], [All cumulative times '[sec']]] / SUM(intermediate_results[[#This Row], [Team1 laps '[laps']]:[Team9 laps '[laps']]])</f>
        <v>54.754903313255824</v>
      </c>
      <c r="AD249" s="1">
        <f>intermediate_results[[#This Row], [All cumulative times '[sec']]] / intermediate_results[[#This Row], [Team1 laps '[laps']]] - intermediate_results[[#This Row], [Total running average '[sec']]]</f>
        <v>-2.003696416704102</v>
      </c>
      <c r="AE249" s="1">
        <f>intermediate_results[[#This Row], [All cumulative times '[sec']]] / intermediate_results[[#This Row], [Team2 laps '[laps']]] - intermediate_results[[#This Row], [Total running average '[sec']]]</f>
        <v>-1.6697055770647538</v>
      </c>
      <c r="AF249" s="1">
        <f>intermediate_results[[#This Row], [All cumulative times '[sec']]] / intermediate_results[[#This Row], [Team3 laps '[laps']]] - intermediate_results[[#This Row], [Total running average '[sec']]]</f>
        <v>-1.1048156307823405</v>
      </c>
      <c r="AG249" s="1">
        <f>intermediate_results[[#This Row], [All cumulative times '[sec']]] / intermediate_results[[#This Row], [Team4 laps '[laps']]] - intermediate_results[[#This Row], [Total running average '[sec']]]</f>
        <v>-0.19069208078295219</v>
      </c>
      <c r="AH249" s="1">
        <f>intermediate_results[[#This Row], [All cumulative times '[sec']]] / intermediate_results[[#This Row], [Team5 laps '[laps']]] - intermediate_results[[#This Row], [Total running average '[sec']]]</f>
        <v>9.2562242582111764E-2</v>
      </c>
      <c r="AI249" s="1">
        <f>intermediate_results[[#This Row], [All cumulative times '[sec']]] / intermediate_results[[#This Row], [Team6 laps '[laps']]] - intermediate_results[[#This Row], [Total running average '[sec']]]</f>
        <v>0.78704524458854053</v>
      </c>
      <c r="AJ249" s="1">
        <f>intermediate_results[[#This Row], [All cumulative times '[sec']]] / intermediate_results[[#This Row], [Team7 laps '[laps']]] - intermediate_results[[#This Row], [Total running average '[sec']]]</f>
        <v>1.0321184194059825</v>
      </c>
      <c r="AK249" s="1">
        <f>intermediate_results[[#This Row], [All cumulative times '[sec']]] / intermediate_results[[#This Row], [Team8 laps '[laps']]] - intermediate_results[[#This Row], [Total running average '[sec']]]</f>
        <v>1.7484671858375052</v>
      </c>
      <c r="AL249" s="1">
        <f>intermediate_results[[#This Row], [All cumulative times '[sec']]] / intermediate_results[[#This Row], [Team9 laps '[laps']]] - intermediate_results[[#This Row], [Total running average '[sec']]]</f>
        <v>1.5901464711676567</v>
      </c>
    </row>
    <row r="250" spans="1:38" x14ac:dyDescent="0.25">
      <c r="A250" s="1">
        <v>1535.702</v>
      </c>
      <c r="B250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29.112529002320187</v>
      </c>
      <c r="C250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28.929210387257498</v>
      </c>
      <c r="D250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28.625659779822048</v>
      </c>
      <c r="E250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28.146413102076483</v>
      </c>
      <c r="F250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27.999999999999996</v>
      </c>
      <c r="G250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27.651154704827427</v>
      </c>
      <c r="H250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27.533639317014206</v>
      </c>
      <c r="I250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27.179019889130942</v>
      </c>
      <c r="J250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27.252579903545318</v>
      </c>
      <c r="K250" s="1">
        <f>intermediate_results[[#This Row], [Team1 laps '[laps']]] - intermediate_results[[#This Row], [Team1 laps '[laps']]]</f>
        <v>0</v>
      </c>
      <c r="L250" s="1">
        <f>intermediate_results[[#This Row], [Team1 laps '[laps']]] - intermediate_results[[#This Row], [Team2 laps '[laps']]]</f>
        <v>0.18331861506268865</v>
      </c>
      <c r="M250" s="1">
        <f>intermediate_results[[#This Row], [Team1 laps '[laps']]] - intermediate_results[[#This Row], [Team3 laps '[laps']]]</f>
        <v>0.48686922249813946</v>
      </c>
      <c r="N250" s="1">
        <f>intermediate_results[[#This Row], [Team1 laps '[laps']]] - intermediate_results[[#This Row], [Team4 laps '[laps']]]</f>
        <v>0.96611590024370386</v>
      </c>
      <c r="O250" s="1">
        <f>intermediate_results[[#This Row], [Team1 laps '[laps']]] - intermediate_results[[#This Row], [Team5 laps '[laps']]]</f>
        <v>1.1125290023201906</v>
      </c>
      <c r="P250" s="1">
        <f>intermediate_results[[#This Row], [Team1 laps '[laps']]] - intermediate_results[[#This Row], [Team6 laps '[laps']]]</f>
        <v>1.4613742974927604</v>
      </c>
      <c r="Q250" s="1">
        <f>intermediate_results[[#This Row], [Team1 laps '[laps']]] - intermediate_results[[#This Row], [Team7 laps '[laps']]]</f>
        <v>1.5788896853059811</v>
      </c>
      <c r="R250" s="1">
        <f>intermediate_results[[#This Row], [Team1 laps '[laps']]] - intermediate_results[[#This Row], [Team8 laps '[laps']]]</f>
        <v>1.9335091131892455</v>
      </c>
      <c r="S250" s="1">
        <f>intermediate_results[[#This Row], [Team1 laps '[laps']]] - intermediate_results[[#This Row], [Team9 laps '[laps']]]</f>
        <v>1.8599490987748695</v>
      </c>
      <c r="T250" s="1">
        <f>MAX(intermediate_results[[#This Row], [Team1 laps '[laps']]:[Team9 laps '[laps']]]) - intermediate_results[[#This Row], [Team1 laps '[laps']]]</f>
        <v>0</v>
      </c>
      <c r="U250" s="1">
        <f>MAX(intermediate_results[[#This Row], [Team1 laps '[laps']]:[Team9 laps '[laps']]]) - intermediate_results[[#This Row], [Team2 laps '[laps']]]</f>
        <v>0.18331861506268865</v>
      </c>
      <c r="V250" s="1">
        <f>MAX(intermediate_results[[#This Row], [Team1 laps '[laps']]:[Team9 laps '[laps']]]) - intermediate_results[[#This Row], [Team3 laps '[laps']]]</f>
        <v>0.48686922249813946</v>
      </c>
      <c r="W250" s="1">
        <f>MAX(intermediate_results[[#This Row], [Team1 laps '[laps']]:[Team9 laps '[laps']]]) - intermediate_results[[#This Row], [Team4 laps '[laps']]]</f>
        <v>0.96611590024370386</v>
      </c>
      <c r="X250" s="1">
        <f>MAX(intermediate_results[[#This Row], [Team1 laps '[laps']]:[Team9 laps '[laps']]]) - intermediate_results[[#This Row], [Team5 laps '[laps']]]</f>
        <v>1.1125290023201906</v>
      </c>
      <c r="Y250" s="1">
        <f>MAX(intermediate_results[[#This Row], [Team1 laps '[laps']]:[Team9 laps '[laps']]]) - intermediate_results[[#This Row], [Team6 laps '[laps']]]</f>
        <v>1.4613742974927604</v>
      </c>
      <c r="Z250" s="1">
        <f>MAX(intermediate_results[[#This Row], [Team1 laps '[laps']]:[Team9 laps '[laps']]]) - intermediate_results[[#This Row], [Team7 laps '[laps']]]</f>
        <v>1.5788896853059811</v>
      </c>
      <c r="AA250" s="1">
        <f>MAX(intermediate_results[[#This Row], [Team1 laps '[laps']]:[Team9 laps '[laps']]]) - intermediate_results[[#This Row], [Team8 laps '[laps']]]</f>
        <v>1.9335091131892455</v>
      </c>
      <c r="AB250" s="1">
        <f>MAX(intermediate_results[[#This Row], [Team1 laps '[laps']]:[Team9 laps '[laps']]]) - intermediate_results[[#This Row], [Team9 laps '[laps']]]</f>
        <v>1.8599490987748695</v>
      </c>
      <c r="AC250" s="1">
        <f>9 * intermediate_results[[#This Row], [All cumulative times '[sec']]] / SUM(intermediate_results[[#This Row], [Team1 laps '[laps']]:[Team9 laps '[laps']]])</f>
        <v>54.753027437974531</v>
      </c>
      <c r="AD250" s="1">
        <f>intermediate_results[[#This Row], [All cumulative times '[sec']]] / intermediate_results[[#This Row], [Team1 laps '[laps']]] - intermediate_results[[#This Row], [Total running average '[sec']]]</f>
        <v>-2.002474578839248</v>
      </c>
      <c r="AE250" s="1">
        <f>intermediate_results[[#This Row], [All cumulative times '[sec']]] / intermediate_results[[#This Row], [Team2 laps '[laps']]] - intermediate_results[[#This Row], [Total running average '[sec']]]</f>
        <v>-1.6682048851808489</v>
      </c>
      <c r="AF250" s="1">
        <f>intermediate_results[[#This Row], [All cumulative times '[sec']]] / intermediate_results[[#This Row], [Team3 laps '[laps']]] - intermediate_results[[#This Row], [Total running average '[sec']]]</f>
        <v>-1.1052858029502204</v>
      </c>
      <c r="AG250" s="1">
        <f>intermediate_results[[#This Row], [All cumulative times '[sec']]] / intermediate_results[[#This Row], [Team4 laps '[laps']]] - intermediate_results[[#This Row], [Total running average '[sec']]]</f>
        <v>-0.19183008644753841</v>
      </c>
      <c r="AH250" s="1">
        <f>intermediate_results[[#This Row], [All cumulative times '[sec']]] / intermediate_results[[#This Row], [Team5 laps '[laps']]] - intermediate_results[[#This Row], [Total running average '[sec']]]</f>
        <v>9.347256202547527E-2</v>
      </c>
      <c r="AI250" s="1">
        <f>intermediate_results[[#This Row], [All cumulative times '[sec']]] / intermediate_results[[#This Row], [Team6 laps '[laps']]] - intermediate_results[[#This Row], [Total running average '[sec']]]</f>
        <v>0.78541268842974432</v>
      </c>
      <c r="AJ250" s="1">
        <f>intermediate_results[[#This Row], [All cumulative times '[sec']]] / intermediate_results[[#This Row], [Team7 laps '[laps']]] - intermediate_results[[#This Row], [Total running average '[sec']]]</f>
        <v>1.0224544123678783</v>
      </c>
      <c r="AK250" s="1">
        <f>intermediate_results[[#This Row], [All cumulative times '[sec']]] / intermediate_results[[#This Row], [Team8 laps '[laps']]] - intermediate_results[[#This Row], [Total running average '[sec']]]</f>
        <v>1.7501874043729231</v>
      </c>
      <c r="AL250" s="1">
        <f>intermediate_results[[#This Row], [All cumulative times '[sec']]] / intermediate_results[[#This Row], [Team9 laps '[laps']]] - intermediate_results[[#This Row], [Total running average '[sec']]]</f>
        <v>1.5976742363362675</v>
      </c>
    </row>
    <row r="251" spans="1:38" x14ac:dyDescent="0.25">
      <c r="A251" s="1">
        <v>1539.453</v>
      </c>
      <c r="B251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29.183865201019362</v>
      </c>
      <c r="C251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29.000000000000004</v>
      </c>
      <c r="D251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28.696369325893532</v>
      </c>
      <c r="E251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28.216143364378269</v>
      </c>
      <c r="F251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28.068280695367246</v>
      </c>
      <c r="G251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27.719796508436108</v>
      </c>
      <c r="H251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27.604487760652766</v>
      </c>
      <c r="I251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27.245452774383232</v>
      </c>
      <c r="J251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27.317418886449673</v>
      </c>
      <c r="K251" s="1">
        <f>intermediate_results[[#This Row], [Team1 laps '[laps']]] - intermediate_results[[#This Row], [Team1 laps '[laps']]]</f>
        <v>0</v>
      </c>
      <c r="L251" s="1">
        <f>intermediate_results[[#This Row], [Team1 laps '[laps']]] - intermediate_results[[#This Row], [Team2 laps '[laps']]]</f>
        <v>0.18386520101935844</v>
      </c>
      <c r="M251" s="1">
        <f>intermediate_results[[#This Row], [Team1 laps '[laps']]] - intermediate_results[[#This Row], [Team3 laps '[laps']]]</f>
        <v>0.48749587512583048</v>
      </c>
      <c r="N251" s="1">
        <f>intermediate_results[[#This Row], [Team1 laps '[laps']]] - intermediate_results[[#This Row], [Team4 laps '[laps']]]</f>
        <v>0.96772183664109335</v>
      </c>
      <c r="O251" s="1">
        <f>intermediate_results[[#This Row], [Team1 laps '[laps']]] - intermediate_results[[#This Row], [Team5 laps '[laps']]]</f>
        <v>1.1155845056521159</v>
      </c>
      <c r="P251" s="1">
        <f>intermediate_results[[#This Row], [Team1 laps '[laps']]] - intermediate_results[[#This Row], [Team6 laps '[laps']]]</f>
        <v>1.464068692583254</v>
      </c>
      <c r="Q251" s="1">
        <f>intermediate_results[[#This Row], [Team1 laps '[laps']]] - intermediate_results[[#This Row], [Team7 laps '[laps']]]</f>
        <v>1.5793774403665957</v>
      </c>
      <c r="R251" s="1">
        <f>intermediate_results[[#This Row], [Team1 laps '[laps']]] - intermediate_results[[#This Row], [Team8 laps '[laps']]]</f>
        <v>1.9384124266361304</v>
      </c>
      <c r="S251" s="1">
        <f>intermediate_results[[#This Row], [Team1 laps '[laps']]] - intermediate_results[[#This Row], [Team9 laps '[laps']]]</f>
        <v>1.8664463145696892</v>
      </c>
      <c r="T251" s="1">
        <f>MAX(intermediate_results[[#This Row], [Team1 laps '[laps']]:[Team9 laps '[laps']]]) - intermediate_results[[#This Row], [Team1 laps '[laps']]]</f>
        <v>0</v>
      </c>
      <c r="U251" s="1">
        <f>MAX(intermediate_results[[#This Row], [Team1 laps '[laps']]:[Team9 laps '[laps']]]) - intermediate_results[[#This Row], [Team2 laps '[laps']]]</f>
        <v>0.18386520101935844</v>
      </c>
      <c r="V251" s="1">
        <f>MAX(intermediate_results[[#This Row], [Team1 laps '[laps']]:[Team9 laps '[laps']]]) - intermediate_results[[#This Row], [Team3 laps '[laps']]]</f>
        <v>0.48749587512583048</v>
      </c>
      <c r="W251" s="1">
        <f>MAX(intermediate_results[[#This Row], [Team1 laps '[laps']]:[Team9 laps '[laps']]]) - intermediate_results[[#This Row], [Team4 laps '[laps']]]</f>
        <v>0.96772183664109335</v>
      </c>
      <c r="X251" s="1">
        <f>MAX(intermediate_results[[#This Row], [Team1 laps '[laps']]:[Team9 laps '[laps']]]) - intermediate_results[[#This Row], [Team5 laps '[laps']]]</f>
        <v>1.1155845056521159</v>
      </c>
      <c r="Y251" s="1">
        <f>MAX(intermediate_results[[#This Row], [Team1 laps '[laps']]:[Team9 laps '[laps']]]) - intermediate_results[[#This Row], [Team6 laps '[laps']]]</f>
        <v>1.464068692583254</v>
      </c>
      <c r="Z251" s="1">
        <f>MAX(intermediate_results[[#This Row], [Team1 laps '[laps']]:[Team9 laps '[laps']]]) - intermediate_results[[#This Row], [Team7 laps '[laps']]]</f>
        <v>1.5793774403665957</v>
      </c>
      <c r="AA251" s="1">
        <f>MAX(intermediate_results[[#This Row], [Team1 laps '[laps']]:[Team9 laps '[laps']]]) - intermediate_results[[#This Row], [Team8 laps '[laps']]]</f>
        <v>1.9384124266361304</v>
      </c>
      <c r="AB251" s="1">
        <f>MAX(intermediate_results[[#This Row], [Team1 laps '[laps']]:[Team9 laps '[laps']]]) - intermediate_results[[#This Row], [Team9 laps '[laps']]]</f>
        <v>1.8664463145696892</v>
      </c>
      <c r="AC251" s="1">
        <f>9 * intermediate_results[[#This Row], [All cumulative times '[sec']]] / SUM(intermediate_results[[#This Row], [Team1 laps '[laps']]:[Team9 laps '[laps']]])</f>
        <v>54.751936975706613</v>
      </c>
      <c r="AD251" s="1">
        <f>intermediate_results[[#This Row], [All cumulative times '[sec']]] / intermediate_results[[#This Row], [Team1 laps '[laps']]] - intermediate_results[[#This Row], [Total running average '[sec']]]</f>
        <v>-2.0017961223206626</v>
      </c>
      <c r="AE251" s="1">
        <f>intermediate_results[[#This Row], [All cumulative times '[sec']]] / intermediate_results[[#This Row], [Team2 laps '[laps']]] - intermediate_results[[#This Row], [Total running average '[sec']]]</f>
        <v>-1.6673507688100671</v>
      </c>
      <c r="AF251" s="1">
        <f>intermediate_results[[#This Row], [All cumulative times '[sec']]] / intermediate_results[[#This Row], [Team3 laps '[laps']]] - intermediate_results[[#This Row], [Total running average '[sec']]]</f>
        <v>-1.1056731394341668</v>
      </c>
      <c r="AG251" s="1">
        <f>intermediate_results[[#This Row], [All cumulative times '[sec']]] / intermediate_results[[#This Row], [Team4 laps '[laps']]] - intermediate_results[[#This Row], [Total running average '[sec']]]</f>
        <v>-0.19263806232298464</v>
      </c>
      <c r="AH251" s="1">
        <f>intermediate_results[[#This Row], [All cumulative times '[sec']]] / intermediate_results[[#This Row], [Team5 laps '[laps']]] - intermediate_results[[#This Row], [Total running average '[sec']]]</f>
        <v>9.4778315055435769E-2</v>
      </c>
      <c r="AI251" s="1">
        <f>intermediate_results[[#This Row], [All cumulative times '[sec']]] / intermediate_results[[#This Row], [Team6 laps '[laps']]] - intermediate_results[[#This Row], [Total running average '[sec']]]</f>
        <v>0.78429322466626417</v>
      </c>
      <c r="AJ251" s="1">
        <f>intermediate_results[[#This Row], [All cumulative times '[sec']]] / intermediate_results[[#This Row], [Team7 laps '[laps']]] - intermediate_results[[#This Row], [Total running average '[sec']]]</f>
        <v>1.0162777199605486</v>
      </c>
      <c r="AK251" s="1">
        <f>intermediate_results[[#This Row], [All cumulative times '[sec']]] / intermediate_results[[#This Row], [Team8 laps '[laps']]] - intermediate_results[[#This Row], [Total running average '[sec']]]</f>
        <v>1.7511798103512533</v>
      </c>
      <c r="AL251" s="1">
        <f>intermediate_results[[#This Row], [All cumulative times '[sec']]] / intermediate_results[[#This Row], [Team9 laps '[laps']]] - intermediate_results[[#This Row], [Total running average '[sec']]]</f>
        <v>1.6023257164988607</v>
      </c>
    </row>
    <row r="252" spans="1:38" x14ac:dyDescent="0.25">
      <c r="A252" s="1">
        <v>1554.7650000000001</v>
      </c>
      <c r="B252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29.475067513597814</v>
      </c>
      <c r="C252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29.281005689117276</v>
      </c>
      <c r="D252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28.985013572613486</v>
      </c>
      <c r="E252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28.500790065621928</v>
      </c>
      <c r="F252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28.34701010284882</v>
      </c>
      <c r="G252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27.999999999999996</v>
      </c>
      <c r="H252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27.89369900271986</v>
      </c>
      <c r="I252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27.5166392150612</v>
      </c>
      <c r="J252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27.58209884012377</v>
      </c>
      <c r="K252" s="1">
        <f>intermediate_results[[#This Row], [Team1 laps '[laps']]] - intermediate_results[[#This Row], [Team1 laps '[laps']]]</f>
        <v>0</v>
      </c>
      <c r="L252" s="1">
        <f>intermediate_results[[#This Row], [Team1 laps '[laps']]] - intermediate_results[[#This Row], [Team2 laps '[laps']]]</f>
        <v>0.19406182448053855</v>
      </c>
      <c r="M252" s="1">
        <f>intermediate_results[[#This Row], [Team1 laps '[laps']]] - intermediate_results[[#This Row], [Team3 laps '[laps']]]</f>
        <v>0.49005394098432831</v>
      </c>
      <c r="N252" s="1">
        <f>intermediate_results[[#This Row], [Team1 laps '[laps']]] - intermediate_results[[#This Row], [Team4 laps '[laps']]]</f>
        <v>0.97427744797588645</v>
      </c>
      <c r="O252" s="1">
        <f>intermediate_results[[#This Row], [Team1 laps '[laps']]] - intermediate_results[[#This Row], [Team5 laps '[laps']]]</f>
        <v>1.128057410748994</v>
      </c>
      <c r="P252" s="1">
        <f>intermediate_results[[#This Row], [Team1 laps '[laps']]] - intermediate_results[[#This Row], [Team6 laps '[laps']]]</f>
        <v>1.4750675135978177</v>
      </c>
      <c r="Q252" s="1">
        <f>intermediate_results[[#This Row], [Team1 laps '[laps']]] - intermediate_results[[#This Row], [Team7 laps '[laps']]]</f>
        <v>1.5813685108779545</v>
      </c>
      <c r="R252" s="1">
        <f>intermediate_results[[#This Row], [Team1 laps '[laps']]] - intermediate_results[[#This Row], [Team8 laps '[laps']]]</f>
        <v>1.9584282985366137</v>
      </c>
      <c r="S252" s="1">
        <f>intermediate_results[[#This Row], [Team1 laps '[laps']]] - intermediate_results[[#This Row], [Team9 laps '[laps']]]</f>
        <v>1.8929686734740443</v>
      </c>
      <c r="T252" s="1">
        <f>MAX(intermediate_results[[#This Row], [Team1 laps '[laps']]:[Team9 laps '[laps']]]) - intermediate_results[[#This Row], [Team1 laps '[laps']]]</f>
        <v>0</v>
      </c>
      <c r="U252" s="1">
        <f>MAX(intermediate_results[[#This Row], [Team1 laps '[laps']]:[Team9 laps '[laps']]]) - intermediate_results[[#This Row], [Team2 laps '[laps']]]</f>
        <v>0.19406182448053855</v>
      </c>
      <c r="V252" s="1">
        <f>MAX(intermediate_results[[#This Row], [Team1 laps '[laps']]:[Team9 laps '[laps']]]) - intermediate_results[[#This Row], [Team3 laps '[laps']]]</f>
        <v>0.49005394098432831</v>
      </c>
      <c r="W252" s="1">
        <f>MAX(intermediate_results[[#This Row], [Team1 laps '[laps']]:[Team9 laps '[laps']]]) - intermediate_results[[#This Row], [Team4 laps '[laps']]]</f>
        <v>0.97427744797588645</v>
      </c>
      <c r="X252" s="1">
        <f>MAX(intermediate_results[[#This Row], [Team1 laps '[laps']]:[Team9 laps '[laps']]]) - intermediate_results[[#This Row], [Team5 laps '[laps']]]</f>
        <v>1.128057410748994</v>
      </c>
      <c r="Y252" s="1">
        <f>MAX(intermediate_results[[#This Row], [Team1 laps '[laps']]:[Team9 laps '[laps']]]) - intermediate_results[[#This Row], [Team6 laps '[laps']]]</f>
        <v>1.4750675135978177</v>
      </c>
      <c r="Z252" s="1">
        <f>MAX(intermediate_results[[#This Row], [Team1 laps '[laps']]:[Team9 laps '[laps']]]) - intermediate_results[[#This Row], [Team7 laps '[laps']]]</f>
        <v>1.5813685108779545</v>
      </c>
      <c r="AA252" s="1">
        <f>MAX(intermediate_results[[#This Row], [Team1 laps '[laps']]:[Team9 laps '[laps']]]) - intermediate_results[[#This Row], [Team8 laps '[laps']]]</f>
        <v>1.9584282985366137</v>
      </c>
      <c r="AB252" s="1">
        <f>MAX(intermediate_results[[#This Row], [Team1 laps '[laps']]:[Team9 laps '[laps']]]) - intermediate_results[[#This Row], [Team9 laps '[laps']]]</f>
        <v>1.8929686734740443</v>
      </c>
      <c r="AC252" s="1">
        <f>9 * intermediate_results[[#This Row], [All cumulative times '[sec']]] / SUM(intermediate_results[[#This Row], [Team1 laps '[laps']]:[Team9 laps '[laps']]])</f>
        <v>54.74924685775045</v>
      </c>
      <c r="AD252" s="1">
        <f>intermediate_results[[#This Row], [All cumulative times '[sec']]] / intermediate_results[[#This Row], [Team1 laps '[laps']]] - intermediate_results[[#This Row], [Total running average '[sec']]]</f>
        <v>-2.0007671712243322</v>
      </c>
      <c r="AE252" s="1">
        <f>intermediate_results[[#This Row], [All cumulative times '[sec']]] / intermediate_results[[#This Row], [Team2 laps '[laps']]] - intermediate_results[[#This Row], [Total running average '[sec']]]</f>
        <v>-1.6511730925501027</v>
      </c>
      <c r="AF252" s="1">
        <f>intermediate_results[[#This Row], [All cumulative times '[sec']]] / intermediate_results[[#This Row], [Team3 laps '[laps']]] - intermediate_results[[#This Row], [Total running average '[sec']]]</f>
        <v>-1.1089407697443008</v>
      </c>
      <c r="AG252" s="1">
        <f>intermediate_results[[#This Row], [All cumulative times '[sec']]] / intermediate_results[[#This Row], [Team4 laps '[laps']]] - intermediate_results[[#This Row], [Total running average '[sec']]]</f>
        <v>-0.19760122195523167</v>
      </c>
      <c r="AH252" s="1">
        <f>intermediate_results[[#This Row], [All cumulative times '[sec']]] / intermediate_results[[#This Row], [Team5 laps '[laps']]] - intermediate_results[[#This Row], [Total running average '[sec']]]</f>
        <v>9.8336515557384985E-2</v>
      </c>
      <c r="AI252" s="1">
        <f>intermediate_results[[#This Row], [All cumulative times '[sec']]] / intermediate_results[[#This Row], [Team6 laps '[laps']]] - intermediate_results[[#This Row], [Total running average '[sec']]]</f>
        <v>0.77807457082099063</v>
      </c>
      <c r="AJ252" s="1">
        <f>intermediate_results[[#This Row], [All cumulative times '[sec']]] / intermediate_results[[#This Row], [Team7 laps '[laps']]] - intermediate_results[[#This Row], [Total running average '[sec']]]</f>
        <v>0.98968543116534136</v>
      </c>
      <c r="AK252" s="1">
        <f>intermediate_results[[#This Row], [All cumulative times '[sec']]] / intermediate_results[[#This Row], [Team8 laps '[laps']]] - intermediate_results[[#This Row], [Total running average '[sec']]]</f>
        <v>1.7534745628582584</v>
      </c>
      <c r="AL252" s="1">
        <f>intermediate_results[[#This Row], [All cumulative times '[sec']]] / intermediate_results[[#This Row], [Team9 laps '[laps']]] - intermediate_results[[#This Row], [Total running average '[sec']]]</f>
        <v>1.6193786414185354</v>
      </c>
    </row>
    <row r="253" spans="1:38" x14ac:dyDescent="0.25">
      <c r="A253" s="1">
        <v>1555.56</v>
      </c>
      <c r="B253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29.490186755924082</v>
      </c>
      <c r="C253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29.295595522114152</v>
      </c>
      <c r="D253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29</v>
      </c>
      <c r="E253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28.515568940196683</v>
      </c>
      <c r="F253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28.361481751160458</v>
      </c>
      <c r="G253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28.014581537389255</v>
      </c>
      <c r="H253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27.908714868540347</v>
      </c>
      <c r="I253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27.530719232063483</v>
      </c>
      <c r="J253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27.59584103991288</v>
      </c>
      <c r="K253" s="1">
        <f>intermediate_results[[#This Row], [Team1 laps '[laps']]] - intermediate_results[[#This Row], [Team1 laps '[laps']]]</f>
        <v>0</v>
      </c>
      <c r="L253" s="1">
        <f>intermediate_results[[#This Row], [Team1 laps '[laps']]] - intermediate_results[[#This Row], [Team2 laps '[laps']]]</f>
        <v>0.19459123380993049</v>
      </c>
      <c r="M253" s="1">
        <f>intermediate_results[[#This Row], [Team1 laps '[laps']]] - intermediate_results[[#This Row], [Team3 laps '[laps']]]</f>
        <v>0.49018675592408201</v>
      </c>
      <c r="N253" s="1">
        <f>intermediate_results[[#This Row], [Team1 laps '[laps']]] - intermediate_results[[#This Row], [Team4 laps '[laps']]]</f>
        <v>0.97461781572739881</v>
      </c>
      <c r="O253" s="1">
        <f>intermediate_results[[#This Row], [Team1 laps '[laps']]] - intermediate_results[[#This Row], [Team5 laps '[laps']]]</f>
        <v>1.1287050047636242</v>
      </c>
      <c r="P253" s="1">
        <f>intermediate_results[[#This Row], [Team1 laps '[laps']]] - intermediate_results[[#This Row], [Team6 laps '[laps']]]</f>
        <v>1.4756052185348274</v>
      </c>
      <c r="Q253" s="1">
        <f>intermediate_results[[#This Row], [Team1 laps '[laps']]] - intermediate_results[[#This Row], [Team7 laps '[laps']]]</f>
        <v>1.581471887383735</v>
      </c>
      <c r="R253" s="1">
        <f>intermediate_results[[#This Row], [Team1 laps '[laps']]] - intermediate_results[[#This Row], [Team8 laps '[laps']]]</f>
        <v>1.9594675238605994</v>
      </c>
      <c r="S253" s="1">
        <f>intermediate_results[[#This Row], [Team1 laps '[laps']]] - intermediate_results[[#This Row], [Team9 laps '[laps']]]</f>
        <v>1.8943457160112018</v>
      </c>
      <c r="T253" s="1">
        <f>MAX(intermediate_results[[#This Row], [Team1 laps '[laps']]:[Team9 laps '[laps']]]) - intermediate_results[[#This Row], [Team1 laps '[laps']]]</f>
        <v>0</v>
      </c>
      <c r="U253" s="1">
        <f>MAX(intermediate_results[[#This Row], [Team1 laps '[laps']]:[Team9 laps '[laps']]]) - intermediate_results[[#This Row], [Team2 laps '[laps']]]</f>
        <v>0.19459123380993049</v>
      </c>
      <c r="V253" s="1">
        <f>MAX(intermediate_results[[#This Row], [Team1 laps '[laps']]:[Team9 laps '[laps']]]) - intermediate_results[[#This Row], [Team3 laps '[laps']]]</f>
        <v>0.49018675592408201</v>
      </c>
      <c r="W253" s="1">
        <f>MAX(intermediate_results[[#This Row], [Team1 laps '[laps']]:[Team9 laps '[laps']]]) - intermediate_results[[#This Row], [Team4 laps '[laps']]]</f>
        <v>0.97461781572739881</v>
      </c>
      <c r="X253" s="1">
        <f>MAX(intermediate_results[[#This Row], [Team1 laps '[laps']]:[Team9 laps '[laps']]]) - intermediate_results[[#This Row], [Team5 laps '[laps']]]</f>
        <v>1.1287050047636242</v>
      </c>
      <c r="Y253" s="1">
        <f>MAX(intermediate_results[[#This Row], [Team1 laps '[laps']]:[Team9 laps '[laps']]]) - intermediate_results[[#This Row], [Team6 laps '[laps']]]</f>
        <v>1.4756052185348274</v>
      </c>
      <c r="Z253" s="1">
        <f>MAX(intermediate_results[[#This Row], [Team1 laps '[laps']]:[Team9 laps '[laps']]]) - intermediate_results[[#This Row], [Team7 laps '[laps']]]</f>
        <v>1.581471887383735</v>
      </c>
      <c r="AA253" s="1">
        <f>MAX(intermediate_results[[#This Row], [Team1 laps '[laps']]:[Team9 laps '[laps']]]) - intermediate_results[[#This Row], [Team8 laps '[laps']]]</f>
        <v>1.9594675238605994</v>
      </c>
      <c r="AB253" s="1">
        <f>MAX(intermediate_results[[#This Row], [Team1 laps '[laps']]:[Team9 laps '[laps']]]) - intermediate_results[[#This Row], [Team9 laps '[laps']]]</f>
        <v>1.8943457160112018</v>
      </c>
      <c r="AC253" s="1">
        <f>9 * intermediate_results[[#This Row], [All cumulative times '[sec']]] / SUM(intermediate_results[[#This Row], [Team1 laps '[laps']]:[Team9 laps '[laps']]])</f>
        <v>54.74910149867781</v>
      </c>
      <c r="AD253" s="1">
        <f>intermediate_results[[#This Row], [All cumulative times '[sec']]] / intermediate_results[[#This Row], [Team1 laps '[laps']]] - intermediate_results[[#This Row], [Total running average '[sec']]]</f>
        <v>-2.000707164161966</v>
      </c>
      <c r="AE253" s="1">
        <f>intermediate_results[[#This Row], [All cumulative times '[sec']]] / intermediate_results[[#This Row], [Team2 laps '[laps']]] - intermediate_results[[#This Row], [Total running average '[sec']]]</f>
        <v>-1.6503345244490149</v>
      </c>
      <c r="AF253" s="1">
        <f>intermediate_results[[#This Row], [All cumulative times '[sec']]] / intermediate_results[[#This Row], [Team3 laps '[laps']]] - intermediate_results[[#This Row], [Total running average '[sec']]]</f>
        <v>-1.1091014986778092</v>
      </c>
      <c r="AG253" s="1">
        <f>intermediate_results[[#This Row], [All cumulative times '[sec']]] / intermediate_results[[#This Row], [Team4 laps '[laps']]] - intermediate_results[[#This Row], [Total running average '[sec']]]</f>
        <v>-0.19784904910032708</v>
      </c>
      <c r="AH253" s="1">
        <f>intermediate_results[[#This Row], [All cumulative times '[sec']]] / intermediate_results[[#This Row], [Team5 laps '[laps']]] - intermediate_results[[#This Row], [Total running average '[sec']]]</f>
        <v>9.8526479587171423E-2</v>
      </c>
      <c r="AI253" s="1">
        <f>intermediate_results[[#This Row], [All cumulative times '[sec']]] / intermediate_results[[#This Row], [Team6 laps '[laps']]] - intermediate_results[[#This Row], [Total running average '[sec']]]</f>
        <v>0.77769614146878041</v>
      </c>
      <c r="AJ253" s="1">
        <f>intermediate_results[[#This Row], [All cumulative times '[sec']]] / intermediate_results[[#This Row], [Team7 laps '[laps']]] - intermediate_results[[#This Row], [Total running average '[sec']]]</f>
        <v>0.98832701880223084</v>
      </c>
      <c r="AK253" s="1">
        <f>intermediate_results[[#This Row], [All cumulative times '[sec']]] / intermediate_results[[#This Row], [Team8 laps '[laps']]] - intermediate_results[[#This Row], [Total running average '[sec']]]</f>
        <v>1.7535996072317843</v>
      </c>
      <c r="AL253" s="1">
        <f>intermediate_results[[#This Row], [All cumulative times '[sec']]] / intermediate_results[[#This Row], [Team9 laps '[laps']]] - intermediate_results[[#This Row], [Total running average '[sec']]]</f>
        <v>1.6202621945735132</v>
      </c>
    </row>
    <row r="254" spans="1:38" x14ac:dyDescent="0.25">
      <c r="A254" s="1">
        <v>1560.393</v>
      </c>
      <c r="B254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29.582100338518888</v>
      </c>
      <c r="C254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29.384290695540471</v>
      </c>
      <c r="D254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29.091903095763293</v>
      </c>
      <c r="E254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28.605413343743614</v>
      </c>
      <c r="F254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28.449458450896511</v>
      </c>
      <c r="G254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28.103226279782096</v>
      </c>
      <c r="H254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28.000000000000004</v>
      </c>
      <c r="I254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27.616315109009449</v>
      </c>
      <c r="J254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27.679383243159151</v>
      </c>
      <c r="K254" s="1">
        <f>intermediate_results[[#This Row], [Team1 laps '[laps']]] - intermediate_results[[#This Row], [Team1 laps '[laps']]]</f>
        <v>0</v>
      </c>
      <c r="L254" s="1">
        <f>intermediate_results[[#This Row], [Team1 laps '[laps']]] - intermediate_results[[#This Row], [Team2 laps '[laps']]]</f>
        <v>0.19780964297841663</v>
      </c>
      <c r="M254" s="1">
        <f>intermediate_results[[#This Row], [Team1 laps '[laps']]] - intermediate_results[[#This Row], [Team3 laps '[laps']]]</f>
        <v>0.4901972427555954</v>
      </c>
      <c r="N254" s="1">
        <f>intermediate_results[[#This Row], [Team1 laps '[laps']]] - intermediate_results[[#This Row], [Team4 laps '[laps']]]</f>
        <v>0.97668699477527454</v>
      </c>
      <c r="O254" s="1">
        <f>intermediate_results[[#This Row], [Team1 laps '[laps']]] - intermediate_results[[#This Row], [Team5 laps '[laps']]]</f>
        <v>1.1326418876223769</v>
      </c>
      <c r="P254" s="1">
        <f>intermediate_results[[#This Row], [Team1 laps '[laps']]] - intermediate_results[[#This Row], [Team6 laps '[laps']]]</f>
        <v>1.4788740587367926</v>
      </c>
      <c r="Q254" s="1">
        <f>intermediate_results[[#This Row], [Team1 laps '[laps']]] - intermediate_results[[#This Row], [Team7 laps '[laps']]]</f>
        <v>1.5821003385188845</v>
      </c>
      <c r="R254" s="1">
        <f>intermediate_results[[#This Row], [Team1 laps '[laps']]] - intermediate_results[[#This Row], [Team8 laps '[laps']]]</f>
        <v>1.9657852295094393</v>
      </c>
      <c r="S254" s="1">
        <f>intermediate_results[[#This Row], [Team1 laps '[laps']]] - intermediate_results[[#This Row], [Team9 laps '[laps']]]</f>
        <v>1.902717095359737</v>
      </c>
      <c r="T254" s="1">
        <f>MAX(intermediate_results[[#This Row], [Team1 laps '[laps']]:[Team9 laps '[laps']]]) - intermediate_results[[#This Row], [Team1 laps '[laps']]]</f>
        <v>0</v>
      </c>
      <c r="U254" s="1">
        <f>MAX(intermediate_results[[#This Row], [Team1 laps '[laps']]:[Team9 laps '[laps']]]) - intermediate_results[[#This Row], [Team2 laps '[laps']]]</f>
        <v>0.19780964297841663</v>
      </c>
      <c r="V254" s="1">
        <f>MAX(intermediate_results[[#This Row], [Team1 laps '[laps']]:[Team9 laps '[laps']]]) - intermediate_results[[#This Row], [Team3 laps '[laps']]]</f>
        <v>0.4901972427555954</v>
      </c>
      <c r="W254" s="1">
        <f>MAX(intermediate_results[[#This Row], [Team1 laps '[laps']]:[Team9 laps '[laps']]]) - intermediate_results[[#This Row], [Team4 laps '[laps']]]</f>
        <v>0.97668699477527454</v>
      </c>
      <c r="X254" s="1">
        <f>MAX(intermediate_results[[#This Row], [Team1 laps '[laps']]:[Team9 laps '[laps']]]) - intermediate_results[[#This Row], [Team5 laps '[laps']]]</f>
        <v>1.1326418876223769</v>
      </c>
      <c r="Y254" s="1">
        <f>MAX(intermediate_results[[#This Row], [Team1 laps '[laps']]:[Team9 laps '[laps']]]) - intermediate_results[[#This Row], [Team6 laps '[laps']]]</f>
        <v>1.4788740587367926</v>
      </c>
      <c r="Z254" s="1">
        <f>MAX(intermediate_results[[#This Row], [Team1 laps '[laps']]:[Team9 laps '[laps']]]) - intermediate_results[[#This Row], [Team7 laps '[laps']]]</f>
        <v>1.5821003385188845</v>
      </c>
      <c r="AA254" s="1">
        <f>MAX(intermediate_results[[#This Row], [Team1 laps '[laps']]:[Team9 laps '[laps']]]) - intermediate_results[[#This Row], [Team8 laps '[laps']]]</f>
        <v>1.9657852295094393</v>
      </c>
      <c r="AB254" s="1">
        <f>MAX(intermediate_results[[#This Row], [Team1 laps '[laps']]:[Team9 laps '[laps']]]) - intermediate_results[[#This Row], [Team9 laps '[laps']]]</f>
        <v>1.902717095359737</v>
      </c>
      <c r="AC254" s="1">
        <f>9 * intermediate_results[[#This Row], [All cumulative times '[sec']]] / SUM(intermediate_results[[#This Row], [Team1 laps '[laps']]:[Team9 laps '[laps']]])</f>
        <v>54.748050938017961</v>
      </c>
      <c r="AD254" s="1">
        <f>intermediate_results[[#This Row], [All cumulative times '[sec']]] / intermediate_results[[#This Row], [Team1 laps '[laps']]] - intermediate_results[[#This Row], [Total running average '[sec']]]</f>
        <v>-2.0001736019313654</v>
      </c>
      <c r="AE254" s="1">
        <f>intermediate_results[[#This Row], [All cumulative times '[sec']]] / intermediate_results[[#This Row], [Team2 laps '[laps']]] - intermediate_results[[#This Row], [Total running average '[sec']]]</f>
        <v>-1.6450845888314447</v>
      </c>
      <c r="AF254" s="1">
        <f>intermediate_results[[#This Row], [All cumulative times '[sec']]] / intermediate_results[[#This Row], [Team3 laps '[laps']]] - intermediate_results[[#This Row], [Total running average '[sec']]]</f>
        <v>-1.1113742701638429</v>
      </c>
      <c r="AG254" s="1">
        <f>intermediate_results[[#This Row], [All cumulative times '[sec']]] / intermediate_results[[#This Row], [Team4 laps '[laps']]] - intermediate_results[[#This Row], [Total running average '[sec']]]</f>
        <v>-0.199180021552813</v>
      </c>
      <c r="AH254" s="1">
        <f>intermediate_results[[#This Row], [All cumulative times '[sec']]] / intermediate_results[[#This Row], [Team5 laps '[laps']]] - intermediate_results[[#This Row], [Total running average '[sec']]]</f>
        <v>9.9847228241451091E-2</v>
      </c>
      <c r="AI254" s="1">
        <f>intermediate_results[[#This Row], [All cumulative times '[sec']]] / intermediate_results[[#This Row], [Team6 laps '[laps']]] - intermediate_results[[#This Row], [Total running average '[sec']]]</f>
        <v>0.77557415987947564</v>
      </c>
      <c r="AJ254" s="1">
        <f>intermediate_results[[#This Row], [All cumulative times '[sec']]] / intermediate_results[[#This Row], [Team7 laps '[laps']]] - intermediate_results[[#This Row], [Total running average '[sec']]]</f>
        <v>0.98027049055345827</v>
      </c>
      <c r="AK254" s="1">
        <f>intermediate_results[[#This Row], [All cumulative times '[sec']]] / intermediate_results[[#This Row], [Team8 laps '[laps']]] - intermediate_results[[#This Row], [Total running average '[sec']]]</f>
        <v>1.7545271155958204</v>
      </c>
      <c r="AL254" s="1">
        <f>intermediate_results[[#This Row], [All cumulative times '[sec']]] / intermediate_results[[#This Row], [Team9 laps '[laps']]] - intermediate_results[[#This Row], [Total running average '[sec']]]</f>
        <v>1.6257846453903113</v>
      </c>
    </row>
    <row r="255" spans="1:38" x14ac:dyDescent="0.25">
      <c r="A255" s="1">
        <v>1578.941</v>
      </c>
      <c r="B255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29.934844623635467</v>
      </c>
      <c r="C255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29.724683428151959</v>
      </c>
      <c r="D255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29.444607134707539</v>
      </c>
      <c r="E255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28.950216570929307</v>
      </c>
      <c r="F255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28.787093838172382</v>
      </c>
      <c r="G255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28.443425469085302</v>
      </c>
      <c r="H255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28.350570802147129</v>
      </c>
      <c r="I255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27.944813417636336</v>
      </c>
      <c r="J255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28.000000000000004</v>
      </c>
      <c r="K255" s="1">
        <f>intermediate_results[[#This Row], [Team1 laps '[laps']]] - intermediate_results[[#This Row], [Team1 laps '[laps']]]</f>
        <v>0</v>
      </c>
      <c r="L255" s="1">
        <f>intermediate_results[[#This Row], [Team1 laps '[laps']]] - intermediate_results[[#This Row], [Team2 laps '[laps']]]</f>
        <v>0.21016119548350787</v>
      </c>
      <c r="M255" s="1">
        <f>intermediate_results[[#This Row], [Team1 laps '[laps']]] - intermediate_results[[#This Row], [Team3 laps '[laps']]]</f>
        <v>0.49023748892792796</v>
      </c>
      <c r="N255" s="1">
        <f>intermediate_results[[#This Row], [Team1 laps '[laps']]] - intermediate_results[[#This Row], [Team4 laps '[laps']]]</f>
        <v>0.98462805270616016</v>
      </c>
      <c r="O255" s="1">
        <f>intermediate_results[[#This Row], [Team1 laps '[laps']]] - intermediate_results[[#This Row], [Team5 laps '[laps']]]</f>
        <v>1.1477507854630851</v>
      </c>
      <c r="P255" s="1">
        <f>intermediate_results[[#This Row], [Team1 laps '[laps']]] - intermediate_results[[#This Row], [Team6 laps '[laps']]]</f>
        <v>1.4914191545501652</v>
      </c>
      <c r="Q255" s="1">
        <f>intermediate_results[[#This Row], [Team1 laps '[laps']]] - intermediate_results[[#This Row], [Team7 laps '[laps']]]</f>
        <v>1.5842738214883383</v>
      </c>
      <c r="R255" s="1">
        <f>intermediate_results[[#This Row], [Team1 laps '[laps']]] - intermediate_results[[#This Row], [Team8 laps '[laps']]]</f>
        <v>1.9900312059991307</v>
      </c>
      <c r="S255" s="1">
        <f>intermediate_results[[#This Row], [Team1 laps '[laps']]] - intermediate_results[[#This Row], [Team9 laps '[laps']]]</f>
        <v>1.9348446236354633</v>
      </c>
      <c r="T255" s="1">
        <f>MAX(intermediate_results[[#This Row], [Team1 laps '[laps']]:[Team9 laps '[laps']]]) - intermediate_results[[#This Row], [Team1 laps '[laps']]]</f>
        <v>0</v>
      </c>
      <c r="U255" s="1">
        <f>MAX(intermediate_results[[#This Row], [Team1 laps '[laps']]:[Team9 laps '[laps']]]) - intermediate_results[[#This Row], [Team2 laps '[laps']]]</f>
        <v>0.21016119548350787</v>
      </c>
      <c r="V255" s="1">
        <f>MAX(intermediate_results[[#This Row], [Team1 laps '[laps']]:[Team9 laps '[laps']]]) - intermediate_results[[#This Row], [Team3 laps '[laps']]]</f>
        <v>0.49023748892792796</v>
      </c>
      <c r="W255" s="1">
        <f>MAX(intermediate_results[[#This Row], [Team1 laps '[laps']]:[Team9 laps '[laps']]]) - intermediate_results[[#This Row], [Team4 laps '[laps']]]</f>
        <v>0.98462805270616016</v>
      </c>
      <c r="X255" s="1">
        <f>MAX(intermediate_results[[#This Row], [Team1 laps '[laps']]:[Team9 laps '[laps']]]) - intermediate_results[[#This Row], [Team5 laps '[laps']]]</f>
        <v>1.1477507854630851</v>
      </c>
      <c r="Y255" s="1">
        <f>MAX(intermediate_results[[#This Row], [Team1 laps '[laps']]:[Team9 laps '[laps']]]) - intermediate_results[[#This Row], [Team6 laps '[laps']]]</f>
        <v>1.4914191545501652</v>
      </c>
      <c r="Z255" s="1">
        <f>MAX(intermediate_results[[#This Row], [Team1 laps '[laps']]:[Team9 laps '[laps']]]) - intermediate_results[[#This Row], [Team7 laps '[laps']]]</f>
        <v>1.5842738214883383</v>
      </c>
      <c r="AA255" s="1">
        <f>MAX(intermediate_results[[#This Row], [Team1 laps '[laps']]:[Team9 laps '[laps']]]) - intermediate_results[[#This Row], [Team8 laps '[laps']]]</f>
        <v>1.9900312059991307</v>
      </c>
      <c r="AB255" s="1">
        <f>MAX(intermediate_results[[#This Row], [Team1 laps '[laps']]:[Team9 laps '[laps']]]) - intermediate_results[[#This Row], [Team9 laps '[laps']]]</f>
        <v>1.9348446236354633</v>
      </c>
      <c r="AC255" s="1">
        <f>9 * intermediate_results[[#This Row], [All cumulative times '[sec']]] / SUM(intermediate_results[[#This Row], [Team1 laps '[laps']]:[Team9 laps '[laps']]])</f>
        <v>54.744028910932442</v>
      </c>
      <c r="AD255" s="1">
        <f>intermediate_results[[#This Row], [All cumulative times '[sec']]] / intermediate_results[[#This Row], [Team1 laps '[laps']]] - intermediate_results[[#This Row], [Total running average '[sec']]]</f>
        <v>-1.9981062294655914</v>
      </c>
      <c r="AE255" s="1">
        <f>intermediate_results[[#This Row], [All cumulative times '[sec']]] / intermediate_results[[#This Row], [Team2 laps '[laps']]] - intermediate_results[[#This Row], [Total running average '[sec']]]</f>
        <v>-1.625178921613454</v>
      </c>
      <c r="AF255" s="1">
        <f>intermediate_results[[#This Row], [All cumulative times '[sec']]] / intermediate_results[[#This Row], [Team3 laps '[laps']]] - intermediate_results[[#This Row], [Total running average '[sec']]]</f>
        <v>-1.1199138810926001</v>
      </c>
      <c r="AG255" s="1">
        <f>intermediate_results[[#This Row], [All cumulative times '[sec']]] / intermediate_results[[#This Row], [Team4 laps '[laps']]] - intermediate_results[[#This Row], [Total running average '[sec']]]</f>
        <v>-0.20416057759804573</v>
      </c>
      <c r="AH255" s="1">
        <f>intermediate_results[[#This Row], [All cumulative times '[sec']]] / intermediate_results[[#This Row], [Team5 laps '[laps']]] - intermediate_results[[#This Row], [Total running average '[sec']]]</f>
        <v>0.10489084720882857</v>
      </c>
      <c r="AI255" s="1">
        <f>intermediate_results[[#This Row], [All cumulative times '[sec']]] / intermediate_results[[#This Row], [Team6 laps '[laps']]] - intermediate_results[[#This Row], [Total running average '[sec']]]</f>
        <v>0.76760423311785786</v>
      </c>
      <c r="AJ255" s="1">
        <f>intermediate_results[[#This Row], [All cumulative times '[sec']]] / intermediate_results[[#This Row], [Team7 laps '[laps']]] - intermediate_results[[#This Row], [Total running average '[sec']]]</f>
        <v>0.94941765207006057</v>
      </c>
      <c r="AK255" s="1">
        <f>intermediate_results[[#This Row], [All cumulative times '[sec']]] / intermediate_results[[#This Row], [Team8 laps '[laps']]] - intermediate_results[[#This Row], [Total running average '[sec']]]</f>
        <v>1.7580838927089601</v>
      </c>
      <c r="AL255" s="1">
        <f>intermediate_results[[#This Row], [All cumulative times '[sec']]] / intermediate_results[[#This Row], [Team9 laps '[laps']]] - intermediate_results[[#This Row], [Total running average '[sec']]]</f>
        <v>1.6467210890675545</v>
      </c>
    </row>
    <row r="256" spans="1:38" x14ac:dyDescent="0.25">
      <c r="A256" s="1">
        <v>1581.6189999999999</v>
      </c>
      <c r="B256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29.985774599672894</v>
      </c>
      <c r="C256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29.773830060561576</v>
      </c>
      <c r="D256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29.49553129991633</v>
      </c>
      <c r="E256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29.000000000000004</v>
      </c>
      <c r="F256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28.835842359151719</v>
      </c>
      <c r="G256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28.492544157297182</v>
      </c>
      <c r="H256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28.401186966054286</v>
      </c>
      <c r="I256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27.99224270761384</v>
      </c>
      <c r="J256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28.048241821588128</v>
      </c>
      <c r="K256" s="1">
        <f>intermediate_results[[#This Row], [Team1 laps '[laps']]] - intermediate_results[[#This Row], [Team1 laps '[laps']]]</f>
        <v>0</v>
      </c>
      <c r="L256" s="1">
        <f>intermediate_results[[#This Row], [Team1 laps '[laps']]] - intermediate_results[[#This Row], [Team2 laps '[laps']]]</f>
        <v>0.21194453911131816</v>
      </c>
      <c r="M256" s="1">
        <f>intermediate_results[[#This Row], [Team1 laps '[laps']]] - intermediate_results[[#This Row], [Team3 laps '[laps']]]</f>
        <v>0.490243299756564</v>
      </c>
      <c r="N256" s="1">
        <f>intermediate_results[[#This Row], [Team1 laps '[laps']]] - intermediate_results[[#This Row], [Team4 laps '[laps']]]</f>
        <v>0.98577459967289016</v>
      </c>
      <c r="O256" s="1">
        <f>intermediate_results[[#This Row], [Team1 laps '[laps']]] - intermediate_results[[#This Row], [Team5 laps '[laps']]]</f>
        <v>1.1499322405211743</v>
      </c>
      <c r="P256" s="1">
        <f>intermediate_results[[#This Row], [Team1 laps '[laps']]] - intermediate_results[[#This Row], [Team6 laps '[laps']]]</f>
        <v>1.4932304423757117</v>
      </c>
      <c r="Q256" s="1">
        <f>intermediate_results[[#This Row], [Team1 laps '[laps']]] - intermediate_results[[#This Row], [Team7 laps '[laps']]]</f>
        <v>1.5845876336186073</v>
      </c>
      <c r="R256" s="1">
        <f>intermediate_results[[#This Row], [Team1 laps '[laps']]] - intermediate_results[[#This Row], [Team8 laps '[laps']]]</f>
        <v>1.9935318920590532</v>
      </c>
      <c r="S256" s="1">
        <f>intermediate_results[[#This Row], [Team1 laps '[laps']]] - intermediate_results[[#This Row], [Team9 laps '[laps']]]</f>
        <v>1.9375327780847655</v>
      </c>
      <c r="T256" s="1">
        <f>MAX(intermediate_results[[#This Row], [Team1 laps '[laps']]:[Team9 laps '[laps']]]) - intermediate_results[[#This Row], [Team1 laps '[laps']]]</f>
        <v>0</v>
      </c>
      <c r="U256" s="1">
        <f>MAX(intermediate_results[[#This Row], [Team1 laps '[laps']]:[Team9 laps '[laps']]]) - intermediate_results[[#This Row], [Team2 laps '[laps']]]</f>
        <v>0.21194453911131816</v>
      </c>
      <c r="V256" s="1">
        <f>MAX(intermediate_results[[#This Row], [Team1 laps '[laps']]:[Team9 laps '[laps']]]) - intermediate_results[[#This Row], [Team3 laps '[laps']]]</f>
        <v>0.490243299756564</v>
      </c>
      <c r="W256" s="1">
        <f>MAX(intermediate_results[[#This Row], [Team1 laps '[laps']]:[Team9 laps '[laps']]]) - intermediate_results[[#This Row], [Team4 laps '[laps']]]</f>
        <v>0.98577459967289016</v>
      </c>
      <c r="X256" s="1">
        <f>MAX(intermediate_results[[#This Row], [Team1 laps '[laps']]:[Team9 laps '[laps']]]) - intermediate_results[[#This Row], [Team5 laps '[laps']]]</f>
        <v>1.1499322405211743</v>
      </c>
      <c r="Y256" s="1">
        <f>MAX(intermediate_results[[#This Row], [Team1 laps '[laps']]:[Team9 laps '[laps']]]) - intermediate_results[[#This Row], [Team6 laps '[laps']]]</f>
        <v>1.4932304423757117</v>
      </c>
      <c r="Z256" s="1">
        <f>MAX(intermediate_results[[#This Row], [Team1 laps '[laps']]:[Team9 laps '[laps']]]) - intermediate_results[[#This Row], [Team7 laps '[laps']]]</f>
        <v>1.5845876336186073</v>
      </c>
      <c r="AA256" s="1">
        <f>MAX(intermediate_results[[#This Row], [Team1 laps '[laps']]:[Team9 laps '[laps']]]) - intermediate_results[[#This Row], [Team8 laps '[laps']]]</f>
        <v>1.9935318920590532</v>
      </c>
      <c r="AB256" s="1">
        <f>MAX(intermediate_results[[#This Row], [Team1 laps '[laps']]:[Team9 laps '[laps']]]) - intermediate_results[[#This Row], [Team9 laps '[laps']]]</f>
        <v>1.9375327780847655</v>
      </c>
      <c r="AC256" s="1">
        <f>9 * intermediate_results[[#This Row], [All cumulative times '[sec']]] / SUM(intermediate_results[[#This Row], [Team1 laps '[laps']]:[Team9 laps '[laps']]])</f>
        <v>54.743045404826006</v>
      </c>
      <c r="AD256" s="1">
        <f>intermediate_results[[#This Row], [All cumulative times '[sec']]] / intermediate_results[[#This Row], [Team1 laps '[laps']]] - intermediate_results[[#This Row], [Total running average '[sec']]]</f>
        <v>-1.9974011413206938</v>
      </c>
      <c r="AE256" s="1">
        <f>intermediate_results[[#This Row], [All cumulative times '[sec']]] / intermediate_results[[#This Row], [Team2 laps '[laps']]] - intermediate_results[[#This Row], [Total running average '[sec']]]</f>
        <v>-1.6219321055661666</v>
      </c>
      <c r="AF256" s="1">
        <f>intermediate_results[[#This Row], [All cumulative times '[sec']]] / intermediate_results[[#This Row], [Team3 laps '[laps']]] - intermediate_results[[#This Row], [Total running average '[sec']]]</f>
        <v>-1.120719232166536</v>
      </c>
      <c r="AG256" s="1">
        <f>intermediate_results[[#This Row], [All cumulative times '[sec']]] / intermediate_results[[#This Row], [Team4 laps '[laps']]] - intermediate_results[[#This Row], [Total running average '[sec']]]</f>
        <v>-0.20445919792946654</v>
      </c>
      <c r="AH256" s="1">
        <f>intermediate_results[[#This Row], [All cumulative times '[sec']]] / intermediate_results[[#This Row], [Team5 laps '[laps']]] - intermediate_results[[#This Row], [Total running average '[sec']]]</f>
        <v>0.10601987652987788</v>
      </c>
      <c r="AI256" s="1">
        <f>intermediate_results[[#This Row], [All cumulative times '[sec']]] / intermediate_results[[#This Row], [Team6 laps '[laps']]] - intermediate_results[[#This Row], [Total running average '[sec']]]</f>
        <v>0.76687997314112266</v>
      </c>
      <c r="AJ256" s="1">
        <f>intermediate_results[[#This Row], [All cumulative times '[sec']]] / intermediate_results[[#This Row], [Team7 laps '[laps']]] - intermediate_results[[#This Row], [Total running average '[sec']]]</f>
        <v>0.94543697763164403</v>
      </c>
      <c r="AK256" s="1">
        <f>intermediate_results[[#This Row], [All cumulative times '[sec']]] / intermediate_results[[#This Row], [Team8 laps '[laps']]] - intermediate_results[[#This Row], [Total running average '[sec']]]</f>
        <v>1.7590011271513077</v>
      </c>
      <c r="AL256" s="1">
        <f>intermediate_results[[#This Row], [All cumulative times '[sec']]] / intermediate_results[[#This Row], [Team9 laps '[laps']]] - intermediate_results[[#This Row], [Total running average '[sec']]]</f>
        <v>1.6461931813395552</v>
      </c>
    </row>
    <row r="257" spans="1:38" x14ac:dyDescent="0.25">
      <c r="A257" s="1">
        <v>1582.057</v>
      </c>
      <c r="B257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29.994104446388501</v>
      </c>
      <c r="C257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29.781868232703253</v>
      </c>
      <c r="D257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29.503860196242488</v>
      </c>
      <c r="E257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29.008128874206605</v>
      </c>
      <c r="F257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28.843815418221531</v>
      </c>
      <c r="G257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28.500577759028626</v>
      </c>
      <c r="H257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28.40946548726091</v>
      </c>
      <c r="I257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28.000000000000007</v>
      </c>
      <c r="J257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28.056132007493879</v>
      </c>
      <c r="K257" s="1">
        <f>intermediate_results[[#This Row], [Team1 laps '[laps']]] - intermediate_results[[#This Row], [Team1 laps '[laps']]]</f>
        <v>0</v>
      </c>
      <c r="L257" s="1">
        <f>intermediate_results[[#This Row], [Team1 laps '[laps']]] - intermediate_results[[#This Row], [Team2 laps '[laps']]]</f>
        <v>0.21223621368524803</v>
      </c>
      <c r="M257" s="1">
        <f>intermediate_results[[#This Row], [Team1 laps '[laps']]] - intermediate_results[[#This Row], [Team3 laps '[laps']]]</f>
        <v>0.49024425014601292</v>
      </c>
      <c r="N257" s="1">
        <f>intermediate_results[[#This Row], [Team1 laps '[laps']]] - intermediate_results[[#This Row], [Team4 laps '[laps']]]</f>
        <v>0.98597557218189635</v>
      </c>
      <c r="O257" s="1">
        <f>intermediate_results[[#This Row], [Team1 laps '[laps']]] - intermediate_results[[#This Row], [Team5 laps '[laps']]]</f>
        <v>1.15028902816697</v>
      </c>
      <c r="P257" s="1">
        <f>intermediate_results[[#This Row], [Team1 laps '[laps']]] - intermediate_results[[#This Row], [Team6 laps '[laps']]]</f>
        <v>1.4935266873598749</v>
      </c>
      <c r="Q257" s="1">
        <f>intermediate_results[[#This Row], [Team1 laps '[laps']]] - intermediate_results[[#This Row], [Team7 laps '[laps']]]</f>
        <v>1.5846389591275916</v>
      </c>
      <c r="R257" s="1">
        <f>intermediate_results[[#This Row], [Team1 laps '[laps']]] - intermediate_results[[#This Row], [Team8 laps '[laps']]]</f>
        <v>1.9941044463884943</v>
      </c>
      <c r="S257" s="1">
        <f>intermediate_results[[#This Row], [Team1 laps '[laps']]] - intermediate_results[[#This Row], [Team9 laps '[laps']]]</f>
        <v>1.9379724388946222</v>
      </c>
      <c r="T257" s="1">
        <f>MAX(intermediate_results[[#This Row], [Team1 laps '[laps']]:[Team9 laps '[laps']]]) - intermediate_results[[#This Row], [Team1 laps '[laps']]]</f>
        <v>0</v>
      </c>
      <c r="U257" s="1">
        <f>MAX(intermediate_results[[#This Row], [Team1 laps '[laps']]:[Team9 laps '[laps']]]) - intermediate_results[[#This Row], [Team2 laps '[laps']]]</f>
        <v>0.21223621368524803</v>
      </c>
      <c r="V257" s="1">
        <f>MAX(intermediate_results[[#This Row], [Team1 laps '[laps']]:[Team9 laps '[laps']]]) - intermediate_results[[#This Row], [Team3 laps '[laps']]]</f>
        <v>0.49024425014601292</v>
      </c>
      <c r="W257" s="1">
        <f>MAX(intermediate_results[[#This Row], [Team1 laps '[laps']]:[Team9 laps '[laps']]]) - intermediate_results[[#This Row], [Team4 laps '[laps']]]</f>
        <v>0.98597557218189635</v>
      </c>
      <c r="X257" s="1">
        <f>MAX(intermediate_results[[#This Row], [Team1 laps '[laps']]:[Team9 laps '[laps']]]) - intermediate_results[[#This Row], [Team5 laps '[laps']]]</f>
        <v>1.15028902816697</v>
      </c>
      <c r="Y257" s="1">
        <f>MAX(intermediate_results[[#This Row], [Team1 laps '[laps']]:[Team9 laps '[laps']]]) - intermediate_results[[#This Row], [Team6 laps '[laps']]]</f>
        <v>1.4935266873598749</v>
      </c>
      <c r="Z257" s="1">
        <f>MAX(intermediate_results[[#This Row], [Team1 laps '[laps']]:[Team9 laps '[laps']]]) - intermediate_results[[#This Row], [Team7 laps '[laps']]]</f>
        <v>1.5846389591275916</v>
      </c>
      <c r="AA257" s="1">
        <f>MAX(intermediate_results[[#This Row], [Team1 laps '[laps']]:[Team9 laps '[laps']]]) - intermediate_results[[#This Row], [Team8 laps '[laps']]]</f>
        <v>1.9941044463884943</v>
      </c>
      <c r="AB257" s="1">
        <f>MAX(intermediate_results[[#This Row], [Team1 laps '[laps']]:[Team9 laps '[laps']]]) - intermediate_results[[#This Row], [Team9 laps '[laps']]]</f>
        <v>1.9379724388946222</v>
      </c>
      <c r="AC257" s="1">
        <f>9 * intermediate_results[[#This Row], [All cumulative times '[sec']]] / SUM(intermediate_results[[#This Row], [Team1 laps '[laps']]:[Team9 laps '[laps']]])</f>
        <v>54.742887698413583</v>
      </c>
      <c r="AD257" s="1">
        <f>intermediate_results[[#This Row], [All cumulative times '[sec']]] / intermediate_results[[#This Row], [Team1 laps '[laps']]] - intermediate_results[[#This Row], [Total running average '[sec']]]</f>
        <v>-1.9972888815604009</v>
      </c>
      <c r="AE257" s="1">
        <f>intermediate_results[[#This Row], [All cumulative times '[sec']]] / intermediate_results[[#This Row], [Team2 laps '[laps']]] - intermediate_results[[#This Row], [Total running average '[sec']]]</f>
        <v>-1.6214049345232127</v>
      </c>
      <c r="AF257" s="1">
        <f>intermediate_results[[#This Row], [All cumulative times '[sec']]] / intermediate_results[[#This Row], [Team3 laps '[laps']]] - intermediate_results[[#This Row], [Total running average '[sec']]]</f>
        <v>-1.1208535145109124</v>
      </c>
      <c r="AG257" s="1">
        <f>intermediate_results[[#This Row], [All cumulative times '[sec']]] / intermediate_results[[#This Row], [Team4 laps '[laps']]] - intermediate_results[[#This Row], [Total running average '[sec']]]</f>
        <v>-0.20448548500054642</v>
      </c>
      <c r="AH257" s="1">
        <f>intermediate_results[[#This Row], [All cumulative times '[sec']]] / intermediate_results[[#This Row], [Team5 laps '[laps']]] - intermediate_results[[#This Row], [Total running average '[sec']]]</f>
        <v>0.10620133717099378</v>
      </c>
      <c r="AI257" s="1">
        <f>intermediate_results[[#This Row], [All cumulative times '[sec']]] / intermediate_results[[#This Row], [Team6 laps '[laps']]] - intermediate_results[[#This Row], [Total running average '[sec']]]</f>
        <v>0.76675892616490415</v>
      </c>
      <c r="AJ257" s="1">
        <f>intermediate_results[[#This Row], [All cumulative times '[sec']]] / intermediate_results[[#This Row], [Team7 laps '[laps']]] - intermediate_results[[#This Row], [Total running average '[sec']]]</f>
        <v>0.94478445118776477</v>
      </c>
      <c r="AK257" s="1">
        <f>intermediate_results[[#This Row], [All cumulative times '[sec']]] / intermediate_results[[#This Row], [Team8 laps '[laps']]] - intermediate_results[[#This Row], [Total running average '[sec']]]</f>
        <v>1.7591480158721211</v>
      </c>
      <c r="AL257" s="1">
        <f>intermediate_results[[#This Row], [All cumulative times '[sec']]] / intermediate_results[[#This Row], [Team9 laps '[laps']]] - intermediate_results[[#This Row], [Total running average '[sec']]]</f>
        <v>1.6461041831981689</v>
      </c>
    </row>
    <row r="258" spans="1:38" x14ac:dyDescent="0.25">
      <c r="A258" s="1">
        <v>1582.367</v>
      </c>
      <c r="B258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30</v>
      </c>
      <c r="C258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29.787557349972477</v>
      </c>
      <c r="D258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29.509755077203923</v>
      </c>
      <c r="E258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29.013882187001229</v>
      </c>
      <c r="F258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28.84945845089651</v>
      </c>
      <c r="G258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28.506263641532612</v>
      </c>
      <c r="H258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28.415324714598931</v>
      </c>
      <c r="I258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28.005577244841056</v>
      </c>
      <c r="J258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28.061716385646349</v>
      </c>
      <c r="K258" s="1">
        <f>intermediate_results[[#This Row], [Team1 laps '[laps']]] - intermediate_results[[#This Row], [Team1 laps '[laps']]]</f>
        <v>0</v>
      </c>
      <c r="L258" s="1">
        <f>intermediate_results[[#This Row], [Team1 laps '[laps']]] - intermediate_results[[#This Row], [Team2 laps '[laps']]]</f>
        <v>0.21244265002752272</v>
      </c>
      <c r="M258" s="1">
        <f>intermediate_results[[#This Row], [Team1 laps '[laps']]] - intermediate_results[[#This Row], [Team3 laps '[laps']]]</f>
        <v>0.49024492279607657</v>
      </c>
      <c r="N258" s="1">
        <f>intermediate_results[[#This Row], [Team1 laps '[laps']]] - intermediate_results[[#This Row], [Team4 laps '[laps']]]</f>
        <v>0.98611781299877066</v>
      </c>
      <c r="O258" s="1">
        <f>intermediate_results[[#This Row], [Team1 laps '[laps']]] - intermediate_results[[#This Row], [Team5 laps '[laps']]]</f>
        <v>1.1505415491034903</v>
      </c>
      <c r="P258" s="1">
        <f>intermediate_results[[#This Row], [Team1 laps '[laps']]] - intermediate_results[[#This Row], [Team6 laps '[laps']]]</f>
        <v>1.4937363584673875</v>
      </c>
      <c r="Q258" s="1">
        <f>intermediate_results[[#This Row], [Team1 laps '[laps']]] - intermediate_results[[#This Row], [Team7 laps '[laps']]]</f>
        <v>1.5846752854010688</v>
      </c>
      <c r="R258" s="1">
        <f>intermediate_results[[#This Row], [Team1 laps '[laps']]] - intermediate_results[[#This Row], [Team8 laps '[laps']]]</f>
        <v>1.9944227551589435</v>
      </c>
      <c r="S258" s="1">
        <f>intermediate_results[[#This Row], [Team1 laps '[laps']]] - intermediate_results[[#This Row], [Team9 laps '[laps']]]</f>
        <v>1.9382836143536508</v>
      </c>
      <c r="T258" s="1">
        <f>MAX(intermediate_results[[#This Row], [Team1 laps '[laps']]:[Team9 laps '[laps']]]) - intermediate_results[[#This Row], [Team1 laps '[laps']]]</f>
        <v>0</v>
      </c>
      <c r="U258" s="1">
        <f>MAX(intermediate_results[[#This Row], [Team1 laps '[laps']]:[Team9 laps '[laps']]]) - intermediate_results[[#This Row], [Team2 laps '[laps']]]</f>
        <v>0.21244265002752272</v>
      </c>
      <c r="V258" s="1">
        <f>MAX(intermediate_results[[#This Row], [Team1 laps '[laps']]:[Team9 laps '[laps']]]) - intermediate_results[[#This Row], [Team3 laps '[laps']]]</f>
        <v>0.49024492279607657</v>
      </c>
      <c r="W258" s="1">
        <f>MAX(intermediate_results[[#This Row], [Team1 laps '[laps']]:[Team9 laps '[laps']]]) - intermediate_results[[#This Row], [Team4 laps '[laps']]]</f>
        <v>0.98611781299877066</v>
      </c>
      <c r="X258" s="1">
        <f>MAX(intermediate_results[[#This Row], [Team1 laps '[laps']]:[Team9 laps '[laps']]]) - intermediate_results[[#This Row], [Team5 laps '[laps']]]</f>
        <v>1.1505415491034903</v>
      </c>
      <c r="Y258" s="1">
        <f>MAX(intermediate_results[[#This Row], [Team1 laps '[laps']]:[Team9 laps '[laps']]]) - intermediate_results[[#This Row], [Team6 laps '[laps']]]</f>
        <v>1.4937363584673875</v>
      </c>
      <c r="Z258" s="1">
        <f>MAX(intermediate_results[[#This Row], [Team1 laps '[laps']]:[Team9 laps '[laps']]]) - intermediate_results[[#This Row], [Team7 laps '[laps']]]</f>
        <v>1.5846752854010688</v>
      </c>
      <c r="AA258" s="1">
        <f>MAX(intermediate_results[[#This Row], [Team1 laps '[laps']]:[Team9 laps '[laps']]]) - intermediate_results[[#This Row], [Team8 laps '[laps']]]</f>
        <v>1.9944227551589435</v>
      </c>
      <c r="AB258" s="1">
        <f>MAX(intermediate_results[[#This Row], [Team1 laps '[laps']]:[Team9 laps '[laps']]]) - intermediate_results[[#This Row], [Team9 laps '[laps']]]</f>
        <v>1.9382836143536508</v>
      </c>
      <c r="AC258" s="1">
        <f>9 * intermediate_results[[#This Row], [All cumulative times '[sec']]] / SUM(intermediate_results[[#This Row], [Team1 laps '[laps']]:[Team9 laps '[laps']]])</f>
        <v>54.742757841831924</v>
      </c>
      <c r="AD258" s="1">
        <f>intermediate_results[[#This Row], [All cumulative times '[sec']]] / intermediate_results[[#This Row], [Team1 laps '[laps']]] - intermediate_results[[#This Row], [Total running average '[sec']]]</f>
        <v>-1.9971911751652556</v>
      </c>
      <c r="AE258" s="1">
        <f>intermediate_results[[#This Row], [All cumulative times '[sec']]] / intermediate_results[[#This Row], [Team2 laps '[laps']]] - intermediate_results[[#This Row], [Total running average '[sec']]]</f>
        <v>-1.6210137052163702</v>
      </c>
      <c r="AF258" s="1">
        <f>intermediate_results[[#This Row], [All cumulative times '[sec']]] / intermediate_results[[#This Row], [Team3 laps '[laps']]] - intermediate_results[[#This Row], [Total running average '[sec']]]</f>
        <v>-1.1209302170283806</v>
      </c>
      <c r="AG258" s="1">
        <f>intermediate_results[[#This Row], [All cumulative times '[sec']]] / intermediate_results[[#This Row], [Team4 laps '[laps']]] - intermediate_results[[#This Row], [Total running average '[sec']]]</f>
        <v>-0.20448578980951737</v>
      </c>
      <c r="AH258" s="1">
        <f>intermediate_results[[#This Row], [All cumulative times '[sec']]] / intermediate_results[[#This Row], [Team5 laps '[laps']]] - intermediate_results[[#This Row], [Total running average '[sec']]]</f>
        <v>0.10634799817136553</v>
      </c>
      <c r="AI258" s="1">
        <f>intermediate_results[[#This Row], [All cumulative times '[sec']]] / intermediate_results[[#This Row], [Team6 laps '[laps']]] - intermediate_results[[#This Row], [Total running average '[sec']]]</f>
        <v>0.76669158648766711</v>
      </c>
      <c r="AJ258" s="1">
        <f>intermediate_results[[#This Row], [All cumulative times '[sec']]] / intermediate_results[[#This Row], [Team7 laps '[laps']]] - intermediate_results[[#This Row], [Total running average '[sec']]]</f>
        <v>0.94434114060651808</v>
      </c>
      <c r="AK258" s="1">
        <f>intermediate_results[[#This Row], [All cumulative times '[sec']]] / intermediate_results[[#This Row], [Team8 laps '[laps']]] - intermediate_results[[#This Row], [Total running average '[sec']]]</f>
        <v>1.7590948486527864</v>
      </c>
      <c r="AL258" s="1">
        <f>intermediate_results[[#This Row], [All cumulative times '[sec']]] / intermediate_results[[#This Row], [Team9 laps '[laps']]] - intermediate_results[[#This Row], [Total running average '[sec']]]</f>
        <v>1.6460595153766775</v>
      </c>
    </row>
    <row r="259" spans="1:38" x14ac:dyDescent="0.25">
      <c r="A259" s="1">
        <v>1590.6369999999999</v>
      </c>
      <c r="B259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30.159406322282191</v>
      </c>
      <c r="C259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29.93932831712241</v>
      </c>
      <c r="D259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29.667015288659009</v>
      </c>
      <c r="E259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29.167365725103007</v>
      </c>
      <c r="F259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28.999999999999996</v>
      </c>
      <c r="G259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28.657948313493876</v>
      </c>
      <c r="H259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28.571633779390645</v>
      </c>
      <c r="I259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28.154363744310317</v>
      </c>
      <c r="J259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28.210693183455831</v>
      </c>
      <c r="K259" s="1">
        <f>intermediate_results[[#This Row], [Team1 laps '[laps']]] - intermediate_results[[#This Row], [Team1 laps '[laps']]]</f>
        <v>0</v>
      </c>
      <c r="L259" s="1">
        <f>intermediate_results[[#This Row], [Team1 laps '[laps']]] - intermediate_results[[#This Row], [Team2 laps '[laps']]]</f>
        <v>0.22007800515978104</v>
      </c>
      <c r="M259" s="1">
        <f>intermediate_results[[#This Row], [Team1 laps '[laps']]] - intermediate_results[[#This Row], [Team3 laps '[laps']]]</f>
        <v>0.49239103362318204</v>
      </c>
      <c r="N259" s="1">
        <f>intermediate_results[[#This Row], [Team1 laps '[laps']]] - intermediate_results[[#This Row], [Team4 laps '[laps']]]</f>
        <v>0.99204059717918369</v>
      </c>
      <c r="O259" s="1">
        <f>intermediate_results[[#This Row], [Team1 laps '[laps']]] - intermediate_results[[#This Row], [Team5 laps '[laps']]]</f>
        <v>1.1594063222821944</v>
      </c>
      <c r="P259" s="1">
        <f>intermediate_results[[#This Row], [Team1 laps '[laps']]] - intermediate_results[[#This Row], [Team6 laps '[laps']]]</f>
        <v>1.5014580087883154</v>
      </c>
      <c r="Q259" s="1">
        <f>intermediate_results[[#This Row], [Team1 laps '[laps']]] - intermediate_results[[#This Row], [Team7 laps '[laps']]]</f>
        <v>1.5877725428915461</v>
      </c>
      <c r="R259" s="1">
        <f>intermediate_results[[#This Row], [Team1 laps '[laps']]] - intermediate_results[[#This Row], [Team8 laps '[laps']]]</f>
        <v>2.0050425779718744</v>
      </c>
      <c r="S259" s="1">
        <f>intermediate_results[[#This Row], [Team1 laps '[laps']]] - intermediate_results[[#This Row], [Team9 laps '[laps']]]</f>
        <v>1.9487131388263599</v>
      </c>
      <c r="T259" s="1">
        <f>MAX(intermediate_results[[#This Row], [Team1 laps '[laps']]:[Team9 laps '[laps']]]) - intermediate_results[[#This Row], [Team1 laps '[laps']]]</f>
        <v>0</v>
      </c>
      <c r="U259" s="1">
        <f>MAX(intermediate_results[[#This Row], [Team1 laps '[laps']]:[Team9 laps '[laps']]]) - intermediate_results[[#This Row], [Team2 laps '[laps']]]</f>
        <v>0.22007800515978104</v>
      </c>
      <c r="V259" s="1">
        <f>MAX(intermediate_results[[#This Row], [Team1 laps '[laps']]:[Team9 laps '[laps']]]) - intermediate_results[[#This Row], [Team3 laps '[laps']]]</f>
        <v>0.49239103362318204</v>
      </c>
      <c r="W259" s="1">
        <f>MAX(intermediate_results[[#This Row], [Team1 laps '[laps']]:[Team9 laps '[laps']]]) - intermediate_results[[#This Row], [Team4 laps '[laps']]]</f>
        <v>0.99204059717918369</v>
      </c>
      <c r="X259" s="1">
        <f>MAX(intermediate_results[[#This Row], [Team1 laps '[laps']]:[Team9 laps '[laps']]]) - intermediate_results[[#This Row], [Team5 laps '[laps']]]</f>
        <v>1.1594063222821944</v>
      </c>
      <c r="Y259" s="1">
        <f>MAX(intermediate_results[[#This Row], [Team1 laps '[laps']]:[Team9 laps '[laps']]]) - intermediate_results[[#This Row], [Team6 laps '[laps']]]</f>
        <v>1.5014580087883154</v>
      </c>
      <c r="Z259" s="1">
        <f>MAX(intermediate_results[[#This Row], [Team1 laps '[laps']]:[Team9 laps '[laps']]]) - intermediate_results[[#This Row], [Team7 laps '[laps']]]</f>
        <v>1.5877725428915461</v>
      </c>
      <c r="AA259" s="1">
        <f>MAX(intermediate_results[[#This Row], [Team1 laps '[laps']]:[Team9 laps '[laps']]]) - intermediate_results[[#This Row], [Team8 laps '[laps']]]</f>
        <v>2.0050425779718744</v>
      </c>
      <c r="AB259" s="1">
        <f>MAX(intermediate_results[[#This Row], [Team1 laps '[laps']]:[Team9 laps '[laps']]]) - intermediate_results[[#This Row], [Team9 laps '[laps']]]</f>
        <v>1.9487131388263599</v>
      </c>
      <c r="AC259" s="1">
        <f>9 * intermediate_results[[#This Row], [All cumulative times '[sec']]] / SUM(intermediate_results[[#This Row], [Team1 laps '[laps']]:[Team9 laps '[laps']]])</f>
        <v>54.73886707686102</v>
      </c>
      <c r="AD259" s="1">
        <f>intermediate_results[[#This Row], [All cumulative times '[sec']]] / intermediate_results[[#This Row], [Team1 laps '[laps']]] - intermediate_results[[#This Row], [Total running average '[sec']]]</f>
        <v>-1.9978753278021202</v>
      </c>
      <c r="AE259" s="1">
        <f>intermediate_results[[#This Row], [All cumulative times '[sec']]] / intermediate_results[[#This Row], [Team2 laps '[laps']]] - intermediate_results[[#This Row], [Total running average '[sec']]]</f>
        <v>-1.6101868622715401</v>
      </c>
      <c r="AF259" s="1">
        <f>intermediate_results[[#This Row], [All cumulative times '[sec']]] / intermediate_results[[#This Row], [Team3 laps '[laps']]] - intermediate_results[[#This Row], [Total running average '[sec']]]</f>
        <v>-1.1225196107220015</v>
      </c>
      <c r="AG259" s="1">
        <f>intermediate_results[[#This Row], [All cumulative times '[sec']]] / intermediate_results[[#This Row], [Team4 laps '[laps']]] - intermediate_results[[#This Row], [Total running average '[sec']]]</f>
        <v>-0.20404843771967052</v>
      </c>
      <c r="AH259" s="1">
        <f>intermediate_results[[#This Row], [All cumulative times '[sec']]] / intermediate_results[[#This Row], [Team5 laps '[laps']]] - intermediate_results[[#This Row], [Total running average '[sec']]]</f>
        <v>0.11068464727691918</v>
      </c>
      <c r="AI259" s="1">
        <f>intermediate_results[[#This Row], [All cumulative times '[sec']]] / intermediate_results[[#This Row], [Team6 laps '[laps']]] - intermediate_results[[#This Row], [Total running average '[sec']]]</f>
        <v>0.76535055239030214</v>
      </c>
      <c r="AJ259" s="1">
        <f>intermediate_results[[#This Row], [All cumulative times '[sec']]] / intermediate_results[[#This Row], [Team7 laps '[laps']]] - intermediate_results[[#This Row], [Total running average '[sec']]]</f>
        <v>0.93302807207378891</v>
      </c>
      <c r="AK259" s="1">
        <f>intermediate_results[[#This Row], [All cumulative times '[sec']]] / intermediate_results[[#This Row], [Team8 laps '[laps']]] - intermediate_results[[#This Row], [Total running average '[sec']]]</f>
        <v>1.7581297810931957</v>
      </c>
      <c r="AL259" s="1">
        <f>intermediate_results[[#This Row], [All cumulative times '[sec']]] / intermediate_results[[#This Row], [Team9 laps '[laps']]] - intermediate_results[[#This Row], [Total running average '[sec']]]</f>
        <v>1.6453199282576421</v>
      </c>
    </row>
    <row r="260" spans="1:38" x14ac:dyDescent="0.25">
      <c r="A260" s="1">
        <v>1593.943</v>
      </c>
      <c r="B260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30.22313030069391</v>
      </c>
      <c r="C260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30.000000000000004</v>
      </c>
      <c r="D260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29.729881341750971</v>
      </c>
      <c r="E260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29.228722022196656</v>
      </c>
      <c r="F260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29.058715922209391</v>
      </c>
      <c r="G260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28.718585499165453</v>
      </c>
      <c r="H260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28.634119603840631</v>
      </c>
      <c r="I260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28.213842361873244</v>
      </c>
      <c r="J260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28.270247874333482</v>
      </c>
      <c r="K260" s="1">
        <f>intermediate_results[[#This Row], [Team1 laps '[laps']]] - intermediate_results[[#This Row], [Team1 laps '[laps']]]</f>
        <v>0</v>
      </c>
      <c r="L260" s="1">
        <f>intermediate_results[[#This Row], [Team1 laps '[laps']]] - intermediate_results[[#This Row], [Team2 laps '[laps']]]</f>
        <v>0.22313030069390649</v>
      </c>
      <c r="M260" s="1">
        <f>intermediate_results[[#This Row], [Team1 laps '[laps']]] - intermediate_results[[#This Row], [Team3 laps '[laps']]]</f>
        <v>0.49324895894293874</v>
      </c>
      <c r="N260" s="1">
        <f>intermediate_results[[#This Row], [Team1 laps '[laps']]] - intermediate_results[[#This Row], [Team4 laps '[laps']]]</f>
        <v>0.99440827849725366</v>
      </c>
      <c r="O260" s="1">
        <f>intermediate_results[[#This Row], [Team1 laps '[laps']]] - intermediate_results[[#This Row], [Team5 laps '[laps']]]</f>
        <v>1.1644143784845191</v>
      </c>
      <c r="P260" s="1">
        <f>intermediate_results[[#This Row], [Team1 laps '[laps']]] - intermediate_results[[#This Row], [Team6 laps '[laps']]]</f>
        <v>1.504544801528457</v>
      </c>
      <c r="Q260" s="1">
        <f>intermediate_results[[#This Row], [Team1 laps '[laps']]] - intermediate_results[[#This Row], [Team7 laps '[laps']]]</f>
        <v>1.5890106968532791</v>
      </c>
      <c r="R260" s="1">
        <f>intermediate_results[[#This Row], [Team1 laps '[laps']]] - intermediate_results[[#This Row], [Team8 laps '[laps']]]</f>
        <v>2.0092879388206661</v>
      </c>
      <c r="S260" s="1">
        <f>intermediate_results[[#This Row], [Team1 laps '[laps']]] - intermediate_results[[#This Row], [Team9 laps '[laps']]]</f>
        <v>1.9528824263604285</v>
      </c>
      <c r="T260" s="1">
        <f>MAX(intermediate_results[[#This Row], [Team1 laps '[laps']]:[Team9 laps '[laps']]]) - intermediate_results[[#This Row], [Team1 laps '[laps']]]</f>
        <v>0</v>
      </c>
      <c r="U260" s="1">
        <f>MAX(intermediate_results[[#This Row], [Team1 laps '[laps']]:[Team9 laps '[laps']]]) - intermediate_results[[#This Row], [Team2 laps '[laps']]]</f>
        <v>0.22313030069390649</v>
      </c>
      <c r="V260" s="1">
        <f>MAX(intermediate_results[[#This Row], [Team1 laps '[laps']]:[Team9 laps '[laps']]]) - intermediate_results[[#This Row], [Team3 laps '[laps']]]</f>
        <v>0.49324895894293874</v>
      </c>
      <c r="W260" s="1">
        <f>MAX(intermediate_results[[#This Row], [Team1 laps '[laps']]:[Team9 laps '[laps']]]) - intermediate_results[[#This Row], [Team4 laps '[laps']]]</f>
        <v>0.99440827849725366</v>
      </c>
      <c r="X260" s="1">
        <f>MAX(intermediate_results[[#This Row], [Team1 laps '[laps']]:[Team9 laps '[laps']]]) - intermediate_results[[#This Row], [Team5 laps '[laps']]]</f>
        <v>1.1644143784845191</v>
      </c>
      <c r="Y260" s="1">
        <f>MAX(intermediate_results[[#This Row], [Team1 laps '[laps']]:[Team9 laps '[laps']]]) - intermediate_results[[#This Row], [Team6 laps '[laps']]]</f>
        <v>1.504544801528457</v>
      </c>
      <c r="Z260" s="1">
        <f>MAX(intermediate_results[[#This Row], [Team1 laps '[laps']]:[Team9 laps '[laps']]]) - intermediate_results[[#This Row], [Team7 laps '[laps']]]</f>
        <v>1.5890106968532791</v>
      </c>
      <c r="AA260" s="1">
        <f>MAX(intermediate_results[[#This Row], [Team1 laps '[laps']]:[Team9 laps '[laps']]]) - intermediate_results[[#This Row], [Team8 laps '[laps']]]</f>
        <v>2.0092879388206661</v>
      </c>
      <c r="AB260" s="1">
        <f>MAX(intermediate_results[[#This Row], [Team1 laps '[laps']]:[Team9 laps '[laps']]]) - intermediate_results[[#This Row], [Team9 laps '[laps']]]</f>
        <v>1.9528824263604285</v>
      </c>
      <c r="AC260" s="1">
        <f>9 * intermediate_results[[#This Row], [All cumulative times '[sec']]] / SUM(intermediate_results[[#This Row], [Team1 laps '[laps']]:[Team9 laps '[laps']]])</f>
        <v>54.737628991967981</v>
      </c>
      <c r="AD260" s="1">
        <f>intermediate_results[[#This Row], [All cumulative times '[sec']]] / intermediate_results[[#This Row], [Team1 laps '[laps']]] - intermediate_results[[#This Row], [Total running average '[sec']]]</f>
        <v>-1.9984526015130299</v>
      </c>
      <c r="AE260" s="1">
        <f>intermediate_results[[#This Row], [All cumulative times '[sec']]] / intermediate_results[[#This Row], [Team2 laps '[laps']]] - intermediate_results[[#This Row], [Total running average '[sec']]]</f>
        <v>-1.606195658634654</v>
      </c>
      <c r="AF260" s="1">
        <f>intermediate_results[[#This Row], [All cumulative times '[sec']]] / intermediate_results[[#This Row], [Team3 laps '[laps']]] - intermediate_results[[#This Row], [Total running average '[sec']]]</f>
        <v>-1.1234560433004646</v>
      </c>
      <c r="AG260" s="1">
        <f>intermediate_results[[#This Row], [All cumulative times '[sec']]] / intermediate_results[[#This Row], [Team4 laps '[laps']]] - intermediate_results[[#This Row], [Total running average '[sec']]]</f>
        <v>-0.20418073550504801</v>
      </c>
      <c r="AH260" s="1">
        <f>intermediate_results[[#This Row], [All cumulative times '[sec']]] / intermediate_results[[#This Row], [Team5 laps '[laps']]] - intermediate_results[[#This Row], [Total running average '[sec']]]</f>
        <v>0.11486360498670933</v>
      </c>
      <c r="AI260" s="1">
        <f>intermediate_results[[#This Row], [All cumulative times '[sec']]] / intermediate_results[[#This Row], [Team6 laps '[laps']]] - intermediate_results[[#This Row], [Total running average '[sec']]]</f>
        <v>0.76451264541590547</v>
      </c>
      <c r="AJ260" s="1">
        <f>intermediate_results[[#This Row], [All cumulative times '[sec']]] / intermediate_results[[#This Row], [Team7 laps '[laps']]] - intermediate_results[[#This Row], [Total running average '[sec']]]</f>
        <v>0.92823474166704756</v>
      </c>
      <c r="AK260" s="1">
        <f>intermediate_results[[#This Row], [All cumulative times '[sec']]] / intermediate_results[[#This Row], [Team8 laps '[laps']]] - intermediate_results[[#This Row], [Total running average '[sec']]]</f>
        <v>1.7574410362807669</v>
      </c>
      <c r="AL260" s="1">
        <f>intermediate_results[[#This Row], [All cumulative times '[sec']]] / intermediate_results[[#This Row], [Team9 laps '[laps']]] - intermediate_results[[#This Row], [Total running average '[sec']]]</f>
        <v>1.6447206459047976</v>
      </c>
    </row>
    <row r="261" spans="1:38" x14ac:dyDescent="0.25">
      <c r="A261" s="1">
        <v>1608.1479999999999</v>
      </c>
      <c r="B261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30.496935235158055</v>
      </c>
      <c r="C261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30.262152585538704</v>
      </c>
      <c r="D261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30</v>
      </c>
      <c r="E261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29.492353661705213</v>
      </c>
      <c r="F261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29.311002575259742</v>
      </c>
      <c r="G261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28.979127308743411</v>
      </c>
      <c r="H261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28.902604521055419</v>
      </c>
      <c r="I261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28.469406113379996</v>
      </c>
      <c r="J261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28.526138492578184</v>
      </c>
      <c r="K261" s="1">
        <f>intermediate_results[[#This Row], [Team1 laps '[laps']]] - intermediate_results[[#This Row], [Team1 laps '[laps']]]</f>
        <v>0</v>
      </c>
      <c r="L261" s="1">
        <f>intermediate_results[[#This Row], [Team1 laps '[laps']]] - intermediate_results[[#This Row], [Team2 laps '[laps']]]</f>
        <v>0.23478264961935125</v>
      </c>
      <c r="M261" s="1">
        <f>intermediate_results[[#This Row], [Team1 laps '[laps']]] - intermediate_results[[#This Row], [Team3 laps '[laps']]]</f>
        <v>0.49693523515805538</v>
      </c>
      <c r="N261" s="1">
        <f>intermediate_results[[#This Row], [Team1 laps '[laps']]] - intermediate_results[[#This Row], [Team4 laps '[laps']]]</f>
        <v>1.0045815734528425</v>
      </c>
      <c r="O261" s="1">
        <f>intermediate_results[[#This Row], [Team1 laps '[laps']]] - intermediate_results[[#This Row], [Team5 laps '[laps']]]</f>
        <v>1.1859326598983131</v>
      </c>
      <c r="P261" s="1">
        <f>intermediate_results[[#This Row], [Team1 laps '[laps']]] - intermediate_results[[#This Row], [Team6 laps '[laps']]]</f>
        <v>1.517807926414644</v>
      </c>
      <c r="Q261" s="1">
        <f>intermediate_results[[#This Row], [Team1 laps '[laps']]] - intermediate_results[[#This Row], [Team7 laps '[laps']]]</f>
        <v>1.5943307141026359</v>
      </c>
      <c r="R261" s="1">
        <f>intermediate_results[[#This Row], [Team1 laps '[laps']]] - intermediate_results[[#This Row], [Team8 laps '[laps']]]</f>
        <v>2.0275291217780591</v>
      </c>
      <c r="S261" s="1">
        <f>intermediate_results[[#This Row], [Team1 laps '[laps']]] - intermediate_results[[#This Row], [Team9 laps '[laps']]]</f>
        <v>1.9707967425798714</v>
      </c>
      <c r="T261" s="1">
        <f>MAX(intermediate_results[[#This Row], [Team1 laps '[laps']]:[Team9 laps '[laps']]]) - intermediate_results[[#This Row], [Team1 laps '[laps']]]</f>
        <v>0</v>
      </c>
      <c r="U261" s="1">
        <f>MAX(intermediate_results[[#This Row], [Team1 laps '[laps']]:[Team9 laps '[laps']]]) - intermediate_results[[#This Row], [Team2 laps '[laps']]]</f>
        <v>0.23478264961935125</v>
      </c>
      <c r="V261" s="1">
        <f>MAX(intermediate_results[[#This Row], [Team1 laps '[laps']]:[Team9 laps '[laps']]]) - intermediate_results[[#This Row], [Team3 laps '[laps']]]</f>
        <v>0.49693523515805538</v>
      </c>
      <c r="W261" s="1">
        <f>MAX(intermediate_results[[#This Row], [Team1 laps '[laps']]:[Team9 laps '[laps']]]) - intermediate_results[[#This Row], [Team4 laps '[laps']]]</f>
        <v>1.0045815734528425</v>
      </c>
      <c r="X261" s="1">
        <f>MAX(intermediate_results[[#This Row], [Team1 laps '[laps']]:[Team9 laps '[laps']]]) - intermediate_results[[#This Row], [Team5 laps '[laps']]]</f>
        <v>1.1859326598983131</v>
      </c>
      <c r="Y261" s="1">
        <f>MAX(intermediate_results[[#This Row], [Team1 laps '[laps']]:[Team9 laps '[laps']]]) - intermediate_results[[#This Row], [Team6 laps '[laps']]]</f>
        <v>1.517807926414644</v>
      </c>
      <c r="Z261" s="1">
        <f>MAX(intermediate_results[[#This Row], [Team1 laps '[laps']]:[Team9 laps '[laps']]]) - intermediate_results[[#This Row], [Team7 laps '[laps']]]</f>
        <v>1.5943307141026359</v>
      </c>
      <c r="AA261" s="1">
        <f>MAX(intermediate_results[[#This Row], [Team1 laps '[laps']]:[Team9 laps '[laps']]]) - intermediate_results[[#This Row], [Team8 laps '[laps']]]</f>
        <v>2.0275291217780591</v>
      </c>
      <c r="AB261" s="1">
        <f>MAX(intermediate_results[[#This Row], [Team1 laps '[laps']]:[Team9 laps '[laps']]]) - intermediate_results[[#This Row], [Team9 laps '[laps']]]</f>
        <v>1.9707967425798714</v>
      </c>
      <c r="AC261" s="1">
        <f>9 * intermediate_results[[#This Row], [All cumulative times '[sec']]] / SUM(intermediate_results[[#This Row], [Team1 laps '[laps']]:[Team9 laps '[laps']]])</f>
        <v>54.732065111073986</v>
      </c>
      <c r="AD261" s="1">
        <f>intermediate_results[[#This Row], [All cumulative times '[sec']]] / intermediate_results[[#This Row], [Team1 laps '[laps']]] - intermediate_results[[#This Row], [Total running average '[sec']]]</f>
        <v>-2.0006025034456556</v>
      </c>
      <c r="AE261" s="1">
        <f>intermediate_results[[#This Row], [All cumulative times '[sec']]] / intermediate_results[[#This Row], [Team2 laps '[laps']]] - intermediate_results[[#This Row], [Total running average '[sec']]]</f>
        <v>-1.5914963609024824</v>
      </c>
      <c r="AF261" s="1">
        <f>intermediate_results[[#This Row], [All cumulative times '[sec']]] / intermediate_results[[#This Row], [Team3 laps '[laps']]] - intermediate_results[[#This Row], [Total running average '[sec']]]</f>
        <v>-1.127131777740658</v>
      </c>
      <c r="AG261" s="1">
        <f>intermediate_results[[#This Row], [All cumulative times '[sec']]] / intermediate_results[[#This Row], [Team4 laps '[laps']]] - intermediate_results[[#This Row], [Total running average '[sec']]]</f>
        <v>-0.2044401393131281</v>
      </c>
      <c r="AH261" s="1">
        <f>intermediate_results[[#This Row], [All cumulative times '[sec']]] / intermediate_results[[#This Row], [Team5 laps '[laps']]] - intermediate_results[[#This Row], [Total running average '[sec']]]</f>
        <v>0.132929556743143</v>
      </c>
      <c r="AI261" s="1">
        <f>intermediate_results[[#This Row], [All cumulative times '[sec']]] / intermediate_results[[#This Row], [Team6 laps '[laps']]] - intermediate_results[[#This Row], [Total running average '[sec']]]</f>
        <v>0.76125540430257388</v>
      </c>
      <c r="AJ261" s="1">
        <f>intermediate_results[[#This Row], [All cumulative times '[sec']]] / intermediate_results[[#This Row], [Team7 laps '[laps']]] - intermediate_results[[#This Row], [Total running average '[sec']]]</f>
        <v>0.90818000346132521</v>
      </c>
      <c r="AK261" s="1">
        <f>intermediate_results[[#This Row], [All cumulative times '[sec']]] / intermediate_results[[#This Row], [Team8 laps '[laps']]] - intermediate_results[[#This Row], [Total running average '[sec']]]</f>
        <v>1.7548174601857482</v>
      </c>
      <c r="AL261" s="1">
        <f>intermediate_results[[#This Row], [All cumulative times '[sec']]] / intermediate_results[[#This Row], [Team9 laps '[laps']]] - intermediate_results[[#This Row], [Total running average '[sec']]]</f>
        <v>1.6424771501718354</v>
      </c>
    </row>
    <row r="262" spans="1:38" x14ac:dyDescent="0.25">
      <c r="A262" s="1">
        <v>1609.2860000000001</v>
      </c>
      <c r="B262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30.518870470316116</v>
      </c>
      <c r="C262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30.283154320304142</v>
      </c>
      <c r="D262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30.021590240755852</v>
      </c>
      <c r="E262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29.513473887383547</v>
      </c>
      <c r="F262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29.331213924163038</v>
      </c>
      <c r="G262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28.999999999999996</v>
      </c>
      <c r="H262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28.924113555605963</v>
      </c>
      <c r="I262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28.489879999280365</v>
      </c>
      <c r="J262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28.546638564634677</v>
      </c>
      <c r="K262" s="1">
        <f>intermediate_results[[#This Row], [Team1 laps '[laps']]] - intermediate_results[[#This Row], [Team1 laps '[laps']]]</f>
        <v>0</v>
      </c>
      <c r="L262" s="1">
        <f>intermediate_results[[#This Row], [Team1 laps '[laps']]] - intermediate_results[[#This Row], [Team2 laps '[laps']]]</f>
        <v>0.23571615001197443</v>
      </c>
      <c r="M262" s="1">
        <f>intermediate_results[[#This Row], [Team1 laps '[laps']]] - intermediate_results[[#This Row], [Team3 laps '[laps']]]</f>
        <v>0.49728022956026408</v>
      </c>
      <c r="N262" s="1">
        <f>intermediate_results[[#This Row], [Team1 laps '[laps']]] - intermediate_results[[#This Row], [Team4 laps '[laps']]]</f>
        <v>1.0053965829325691</v>
      </c>
      <c r="O262" s="1">
        <f>intermediate_results[[#This Row], [Team1 laps '[laps']]] - intermediate_results[[#This Row], [Team5 laps '[laps']]]</f>
        <v>1.1876565461530788</v>
      </c>
      <c r="P262" s="1">
        <f>intermediate_results[[#This Row], [Team1 laps '[laps']]] - intermediate_results[[#This Row], [Team6 laps '[laps']]]</f>
        <v>1.51887047031612</v>
      </c>
      <c r="Q262" s="1">
        <f>intermediate_results[[#This Row], [Team1 laps '[laps']]] - intermediate_results[[#This Row], [Team7 laps '[laps']]]</f>
        <v>1.5947569147101532</v>
      </c>
      <c r="R262" s="1">
        <f>intermediate_results[[#This Row], [Team1 laps '[laps']]] - intermediate_results[[#This Row], [Team8 laps '[laps']]]</f>
        <v>2.0289904710357511</v>
      </c>
      <c r="S262" s="1">
        <f>intermediate_results[[#This Row], [Team1 laps '[laps']]] - intermediate_results[[#This Row], [Team9 laps '[laps']]]</f>
        <v>1.9722319056814399</v>
      </c>
      <c r="T262" s="1">
        <f>MAX(intermediate_results[[#This Row], [Team1 laps '[laps']]:[Team9 laps '[laps']]]) - intermediate_results[[#This Row], [Team1 laps '[laps']]]</f>
        <v>0</v>
      </c>
      <c r="U262" s="1">
        <f>MAX(intermediate_results[[#This Row], [Team1 laps '[laps']]:[Team9 laps '[laps']]]) - intermediate_results[[#This Row], [Team2 laps '[laps']]]</f>
        <v>0.23571615001197443</v>
      </c>
      <c r="V262" s="1">
        <f>MAX(intermediate_results[[#This Row], [Team1 laps '[laps']]:[Team9 laps '[laps']]]) - intermediate_results[[#This Row], [Team3 laps '[laps']]]</f>
        <v>0.49728022956026408</v>
      </c>
      <c r="W262" s="1">
        <f>MAX(intermediate_results[[#This Row], [Team1 laps '[laps']]:[Team9 laps '[laps']]]) - intermediate_results[[#This Row], [Team4 laps '[laps']]]</f>
        <v>1.0053965829325691</v>
      </c>
      <c r="X262" s="1">
        <f>MAX(intermediate_results[[#This Row], [Team1 laps '[laps']]:[Team9 laps '[laps']]]) - intermediate_results[[#This Row], [Team5 laps '[laps']]]</f>
        <v>1.1876565461530788</v>
      </c>
      <c r="Y262" s="1">
        <f>MAX(intermediate_results[[#This Row], [Team1 laps '[laps']]:[Team9 laps '[laps']]]) - intermediate_results[[#This Row], [Team6 laps '[laps']]]</f>
        <v>1.51887047031612</v>
      </c>
      <c r="Z262" s="1">
        <f>MAX(intermediate_results[[#This Row], [Team1 laps '[laps']]:[Team9 laps '[laps']]]) - intermediate_results[[#This Row], [Team7 laps '[laps']]]</f>
        <v>1.5947569147101532</v>
      </c>
      <c r="AA262" s="1">
        <f>MAX(intermediate_results[[#This Row], [Team1 laps '[laps']]:[Team9 laps '[laps']]]) - intermediate_results[[#This Row], [Team8 laps '[laps']]]</f>
        <v>2.0289904710357511</v>
      </c>
      <c r="AB262" s="1">
        <f>MAX(intermediate_results[[#This Row], [Team1 laps '[laps']]:[Team9 laps '[laps']]]) - intermediate_results[[#This Row], [Team9 laps '[laps']]]</f>
        <v>1.9722319056814399</v>
      </c>
      <c r="AC262" s="1">
        <f>9 * intermediate_results[[#This Row], [All cumulative times '[sec']]] / SUM(intermediate_results[[#This Row], [Team1 laps '[laps']]:[Team9 laps '[laps']]])</f>
        <v>54.731633946437185</v>
      </c>
      <c r="AD262" s="1">
        <f>intermediate_results[[#This Row], [All cumulative times '[sec']]] / intermediate_results[[#This Row], [Team1 laps '[laps']]] - intermediate_results[[#This Row], [Total running average '[sec']]]</f>
        <v>-2.0007833218946942</v>
      </c>
      <c r="AE262" s="1">
        <f>intermediate_results[[#This Row], [All cumulative times '[sec']]] / intermediate_results[[#This Row], [Team2 laps '[laps']]] - intermediate_results[[#This Row], [Total running average '[sec']]]</f>
        <v>-1.5903401770159533</v>
      </c>
      <c r="AF262" s="1">
        <f>intermediate_results[[#This Row], [All cumulative times '[sec']]] / intermediate_results[[#This Row], [Team3 laps '[laps']]] - intermediate_results[[#This Row], [Total running average '[sec']]]</f>
        <v>-1.1273449299509224</v>
      </c>
      <c r="AG262" s="1">
        <f>intermediate_results[[#This Row], [All cumulative times '[sec']]] / intermediate_results[[#This Row], [Team4 laps '[laps']]] - intermediate_results[[#This Row], [Total running average '[sec']]]</f>
        <v>-0.20447099230119647</v>
      </c>
      <c r="AH262" s="1">
        <f>intermediate_results[[#This Row], [All cumulative times '[sec']]] / intermediate_results[[#This Row], [Team5 laps '[laps']]] - intermediate_results[[#This Row], [Total running average '[sec']]]</f>
        <v>0.13435299023955594</v>
      </c>
      <c r="AI262" s="1">
        <f>intermediate_results[[#This Row], [All cumulative times '[sec']]] / intermediate_results[[#This Row], [Team6 laps '[laps']]] - intermediate_results[[#This Row], [Total running average '[sec']]]</f>
        <v>0.7609867432179982</v>
      </c>
      <c r="AJ262" s="1">
        <f>intermediate_results[[#This Row], [All cumulative times '[sec']]] / intermediate_results[[#This Row], [Team7 laps '[laps']]] - intermediate_results[[#This Row], [Total running average '[sec']]]</f>
        <v>0.90657937015015477</v>
      </c>
      <c r="AK262" s="1">
        <f>intermediate_results[[#This Row], [All cumulative times '[sec']]] / intermediate_results[[#This Row], [Team8 laps '[laps']]] - intermediate_results[[#This Row], [Total running average '[sec']]]</f>
        <v>1.7545990612360498</v>
      </c>
      <c r="AL262" s="1">
        <f>intermediate_results[[#This Row], [All cumulative times '[sec']]] / intermediate_results[[#This Row], [Team9 laps '[laps']]] - intermediate_results[[#This Row], [Total running average '[sec']]]</f>
        <v>1.6422889011264559</v>
      </c>
    </row>
    <row r="263" spans="1:38" x14ac:dyDescent="0.25">
      <c r="A263" s="1">
        <v>1613.3009999999999</v>
      </c>
      <c r="B263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30.596260601387819</v>
      </c>
      <c r="C263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30.357250950430004</v>
      </c>
      <c r="D263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30.097763190346999</v>
      </c>
      <c r="E263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29.587988567610708</v>
      </c>
      <c r="F263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29.402521978509895</v>
      </c>
      <c r="G263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29.074391803005312</v>
      </c>
      <c r="H263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29.000000000000004</v>
      </c>
      <c r="I263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28.562114315528135</v>
      </c>
      <c r="J263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28.618965268770719</v>
      </c>
      <c r="K263" s="1">
        <f>intermediate_results[[#This Row], [Team1 laps '[laps']]] - intermediate_results[[#This Row], [Team1 laps '[laps']]]</f>
        <v>0</v>
      </c>
      <c r="L263" s="1">
        <f>intermediate_results[[#This Row], [Team1 laps '[laps']]] - intermediate_results[[#This Row], [Team2 laps '[laps']]]</f>
        <v>0.23900965095781501</v>
      </c>
      <c r="M263" s="1">
        <f>intermediate_results[[#This Row], [Team1 laps '[laps']]] - intermediate_results[[#This Row], [Team3 laps '[laps']]]</f>
        <v>0.49849741104081957</v>
      </c>
      <c r="N263" s="1">
        <f>intermediate_results[[#This Row], [Team1 laps '[laps']]] - intermediate_results[[#This Row], [Team4 laps '[laps']]]</f>
        <v>1.0082720337771107</v>
      </c>
      <c r="O263" s="1">
        <f>intermediate_results[[#This Row], [Team1 laps '[laps']]] - intermediate_results[[#This Row], [Team5 laps '[laps']]]</f>
        <v>1.1937386228779232</v>
      </c>
      <c r="P263" s="1">
        <f>intermediate_results[[#This Row], [Team1 laps '[laps']]] - intermediate_results[[#This Row], [Team6 laps '[laps']]]</f>
        <v>1.5218687983825063</v>
      </c>
      <c r="Q263" s="1">
        <f>intermediate_results[[#This Row], [Team1 laps '[laps']]] - intermediate_results[[#This Row], [Team7 laps '[laps']]]</f>
        <v>1.5962606013878151</v>
      </c>
      <c r="R263" s="1">
        <f>intermediate_results[[#This Row], [Team1 laps '[laps']]] - intermediate_results[[#This Row], [Team8 laps '[laps']]]</f>
        <v>2.0341462858596842</v>
      </c>
      <c r="S263" s="1">
        <f>intermediate_results[[#This Row], [Team1 laps '[laps']]] - intermediate_results[[#This Row], [Team9 laps '[laps']]]</f>
        <v>1.9772953326170999</v>
      </c>
      <c r="T263" s="1">
        <f>MAX(intermediate_results[[#This Row], [Team1 laps '[laps']]:[Team9 laps '[laps']]]) - intermediate_results[[#This Row], [Team1 laps '[laps']]]</f>
        <v>0</v>
      </c>
      <c r="U263" s="1">
        <f>MAX(intermediate_results[[#This Row], [Team1 laps '[laps']]:[Team9 laps '[laps']]]) - intermediate_results[[#This Row], [Team2 laps '[laps']]]</f>
        <v>0.23900965095781501</v>
      </c>
      <c r="V263" s="1">
        <f>MAX(intermediate_results[[#This Row], [Team1 laps '[laps']]:[Team9 laps '[laps']]]) - intermediate_results[[#This Row], [Team3 laps '[laps']]]</f>
        <v>0.49849741104081957</v>
      </c>
      <c r="W263" s="1">
        <f>MAX(intermediate_results[[#This Row], [Team1 laps '[laps']]:[Team9 laps '[laps']]]) - intermediate_results[[#This Row], [Team4 laps '[laps']]]</f>
        <v>1.0082720337771107</v>
      </c>
      <c r="X263" s="1">
        <f>MAX(intermediate_results[[#This Row], [Team1 laps '[laps']]:[Team9 laps '[laps']]]) - intermediate_results[[#This Row], [Team5 laps '[laps']]]</f>
        <v>1.1937386228779232</v>
      </c>
      <c r="Y263" s="1">
        <f>MAX(intermediate_results[[#This Row], [Team1 laps '[laps']]:[Team9 laps '[laps']]]) - intermediate_results[[#This Row], [Team6 laps '[laps']]]</f>
        <v>1.5218687983825063</v>
      </c>
      <c r="Z263" s="1">
        <f>MAX(intermediate_results[[#This Row], [Team1 laps '[laps']]:[Team9 laps '[laps']]]) - intermediate_results[[#This Row], [Team7 laps '[laps']]]</f>
        <v>1.5962606013878151</v>
      </c>
      <c r="AA263" s="1">
        <f>MAX(intermediate_results[[#This Row], [Team1 laps '[laps']]:[Team9 laps '[laps']]]) - intermediate_results[[#This Row], [Team8 laps '[laps']]]</f>
        <v>2.0341462858596842</v>
      </c>
      <c r="AB263" s="1">
        <f>MAX(intermediate_results[[#This Row], [Team1 laps '[laps']]:[Team9 laps '[laps']]]) - intermediate_results[[#This Row], [Team9 laps '[laps']]]</f>
        <v>1.9772953326170999</v>
      </c>
      <c r="AC263" s="1">
        <f>9 * intermediate_results[[#This Row], [All cumulative times '[sec']]] / SUM(intermediate_results[[#This Row], [Team1 laps '[laps']]:[Team9 laps '[laps']]])</f>
        <v>54.729962842227835</v>
      </c>
      <c r="AD263" s="1">
        <f>intermediate_results[[#This Row], [All cumulative times '[sec']]] / intermediate_results[[#This Row], [Team1 laps '[laps']]] - intermediate_results[[#This Row], [Total running average '[sec']]]</f>
        <v>-2.0012643578508857</v>
      </c>
      <c r="AE263" s="1">
        <f>intermediate_results[[#This Row], [All cumulative times '[sec']]] / intermediate_results[[#This Row], [Team2 laps '[laps']]] - intermediate_results[[#This Row], [Total running average '[sec']]]</f>
        <v>-1.5861191314010483</v>
      </c>
      <c r="AF263" s="1">
        <f>intermediate_results[[#This Row], [All cumulative times '[sec']]] / intermediate_results[[#This Row], [Team3 laps '[laps']]] - intermediate_results[[#This Row], [Total running average '[sec']]]</f>
        <v>-1.1279396687110648</v>
      </c>
      <c r="AG263" s="1">
        <f>intermediate_results[[#This Row], [All cumulative times '[sec']]] / intermediate_results[[#This Row], [Team4 laps '[laps']]] - intermediate_results[[#This Row], [Total running average '[sec']]]</f>
        <v>-0.20442467279499965</v>
      </c>
      <c r="AH263" s="1">
        <f>intermediate_results[[#This Row], [All cumulative times '[sec']]] / intermediate_results[[#This Row], [Team5 laps '[laps']]] - intermediate_results[[#This Row], [Total running average '[sec']]]</f>
        <v>0.13951404071270446</v>
      </c>
      <c r="AI263" s="1">
        <f>intermediate_results[[#This Row], [All cumulative times '[sec']]] / intermediate_results[[#This Row], [Team6 laps '[laps']]] - intermediate_results[[#This Row], [Total running average '[sec']]]</f>
        <v>0.75876452070324518</v>
      </c>
      <c r="AJ263" s="1">
        <f>intermediate_results[[#This Row], [All cumulative times '[sec']]] / intermediate_results[[#This Row], [Team7 laps '[laps']]] - intermediate_results[[#This Row], [Total running average '[sec']]]</f>
        <v>0.9011061232893951</v>
      </c>
      <c r="AK263" s="1">
        <f>intermediate_results[[#This Row], [All cumulative times '[sec']]] / intermediate_results[[#This Row], [Team8 laps '[laps']]] - intermediate_results[[#This Row], [Total running average '[sec']]]</f>
        <v>1.7539858661109449</v>
      </c>
      <c r="AL263" s="1">
        <f>intermediate_results[[#This Row], [All cumulative times '[sec']]] / intermediate_results[[#This Row], [Team9 laps '[laps']]] - intermediate_results[[#This Row], [Total running average '[sec']]]</f>
        <v>1.6417817281619591</v>
      </c>
    </row>
    <row r="264" spans="1:38" x14ac:dyDescent="0.25">
      <c r="A264" s="1">
        <v>1634.2470000000001</v>
      </c>
      <c r="B264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31</v>
      </c>
      <c r="C264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30.743808363784009</v>
      </c>
      <c r="D264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30.495152630480565</v>
      </c>
      <c r="E264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29.976726921792071</v>
      </c>
      <c r="F264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29.774531569132403</v>
      </c>
      <c r="G264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29.462489114524463</v>
      </c>
      <c r="H264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29.390732553584428</v>
      </c>
      <c r="I264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28.938956155659113</v>
      </c>
      <c r="J264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28.996289090647071</v>
      </c>
      <c r="K264" s="1">
        <f>intermediate_results[[#This Row], [Team1 laps '[laps']]] - intermediate_results[[#This Row], [Team1 laps '[laps']]]</f>
        <v>0</v>
      </c>
      <c r="L264" s="1">
        <f>intermediate_results[[#This Row], [Team1 laps '[laps']]] - intermediate_results[[#This Row], [Team2 laps '[laps']]]</f>
        <v>0.25619163621599128</v>
      </c>
      <c r="M264" s="1">
        <f>intermediate_results[[#This Row], [Team1 laps '[laps']]] - intermediate_results[[#This Row], [Team3 laps '[laps']]]</f>
        <v>0.50484736951943532</v>
      </c>
      <c r="N264" s="1">
        <f>intermediate_results[[#This Row], [Team1 laps '[laps']]] - intermediate_results[[#This Row], [Team4 laps '[laps']]]</f>
        <v>1.0232730782079287</v>
      </c>
      <c r="O264" s="1">
        <f>intermediate_results[[#This Row], [Team1 laps '[laps']]] - intermediate_results[[#This Row], [Team5 laps '[laps']]]</f>
        <v>1.2254684308675969</v>
      </c>
      <c r="P264" s="1">
        <f>intermediate_results[[#This Row], [Team1 laps '[laps']]] - intermediate_results[[#This Row], [Team6 laps '[laps']]]</f>
        <v>1.5375108854755375</v>
      </c>
      <c r="Q264" s="1">
        <f>intermediate_results[[#This Row], [Team1 laps '[laps']]] - intermediate_results[[#This Row], [Team7 laps '[laps']]]</f>
        <v>1.6092674464155721</v>
      </c>
      <c r="R264" s="1">
        <f>intermediate_results[[#This Row], [Team1 laps '[laps']]] - intermediate_results[[#This Row], [Team8 laps '[laps']]]</f>
        <v>2.0610438443408867</v>
      </c>
      <c r="S264" s="1">
        <f>intermediate_results[[#This Row], [Team1 laps '[laps']]] - intermediate_results[[#This Row], [Team9 laps '[laps']]]</f>
        <v>2.0037109093529288</v>
      </c>
      <c r="T264" s="1">
        <f>MAX(intermediate_results[[#This Row], [Team1 laps '[laps']]:[Team9 laps '[laps']]]) - intermediate_results[[#This Row], [Team1 laps '[laps']]]</f>
        <v>0</v>
      </c>
      <c r="U264" s="1">
        <f>MAX(intermediate_results[[#This Row], [Team1 laps '[laps']]:[Team9 laps '[laps']]]) - intermediate_results[[#This Row], [Team2 laps '[laps']]]</f>
        <v>0.25619163621599128</v>
      </c>
      <c r="V264" s="1">
        <f>MAX(intermediate_results[[#This Row], [Team1 laps '[laps']]:[Team9 laps '[laps']]]) - intermediate_results[[#This Row], [Team3 laps '[laps']]]</f>
        <v>0.50484736951943532</v>
      </c>
      <c r="W264" s="1">
        <f>MAX(intermediate_results[[#This Row], [Team1 laps '[laps']]:[Team9 laps '[laps']]]) - intermediate_results[[#This Row], [Team4 laps '[laps']]]</f>
        <v>1.0232730782079287</v>
      </c>
      <c r="X264" s="1">
        <f>MAX(intermediate_results[[#This Row], [Team1 laps '[laps']]:[Team9 laps '[laps']]]) - intermediate_results[[#This Row], [Team5 laps '[laps']]]</f>
        <v>1.2254684308675969</v>
      </c>
      <c r="Y264" s="1">
        <f>MAX(intermediate_results[[#This Row], [Team1 laps '[laps']]:[Team9 laps '[laps']]]) - intermediate_results[[#This Row], [Team6 laps '[laps']]]</f>
        <v>1.5375108854755375</v>
      </c>
      <c r="Z264" s="1">
        <f>MAX(intermediate_results[[#This Row], [Team1 laps '[laps']]:[Team9 laps '[laps']]]) - intermediate_results[[#This Row], [Team7 laps '[laps']]]</f>
        <v>1.6092674464155721</v>
      </c>
      <c r="AA264" s="1">
        <f>MAX(intermediate_results[[#This Row], [Team1 laps '[laps']]:[Team9 laps '[laps']]]) - intermediate_results[[#This Row], [Team8 laps '[laps']]]</f>
        <v>2.0610438443408867</v>
      </c>
      <c r="AB264" s="1">
        <f>MAX(intermediate_results[[#This Row], [Team1 laps '[laps']]:[Team9 laps '[laps']]]) - intermediate_results[[#This Row], [Team9 laps '[laps']]]</f>
        <v>2.0037109093529288</v>
      </c>
      <c r="AC264" s="1">
        <f>9 * intermediate_results[[#This Row], [All cumulative times '[sec']]] / SUM(intermediate_results[[#This Row], [Team1 laps '[laps']]:[Team9 laps '[laps']]])</f>
        <v>54.72243055066015</v>
      </c>
      <c r="AD264" s="1">
        <f>intermediate_results[[#This Row], [All cumulative times '[sec']]] / intermediate_results[[#This Row], [Team1 laps '[laps']]] - intermediate_results[[#This Row], [Total running average '[sec']]]</f>
        <v>-2.0047853893698218</v>
      </c>
      <c r="AE264" s="1">
        <f>intermediate_results[[#This Row], [All cumulative times '[sec']]] / intermediate_results[[#This Row], [Team2 laps '[laps']]] - intermediate_results[[#This Row], [Total running average '[sec']]]</f>
        <v>-1.5654832830232763</v>
      </c>
      <c r="AF264" s="1">
        <f>intermediate_results[[#This Row], [All cumulative times '[sec']]] / intermediate_results[[#This Row], [Team3 laps '[laps']]] - intermediate_results[[#This Row], [Total running average '[sec']]]</f>
        <v>-1.1320445702163298</v>
      </c>
      <c r="AG264" s="1">
        <f>intermediate_results[[#This Row], [All cumulative times '[sec']]] / intermediate_results[[#This Row], [Team4 laps '[laps']]] - intermediate_results[[#This Row], [Total running average '[sec']]]</f>
        <v>-0.20523778763178768</v>
      </c>
      <c r="AH264" s="1">
        <f>intermediate_results[[#This Row], [All cumulative times '[sec']]] / intermediate_results[[#This Row], [Team5 laps '[laps']]] - intermediate_results[[#This Row], [Total running average '[sec']]]</f>
        <v>0.1649820759835734</v>
      </c>
      <c r="AI264" s="1">
        <f>intermediate_results[[#This Row], [All cumulative times '[sec']]] / intermediate_results[[#This Row], [Team6 laps '[laps']]] - intermediate_results[[#This Row], [Total running average '[sec']]]</f>
        <v>0.74630441085219701</v>
      </c>
      <c r="AJ264" s="1">
        <f>intermediate_results[[#This Row], [All cumulative times '[sec']]] / intermediate_results[[#This Row], [Team7 laps '[laps']]] - intermediate_results[[#This Row], [Total running average '[sec']]]</f>
        <v>0.88172960494274122</v>
      </c>
      <c r="AK264" s="1">
        <f>intermediate_results[[#This Row], [All cumulative times '[sec']]] / intermediate_results[[#This Row], [Team8 laps '[laps']]] - intermediate_results[[#This Row], [Total running average '[sec']]]</f>
        <v>1.7497860424189113</v>
      </c>
      <c r="AL264" s="1">
        <f>intermediate_results[[#This Row], [All cumulative times '[sec']]] / intermediate_results[[#This Row], [Team9 laps '[laps']]] - intermediate_results[[#This Row], [Total running average '[sec']]]</f>
        <v>1.6381263085669246</v>
      </c>
    </row>
    <row r="265" spans="1:38" x14ac:dyDescent="0.25">
      <c r="A265" s="1">
        <v>1634.453</v>
      </c>
      <c r="B265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31.003949765123188</v>
      </c>
      <c r="C265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30.747610083785485</v>
      </c>
      <c r="D265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30.499060881443398</v>
      </c>
      <c r="E265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29.980550090939467</v>
      </c>
      <c r="F265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29.778190214012962</v>
      </c>
      <c r="G265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29.466305979136937</v>
      </c>
      <c r="H265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29.394575335310691</v>
      </c>
      <c r="I265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28.94266232481155</v>
      </c>
      <c r="J265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29.000000000000004</v>
      </c>
      <c r="K265" s="1">
        <f>intermediate_results[[#This Row], [Team1 laps '[laps']]] - intermediate_results[[#This Row], [Team1 laps '[laps']]]</f>
        <v>0</v>
      </c>
      <c r="L265" s="1">
        <f>intermediate_results[[#This Row], [Team1 laps '[laps']]] - intermediate_results[[#This Row], [Team2 laps '[laps']]]</f>
        <v>0.25633968133770324</v>
      </c>
      <c r="M265" s="1">
        <f>intermediate_results[[#This Row], [Team1 laps '[laps']]] - intermediate_results[[#This Row], [Team3 laps '[laps']]]</f>
        <v>0.50488888367979001</v>
      </c>
      <c r="N265" s="1">
        <f>intermediate_results[[#This Row], [Team1 laps '[laps']]] - intermediate_results[[#This Row], [Team4 laps '[laps']]]</f>
        <v>1.0233996741837217</v>
      </c>
      <c r="O265" s="1">
        <f>intermediate_results[[#This Row], [Team1 laps '[laps']]] - intermediate_results[[#This Row], [Team5 laps '[laps']]]</f>
        <v>1.2257595511102259</v>
      </c>
      <c r="P265" s="1">
        <f>intermediate_results[[#This Row], [Team1 laps '[laps']]] - intermediate_results[[#This Row], [Team6 laps '[laps']]]</f>
        <v>1.5376437859862513</v>
      </c>
      <c r="Q265" s="1">
        <f>intermediate_results[[#This Row], [Team1 laps '[laps']]] - intermediate_results[[#This Row], [Team7 laps '[laps']]]</f>
        <v>1.6093744298124975</v>
      </c>
      <c r="R265" s="1">
        <f>intermediate_results[[#This Row], [Team1 laps '[laps']]] - intermediate_results[[#This Row], [Team8 laps '[laps']]]</f>
        <v>2.0612874403116379</v>
      </c>
      <c r="S265" s="1">
        <f>intermediate_results[[#This Row], [Team1 laps '[laps']]] - intermediate_results[[#This Row], [Team9 laps '[laps']]]</f>
        <v>2.0039497651231848</v>
      </c>
      <c r="T265" s="1">
        <f>MAX(intermediate_results[[#This Row], [Team1 laps '[laps']]:[Team9 laps '[laps']]]) - intermediate_results[[#This Row], [Team1 laps '[laps']]]</f>
        <v>0</v>
      </c>
      <c r="U265" s="1">
        <f>MAX(intermediate_results[[#This Row], [Team1 laps '[laps']]:[Team9 laps '[laps']]]) - intermediate_results[[#This Row], [Team2 laps '[laps']]]</f>
        <v>0.25633968133770324</v>
      </c>
      <c r="V265" s="1">
        <f>MAX(intermediate_results[[#This Row], [Team1 laps '[laps']]:[Team9 laps '[laps']]]) - intermediate_results[[#This Row], [Team3 laps '[laps']]]</f>
        <v>0.50488888367979001</v>
      </c>
      <c r="W265" s="1">
        <f>MAX(intermediate_results[[#This Row], [Team1 laps '[laps']]:[Team9 laps '[laps']]]) - intermediate_results[[#This Row], [Team4 laps '[laps']]]</f>
        <v>1.0233996741837217</v>
      </c>
      <c r="X265" s="1">
        <f>MAX(intermediate_results[[#This Row], [Team1 laps '[laps']]:[Team9 laps '[laps']]]) - intermediate_results[[#This Row], [Team5 laps '[laps']]]</f>
        <v>1.2257595511102259</v>
      </c>
      <c r="Y265" s="1">
        <f>MAX(intermediate_results[[#This Row], [Team1 laps '[laps']]:[Team9 laps '[laps']]]) - intermediate_results[[#This Row], [Team6 laps '[laps']]]</f>
        <v>1.5376437859862513</v>
      </c>
      <c r="Z265" s="1">
        <f>MAX(intermediate_results[[#This Row], [Team1 laps '[laps']]:[Team9 laps '[laps']]]) - intermediate_results[[#This Row], [Team7 laps '[laps']]]</f>
        <v>1.6093744298124975</v>
      </c>
      <c r="AA265" s="1">
        <f>MAX(intermediate_results[[#This Row], [Team1 laps '[laps']]:[Team9 laps '[laps']]]) - intermediate_results[[#This Row], [Team8 laps '[laps']]]</f>
        <v>2.0612874403116379</v>
      </c>
      <c r="AB265" s="1">
        <f>MAX(intermediate_results[[#This Row], [Team1 laps '[laps']]:[Team9 laps '[laps']]]) - intermediate_results[[#This Row], [Team9 laps '[laps']]]</f>
        <v>2.0039497651231848</v>
      </c>
      <c r="AC265" s="1">
        <f>9 * intermediate_results[[#This Row], [All cumulative times '[sec']]] / SUM(intermediate_results[[#This Row], [Team1 laps '[laps']]:[Team9 laps '[laps']]])</f>
        <v>54.722361702867808</v>
      </c>
      <c r="AD265" s="1">
        <f>intermediate_results[[#This Row], [All cumulative times '[sec']]] / intermediate_results[[#This Row], [Team1 laps '[laps']]] - intermediate_results[[#This Row], [Total running average '[sec']]]</f>
        <v>-2.0047882200652793</v>
      </c>
      <c r="AE265" s="1">
        <f>intermediate_results[[#This Row], [All cumulative times '[sec']]] / intermediate_results[[#This Row], [Team2 laps '[laps']]] - intermediate_results[[#This Row], [Total running average '[sec']]]</f>
        <v>-1.565287200289923</v>
      </c>
      <c r="AF265" s="1">
        <f>intermediate_results[[#This Row], [All cumulative times '[sec']]] / intermediate_results[[#This Row], [Team3 laps '[laps']]] - intermediate_results[[#This Row], [Total running average '[sec']]]</f>
        <v>-1.1320886661510201</v>
      </c>
      <c r="AG265" s="1">
        <f>intermediate_results[[#This Row], [All cumulative times '[sec']]] / intermediate_results[[#This Row], [Team4 laps '[laps']]] - intermediate_results[[#This Row], [Total running average '[sec']]]</f>
        <v>-0.20524994066721547</v>
      </c>
      <c r="AH265" s="1">
        <f>intermediate_results[[#This Row], [All cumulative times '[sec']]] / intermediate_results[[#This Row], [Team5 laps '[laps']]] - intermediate_results[[#This Row], [Total running average '[sec']]]</f>
        <v>0.16522509315118583</v>
      </c>
      <c r="AI265" s="1">
        <f>intermediate_results[[#This Row], [All cumulative times '[sec']]] / intermediate_results[[#This Row], [Team6 laps '[laps']]] - intermediate_results[[#This Row], [Total running average '[sec']]]</f>
        <v>0.74617925225712867</v>
      </c>
      <c r="AJ265" s="1">
        <f>intermediate_results[[#This Row], [All cumulative times '[sec']]] / intermediate_results[[#This Row], [Team7 laps '[laps']]] - intermediate_results[[#This Row], [Total running average '[sec']]]</f>
        <v>0.88153736202488631</v>
      </c>
      <c r="AK265" s="1">
        <f>intermediate_results[[#This Row], [All cumulative times '[sec']]] / intermediate_results[[#This Row], [Team8 laps '[laps']]] - intermediate_results[[#This Row], [Total running average '[sec']]]</f>
        <v>1.74974102414496</v>
      </c>
      <c r="AL265" s="1">
        <f>intermediate_results[[#This Row], [All cumulative times '[sec']]] / intermediate_results[[#This Row], [Team9 laps '[laps']]] - intermediate_results[[#This Row], [Total running average '[sec']]]</f>
        <v>1.6380865729942542</v>
      </c>
    </row>
    <row r="266" spans="1:38" x14ac:dyDescent="0.25">
      <c r="A266" s="1">
        <v>1635.501</v>
      </c>
      <c r="B266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31.024043715846993</v>
      </c>
      <c r="C266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30.766950872919207</v>
      </c>
      <c r="D266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30.518943633914514</v>
      </c>
      <c r="E266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30.000000000000004</v>
      </c>
      <c r="F266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29.796803125832515</v>
      </c>
      <c r="G266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29.48572381464119</v>
      </c>
      <c r="H266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29.41412502098607</v>
      </c>
      <c r="I266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28.961517010596772</v>
      </c>
      <c r="J266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29.018180871918538</v>
      </c>
      <c r="K266" s="1">
        <f>intermediate_results[[#This Row], [Team1 laps '[laps']]] - intermediate_results[[#This Row], [Team1 laps '[laps']]]</f>
        <v>0</v>
      </c>
      <c r="L266" s="1">
        <f>intermediate_results[[#This Row], [Team1 laps '[laps']]] - intermediate_results[[#This Row], [Team2 laps '[laps']]]</f>
        <v>0.25709284292778634</v>
      </c>
      <c r="M266" s="1">
        <f>intermediate_results[[#This Row], [Team1 laps '[laps']]] - intermediate_results[[#This Row], [Team3 laps '[laps']]]</f>
        <v>0.50510008193247913</v>
      </c>
      <c r="N266" s="1">
        <f>intermediate_results[[#This Row], [Team1 laps '[laps']]] - intermediate_results[[#This Row], [Team4 laps '[laps']]]</f>
        <v>1.0240437158469895</v>
      </c>
      <c r="O266" s="1">
        <f>intermediate_results[[#This Row], [Team1 laps '[laps']]] - intermediate_results[[#This Row], [Team5 laps '[laps']]]</f>
        <v>1.2272405900144783</v>
      </c>
      <c r="P266" s="1">
        <f>intermediate_results[[#This Row], [Team1 laps '[laps']]] - intermediate_results[[#This Row], [Team6 laps '[laps']]]</f>
        <v>1.5383199012058029</v>
      </c>
      <c r="Q266" s="1">
        <f>intermediate_results[[#This Row], [Team1 laps '[laps']]] - intermediate_results[[#This Row], [Team7 laps '[laps']]]</f>
        <v>1.609918694860923</v>
      </c>
      <c r="R266" s="1">
        <f>intermediate_results[[#This Row], [Team1 laps '[laps']]] - intermediate_results[[#This Row], [Team8 laps '[laps']]]</f>
        <v>2.062526705250221</v>
      </c>
      <c r="S266" s="1">
        <f>intermediate_results[[#This Row], [Team1 laps '[laps']]] - intermediate_results[[#This Row], [Team9 laps '[laps']]]</f>
        <v>2.0058628439284547</v>
      </c>
      <c r="T266" s="1">
        <f>MAX(intermediate_results[[#This Row], [Team1 laps '[laps']]:[Team9 laps '[laps']]]) - intermediate_results[[#This Row], [Team1 laps '[laps']]]</f>
        <v>0</v>
      </c>
      <c r="U266" s="1">
        <f>MAX(intermediate_results[[#This Row], [Team1 laps '[laps']]:[Team9 laps '[laps']]]) - intermediate_results[[#This Row], [Team2 laps '[laps']]]</f>
        <v>0.25709284292778634</v>
      </c>
      <c r="V266" s="1">
        <f>MAX(intermediate_results[[#This Row], [Team1 laps '[laps']]:[Team9 laps '[laps']]]) - intermediate_results[[#This Row], [Team3 laps '[laps']]]</f>
        <v>0.50510008193247913</v>
      </c>
      <c r="W266" s="1">
        <f>MAX(intermediate_results[[#This Row], [Team1 laps '[laps']]:[Team9 laps '[laps']]]) - intermediate_results[[#This Row], [Team4 laps '[laps']]]</f>
        <v>1.0240437158469895</v>
      </c>
      <c r="X266" s="1">
        <f>MAX(intermediate_results[[#This Row], [Team1 laps '[laps']]:[Team9 laps '[laps']]]) - intermediate_results[[#This Row], [Team5 laps '[laps']]]</f>
        <v>1.2272405900144783</v>
      </c>
      <c r="Y266" s="1">
        <f>MAX(intermediate_results[[#This Row], [Team1 laps '[laps']]:[Team9 laps '[laps']]]) - intermediate_results[[#This Row], [Team6 laps '[laps']]]</f>
        <v>1.5383199012058029</v>
      </c>
      <c r="Z266" s="1">
        <f>MAX(intermediate_results[[#This Row], [Team1 laps '[laps']]:[Team9 laps '[laps']]]) - intermediate_results[[#This Row], [Team7 laps '[laps']]]</f>
        <v>1.609918694860923</v>
      </c>
      <c r="AA266" s="1">
        <f>MAX(intermediate_results[[#This Row], [Team1 laps '[laps']]:[Team9 laps '[laps']]]) - intermediate_results[[#This Row], [Team8 laps '[laps']]]</f>
        <v>2.062526705250221</v>
      </c>
      <c r="AB266" s="1">
        <f>MAX(intermediate_results[[#This Row], [Team1 laps '[laps']]:[Team9 laps '[laps']]]) - intermediate_results[[#This Row], [Team9 laps '[laps']]]</f>
        <v>2.0058628439284547</v>
      </c>
      <c r="AC266" s="1">
        <f>9 * intermediate_results[[#This Row], [All cumulative times '[sec']]] / SUM(intermediate_results[[#This Row], [Team1 laps '[laps']]:[Team9 laps '[laps']]])</f>
        <v>54.722153704550365</v>
      </c>
      <c r="AD266" s="1">
        <f>intermediate_results[[#This Row], [All cumulative times '[sec']]] / intermediate_results[[#This Row], [Team1 laps '[laps']]] - intermediate_results[[#This Row], [Total running average '[sec']]]</f>
        <v>-2.0049445947465827</v>
      </c>
      <c r="AE266" s="1">
        <f>intermediate_results[[#This Row], [All cumulative times '[sec']]] / intermediate_results[[#This Row], [Team2 laps '[laps']]] - intermediate_results[[#This Row], [Total running average '[sec']]]</f>
        <v>-1.5644323965362759</v>
      </c>
      <c r="AF266" s="1">
        <f>intermediate_results[[#This Row], [All cumulative times '[sec']]] / intermediate_results[[#This Row], [Team3 laps '[laps']]] - intermediate_results[[#This Row], [Total running average '[sec']]]</f>
        <v>-1.1324548074190943</v>
      </c>
      <c r="AG266" s="1">
        <f>intermediate_results[[#This Row], [All cumulative times '[sec']]] / intermediate_results[[#This Row], [Team4 laps '[laps']]] - intermediate_results[[#This Row], [Total running average '[sec']]]</f>
        <v>-0.20545370455037215</v>
      </c>
      <c r="AH266" s="1">
        <f>intermediate_results[[#This Row], [All cumulative times '[sec']]] / intermediate_results[[#This Row], [Team5 laps '[laps']]] - intermediate_results[[#This Row], [Total running average '[sec']]]</f>
        <v>0.16631849474045879</v>
      </c>
      <c r="AI266" s="1">
        <f>intermediate_results[[#This Row], [All cumulative times '[sec']]] / intermediate_results[[#This Row], [Team6 laps '[laps']]] - intermediate_results[[#This Row], [Total running average '[sec']]]</f>
        <v>0.74540104436473342</v>
      </c>
      <c r="AJ266" s="1">
        <f>intermediate_results[[#This Row], [All cumulative times '[sec']]] / intermediate_results[[#This Row], [Team7 laps '[laps']]] - intermediate_results[[#This Row], [Total running average '[sec']]]</f>
        <v>0.88041814938445384</v>
      </c>
      <c r="AK266" s="1">
        <f>intermediate_results[[#This Row], [All cumulative times '[sec']]] / intermediate_results[[#This Row], [Team8 laps '[laps']]] - intermediate_results[[#This Row], [Total running average '[sec']]]</f>
        <v>1.7493701939244346</v>
      </c>
      <c r="AL266" s="1">
        <f>intermediate_results[[#This Row], [All cumulative times '[sec']]] / intermediate_results[[#This Row], [Team9 laps '[laps']]] - intermediate_results[[#This Row], [Total running average '[sec']]]</f>
        <v>1.6390981333519292</v>
      </c>
    </row>
    <row r="267" spans="1:38" x14ac:dyDescent="0.25">
      <c r="A267" s="1">
        <v>1637.64</v>
      </c>
      <c r="B267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31.065056082830026</v>
      </c>
      <c r="C267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30.806426014099589</v>
      </c>
      <c r="D267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30.559524938815006</v>
      </c>
      <c r="E267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30.040662307048901</v>
      </c>
      <c r="F267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29.834792647189413</v>
      </c>
      <c r="G267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29.52535620981638</v>
      </c>
      <c r="H267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29.454026526386485</v>
      </c>
      <c r="I267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29.000000000000007</v>
      </c>
      <c r="J267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29.055288586645393</v>
      </c>
      <c r="K267" s="1">
        <f>intermediate_results[[#This Row], [Team1 laps '[laps']]] - intermediate_results[[#This Row], [Team1 laps '[laps']]]</f>
        <v>0</v>
      </c>
      <c r="L267" s="1">
        <f>intermediate_results[[#This Row], [Team1 laps '[laps']]] - intermediate_results[[#This Row], [Team2 laps '[laps']]]</f>
        <v>0.25863006873043659</v>
      </c>
      <c r="M267" s="1">
        <f>intermediate_results[[#This Row], [Team1 laps '[laps']]] - intermediate_results[[#This Row], [Team3 laps '[laps']]]</f>
        <v>0.50553114401501986</v>
      </c>
      <c r="N267" s="1">
        <f>intermediate_results[[#This Row], [Team1 laps '[laps']]] - intermediate_results[[#This Row], [Team4 laps '[laps']]]</f>
        <v>1.0243937757811246</v>
      </c>
      <c r="O267" s="1">
        <f>intermediate_results[[#This Row], [Team1 laps '[laps']]] - intermediate_results[[#This Row], [Team5 laps '[laps']]]</f>
        <v>1.2302634356406124</v>
      </c>
      <c r="P267" s="1">
        <f>intermediate_results[[#This Row], [Team1 laps '[laps']]] - intermediate_results[[#This Row], [Team6 laps '[laps']]]</f>
        <v>1.539699873013646</v>
      </c>
      <c r="Q267" s="1">
        <f>intermediate_results[[#This Row], [Team1 laps '[laps']]] - intermediate_results[[#This Row], [Team7 laps '[laps']]]</f>
        <v>1.6110295564435404</v>
      </c>
      <c r="R267" s="1">
        <f>intermediate_results[[#This Row], [Team1 laps '[laps']]] - intermediate_results[[#This Row], [Team8 laps '[laps']]]</f>
        <v>2.0650560828300186</v>
      </c>
      <c r="S267" s="1">
        <f>intermediate_results[[#This Row], [Team1 laps '[laps']]] - intermediate_results[[#This Row], [Team9 laps '[laps']]]</f>
        <v>2.009767496184633</v>
      </c>
      <c r="T267" s="1">
        <f>MAX(intermediate_results[[#This Row], [Team1 laps '[laps']]:[Team9 laps '[laps']]]) - intermediate_results[[#This Row], [Team1 laps '[laps']]]</f>
        <v>0</v>
      </c>
      <c r="U267" s="1">
        <f>MAX(intermediate_results[[#This Row], [Team1 laps '[laps']]:[Team9 laps '[laps']]]) - intermediate_results[[#This Row], [Team2 laps '[laps']]]</f>
        <v>0.25863006873043659</v>
      </c>
      <c r="V267" s="1">
        <f>MAX(intermediate_results[[#This Row], [Team1 laps '[laps']]:[Team9 laps '[laps']]]) - intermediate_results[[#This Row], [Team3 laps '[laps']]]</f>
        <v>0.50553114401501986</v>
      </c>
      <c r="W267" s="1">
        <f>MAX(intermediate_results[[#This Row], [Team1 laps '[laps']]:[Team9 laps '[laps']]]) - intermediate_results[[#This Row], [Team4 laps '[laps']]]</f>
        <v>1.0243937757811246</v>
      </c>
      <c r="X267" s="1">
        <f>MAX(intermediate_results[[#This Row], [Team1 laps '[laps']]:[Team9 laps '[laps']]]) - intermediate_results[[#This Row], [Team5 laps '[laps']]]</f>
        <v>1.2302634356406124</v>
      </c>
      <c r="Y267" s="1">
        <f>MAX(intermediate_results[[#This Row], [Team1 laps '[laps']]:[Team9 laps '[laps']]]) - intermediate_results[[#This Row], [Team6 laps '[laps']]]</f>
        <v>1.539699873013646</v>
      </c>
      <c r="Z267" s="1">
        <f>MAX(intermediate_results[[#This Row], [Team1 laps '[laps']]:[Team9 laps '[laps']]]) - intermediate_results[[#This Row], [Team7 laps '[laps']]]</f>
        <v>1.6110295564435404</v>
      </c>
      <c r="AA267" s="1">
        <f>MAX(intermediate_results[[#This Row], [Team1 laps '[laps']]:[Team9 laps '[laps']]]) - intermediate_results[[#This Row], [Team8 laps '[laps']]]</f>
        <v>2.0650560828300186</v>
      </c>
      <c r="AB267" s="1">
        <f>MAX(intermediate_results[[#This Row], [Team1 laps '[laps']]:[Team9 laps '[laps']]]) - intermediate_results[[#This Row], [Team9 laps '[laps']]]</f>
        <v>2.009767496184633</v>
      </c>
      <c r="AC267" s="1">
        <f>9 * intermediate_results[[#This Row], [All cumulative times '[sec']]] / SUM(intermediate_results[[#This Row], [Team1 laps '[laps']]:[Team9 laps '[laps']]])</f>
        <v>54.72153405874846</v>
      </c>
      <c r="AD267" s="1">
        <f>intermediate_results[[#This Row], [All cumulative times '[sec']]] / intermediate_results[[#This Row], [Team1 laps '[laps']]] - intermediate_results[[#This Row], [Total running average '[sec']]]</f>
        <v>-2.0050671824777808</v>
      </c>
      <c r="AE267" s="1">
        <f>intermediate_results[[#This Row], [All cumulative times '[sec']]] / intermediate_results[[#This Row], [Team2 laps '[laps']]] - intermediate_results[[#This Row], [Total running average '[sec']]]</f>
        <v>-1.5624951215319385</v>
      </c>
      <c r="AF267" s="1">
        <f>intermediate_results[[#This Row], [All cumulative times '[sec']]] / intermediate_results[[#This Row], [Team3 laps '[laps']]] - intermediate_results[[#This Row], [Total running average '[sec']]]</f>
        <v>-1.1330046794857296</v>
      </c>
      <c r="AG267" s="1">
        <f>intermediate_results[[#This Row], [All cumulative times '[sec']]] / intermediate_results[[#This Row], [Team4 laps '[laps']]] - intermediate_results[[#This Row], [Total running average '[sec']]]</f>
        <v>-0.20742304276944168</v>
      </c>
      <c r="AH267" s="1">
        <f>intermediate_results[[#This Row], [All cumulative times '[sec']]] / intermediate_results[[#This Row], [Team5 laps '[laps']]] - intermediate_results[[#This Row], [Total running average '[sec']]]</f>
        <v>0.16874184716684226</v>
      </c>
      <c r="AI267" s="1">
        <f>intermediate_results[[#This Row], [All cumulative times '[sec']]] / intermediate_results[[#This Row], [Team6 laps '[laps']]] - intermediate_results[[#This Row], [Total running average '[sec']]]</f>
        <v>0.7440118389003274</v>
      </c>
      <c r="AJ267" s="1">
        <f>intermediate_results[[#This Row], [All cumulative times '[sec']]] / intermediate_results[[#This Row], [Team7 laps '[laps']]] - intermediate_results[[#This Row], [Total running average '[sec']]]</f>
        <v>0.87833438480424064</v>
      </c>
      <c r="AK267" s="1">
        <f>intermediate_results[[#This Row], [All cumulative times '[sec']]] / intermediate_results[[#This Row], [Team8 laps '[laps']]] - intermediate_results[[#This Row], [Total running average '[sec']]]</f>
        <v>1.7488107688377355</v>
      </c>
      <c r="AL267" s="1">
        <f>intermediate_results[[#This Row], [All cumulative times '[sec']]] / intermediate_results[[#This Row], [Team9 laps '[laps']]] - intermediate_results[[#This Row], [Total running average '[sec']]]</f>
        <v>1.6413547529188364</v>
      </c>
    </row>
    <row r="268" spans="1:38" x14ac:dyDescent="0.25">
      <c r="A268" s="1">
        <v>1646.942</v>
      </c>
      <c r="B268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31.24340906912089</v>
      </c>
      <c r="C268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30.978093972612857</v>
      </c>
      <c r="D268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30.736003339088203</v>
      </c>
      <c r="E268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30.217492966314353</v>
      </c>
      <c r="F268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29.999999999999996</v>
      </c>
      <c r="G268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29.697708028385609</v>
      </c>
      <c r="H268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29.627548641035691</v>
      </c>
      <c r="I268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29.16610714285715</v>
      </c>
      <c r="J268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29.216661173082599</v>
      </c>
      <c r="K268" s="1">
        <f>intermediate_results[[#This Row], [Team1 laps '[laps']]] - intermediate_results[[#This Row], [Team1 laps '[laps']]]</f>
        <v>0</v>
      </c>
      <c r="L268" s="1">
        <f>intermediate_results[[#This Row], [Team1 laps '[laps']]] - intermediate_results[[#This Row], [Team2 laps '[laps']]]</f>
        <v>0.26531509650803287</v>
      </c>
      <c r="M268" s="1">
        <f>intermediate_results[[#This Row], [Team1 laps '[laps']]] - intermediate_results[[#This Row], [Team3 laps '[laps']]]</f>
        <v>0.50740573003268707</v>
      </c>
      <c r="N268" s="1">
        <f>intermediate_results[[#This Row], [Team1 laps '[laps']]] - intermediate_results[[#This Row], [Team4 laps '[laps']]]</f>
        <v>1.0259161028065371</v>
      </c>
      <c r="O268" s="1">
        <f>intermediate_results[[#This Row], [Team1 laps '[laps']]] - intermediate_results[[#This Row], [Team5 laps '[laps']]]</f>
        <v>1.2434090691208937</v>
      </c>
      <c r="P268" s="1">
        <f>intermediate_results[[#This Row], [Team1 laps '[laps']]] - intermediate_results[[#This Row], [Team6 laps '[laps']]]</f>
        <v>1.5457010407352811</v>
      </c>
      <c r="Q268" s="1">
        <f>intermediate_results[[#This Row], [Team1 laps '[laps']]] - intermediate_results[[#This Row], [Team7 laps '[laps']]]</f>
        <v>1.6158604280851989</v>
      </c>
      <c r="R268" s="1">
        <f>intermediate_results[[#This Row], [Team1 laps '[laps']]] - intermediate_results[[#This Row], [Team8 laps '[laps']]]</f>
        <v>2.0773019262637398</v>
      </c>
      <c r="S268" s="1">
        <f>intermediate_results[[#This Row], [Team1 laps '[laps']]] - intermediate_results[[#This Row], [Team9 laps '[laps']]]</f>
        <v>2.026747896038291</v>
      </c>
      <c r="T268" s="1">
        <f>MAX(intermediate_results[[#This Row], [Team1 laps '[laps']]:[Team9 laps '[laps']]]) - intermediate_results[[#This Row], [Team1 laps '[laps']]]</f>
        <v>0</v>
      </c>
      <c r="U268" s="1">
        <f>MAX(intermediate_results[[#This Row], [Team1 laps '[laps']]:[Team9 laps '[laps']]]) - intermediate_results[[#This Row], [Team2 laps '[laps']]]</f>
        <v>0.26531509650803287</v>
      </c>
      <c r="V268" s="1">
        <f>MAX(intermediate_results[[#This Row], [Team1 laps '[laps']]:[Team9 laps '[laps']]]) - intermediate_results[[#This Row], [Team3 laps '[laps']]]</f>
        <v>0.50740573003268707</v>
      </c>
      <c r="W268" s="1">
        <f>MAX(intermediate_results[[#This Row], [Team1 laps '[laps']]:[Team9 laps '[laps']]]) - intermediate_results[[#This Row], [Team4 laps '[laps']]]</f>
        <v>1.0259161028065371</v>
      </c>
      <c r="X268" s="1">
        <f>MAX(intermediate_results[[#This Row], [Team1 laps '[laps']]:[Team9 laps '[laps']]]) - intermediate_results[[#This Row], [Team5 laps '[laps']]]</f>
        <v>1.2434090691208937</v>
      </c>
      <c r="Y268" s="1">
        <f>MAX(intermediate_results[[#This Row], [Team1 laps '[laps']]:[Team9 laps '[laps']]]) - intermediate_results[[#This Row], [Team6 laps '[laps']]]</f>
        <v>1.5457010407352811</v>
      </c>
      <c r="Z268" s="1">
        <f>MAX(intermediate_results[[#This Row], [Team1 laps '[laps']]:[Team9 laps '[laps']]]) - intermediate_results[[#This Row], [Team7 laps '[laps']]]</f>
        <v>1.6158604280851989</v>
      </c>
      <c r="AA268" s="1">
        <f>MAX(intermediate_results[[#This Row], [Team1 laps '[laps']]:[Team9 laps '[laps']]]) - intermediate_results[[#This Row], [Team8 laps '[laps']]]</f>
        <v>2.0773019262637398</v>
      </c>
      <c r="AB268" s="1">
        <f>MAX(intermediate_results[[#This Row], [Team1 laps '[laps']]:[Team9 laps '[laps']]]) - intermediate_results[[#This Row], [Team9 laps '[laps']]]</f>
        <v>2.026747896038291</v>
      </c>
      <c r="AC268" s="1">
        <f>9 * intermediate_results[[#This Row], [All cumulative times '[sec']]] / SUM(intermediate_results[[#This Row], [Team1 laps '[laps']]:[Team9 laps '[laps']]])</f>
        <v>54.719109979391099</v>
      </c>
      <c r="AD268" s="1">
        <f>intermediate_results[[#This Row], [All cumulative times '[sec']]] / intermediate_results[[#This Row], [Team1 laps '[laps']]] - intermediate_results[[#This Row], [Total running average '[sec']]]</f>
        <v>-2.0058482365251891</v>
      </c>
      <c r="AE268" s="1">
        <f>intermediate_results[[#This Row], [All cumulative times '[sec']]] / intermediate_results[[#This Row], [Team2 laps '[laps']]] - intermediate_results[[#This Row], [Total running average '[sec']]]</f>
        <v>-1.5543800429389094</v>
      </c>
      <c r="AF268" s="1">
        <f>intermediate_results[[#This Row], [All cumulative times '[sec']]] / intermediate_results[[#This Row], [Team3 laps '[laps']]] - intermediate_results[[#This Row], [Total running average '[sec']]]</f>
        <v>-1.1356306365997071</v>
      </c>
      <c r="AG268" s="1">
        <f>intermediate_results[[#This Row], [All cumulative times '[sec']]] / intermediate_results[[#This Row], [Team4 laps '[laps']]] - intermediate_results[[#This Row], [Total running average '[sec']]]</f>
        <v>-0.21617679972703741</v>
      </c>
      <c r="AH268" s="1">
        <f>intermediate_results[[#This Row], [All cumulative times '[sec']]] / intermediate_results[[#This Row], [Team5 laps '[laps']]] - intermediate_results[[#This Row], [Total running average '[sec']]]</f>
        <v>0.17895668727557279</v>
      </c>
      <c r="AI268" s="1">
        <f>intermediate_results[[#This Row], [All cumulative times '[sec']]] / intermediate_results[[#This Row], [Team6 laps '[laps']]] - intermediate_results[[#This Row], [Total running average '[sec']]]</f>
        <v>0.73776226225875519</v>
      </c>
      <c r="AJ268" s="1">
        <f>intermediate_results[[#This Row], [All cumulative times '[sec']]] / intermediate_results[[#This Row], [Team7 laps '[laps']]] - intermediate_results[[#This Row], [Total running average '[sec']]]</f>
        <v>0.8690866667161643</v>
      </c>
      <c r="AK268" s="1">
        <f>intermediate_results[[#This Row], [All cumulative times '[sec']]] / intermediate_results[[#This Row], [Team8 laps '[laps']]] - intermediate_results[[#This Row], [Total running average '[sec']]]</f>
        <v>1.7485561350200598</v>
      </c>
      <c r="AL268" s="1">
        <f>intermediate_results[[#This Row], [All cumulative times '[sec']]] / intermediate_results[[#This Row], [Team9 laps '[laps']]] - intermediate_results[[#This Row], [Total running average '[sec']]]</f>
        <v>1.6508492792435874</v>
      </c>
    </row>
    <row r="269" spans="1:38" x14ac:dyDescent="0.25">
      <c r="A269" s="1">
        <v>1648.1289999999999</v>
      </c>
      <c r="B269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31.26616815262199</v>
      </c>
      <c r="C269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31.000000000000004</v>
      </c>
      <c r="D269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30.758523212354625</v>
      </c>
      <c r="E269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30.240057790282112</v>
      </c>
      <c r="F269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30.021904006200284</v>
      </c>
      <c r="G269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29.719701321079832</v>
      </c>
      <c r="H269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29.649691271662288</v>
      </c>
      <c r="I269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29.187303571428576</v>
      </c>
      <c r="J269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29.237253439272767</v>
      </c>
      <c r="K269" s="1">
        <f>intermediate_results[[#This Row], [Team1 laps '[laps']]] - intermediate_results[[#This Row], [Team1 laps '[laps']]]</f>
        <v>0</v>
      </c>
      <c r="L269" s="1">
        <f>intermediate_results[[#This Row], [Team1 laps '[laps']]] - intermediate_results[[#This Row], [Team2 laps '[laps']]]</f>
        <v>0.26616815262198656</v>
      </c>
      <c r="M269" s="1">
        <f>intermediate_results[[#This Row], [Team1 laps '[laps']]] - intermediate_results[[#This Row], [Team3 laps '[laps']]]</f>
        <v>0.50764494026736529</v>
      </c>
      <c r="N269" s="1">
        <f>intermediate_results[[#This Row], [Team1 laps '[laps']]] - intermediate_results[[#This Row], [Team4 laps '[laps']]]</f>
        <v>1.0261103623398782</v>
      </c>
      <c r="O269" s="1">
        <f>intermediate_results[[#This Row], [Team1 laps '[laps']]] - intermediate_results[[#This Row], [Team5 laps '[laps']]]</f>
        <v>1.2442641464217061</v>
      </c>
      <c r="P269" s="1">
        <f>intermediate_results[[#This Row], [Team1 laps '[laps']]] - intermediate_results[[#This Row], [Team6 laps '[laps']]]</f>
        <v>1.5464668315421584</v>
      </c>
      <c r="Q269" s="1">
        <f>intermediate_results[[#This Row], [Team1 laps '[laps']]] - intermediate_results[[#This Row], [Team7 laps '[laps']]]</f>
        <v>1.6164768809597021</v>
      </c>
      <c r="R269" s="1">
        <f>intermediate_results[[#This Row], [Team1 laps '[laps']]] - intermediate_results[[#This Row], [Team8 laps '[laps']]]</f>
        <v>2.0788645811934146</v>
      </c>
      <c r="S269" s="1">
        <f>intermediate_results[[#This Row], [Team1 laps '[laps']]] - intermediate_results[[#This Row], [Team9 laps '[laps']]]</f>
        <v>2.0289147133492236</v>
      </c>
      <c r="T269" s="1">
        <f>MAX(intermediate_results[[#This Row], [Team1 laps '[laps']]:[Team9 laps '[laps']]]) - intermediate_results[[#This Row], [Team1 laps '[laps']]]</f>
        <v>0</v>
      </c>
      <c r="U269" s="1">
        <f>MAX(intermediate_results[[#This Row], [Team1 laps '[laps']]:[Team9 laps '[laps']]]) - intermediate_results[[#This Row], [Team2 laps '[laps']]]</f>
        <v>0.26616815262198656</v>
      </c>
      <c r="V269" s="1">
        <f>MAX(intermediate_results[[#This Row], [Team1 laps '[laps']]:[Team9 laps '[laps']]]) - intermediate_results[[#This Row], [Team3 laps '[laps']]]</f>
        <v>0.50764494026736529</v>
      </c>
      <c r="W269" s="1">
        <f>MAX(intermediate_results[[#This Row], [Team1 laps '[laps']]:[Team9 laps '[laps']]]) - intermediate_results[[#This Row], [Team4 laps '[laps']]]</f>
        <v>1.0261103623398782</v>
      </c>
      <c r="X269" s="1">
        <f>MAX(intermediate_results[[#This Row], [Team1 laps '[laps']]:[Team9 laps '[laps']]]) - intermediate_results[[#This Row], [Team5 laps '[laps']]]</f>
        <v>1.2442641464217061</v>
      </c>
      <c r="Y269" s="1">
        <f>MAX(intermediate_results[[#This Row], [Team1 laps '[laps']]:[Team9 laps '[laps']]]) - intermediate_results[[#This Row], [Team6 laps '[laps']]]</f>
        <v>1.5464668315421584</v>
      </c>
      <c r="Z269" s="1">
        <f>MAX(intermediate_results[[#This Row], [Team1 laps '[laps']]:[Team9 laps '[laps']]]) - intermediate_results[[#This Row], [Team7 laps '[laps']]]</f>
        <v>1.6164768809597021</v>
      </c>
      <c r="AA269" s="1">
        <f>MAX(intermediate_results[[#This Row], [Team1 laps '[laps']]:[Team9 laps '[laps']]]) - intermediate_results[[#This Row], [Team8 laps '[laps']]]</f>
        <v>2.0788645811934146</v>
      </c>
      <c r="AB269" s="1">
        <f>MAX(intermediate_results[[#This Row], [Team1 laps '[laps']]:[Team9 laps '[laps']]]) - intermediate_results[[#This Row], [Team9 laps '[laps']]]</f>
        <v>2.0289147133492236</v>
      </c>
      <c r="AC269" s="1">
        <f>9 * intermediate_results[[#This Row], [All cumulative times '[sec']]] / SUM(intermediate_results[[#This Row], [Team1 laps '[laps']]:[Team9 laps '[laps']]])</f>
        <v>54.718636629505411</v>
      </c>
      <c r="AD269" s="1">
        <f>intermediate_results[[#This Row], [All cumulative times '[sec']]] / intermediate_results[[#This Row], [Team1 laps '[laps']]] - intermediate_results[[#This Row], [Total running average '[sec']]]</f>
        <v>-2.0057812532130868</v>
      </c>
      <c r="AE269" s="1">
        <f>intermediate_results[[#This Row], [All cumulative times '[sec']]] / intermediate_results[[#This Row], [Team2 laps '[laps']]] - intermediate_results[[#This Row], [Total running average '[sec']]]</f>
        <v>-1.5531850166021925</v>
      </c>
      <c r="AF269" s="1">
        <f>intermediate_results[[#This Row], [All cumulative times '[sec']]] / intermediate_results[[#This Row], [Team3 laps '[laps']]] - intermediate_results[[#This Row], [Total running average '[sec']]]</f>
        <v>-1.1357975373475639</v>
      </c>
      <c r="AG269" s="1">
        <f>intermediate_results[[#This Row], [All cumulative times '[sec']]] / intermediate_results[[#This Row], [Team4 laps '[laps']]] - intermediate_results[[#This Row], [Total running average '[sec']]]</f>
        <v>-0.21712041449210773</v>
      </c>
      <c r="AH269" s="1">
        <f>intermediate_results[[#This Row], [All cumulative times '[sec']]] / intermediate_results[[#This Row], [Team5 laps '[laps']]] - intermediate_results[[#This Row], [Total running average '[sec']]]</f>
        <v>0.17891416073159405</v>
      </c>
      <c r="AI269" s="1">
        <f>intermediate_results[[#This Row], [All cumulative times '[sec']]] / intermediate_results[[#This Row], [Team6 laps '[laps']]] - intermediate_results[[#This Row], [Total running average '[sec']]]</f>
        <v>0.7371360310025068</v>
      </c>
      <c r="AJ269" s="1">
        <f>intermediate_results[[#This Row], [All cumulative times '[sec']]] / intermediate_results[[#This Row], [Team7 laps '[laps']]] - intermediate_results[[#This Row], [Total running average '[sec']]]</f>
        <v>0.8680804428305251</v>
      </c>
      <c r="AK269" s="1">
        <f>intermediate_results[[#This Row], [All cumulative times '[sec']]] / intermediate_results[[#This Row], [Team8 laps '[laps']]] - intermediate_results[[#This Row], [Total running average '[sec']]]</f>
        <v>1.7486898560200217</v>
      </c>
      <c r="AL269" s="1">
        <f>intermediate_results[[#This Row], [All cumulative times '[sec']]] / intermediate_results[[#This Row], [Team9 laps '[laps']]] - intermediate_results[[#This Row], [Total running average '[sec']]]</f>
        <v>1.6522192521267698</v>
      </c>
    </row>
    <row r="270" spans="1:38" x14ac:dyDescent="0.25">
      <c r="A270" s="1">
        <v>1660.857</v>
      </c>
      <c r="B270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31.510209951107274</v>
      </c>
      <c r="C270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31.240818874992911</v>
      </c>
      <c r="D270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31</v>
      </c>
      <c r="E270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30.482016576686188</v>
      </c>
      <c r="F270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30.256776955583025</v>
      </c>
      <c r="G270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29.955531674417738</v>
      </c>
      <c r="H270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29.887122950360965</v>
      </c>
      <c r="I270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29.414589285714293</v>
      </c>
      <c r="J270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29.458060822649763</v>
      </c>
      <c r="K270" s="1">
        <f>intermediate_results[[#This Row], [Team1 laps '[laps']]] - intermediate_results[[#This Row], [Team1 laps '[laps']]]</f>
        <v>0</v>
      </c>
      <c r="L270" s="1">
        <f>intermediate_results[[#This Row], [Team1 laps '[laps']]] - intermediate_results[[#This Row], [Team2 laps '[laps']]]</f>
        <v>0.26939107611436341</v>
      </c>
      <c r="M270" s="1">
        <f>intermediate_results[[#This Row], [Team1 laps '[laps']]] - intermediate_results[[#This Row], [Team3 laps '[laps']]]</f>
        <v>0.51020995110727441</v>
      </c>
      <c r="N270" s="1">
        <f>intermediate_results[[#This Row], [Team1 laps '[laps']]] - intermediate_results[[#This Row], [Team4 laps '[laps']]]</f>
        <v>1.028193374421086</v>
      </c>
      <c r="O270" s="1">
        <f>intermediate_results[[#This Row], [Team1 laps '[laps']]] - intermediate_results[[#This Row], [Team5 laps '[laps']]]</f>
        <v>1.2534329955242498</v>
      </c>
      <c r="P270" s="1">
        <f>intermediate_results[[#This Row], [Team1 laps '[laps']]] - intermediate_results[[#This Row], [Team6 laps '[laps']]]</f>
        <v>1.5546782766895362</v>
      </c>
      <c r="Q270" s="1">
        <f>intermediate_results[[#This Row], [Team1 laps '[laps']]] - intermediate_results[[#This Row], [Team7 laps '[laps']]]</f>
        <v>1.6230870007463096</v>
      </c>
      <c r="R270" s="1">
        <f>intermediate_results[[#This Row], [Team1 laps '[laps']]] - intermediate_results[[#This Row], [Team8 laps '[laps']]]</f>
        <v>2.0956206653929819</v>
      </c>
      <c r="S270" s="1">
        <f>intermediate_results[[#This Row], [Team1 laps '[laps']]] - intermediate_results[[#This Row], [Team9 laps '[laps']]]</f>
        <v>2.0521491284575113</v>
      </c>
      <c r="T270" s="1">
        <f>MAX(intermediate_results[[#This Row], [Team1 laps '[laps']]:[Team9 laps '[laps']]]) - intermediate_results[[#This Row], [Team1 laps '[laps']]]</f>
        <v>0</v>
      </c>
      <c r="U270" s="1">
        <f>MAX(intermediate_results[[#This Row], [Team1 laps '[laps']]:[Team9 laps '[laps']]]) - intermediate_results[[#This Row], [Team2 laps '[laps']]]</f>
        <v>0.26939107611436341</v>
      </c>
      <c r="V270" s="1">
        <f>MAX(intermediate_results[[#This Row], [Team1 laps '[laps']]:[Team9 laps '[laps']]]) - intermediate_results[[#This Row], [Team3 laps '[laps']]]</f>
        <v>0.51020995110727441</v>
      </c>
      <c r="W270" s="1">
        <f>MAX(intermediate_results[[#This Row], [Team1 laps '[laps']]:[Team9 laps '[laps']]]) - intermediate_results[[#This Row], [Team4 laps '[laps']]]</f>
        <v>1.028193374421086</v>
      </c>
      <c r="X270" s="1">
        <f>MAX(intermediate_results[[#This Row], [Team1 laps '[laps']]:[Team9 laps '[laps']]]) - intermediate_results[[#This Row], [Team5 laps '[laps']]]</f>
        <v>1.2534329955242498</v>
      </c>
      <c r="Y270" s="1">
        <f>MAX(intermediate_results[[#This Row], [Team1 laps '[laps']]:[Team9 laps '[laps']]]) - intermediate_results[[#This Row], [Team6 laps '[laps']]]</f>
        <v>1.5546782766895362</v>
      </c>
      <c r="Z270" s="1">
        <f>MAX(intermediate_results[[#This Row], [Team1 laps '[laps']]:[Team9 laps '[laps']]]) - intermediate_results[[#This Row], [Team7 laps '[laps']]]</f>
        <v>1.6230870007463096</v>
      </c>
      <c r="AA270" s="1">
        <f>MAX(intermediate_results[[#This Row], [Team1 laps '[laps']]:[Team9 laps '[laps']]]) - intermediate_results[[#This Row], [Team8 laps '[laps']]]</f>
        <v>2.0956206653929819</v>
      </c>
      <c r="AB270" s="1">
        <f>MAX(intermediate_results[[#This Row], [Team1 laps '[laps']]:[Team9 laps '[laps']]]) - intermediate_results[[#This Row], [Team9 laps '[laps']]]</f>
        <v>2.0521491284575113</v>
      </c>
      <c r="AC270" s="1">
        <f>9 * intermediate_results[[#This Row], [All cumulative times '[sec']]] / SUM(intermediate_results[[#This Row], [Team1 laps '[laps']]:[Team9 laps '[laps']]])</f>
        <v>54.712417585754707</v>
      </c>
      <c r="AD270" s="1">
        <f>intermediate_results[[#This Row], [All cumulative times '[sec']]] / intermediate_results[[#This Row], [Team1 laps '[laps']]] - intermediate_results[[#This Row], [Total running average '[sec']]]</f>
        <v>-2.0038827147695883</v>
      </c>
      <c r="AE270" s="1">
        <f>intermediate_results[[#This Row], [All cumulative times '[sec']]] / intermediate_results[[#This Row], [Team2 laps '[laps']]] - intermediate_results[[#This Row], [Total running average '[sec']]]</f>
        <v>-1.5493744963351475</v>
      </c>
      <c r="AF270" s="1">
        <f>intermediate_results[[#This Row], [All cumulative times '[sec']]] / intermediate_results[[#This Row], [Team3 laps '[laps']]] - intermediate_results[[#This Row], [Total running average '[sec']]]</f>
        <v>-1.1363853276901921</v>
      </c>
      <c r="AG270" s="1">
        <f>intermediate_results[[#This Row], [All cumulative times '[sec']]] / intermediate_results[[#This Row], [Team4 laps '[laps']]] - intermediate_results[[#This Row], [Total running average '[sec']]]</f>
        <v>-0.22596338999500176</v>
      </c>
      <c r="AH270" s="1">
        <f>intermediate_results[[#This Row], [All cumulative times '[sec']]] / intermediate_results[[#This Row], [Team5 laps '[laps']]] - intermediate_results[[#This Row], [Total running average '[sec']]]</f>
        <v>0.17964849379301029</v>
      </c>
      <c r="AI270" s="1">
        <f>intermediate_results[[#This Row], [All cumulative times '[sec']]] / intermediate_results[[#This Row], [Team6 laps '[laps']]] - intermediate_results[[#This Row], [Total running average '[sec']]]</f>
        <v>0.73166593282910952</v>
      </c>
      <c r="AJ270" s="1">
        <f>intermediate_results[[#This Row], [All cumulative times '[sec']]] / intermediate_results[[#This Row], [Team7 laps '[laps']]] - intermediate_results[[#This Row], [Total running average '[sec']]]</f>
        <v>0.85857205946776105</v>
      </c>
      <c r="AK270" s="1">
        <f>intermediate_results[[#This Row], [All cumulative times '[sec']]] / intermediate_results[[#This Row], [Team8 laps '[laps']]] - intermediate_results[[#This Row], [Total running average '[sec']]]</f>
        <v>1.7512978809992035</v>
      </c>
      <c r="AL270" s="1">
        <f>intermediate_results[[#This Row], [All cumulative times '[sec']]] / intermediate_results[[#This Row], [Team9 laps '[laps']]] - intermediate_results[[#This Row], [Total running average '[sec']]]</f>
        <v>1.6679738459513942</v>
      </c>
    </row>
    <row r="271" spans="1:38" x14ac:dyDescent="0.25">
      <c r="A271" s="1">
        <v>1663.2570000000001</v>
      </c>
      <c r="B271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31.556226632154157</v>
      </c>
      <c r="C271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31.286227839479317</v>
      </c>
      <c r="D271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31.045558086560366</v>
      </c>
      <c r="E271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30.527640483613418</v>
      </c>
      <c r="F271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30.301064752449665</v>
      </c>
      <c r="G271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29.999999999999996</v>
      </c>
      <c r="H271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29.931893222900001</v>
      </c>
      <c r="I271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29.457446428571437</v>
      </c>
      <c r="J271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29.499696407196023</v>
      </c>
      <c r="K271" s="1">
        <f>intermediate_results[[#This Row], [Team1 laps '[laps']]] - intermediate_results[[#This Row], [Team1 laps '[laps']]]</f>
        <v>0</v>
      </c>
      <c r="L271" s="1">
        <f>intermediate_results[[#This Row], [Team1 laps '[laps']]] - intermediate_results[[#This Row], [Team2 laps '[laps']]]</f>
        <v>0.26999879267484062</v>
      </c>
      <c r="M271" s="1">
        <f>intermediate_results[[#This Row], [Team1 laps '[laps']]] - intermediate_results[[#This Row], [Team3 laps '[laps']]]</f>
        <v>0.51066854559379138</v>
      </c>
      <c r="N271" s="1">
        <f>intermediate_results[[#This Row], [Team1 laps '[laps']]] - intermediate_results[[#This Row], [Team4 laps '[laps']]]</f>
        <v>1.0285861485407395</v>
      </c>
      <c r="O271" s="1">
        <f>intermediate_results[[#This Row], [Team1 laps '[laps']]] - intermediate_results[[#This Row], [Team5 laps '[laps']]]</f>
        <v>1.2551618797044917</v>
      </c>
      <c r="P271" s="1">
        <f>intermediate_results[[#This Row], [Team1 laps '[laps']]] - intermediate_results[[#This Row], [Team6 laps '[laps']]]</f>
        <v>1.5562266321541607</v>
      </c>
      <c r="Q271" s="1">
        <f>intermediate_results[[#This Row], [Team1 laps '[laps']]] - intermediate_results[[#This Row], [Team7 laps '[laps']]]</f>
        <v>1.6243334092541559</v>
      </c>
      <c r="R271" s="1">
        <f>intermediate_results[[#This Row], [Team1 laps '[laps']]] - intermediate_results[[#This Row], [Team8 laps '[laps']]]</f>
        <v>2.0987802035827201</v>
      </c>
      <c r="S271" s="1">
        <f>intermediate_results[[#This Row], [Team1 laps '[laps']]] - intermediate_results[[#This Row], [Team9 laps '[laps']]]</f>
        <v>2.0565302249581343</v>
      </c>
      <c r="T271" s="1">
        <f>MAX(intermediate_results[[#This Row], [Team1 laps '[laps']]:[Team9 laps '[laps']]]) - intermediate_results[[#This Row], [Team1 laps '[laps']]]</f>
        <v>0</v>
      </c>
      <c r="U271" s="1">
        <f>MAX(intermediate_results[[#This Row], [Team1 laps '[laps']]:[Team9 laps '[laps']]]) - intermediate_results[[#This Row], [Team2 laps '[laps']]]</f>
        <v>0.26999879267484062</v>
      </c>
      <c r="V271" s="1">
        <f>MAX(intermediate_results[[#This Row], [Team1 laps '[laps']]:[Team9 laps '[laps']]]) - intermediate_results[[#This Row], [Team3 laps '[laps']]]</f>
        <v>0.51066854559379138</v>
      </c>
      <c r="W271" s="1">
        <f>MAX(intermediate_results[[#This Row], [Team1 laps '[laps']]:[Team9 laps '[laps']]]) - intermediate_results[[#This Row], [Team4 laps '[laps']]]</f>
        <v>1.0285861485407395</v>
      </c>
      <c r="X271" s="1">
        <f>MAX(intermediate_results[[#This Row], [Team1 laps '[laps']]:[Team9 laps '[laps']]]) - intermediate_results[[#This Row], [Team5 laps '[laps']]]</f>
        <v>1.2551618797044917</v>
      </c>
      <c r="Y271" s="1">
        <f>MAX(intermediate_results[[#This Row], [Team1 laps '[laps']]:[Team9 laps '[laps']]]) - intermediate_results[[#This Row], [Team6 laps '[laps']]]</f>
        <v>1.5562266321541607</v>
      </c>
      <c r="Z271" s="1">
        <f>MAX(intermediate_results[[#This Row], [Team1 laps '[laps']]:[Team9 laps '[laps']]]) - intermediate_results[[#This Row], [Team7 laps '[laps']]]</f>
        <v>1.6243334092541559</v>
      </c>
      <c r="AA271" s="1">
        <f>MAX(intermediate_results[[#This Row], [Team1 laps '[laps']]:[Team9 laps '[laps']]]) - intermediate_results[[#This Row], [Team8 laps '[laps']]]</f>
        <v>2.0987802035827201</v>
      </c>
      <c r="AB271" s="1">
        <f>MAX(intermediate_results[[#This Row], [Team1 laps '[laps']]:[Team9 laps '[laps']]]) - intermediate_results[[#This Row], [Team9 laps '[laps']]]</f>
        <v>2.0565302249581343</v>
      </c>
      <c r="AC271" s="1">
        <f>9 * intermediate_results[[#This Row], [All cumulative times '[sec']]] / SUM(intermediate_results[[#This Row], [Team1 laps '[laps']]:[Team9 laps '[laps']]])</f>
        <v>54.711250729203208</v>
      </c>
      <c r="AD271" s="1">
        <f>intermediate_results[[#This Row], [All cumulative times '[sec']]] / intermediate_results[[#This Row], [Team1 laps '[laps']]] - intermediate_results[[#This Row], [Total running average '[sec']]]</f>
        <v>-2.0035230471733314</v>
      </c>
      <c r="AE271" s="1">
        <f>intermediate_results[[#This Row], [All cumulative times '[sec']]] / intermediate_results[[#This Row], [Team2 laps '[laps']]] - intermediate_results[[#This Row], [Total running average '[sec']]]</f>
        <v>-1.5486576376456114</v>
      </c>
      <c r="AF271" s="1">
        <f>intermediate_results[[#This Row], [All cumulative times '[sec']]] / intermediate_results[[#This Row], [Team3 laps '[laps']]] - intermediate_results[[#This Row], [Total running average '[sec']]]</f>
        <v>-1.1365333618248243</v>
      </c>
      <c r="AG271" s="1">
        <f>intermediate_results[[#This Row], [All cumulative times '[sec']]] / intermediate_results[[#This Row], [Team4 laps '[laps']]] - intermediate_results[[#This Row], [Total running average '[sec']]]</f>
        <v>-0.22760988271195259</v>
      </c>
      <c r="AH271" s="1">
        <f>intermediate_results[[#This Row], [All cumulative times '[sec']]] / intermediate_results[[#This Row], [Team5 laps '[laps']]] - intermediate_results[[#This Row], [Total running average '[sec']]]</f>
        <v>0.17979067770099277</v>
      </c>
      <c r="AI271" s="1">
        <f>intermediate_results[[#This Row], [All cumulative times '[sec']]] / intermediate_results[[#This Row], [Team6 laps '[laps']]] - intermediate_results[[#This Row], [Total running average '[sec']]]</f>
        <v>0.73064927079680331</v>
      </c>
      <c r="AJ271" s="1">
        <f>intermediate_results[[#This Row], [All cumulative times '[sec']]] / intermediate_results[[#This Row], [Team7 laps '[laps']]] - intermediate_results[[#This Row], [Total running average '[sec']]]</f>
        <v>0.85680130191560977</v>
      </c>
      <c r="AK271" s="1">
        <f>intermediate_results[[#This Row], [All cumulative times '[sec']]] / intermediate_results[[#This Row], [Team8 laps '[laps']]] - intermediate_results[[#This Row], [Total running average '[sec']]]</f>
        <v>1.7517900857253323</v>
      </c>
      <c r="AL271" s="1">
        <f>intermediate_results[[#This Row], [All cumulative times '[sec']]] / intermediate_results[[#This Row], [Team9 laps '[laps']]] - intermediate_results[[#This Row], [Total running average '[sec']]]</f>
        <v>1.6709227359539653</v>
      </c>
    </row>
    <row r="272" spans="1:38" x14ac:dyDescent="0.25">
      <c r="A272" s="1">
        <v>1666.9079999999999</v>
      </c>
      <c r="B272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31.626229508196719</v>
      </c>
      <c r="C272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31.355306226704258</v>
      </c>
      <c r="D272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31.114863325740316</v>
      </c>
      <c r="E272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30.597045852026465</v>
      </c>
      <c r="F272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30.368437563433037</v>
      </c>
      <c r="G272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30.067097936154955</v>
      </c>
      <c r="H272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30.000000000000004</v>
      </c>
      <c r="I272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29.522642857142863</v>
      </c>
      <c r="J272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29.563034540187015</v>
      </c>
      <c r="K272" s="1">
        <f>intermediate_results[[#This Row], [Team1 laps '[laps']]] - intermediate_results[[#This Row], [Team1 laps '[laps']]]</f>
        <v>0</v>
      </c>
      <c r="L272" s="1">
        <f>intermediate_results[[#This Row], [Team1 laps '[laps']]] - intermediate_results[[#This Row], [Team2 laps '[laps']]]</f>
        <v>0.27092328149246114</v>
      </c>
      <c r="M272" s="1">
        <f>intermediate_results[[#This Row], [Team1 laps '[laps']]] - intermediate_results[[#This Row], [Team3 laps '[laps']]]</f>
        <v>0.51136618245640264</v>
      </c>
      <c r="N272" s="1">
        <f>intermediate_results[[#This Row], [Team1 laps '[laps']]] - intermediate_results[[#This Row], [Team4 laps '[laps']]]</f>
        <v>1.0291836561702539</v>
      </c>
      <c r="O272" s="1">
        <f>intermediate_results[[#This Row], [Team1 laps '[laps']]] - intermediate_results[[#This Row], [Team5 laps '[laps']]]</f>
        <v>1.2577919447636816</v>
      </c>
      <c r="P272" s="1">
        <f>intermediate_results[[#This Row], [Team1 laps '[laps']]] - intermediate_results[[#This Row], [Team6 laps '[laps']]]</f>
        <v>1.559131572041764</v>
      </c>
      <c r="Q272" s="1">
        <f>intermediate_results[[#This Row], [Team1 laps '[laps']]] - intermediate_results[[#This Row], [Team7 laps '[laps']]]</f>
        <v>1.6262295081967153</v>
      </c>
      <c r="R272" s="1">
        <f>intermediate_results[[#This Row], [Team1 laps '[laps']]] - intermediate_results[[#This Row], [Team8 laps '[laps']]]</f>
        <v>2.1035866510538561</v>
      </c>
      <c r="S272" s="1">
        <f>intermediate_results[[#This Row], [Team1 laps '[laps']]] - intermediate_results[[#This Row], [Team9 laps '[laps']]]</f>
        <v>2.0631949680097037</v>
      </c>
      <c r="T272" s="1">
        <f>MAX(intermediate_results[[#This Row], [Team1 laps '[laps']]:[Team9 laps '[laps']]]) - intermediate_results[[#This Row], [Team1 laps '[laps']]]</f>
        <v>0</v>
      </c>
      <c r="U272" s="1">
        <f>MAX(intermediate_results[[#This Row], [Team1 laps '[laps']]:[Team9 laps '[laps']]]) - intermediate_results[[#This Row], [Team2 laps '[laps']]]</f>
        <v>0.27092328149246114</v>
      </c>
      <c r="V272" s="1">
        <f>MAX(intermediate_results[[#This Row], [Team1 laps '[laps']]:[Team9 laps '[laps']]]) - intermediate_results[[#This Row], [Team3 laps '[laps']]]</f>
        <v>0.51136618245640264</v>
      </c>
      <c r="W272" s="1">
        <f>MAX(intermediate_results[[#This Row], [Team1 laps '[laps']]:[Team9 laps '[laps']]]) - intermediate_results[[#This Row], [Team4 laps '[laps']]]</f>
        <v>1.0291836561702539</v>
      </c>
      <c r="X272" s="1">
        <f>MAX(intermediate_results[[#This Row], [Team1 laps '[laps']]:[Team9 laps '[laps']]]) - intermediate_results[[#This Row], [Team5 laps '[laps']]]</f>
        <v>1.2577919447636816</v>
      </c>
      <c r="Y272" s="1">
        <f>MAX(intermediate_results[[#This Row], [Team1 laps '[laps']]:[Team9 laps '[laps']]]) - intermediate_results[[#This Row], [Team6 laps '[laps']]]</f>
        <v>1.559131572041764</v>
      </c>
      <c r="Z272" s="1">
        <f>MAX(intermediate_results[[#This Row], [Team1 laps '[laps']]:[Team9 laps '[laps']]]) - intermediate_results[[#This Row], [Team7 laps '[laps']]]</f>
        <v>1.6262295081967153</v>
      </c>
      <c r="AA272" s="1">
        <f>MAX(intermediate_results[[#This Row], [Team1 laps '[laps']]:[Team9 laps '[laps']]]) - intermediate_results[[#This Row], [Team8 laps '[laps']]]</f>
        <v>2.1035866510538561</v>
      </c>
      <c r="AB272" s="1">
        <f>MAX(intermediate_results[[#This Row], [Team1 laps '[laps']]:[Team9 laps '[laps']]]) - intermediate_results[[#This Row], [Team9 laps '[laps']]]</f>
        <v>2.0631949680097037</v>
      </c>
      <c r="AC272" s="1">
        <f>9 * intermediate_results[[#This Row], [All cumulative times '[sec']]] / SUM(intermediate_results[[#This Row], [Team1 laps '[laps']]:[Team9 laps '[laps']]])</f>
        <v>54.709591820643986</v>
      </c>
      <c r="AD272" s="1">
        <f>intermediate_results[[#This Row], [All cumulative times '[sec']]] / intermediate_results[[#This Row], [Team1 laps '[laps']]] - intermediate_results[[#This Row], [Total running average '[sec']]]</f>
        <v>-2.0030875701774704</v>
      </c>
      <c r="AE272" s="1">
        <f>intermediate_results[[#This Row], [All cumulative times '[sec']]] / intermediate_results[[#This Row], [Team2 laps '[laps']]] - intermediate_results[[#This Row], [Total running average '[sec']]]</f>
        <v>-1.5476807888087905</v>
      </c>
      <c r="AF272" s="1">
        <f>intermediate_results[[#This Row], [All cumulative times '[sec']]] / intermediate_results[[#This Row], [Team3 laps '[laps']]] - intermediate_results[[#This Row], [Total running average '[sec']]]</f>
        <v>-1.1368673465171426</v>
      </c>
      <c r="AG272" s="1">
        <f>intermediate_results[[#This Row], [All cumulative times '[sec']]] / intermediate_results[[#This Row], [Team4 laps '[laps']]] - intermediate_results[[#This Row], [Total running average '[sec']]]</f>
        <v>-0.23021469183534293</v>
      </c>
      <c r="AH272" s="1">
        <f>intermediate_results[[#This Row], [All cumulative times '[sec']]] / intermediate_results[[#This Row], [Team5 laps '[laps']]] - intermediate_results[[#This Row], [Total running average '[sec']]]</f>
        <v>0.17989653443496678</v>
      </c>
      <c r="AI272" s="1">
        <f>intermediate_results[[#This Row], [All cumulative times '[sec']]] / intermediate_results[[#This Row], [Team6 laps '[laps']]] - intermediate_results[[#This Row], [Total running average '[sec']]]</f>
        <v>0.73001207925828737</v>
      </c>
      <c r="AJ272" s="1">
        <f>intermediate_results[[#This Row], [All cumulative times '[sec']]] / intermediate_results[[#This Row], [Team7 laps '[laps']]] - intermediate_results[[#This Row], [Total running average '[sec']]]</f>
        <v>0.8540081793560006</v>
      </c>
      <c r="AK272" s="1">
        <f>intermediate_results[[#This Row], [All cumulative times '[sec']]] / intermediate_results[[#This Row], [Team8 laps '[laps']]] - intermediate_results[[#This Row], [Total running average '[sec']]]</f>
        <v>1.7524264365290634</v>
      </c>
      <c r="AL272" s="1">
        <f>intermediate_results[[#This Row], [All cumulative times '[sec']]] / intermediate_results[[#This Row], [Team9 laps '[laps']]] - intermediate_results[[#This Row], [Total running average '[sec']]]</f>
        <v>1.6752829368529163</v>
      </c>
    </row>
    <row r="273" spans="1:38" x14ac:dyDescent="0.25">
      <c r="A273" s="1">
        <v>1686.402</v>
      </c>
      <c r="B273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32</v>
      </c>
      <c r="C273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31.724140540745093</v>
      </c>
      <c r="D273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31.484908883826879</v>
      </c>
      <c r="E273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30.967626036042891</v>
      </c>
      <c r="F273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30.728165193482308</v>
      </c>
      <c r="G273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30.425357910793373</v>
      </c>
      <c r="H273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30.366352821784975</v>
      </c>
      <c r="I273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29.870750000000008</v>
      </c>
      <c r="J273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29.901219575664005</v>
      </c>
      <c r="K273" s="1">
        <f>intermediate_results[[#This Row], [Team1 laps '[laps']]] - intermediate_results[[#This Row], [Team1 laps '[laps']]]</f>
        <v>0</v>
      </c>
      <c r="L273" s="1">
        <f>intermediate_results[[#This Row], [Team1 laps '[laps']]] - intermediate_results[[#This Row], [Team2 laps '[laps']]]</f>
        <v>0.27585945925490662</v>
      </c>
      <c r="M273" s="1">
        <f>intermediate_results[[#This Row], [Team1 laps '[laps']]] - intermediate_results[[#This Row], [Team3 laps '[laps']]]</f>
        <v>0.51509111617312087</v>
      </c>
      <c r="N273" s="1">
        <f>intermediate_results[[#This Row], [Team1 laps '[laps']]] - intermediate_results[[#This Row], [Team4 laps '[laps']]]</f>
        <v>1.0323739639571095</v>
      </c>
      <c r="O273" s="1">
        <f>intermediate_results[[#This Row], [Team1 laps '[laps']]] - intermediate_results[[#This Row], [Team5 laps '[laps']]]</f>
        <v>1.2718348065176919</v>
      </c>
      <c r="P273" s="1">
        <f>intermediate_results[[#This Row], [Team1 laps '[laps']]] - intermediate_results[[#This Row], [Team6 laps '[laps']]]</f>
        <v>1.5746420892066268</v>
      </c>
      <c r="Q273" s="1">
        <f>intermediate_results[[#This Row], [Team1 laps '[laps']]] - intermediate_results[[#This Row], [Team7 laps '[laps']]]</f>
        <v>1.6336471782150248</v>
      </c>
      <c r="R273" s="1">
        <f>intermediate_results[[#This Row], [Team1 laps '[laps']]] - intermediate_results[[#This Row], [Team8 laps '[laps']]]</f>
        <v>2.1292499999999919</v>
      </c>
      <c r="S273" s="1">
        <f>intermediate_results[[#This Row], [Team1 laps '[laps']]] - intermediate_results[[#This Row], [Team9 laps '[laps']]]</f>
        <v>2.0987804243359953</v>
      </c>
      <c r="T273" s="1">
        <f>MAX(intermediate_results[[#This Row], [Team1 laps '[laps']]:[Team9 laps '[laps']]]) - intermediate_results[[#This Row], [Team1 laps '[laps']]]</f>
        <v>0</v>
      </c>
      <c r="U273" s="1">
        <f>MAX(intermediate_results[[#This Row], [Team1 laps '[laps']]:[Team9 laps '[laps']]]) - intermediate_results[[#This Row], [Team2 laps '[laps']]]</f>
        <v>0.27585945925490662</v>
      </c>
      <c r="V273" s="1">
        <f>MAX(intermediate_results[[#This Row], [Team1 laps '[laps']]:[Team9 laps '[laps']]]) - intermediate_results[[#This Row], [Team3 laps '[laps']]]</f>
        <v>0.51509111617312087</v>
      </c>
      <c r="W273" s="1">
        <f>MAX(intermediate_results[[#This Row], [Team1 laps '[laps']]:[Team9 laps '[laps']]]) - intermediate_results[[#This Row], [Team4 laps '[laps']]]</f>
        <v>1.0323739639571095</v>
      </c>
      <c r="X273" s="1">
        <f>MAX(intermediate_results[[#This Row], [Team1 laps '[laps']]:[Team9 laps '[laps']]]) - intermediate_results[[#This Row], [Team5 laps '[laps']]]</f>
        <v>1.2718348065176919</v>
      </c>
      <c r="Y273" s="1">
        <f>MAX(intermediate_results[[#This Row], [Team1 laps '[laps']]:[Team9 laps '[laps']]]) - intermediate_results[[#This Row], [Team6 laps '[laps']]]</f>
        <v>1.5746420892066268</v>
      </c>
      <c r="Z273" s="1">
        <f>MAX(intermediate_results[[#This Row], [Team1 laps '[laps']]:[Team9 laps '[laps']]]) - intermediate_results[[#This Row], [Team7 laps '[laps']]]</f>
        <v>1.6336471782150248</v>
      </c>
      <c r="AA273" s="1">
        <f>MAX(intermediate_results[[#This Row], [Team1 laps '[laps']]:[Team9 laps '[laps']]]) - intermediate_results[[#This Row], [Team8 laps '[laps']]]</f>
        <v>2.1292499999999919</v>
      </c>
      <c r="AB273" s="1">
        <f>MAX(intermediate_results[[#This Row], [Team1 laps '[laps']]:[Team9 laps '[laps']]]) - intermediate_results[[#This Row], [Team9 laps '[laps']]]</f>
        <v>2.0987804243359953</v>
      </c>
      <c r="AC273" s="1">
        <f>9 * intermediate_results[[#This Row], [All cumulative times '[sec']]] / SUM(intermediate_results[[#This Row], [Team1 laps '[laps']]:[Team9 laps '[laps']]])</f>
        <v>54.700324012827529</v>
      </c>
      <c r="AD273" s="1">
        <f>intermediate_results[[#This Row], [All cumulative times '[sec']]] / intermediate_results[[#This Row], [Team1 laps '[laps']]] - intermediate_results[[#This Row], [Total running average '[sec']]]</f>
        <v>-2.0002615128275281</v>
      </c>
      <c r="AE273" s="1">
        <f>intermediate_results[[#This Row], [All cumulative times '[sec']]] / intermediate_results[[#This Row], [Team2 laps '[laps']]] - intermediate_results[[#This Row], [Total running average '[sec']]]</f>
        <v>-1.5420044727265321</v>
      </c>
      <c r="AF273" s="1">
        <f>intermediate_results[[#This Row], [All cumulative times '[sec']]] / intermediate_results[[#This Row], [Team3 laps '[laps']]] - intermediate_results[[#This Row], [Total running average '[sec']]]</f>
        <v>-1.1380918265286368</v>
      </c>
      <c r="AG273" s="1">
        <f>intermediate_results[[#This Row], [All cumulative times '[sec']]] / intermediate_results[[#This Row], [Team4 laps '[laps']]] - intermediate_results[[#This Row], [Total running average '[sec']]]</f>
        <v>-0.24338895305850627</v>
      </c>
      <c r="AH273" s="1">
        <f>intermediate_results[[#This Row], [All cumulative times '[sec']]] / intermediate_results[[#This Row], [Team5 laps '[laps']]] - intermediate_results[[#This Row], [Total running average '[sec']]]</f>
        <v>0.18098729819404724</v>
      </c>
      <c r="AI273" s="1">
        <f>intermediate_results[[#This Row], [All cumulative times '[sec']]] / intermediate_results[[#This Row], [Team6 laps '[laps']]] - intermediate_results[[#This Row], [Total running average '[sec']]]</f>
        <v>0.72719157941305212</v>
      </c>
      <c r="AJ273" s="1">
        <f>intermediate_results[[#This Row], [All cumulative times '[sec']]] / intermediate_results[[#This Row], [Team7 laps '[laps']]] - intermediate_results[[#This Row], [Total running average '[sec']]]</f>
        <v>0.8348932026612772</v>
      </c>
      <c r="AK273" s="1">
        <f>intermediate_results[[#This Row], [All cumulative times '[sec']]] / intermediate_results[[#This Row], [Team8 laps '[laps']]] - intermediate_results[[#This Row], [Total running average '[sec']]]</f>
        <v>1.7563099853144521</v>
      </c>
      <c r="AL273" s="1">
        <f>intermediate_results[[#This Row], [All cumulative times '[sec']]] / intermediate_results[[#This Row], [Team9 laps '[laps']]] - intermediate_results[[#This Row], [Total running average '[sec']]]</f>
        <v>1.6987802354997967</v>
      </c>
    </row>
    <row r="274" spans="1:38" x14ac:dyDescent="0.25">
      <c r="A274" s="1">
        <v>1688.105</v>
      </c>
      <c r="B274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32.032580206998141</v>
      </c>
      <c r="C274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31.756361985128571</v>
      </c>
      <c r="D274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31.517236142748672</v>
      </c>
      <c r="E274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31.000000000000004</v>
      </c>
      <c r="F274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30.759591076008928</v>
      </c>
      <c r="G274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30.456655578630102</v>
      </c>
      <c r="H274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30.398357482475433</v>
      </c>
      <c r="I274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29.901160714285719</v>
      </c>
      <c r="J274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29.930763492531621</v>
      </c>
      <c r="K274" s="1">
        <f>intermediate_results[[#This Row], [Team1 laps '[laps']]] - intermediate_results[[#This Row], [Team1 laps '[laps']]]</f>
        <v>0</v>
      </c>
      <c r="L274" s="1">
        <f>intermediate_results[[#This Row], [Team1 laps '[laps']]] - intermediate_results[[#This Row], [Team2 laps '[laps']]]</f>
        <v>0.2762182218695699</v>
      </c>
      <c r="M274" s="1">
        <f>intermediate_results[[#This Row], [Team1 laps '[laps']]] - intermediate_results[[#This Row], [Team3 laps '[laps']]]</f>
        <v>0.51534406424946866</v>
      </c>
      <c r="N274" s="1">
        <f>intermediate_results[[#This Row], [Team1 laps '[laps']]] - intermediate_results[[#This Row], [Team4 laps '[laps']]]</f>
        <v>1.0325802069981371</v>
      </c>
      <c r="O274" s="1">
        <f>intermediate_results[[#This Row], [Team1 laps '[laps']]] - intermediate_results[[#This Row], [Team5 laps '[laps']]]</f>
        <v>1.2729891309892132</v>
      </c>
      <c r="P274" s="1">
        <f>intermediate_results[[#This Row], [Team1 laps '[laps']]] - intermediate_results[[#This Row], [Team6 laps '[laps']]]</f>
        <v>1.575924628368039</v>
      </c>
      <c r="Q274" s="1">
        <f>intermediate_results[[#This Row], [Team1 laps '[laps']]] - intermediate_results[[#This Row], [Team7 laps '[laps']]]</f>
        <v>1.6342227245227079</v>
      </c>
      <c r="R274" s="1">
        <f>intermediate_results[[#This Row], [Team1 laps '[laps']]] - intermediate_results[[#This Row], [Team8 laps '[laps']]]</f>
        <v>2.1314194927124213</v>
      </c>
      <c r="S274" s="1">
        <f>intermediate_results[[#This Row], [Team1 laps '[laps']]] - intermediate_results[[#This Row], [Team9 laps '[laps']]]</f>
        <v>2.1018167144665192</v>
      </c>
      <c r="T274" s="1">
        <f>MAX(intermediate_results[[#This Row], [Team1 laps '[laps']]:[Team9 laps '[laps']]]) - intermediate_results[[#This Row], [Team1 laps '[laps']]]</f>
        <v>0</v>
      </c>
      <c r="U274" s="1">
        <f>MAX(intermediate_results[[#This Row], [Team1 laps '[laps']]:[Team9 laps '[laps']]]) - intermediate_results[[#This Row], [Team2 laps '[laps']]]</f>
        <v>0.2762182218695699</v>
      </c>
      <c r="V274" s="1">
        <f>MAX(intermediate_results[[#This Row], [Team1 laps '[laps']]:[Team9 laps '[laps']]]) - intermediate_results[[#This Row], [Team3 laps '[laps']]]</f>
        <v>0.51534406424946866</v>
      </c>
      <c r="W274" s="1">
        <f>MAX(intermediate_results[[#This Row], [Team1 laps '[laps']]:[Team9 laps '[laps']]]) - intermediate_results[[#This Row], [Team4 laps '[laps']]]</f>
        <v>1.0325802069981371</v>
      </c>
      <c r="X274" s="1">
        <f>MAX(intermediate_results[[#This Row], [Team1 laps '[laps']]:[Team9 laps '[laps']]]) - intermediate_results[[#This Row], [Team5 laps '[laps']]]</f>
        <v>1.2729891309892132</v>
      </c>
      <c r="Y274" s="1">
        <f>MAX(intermediate_results[[#This Row], [Team1 laps '[laps']]:[Team9 laps '[laps']]]) - intermediate_results[[#This Row], [Team6 laps '[laps']]]</f>
        <v>1.575924628368039</v>
      </c>
      <c r="Z274" s="1">
        <f>MAX(intermediate_results[[#This Row], [Team1 laps '[laps']]:[Team9 laps '[laps']]]) - intermediate_results[[#This Row], [Team7 laps '[laps']]]</f>
        <v>1.6342227245227079</v>
      </c>
      <c r="AA274" s="1">
        <f>MAX(intermediate_results[[#This Row], [Team1 laps '[laps']]:[Team9 laps '[laps']]]) - intermediate_results[[#This Row], [Team8 laps '[laps']]]</f>
        <v>2.1314194927124213</v>
      </c>
      <c r="AB274" s="1">
        <f>MAX(intermediate_results[[#This Row], [Team1 laps '[laps']]:[Team9 laps '[laps']]]) - intermediate_results[[#This Row], [Team9 laps '[laps']]]</f>
        <v>2.1018167144665192</v>
      </c>
      <c r="AC274" s="1">
        <f>9 * intermediate_results[[#This Row], [All cumulative times '[sec']]] / SUM(intermediate_results[[#This Row], [Team1 laps '[laps']]:[Team9 laps '[laps']]])</f>
        <v>54.699538959197618</v>
      </c>
      <c r="AD274" s="1">
        <f>intermediate_results[[#This Row], [All cumulative times '[sec']]] / intermediate_results[[#This Row], [Team1 laps '[laps']]] - intermediate_results[[#This Row], [Total running average '[sec']]]</f>
        <v>-1.9999128569206448</v>
      </c>
      <c r="AE274" s="1">
        <f>intermediate_results[[#This Row], [All cumulative times '[sec']]] / intermediate_results[[#This Row], [Team2 laps '[laps']]] - intermediate_results[[#This Row], [Total running average '[sec']]]</f>
        <v>-1.5415292101421159</v>
      </c>
      <c r="AF274" s="1">
        <f>intermediate_results[[#This Row], [All cumulative times '[sec']]] / intermediate_results[[#This Row], [Team3 laps '[laps']]] - intermediate_results[[#This Row], [Total running average '[sec']]]</f>
        <v>-1.1382116792866626</v>
      </c>
      <c r="AG274" s="1">
        <f>intermediate_results[[#This Row], [All cumulative times '[sec']]] / intermediate_results[[#This Row], [Team4 laps '[laps']]] - intermediate_results[[#This Row], [Total running average '[sec']]]</f>
        <v>-0.24453895919762658</v>
      </c>
      <c r="AH274" s="1">
        <f>intermediate_results[[#This Row], [All cumulative times '[sec']]] / intermediate_results[[#This Row], [Team5 laps '[laps']]] - intermediate_results[[#This Row], [Total running average '[sec']]]</f>
        <v>0.18106708750124767</v>
      </c>
      <c r="AI274" s="1">
        <f>intermediate_results[[#This Row], [All cumulative times '[sec']]] / intermediate_results[[#This Row], [Team6 laps '[laps']]] - intermediate_results[[#This Row], [Total running average '[sec']]]</f>
        <v>0.72693410321105034</v>
      </c>
      <c r="AJ274" s="1">
        <f>intermediate_results[[#This Row], [All cumulative times '[sec']]] / intermediate_results[[#This Row], [Team7 laps '[laps']]] - intermediate_results[[#This Row], [Total running average '[sec']]]</f>
        <v>0.83323122330937593</v>
      </c>
      <c r="AK274" s="1">
        <f>intermediate_results[[#This Row], [All cumulative times '[sec']]] / intermediate_results[[#This Row], [Team8 laps '[laps']]] - intermediate_results[[#This Row], [Total running average '[sec']]]</f>
        <v>1.7566306233257478</v>
      </c>
      <c r="AL274" s="1">
        <f>intermediate_results[[#This Row], [All cumulative times '[sec']]] / intermediate_results[[#This Row], [Team9 laps '[laps']]] - intermediate_results[[#This Row], [Total running average '[sec']]]</f>
        <v>1.7007931078817649</v>
      </c>
    </row>
    <row r="275" spans="1:38" x14ac:dyDescent="0.25">
      <c r="A275" s="1">
        <v>1692.096</v>
      </c>
      <c r="B275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32.108932295154098</v>
      </c>
      <c r="C275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31.831873308989088</v>
      </c>
      <c r="D275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31.592995444191345</v>
      </c>
      <c r="E275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31.074435346998158</v>
      </c>
      <c r="F275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30.833237991548408</v>
      </c>
      <c r="G275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30.530002021575722</v>
      </c>
      <c r="H275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30.473360771269103</v>
      </c>
      <c r="I275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29.972428571428576</v>
      </c>
      <c r="J275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30.000000000000004</v>
      </c>
      <c r="K275" s="1">
        <f>intermediate_results[[#This Row], [Team1 laps '[laps']]] - intermediate_results[[#This Row], [Team1 laps '[laps']]]</f>
        <v>0</v>
      </c>
      <c r="L275" s="1">
        <f>intermediate_results[[#This Row], [Team1 laps '[laps']]] - intermediate_results[[#This Row], [Team2 laps '[laps']]]</f>
        <v>0.27705898616500946</v>
      </c>
      <c r="M275" s="1">
        <f>intermediate_results[[#This Row], [Team1 laps '[laps']]] - intermediate_results[[#This Row], [Team3 laps '[laps']]]</f>
        <v>0.51593685096275266</v>
      </c>
      <c r="N275" s="1">
        <f>intermediate_results[[#This Row], [Team1 laps '[laps']]] - intermediate_results[[#This Row], [Team4 laps '[laps']]]</f>
        <v>1.0344969481559403</v>
      </c>
      <c r="O275" s="1">
        <f>intermediate_results[[#This Row], [Team1 laps '[laps']]] - intermediate_results[[#This Row], [Team5 laps '[laps']]]</f>
        <v>1.2756943036056896</v>
      </c>
      <c r="P275" s="1">
        <f>intermediate_results[[#This Row], [Team1 laps '[laps']]] - intermediate_results[[#This Row], [Team6 laps '[laps']]]</f>
        <v>1.5789302735783757</v>
      </c>
      <c r="Q275" s="1">
        <f>intermediate_results[[#This Row], [Team1 laps '[laps']]] - intermediate_results[[#This Row], [Team7 laps '[laps']]]</f>
        <v>1.6355715238849946</v>
      </c>
      <c r="R275" s="1">
        <f>intermediate_results[[#This Row], [Team1 laps '[laps']]] - intermediate_results[[#This Row], [Team8 laps '[laps']]]</f>
        <v>2.1365037237255216</v>
      </c>
      <c r="S275" s="1">
        <f>intermediate_results[[#This Row], [Team1 laps '[laps']]] - intermediate_results[[#This Row], [Team9 laps '[laps']]]</f>
        <v>2.1089322951540943</v>
      </c>
      <c r="T275" s="1">
        <f>MAX(intermediate_results[[#This Row], [Team1 laps '[laps']]:[Team9 laps '[laps']]]) - intermediate_results[[#This Row], [Team1 laps '[laps']]]</f>
        <v>0</v>
      </c>
      <c r="U275" s="1">
        <f>MAX(intermediate_results[[#This Row], [Team1 laps '[laps']]:[Team9 laps '[laps']]]) - intermediate_results[[#This Row], [Team2 laps '[laps']]]</f>
        <v>0.27705898616500946</v>
      </c>
      <c r="V275" s="1">
        <f>MAX(intermediate_results[[#This Row], [Team1 laps '[laps']]:[Team9 laps '[laps']]]) - intermediate_results[[#This Row], [Team3 laps '[laps']]]</f>
        <v>0.51593685096275266</v>
      </c>
      <c r="W275" s="1">
        <f>MAX(intermediate_results[[#This Row], [Team1 laps '[laps']]:[Team9 laps '[laps']]]) - intermediate_results[[#This Row], [Team4 laps '[laps']]]</f>
        <v>1.0344969481559403</v>
      </c>
      <c r="X275" s="1">
        <f>MAX(intermediate_results[[#This Row], [Team1 laps '[laps']]:[Team9 laps '[laps']]]) - intermediate_results[[#This Row], [Team5 laps '[laps']]]</f>
        <v>1.2756943036056896</v>
      </c>
      <c r="Y275" s="1">
        <f>MAX(intermediate_results[[#This Row], [Team1 laps '[laps']]:[Team9 laps '[laps']]]) - intermediate_results[[#This Row], [Team6 laps '[laps']]]</f>
        <v>1.5789302735783757</v>
      </c>
      <c r="Z275" s="1">
        <f>MAX(intermediate_results[[#This Row], [Team1 laps '[laps']]:[Team9 laps '[laps']]]) - intermediate_results[[#This Row], [Team7 laps '[laps']]]</f>
        <v>1.6355715238849946</v>
      </c>
      <c r="AA275" s="1">
        <f>MAX(intermediate_results[[#This Row], [Team1 laps '[laps']]:[Team9 laps '[laps']]]) - intermediate_results[[#This Row], [Team8 laps '[laps']]]</f>
        <v>2.1365037237255216</v>
      </c>
      <c r="AB275" s="1">
        <f>MAX(intermediate_results[[#This Row], [Team1 laps '[laps']]:[Team9 laps '[laps']]]) - intermediate_results[[#This Row], [Team9 laps '[laps']]]</f>
        <v>2.1089322951540943</v>
      </c>
      <c r="AC275" s="1">
        <f>9 * intermediate_results[[#This Row], [All cumulative times '[sec']]] / SUM(intermediate_results[[#This Row], [Team1 laps '[laps']]:[Team9 laps '[laps']]])</f>
        <v>54.697987062380491</v>
      </c>
      <c r="AD275" s="1">
        <f>intermediate_results[[#This Row], [All cumulative times '[sec']]] / intermediate_results[[#This Row], [Team1 laps '[laps']]] - intermediate_results[[#This Row], [Total running average '[sec']]]</f>
        <v>-1.9993801935568811</v>
      </c>
      <c r="AE275" s="1">
        <f>intermediate_results[[#This Row], [All cumulative times '[sec']]] / intermediate_results[[#This Row], [Team2 laps '[laps']]] - intermediate_results[[#This Row], [Total running average '[sec']]]</f>
        <v>-1.5407008550945207</v>
      </c>
      <c r="AF275" s="1">
        <f>intermediate_results[[#This Row], [All cumulative times '[sec']]] / intermediate_results[[#This Row], [Team3 laps '[laps']]] - intermediate_results[[#This Row], [Total running average '[sec']]]</f>
        <v>-1.1387731857138235</v>
      </c>
      <c r="AG275" s="1">
        <f>intermediate_results[[#This Row], [All cumulative times '[sec']]] / intermediate_results[[#This Row], [Team4 laps '[laps']]] - intermediate_results[[#This Row], [Total running average '[sec']]]</f>
        <v>-0.24499439799538436</v>
      </c>
      <c r="AH275" s="1">
        <f>intermediate_results[[#This Row], [All cumulative times '[sec']]] / intermediate_results[[#This Row], [Team5 laps '[laps']]] - intermediate_results[[#This Row], [Total running average '[sec']]]</f>
        <v>0.180971821659341</v>
      </c>
      <c r="AI275" s="1">
        <f>intermediate_results[[#This Row], [All cumulative times '[sec']]] / intermediate_results[[#This Row], [Team6 laps '[laps']]] - intermediate_results[[#This Row], [Total running average '[sec']]]</f>
        <v>0.72605119363358739</v>
      </c>
      <c r="AJ275" s="1">
        <f>intermediate_results[[#This Row], [All cumulative times '[sec']]] / intermediate_results[[#This Row], [Team7 laps '[laps']]] - intermediate_results[[#This Row], [Total running average '[sec']]]</f>
        <v>0.82906860767681678</v>
      </c>
      <c r="AK275" s="1">
        <f>intermediate_results[[#This Row], [All cumulative times '[sec']]] / intermediate_results[[#This Row], [Team8 laps '[laps']]] - intermediate_results[[#This Row], [Total running average '[sec']]]</f>
        <v>1.7570978489904263</v>
      </c>
      <c r="AL275" s="1">
        <f>intermediate_results[[#This Row], [All cumulative times '[sec']]] / intermediate_results[[#This Row], [Team9 laps '[laps']]] - intermediate_results[[#This Row], [Total running average '[sec']]]</f>
        <v>1.7052129376194998</v>
      </c>
    </row>
    <row r="276" spans="1:38" x14ac:dyDescent="0.25">
      <c r="A276" s="1">
        <v>1693.64</v>
      </c>
      <c r="B276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32.138470662508851</v>
      </c>
      <c r="C276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31.861086409475345</v>
      </c>
      <c r="D276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31.622304479878515</v>
      </c>
      <c r="E276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31.1032321838223</v>
      </c>
      <c r="F276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30.861729807532612</v>
      </c>
      <c r="G276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30.558377593589764</v>
      </c>
      <c r="H276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30.502377327996101</v>
      </c>
      <c r="I276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30.000000000000007</v>
      </c>
      <c r="J276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30.027386083470802</v>
      </c>
      <c r="K276" s="1">
        <f>intermediate_results[[#This Row], [Team1 laps '[laps']]] - intermediate_results[[#This Row], [Team1 laps '[laps']]]</f>
        <v>0</v>
      </c>
      <c r="L276" s="1">
        <f>intermediate_results[[#This Row], [Team1 laps '[laps']]] - intermediate_results[[#This Row], [Team2 laps '[laps']]]</f>
        <v>0.27738425303350667</v>
      </c>
      <c r="M276" s="1">
        <f>intermediate_results[[#This Row], [Team1 laps '[laps']]] - intermediate_results[[#This Row], [Team3 laps '[laps']]]</f>
        <v>0.51616618263033587</v>
      </c>
      <c r="N276" s="1">
        <f>intermediate_results[[#This Row], [Team1 laps '[laps']]] - intermediate_results[[#This Row], [Team4 laps '[laps']]]</f>
        <v>1.0352384786865514</v>
      </c>
      <c r="O276" s="1">
        <f>intermediate_results[[#This Row], [Team1 laps '[laps']]] - intermediate_results[[#This Row], [Team5 laps '[laps']]]</f>
        <v>1.2767408549762393</v>
      </c>
      <c r="P276" s="1">
        <f>intermediate_results[[#This Row], [Team1 laps '[laps']]] - intermediate_results[[#This Row], [Team6 laps '[laps']]]</f>
        <v>1.5800930689190871</v>
      </c>
      <c r="Q276" s="1">
        <f>intermediate_results[[#This Row], [Team1 laps '[laps']]] - intermediate_results[[#This Row], [Team7 laps '[laps']]]</f>
        <v>1.6360933345127506</v>
      </c>
      <c r="R276" s="1">
        <f>intermediate_results[[#This Row], [Team1 laps '[laps']]] - intermediate_results[[#This Row], [Team8 laps '[laps']]]</f>
        <v>2.1384706625088441</v>
      </c>
      <c r="S276" s="1">
        <f>intermediate_results[[#This Row], [Team1 laps '[laps']]] - intermediate_results[[#This Row], [Team9 laps '[laps']]]</f>
        <v>2.1110845790380495</v>
      </c>
      <c r="T276" s="1">
        <f>MAX(intermediate_results[[#This Row], [Team1 laps '[laps']]:[Team9 laps '[laps']]]) - intermediate_results[[#This Row], [Team1 laps '[laps']]]</f>
        <v>0</v>
      </c>
      <c r="U276" s="1">
        <f>MAX(intermediate_results[[#This Row], [Team1 laps '[laps']]:[Team9 laps '[laps']]]) - intermediate_results[[#This Row], [Team2 laps '[laps']]]</f>
        <v>0.27738425303350667</v>
      </c>
      <c r="V276" s="1">
        <f>MAX(intermediate_results[[#This Row], [Team1 laps '[laps']]:[Team9 laps '[laps']]]) - intermediate_results[[#This Row], [Team3 laps '[laps']]]</f>
        <v>0.51616618263033587</v>
      </c>
      <c r="W276" s="1">
        <f>MAX(intermediate_results[[#This Row], [Team1 laps '[laps']]:[Team9 laps '[laps']]]) - intermediate_results[[#This Row], [Team4 laps '[laps']]]</f>
        <v>1.0352384786865514</v>
      </c>
      <c r="X276" s="1">
        <f>MAX(intermediate_results[[#This Row], [Team1 laps '[laps']]:[Team9 laps '[laps']]]) - intermediate_results[[#This Row], [Team5 laps '[laps']]]</f>
        <v>1.2767408549762393</v>
      </c>
      <c r="Y276" s="1">
        <f>MAX(intermediate_results[[#This Row], [Team1 laps '[laps']]:[Team9 laps '[laps']]]) - intermediate_results[[#This Row], [Team6 laps '[laps']]]</f>
        <v>1.5800930689190871</v>
      </c>
      <c r="Z276" s="1">
        <f>MAX(intermediate_results[[#This Row], [Team1 laps '[laps']]:[Team9 laps '[laps']]]) - intermediate_results[[#This Row], [Team7 laps '[laps']]]</f>
        <v>1.6360933345127506</v>
      </c>
      <c r="AA276" s="1">
        <f>MAX(intermediate_results[[#This Row], [Team1 laps '[laps']]:[Team9 laps '[laps']]]) - intermediate_results[[#This Row], [Team8 laps '[laps']]]</f>
        <v>2.1384706625088441</v>
      </c>
      <c r="AB276" s="1">
        <f>MAX(intermediate_results[[#This Row], [Team1 laps '[laps']]:[Team9 laps '[laps']]]) - intermediate_results[[#This Row], [Team9 laps '[laps']]]</f>
        <v>2.1110845790380495</v>
      </c>
      <c r="AC276" s="1">
        <f>9 * intermediate_results[[#This Row], [All cumulative times '[sec']]] / SUM(intermediate_results[[#This Row], [Team1 laps '[laps']]:[Team9 laps '[laps']]])</f>
        <v>54.697270796133992</v>
      </c>
      <c r="AD276" s="1">
        <f>intermediate_results[[#This Row], [All cumulative times '[sec']]] / intermediate_results[[#This Row], [Team1 laps '[laps']]] - intermediate_results[[#This Row], [Total running average '[sec']]]</f>
        <v>-1.9990569394392921</v>
      </c>
      <c r="AE276" s="1">
        <f>intermediate_results[[#This Row], [All cumulative times '[sec']]] / intermediate_results[[#This Row], [Team2 laps '[laps']]] - intermediate_results[[#This Row], [Total running average '[sec']]]</f>
        <v>-1.5402635857232667</v>
      </c>
      <c r="AF276" s="1">
        <f>intermediate_results[[#This Row], [All cumulative times '[sec']]] / intermediate_results[[#This Row], [Team3 laps '[laps']]] - intermediate_results[[#This Row], [Total running average '[sec']]]</f>
        <v>-1.1388718161458442</v>
      </c>
      <c r="AG276" s="1">
        <f>intermediate_results[[#This Row], [All cumulative times '[sec']]] / intermediate_results[[#This Row], [Team4 laps '[laps']]] - intermediate_results[[#This Row], [Total running average '[sec']]]</f>
        <v>-0.24505213311955032</v>
      </c>
      <c r="AH276" s="1">
        <f>intermediate_results[[#This Row], [All cumulative times '[sec']]] / intermediate_results[[#This Row], [Team5 laps '[laps']]] - intermediate_results[[#This Row], [Total running average '[sec']]]</f>
        <v>0.18105295831165336</v>
      </c>
      <c r="AI276" s="1">
        <f>intermediate_results[[#This Row], [All cumulative times '[sec']]] / intermediate_results[[#This Row], [Team6 laps '[laps']]] - intermediate_results[[#This Row], [Total running average '[sec']]]</f>
        <v>0.72582864077051568</v>
      </c>
      <c r="AJ276" s="1">
        <f>intermediate_results[[#This Row], [All cumulative times '[sec']]] / intermediate_results[[#This Row], [Team7 laps '[laps']]] - intermediate_results[[#This Row], [Total running average '[sec']]]</f>
        <v>0.82758163710637689</v>
      </c>
      <c r="AK276" s="1">
        <f>intermediate_results[[#This Row], [All cumulative times '[sec']]] / intermediate_results[[#This Row], [Team8 laps '[laps']]] - intermediate_results[[#This Row], [Total running average '[sec']]]</f>
        <v>1.7573958705326618</v>
      </c>
      <c r="AL276" s="1">
        <f>intermediate_results[[#This Row], [All cumulative times '[sec']]] / intermediate_results[[#This Row], [Team9 laps '[laps']]] - intermediate_results[[#This Row], [Total running average '[sec']]]</f>
        <v>1.7059071325735431</v>
      </c>
    </row>
    <row r="277" spans="1:38" x14ac:dyDescent="0.25">
      <c r="A277" s="1">
        <v>1700.982</v>
      </c>
      <c r="B277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32.278930955979412</v>
      </c>
      <c r="C277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32.000000000000007</v>
      </c>
      <c r="D277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31.761674259681094</v>
      </c>
      <c r="E277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31.240166365145388</v>
      </c>
      <c r="F277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30.997213559447136</v>
      </c>
      <c r="G277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30.693308584345647</v>
      </c>
      <c r="H277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30.640356317302818</v>
      </c>
      <c r="I277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30.132942220290804</v>
      </c>
      <c r="J277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30.157611876762626</v>
      </c>
      <c r="K277" s="1">
        <f>intermediate_results[[#This Row], [Team1 laps '[laps']]] - intermediate_results[[#This Row], [Team1 laps '[laps']]]</f>
        <v>0</v>
      </c>
      <c r="L277" s="1">
        <f>intermediate_results[[#This Row], [Team1 laps '[laps']]] - intermediate_results[[#This Row], [Team2 laps '[laps']]]</f>
        <v>0.27893095597940487</v>
      </c>
      <c r="M277" s="1">
        <f>intermediate_results[[#This Row], [Team1 laps '[laps']]] - intermediate_results[[#This Row], [Team3 laps '[laps']]]</f>
        <v>0.51725669629831827</v>
      </c>
      <c r="N277" s="1">
        <f>intermediate_results[[#This Row], [Team1 laps '[laps']]] - intermediate_results[[#This Row], [Team4 laps '[laps']]]</f>
        <v>1.0387645908340239</v>
      </c>
      <c r="O277" s="1">
        <f>intermediate_results[[#This Row], [Team1 laps '[laps']]] - intermediate_results[[#This Row], [Team5 laps '[laps']]]</f>
        <v>1.2817173965322759</v>
      </c>
      <c r="P277" s="1">
        <f>intermediate_results[[#This Row], [Team1 laps '[laps']]] - intermediate_results[[#This Row], [Team6 laps '[laps']]]</f>
        <v>1.5856223716337645</v>
      </c>
      <c r="Q277" s="1">
        <f>intermediate_results[[#This Row], [Team1 laps '[laps']]] - intermediate_results[[#This Row], [Team7 laps '[laps']]]</f>
        <v>1.6385746386765945</v>
      </c>
      <c r="R277" s="1">
        <f>intermediate_results[[#This Row], [Team1 laps '[laps']]] - intermediate_results[[#This Row], [Team8 laps '[laps']]]</f>
        <v>2.1459887356886078</v>
      </c>
      <c r="S277" s="1">
        <f>intermediate_results[[#This Row], [Team1 laps '[laps']]] - intermediate_results[[#This Row], [Team9 laps '[laps']]]</f>
        <v>2.1213190792167858</v>
      </c>
      <c r="T277" s="1">
        <f>MAX(intermediate_results[[#This Row], [Team1 laps '[laps']]:[Team9 laps '[laps']]]) - intermediate_results[[#This Row], [Team1 laps '[laps']]]</f>
        <v>0</v>
      </c>
      <c r="U277" s="1">
        <f>MAX(intermediate_results[[#This Row], [Team1 laps '[laps']]:[Team9 laps '[laps']]]) - intermediate_results[[#This Row], [Team2 laps '[laps']]]</f>
        <v>0.27893095597940487</v>
      </c>
      <c r="V277" s="1">
        <f>MAX(intermediate_results[[#This Row], [Team1 laps '[laps']]:[Team9 laps '[laps']]]) - intermediate_results[[#This Row], [Team3 laps '[laps']]]</f>
        <v>0.51725669629831827</v>
      </c>
      <c r="W277" s="1">
        <f>MAX(intermediate_results[[#This Row], [Team1 laps '[laps']]:[Team9 laps '[laps']]]) - intermediate_results[[#This Row], [Team4 laps '[laps']]]</f>
        <v>1.0387645908340239</v>
      </c>
      <c r="X277" s="1">
        <f>MAX(intermediate_results[[#This Row], [Team1 laps '[laps']]:[Team9 laps '[laps']]]) - intermediate_results[[#This Row], [Team5 laps '[laps']]]</f>
        <v>1.2817173965322759</v>
      </c>
      <c r="Y277" s="1">
        <f>MAX(intermediate_results[[#This Row], [Team1 laps '[laps']]:[Team9 laps '[laps']]]) - intermediate_results[[#This Row], [Team6 laps '[laps']]]</f>
        <v>1.5856223716337645</v>
      </c>
      <c r="Z277" s="1">
        <f>MAX(intermediate_results[[#This Row], [Team1 laps '[laps']]:[Team9 laps '[laps']]]) - intermediate_results[[#This Row], [Team7 laps '[laps']]]</f>
        <v>1.6385746386765945</v>
      </c>
      <c r="AA277" s="1">
        <f>MAX(intermediate_results[[#This Row], [Team1 laps '[laps']]:[Team9 laps '[laps']]]) - intermediate_results[[#This Row], [Team8 laps '[laps']]]</f>
        <v>2.1459887356886078</v>
      </c>
      <c r="AB277" s="1">
        <f>MAX(intermediate_results[[#This Row], [Team1 laps '[laps']]:[Team9 laps '[laps']]]) - intermediate_results[[#This Row], [Team9 laps '[laps']]]</f>
        <v>2.1213190792167858</v>
      </c>
      <c r="AC277" s="1">
        <f>9 * intermediate_results[[#This Row], [All cumulative times '[sec']]] / SUM(intermediate_results[[#This Row], [Team1 laps '[laps']]:[Team9 laps '[laps']]])</f>
        <v>54.693524286790058</v>
      </c>
      <c r="AD277" s="1">
        <f>intermediate_results[[#This Row], [All cumulative times '[sec']]] / intermediate_results[[#This Row], [Team1 laps '[laps']]] - intermediate_results[[#This Row], [Total running average '[sec']]]</f>
        <v>-1.9971694316765323</v>
      </c>
      <c r="AE277" s="1">
        <f>intermediate_results[[#This Row], [All cumulative times '[sec']]] / intermediate_results[[#This Row], [Team2 laps '[laps']]] - intermediate_results[[#This Row], [Total running average '[sec']]]</f>
        <v>-1.5378367867900735</v>
      </c>
      <c r="AF277" s="1">
        <f>intermediate_results[[#This Row], [All cumulative times '[sec']]] / intermediate_results[[#This Row], [Team3 laps '[laps']]] - intermediate_results[[#This Row], [Total running average '[sec']]]</f>
        <v>-1.1389797091680691</v>
      </c>
      <c r="AG277" s="1">
        <f>intermediate_results[[#This Row], [All cumulative times '[sec']]] / intermediate_results[[#This Row], [Team4 laps '[laps']]] - intermediate_results[[#This Row], [Total running average '[sec']]]</f>
        <v>-0.24496661528600328</v>
      </c>
      <c r="AH277" s="1">
        <f>intermediate_results[[#This Row], [All cumulative times '[sec']]] / intermediate_results[[#This Row], [Team5 laps '[laps']]] - intermediate_results[[#This Row], [Total running average '[sec']]]</f>
        <v>0.18179528791362998</v>
      </c>
      <c r="AI277" s="1">
        <f>intermediate_results[[#This Row], [All cumulative times '[sec']]] / intermediate_results[[#This Row], [Team6 laps '[laps']]] - intermediate_results[[#This Row], [Total running average '[sec']]]</f>
        <v>0.72513464747495249</v>
      </c>
      <c r="AJ277" s="1">
        <f>intermediate_results[[#This Row], [All cumulative times '[sec']]] / intermediate_results[[#This Row], [Team7 laps '[laps']]] - intermediate_results[[#This Row], [Total running average '[sec']]]</f>
        <v>0.82090845626012054</v>
      </c>
      <c r="AK277" s="1">
        <f>intermediate_results[[#This Row], [All cumulative times '[sec']]] / intermediate_results[[#This Row], [Team8 laps '[laps']]] - intermediate_results[[#This Row], [Total running average '[sec']]]</f>
        <v>1.7557260905793086</v>
      </c>
      <c r="AL277" s="1">
        <f>intermediate_results[[#This Row], [All cumulative times '[sec']]] / intermediate_results[[#This Row], [Team9 laps '[laps']]] - intermediate_results[[#This Row], [Total running average '[sec']]]</f>
        <v>1.7095492374321708</v>
      </c>
    </row>
    <row r="278" spans="1:38" x14ac:dyDescent="0.25">
      <c r="A278" s="1">
        <v>1701.133</v>
      </c>
      <c r="B278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32.281819747087297</v>
      </c>
      <c r="C278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32.002782794589223</v>
      </c>
      <c r="D278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31.764540622627184</v>
      </c>
      <c r="E278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31.242982636104227</v>
      </c>
      <c r="F278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30.999999999999996</v>
      </c>
      <c r="G278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30.696083656479146</v>
      </c>
      <c r="H278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30.643194076412779</v>
      </c>
      <c r="I278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30.135676390171483</v>
      </c>
      <c r="J278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30.160290178967351</v>
      </c>
      <c r="K278" s="1">
        <f>intermediate_results[[#This Row], [Team1 laps '[laps']]] - intermediate_results[[#This Row], [Team1 laps '[laps']]]</f>
        <v>0</v>
      </c>
      <c r="L278" s="1">
        <f>intermediate_results[[#This Row], [Team1 laps '[laps']]] - intermediate_results[[#This Row], [Team2 laps '[laps']]]</f>
        <v>0.2790369524980747</v>
      </c>
      <c r="M278" s="1">
        <f>intermediate_results[[#This Row], [Team1 laps '[laps']]] - intermediate_results[[#This Row], [Team3 laps '[laps']]]</f>
        <v>0.51727912446011359</v>
      </c>
      <c r="N278" s="1">
        <f>intermediate_results[[#This Row], [Team1 laps '[laps']]] - intermediate_results[[#This Row], [Team4 laps '[laps']]]</f>
        <v>1.0388371109830707</v>
      </c>
      <c r="O278" s="1">
        <f>intermediate_results[[#This Row], [Team1 laps '[laps']]] - intermediate_results[[#This Row], [Team5 laps '[laps']]]</f>
        <v>1.281819747087301</v>
      </c>
      <c r="P278" s="1">
        <f>intermediate_results[[#This Row], [Team1 laps '[laps']]] - intermediate_results[[#This Row], [Team6 laps '[laps']]]</f>
        <v>1.585736090608151</v>
      </c>
      <c r="Q278" s="1">
        <f>intermediate_results[[#This Row], [Team1 laps '[laps']]] - intermediate_results[[#This Row], [Team7 laps '[laps']]]</f>
        <v>1.6386256706745179</v>
      </c>
      <c r="R278" s="1">
        <f>intermediate_results[[#This Row], [Team1 laps '[laps']]] - intermediate_results[[#This Row], [Team8 laps '[laps']]]</f>
        <v>2.1461433569158146</v>
      </c>
      <c r="S278" s="1">
        <f>intermediate_results[[#This Row], [Team1 laps '[laps']]] - intermediate_results[[#This Row], [Team9 laps '[laps']]]</f>
        <v>2.1215295681199464</v>
      </c>
      <c r="T278" s="1">
        <f>MAX(intermediate_results[[#This Row], [Team1 laps '[laps']]:[Team9 laps '[laps']]]) - intermediate_results[[#This Row], [Team1 laps '[laps']]]</f>
        <v>0</v>
      </c>
      <c r="U278" s="1">
        <f>MAX(intermediate_results[[#This Row], [Team1 laps '[laps']]:[Team9 laps '[laps']]]) - intermediate_results[[#This Row], [Team2 laps '[laps']]]</f>
        <v>0.2790369524980747</v>
      </c>
      <c r="V278" s="1">
        <f>MAX(intermediate_results[[#This Row], [Team1 laps '[laps']]:[Team9 laps '[laps']]]) - intermediate_results[[#This Row], [Team3 laps '[laps']]]</f>
        <v>0.51727912446011359</v>
      </c>
      <c r="W278" s="1">
        <f>MAX(intermediate_results[[#This Row], [Team1 laps '[laps']]:[Team9 laps '[laps']]]) - intermediate_results[[#This Row], [Team4 laps '[laps']]]</f>
        <v>1.0388371109830707</v>
      </c>
      <c r="X278" s="1">
        <f>MAX(intermediate_results[[#This Row], [Team1 laps '[laps']]:[Team9 laps '[laps']]]) - intermediate_results[[#This Row], [Team5 laps '[laps']]]</f>
        <v>1.281819747087301</v>
      </c>
      <c r="Y278" s="1">
        <f>MAX(intermediate_results[[#This Row], [Team1 laps '[laps']]:[Team9 laps '[laps']]]) - intermediate_results[[#This Row], [Team6 laps '[laps']]]</f>
        <v>1.585736090608151</v>
      </c>
      <c r="Z278" s="1">
        <f>MAX(intermediate_results[[#This Row], [Team1 laps '[laps']]:[Team9 laps '[laps']]]) - intermediate_results[[#This Row], [Team7 laps '[laps']]]</f>
        <v>1.6386256706745179</v>
      </c>
      <c r="AA278" s="1">
        <f>MAX(intermediate_results[[#This Row], [Team1 laps '[laps']]:[Team9 laps '[laps']]]) - intermediate_results[[#This Row], [Team8 laps '[laps']]]</f>
        <v>2.1461433569158146</v>
      </c>
      <c r="AB278" s="1">
        <f>MAX(intermediate_results[[#This Row], [Team1 laps '[laps']]:[Team9 laps '[laps']]]) - intermediate_results[[#This Row], [Team9 laps '[laps']]]</f>
        <v>2.1215295681199464</v>
      </c>
      <c r="AC278" s="1">
        <f>9 * intermediate_results[[#This Row], [All cumulative times '[sec']]] / SUM(intermediate_results[[#This Row], [Team1 laps '[laps']]:[Team9 laps '[laps']]])</f>
        <v>54.693462073384516</v>
      </c>
      <c r="AD278" s="1">
        <f>intermediate_results[[#This Row], [All cumulative times '[sec']]] / intermediate_results[[#This Row], [Team1 laps '[laps']]] - intermediate_results[[#This Row], [Total running average '[sec']]]</f>
        <v>-1.9971452818415401</v>
      </c>
      <c r="AE278" s="1">
        <f>intermediate_results[[#This Row], [All cumulative times '[sec']]] / intermediate_results[[#This Row], [Team2 laps '[laps']]] - intermediate_results[[#This Row], [Total running average '[sec']]]</f>
        <v>-1.5376783742365134</v>
      </c>
      <c r="AF278" s="1">
        <f>intermediate_results[[#This Row], [All cumulative times '[sec']]] / intermediate_results[[#This Row], [Team3 laps '[laps']]] - intermediate_results[[#This Row], [Total running average '[sec']]]</f>
        <v>-1.138996412760001</v>
      </c>
      <c r="AG278" s="1">
        <f>intermediate_results[[#This Row], [All cumulative times '[sec']]] / intermediate_results[[#This Row], [Team4 laps '[laps']]] - intermediate_results[[#This Row], [Total running average '[sec']]]</f>
        <v>-0.2449793592476226</v>
      </c>
      <c r="AH278" s="1">
        <f>intermediate_results[[#This Row], [All cumulative times '[sec']]] / intermediate_results[[#This Row], [Team5 laps '[laps']]] - intermediate_results[[#This Row], [Total running average '[sec']]]</f>
        <v>0.18179599113162226</v>
      </c>
      <c r="AI278" s="1">
        <f>intermediate_results[[#This Row], [All cumulative times '[sec']]] / intermediate_results[[#This Row], [Team6 laps '[laps']]] - intermediate_results[[#This Row], [Total running average '[sec']]]</f>
        <v>0.72510594452401733</v>
      </c>
      <c r="AJ278" s="1">
        <f>intermediate_results[[#This Row], [All cumulative times '[sec']]] / intermediate_results[[#This Row], [Team7 laps '[laps']]] - intermediate_results[[#This Row], [Total running average '[sec']]]</f>
        <v>0.82075735680948725</v>
      </c>
      <c r="AK278" s="1">
        <f>intermediate_results[[#This Row], [All cumulative times '[sec']]] / intermediate_results[[#This Row], [Team8 laps '[laps']]] - intermediate_results[[#This Row], [Total running average '[sec']]]</f>
        <v>1.7556774108319857</v>
      </c>
      <c r="AL278" s="1">
        <f>intermediate_results[[#This Row], [All cumulative times '[sec']]] / intermediate_results[[#This Row], [Team9 laps '[laps']]] - intermediate_results[[#This Row], [Total running average '[sec']]]</f>
        <v>1.7096093130541306</v>
      </c>
    </row>
    <row r="279" spans="1:38" x14ac:dyDescent="0.25">
      <c r="A279" s="1">
        <v>1713.537</v>
      </c>
      <c r="B279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32.519121501406133</v>
      </c>
      <c r="C279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32.231377391176153</v>
      </c>
      <c r="D279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32</v>
      </c>
      <c r="E279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31.474327172352059</v>
      </c>
      <c r="F279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31.229270636945024</v>
      </c>
      <c r="G279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30.924043886571219</v>
      </c>
      <c r="H279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30.87630377177652</v>
      </c>
      <c r="I279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30.360276676263428</v>
      </c>
      <c r="J279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30.38030117596978</v>
      </c>
      <c r="K279" s="1">
        <f>intermediate_results[[#This Row], [Team1 laps '[laps']]] - intermediate_results[[#This Row], [Team1 laps '[laps']]]</f>
        <v>0</v>
      </c>
      <c r="L279" s="1">
        <f>intermediate_results[[#This Row], [Team1 laps '[laps']]] - intermediate_results[[#This Row], [Team2 laps '[laps']]]</f>
        <v>0.28774411022997981</v>
      </c>
      <c r="M279" s="1">
        <f>intermediate_results[[#This Row], [Team1 laps '[laps']]] - intermediate_results[[#This Row], [Team3 laps '[laps']]]</f>
        <v>0.51912150140613278</v>
      </c>
      <c r="N279" s="1">
        <f>intermediate_results[[#This Row], [Team1 laps '[laps']]] - intermediate_results[[#This Row], [Team4 laps '[laps']]]</f>
        <v>1.0447943290540742</v>
      </c>
      <c r="O279" s="1">
        <f>intermediate_results[[#This Row], [Team1 laps '[laps']]] - intermediate_results[[#This Row], [Team5 laps '[laps']]]</f>
        <v>1.2898508644611084</v>
      </c>
      <c r="P279" s="1">
        <f>intermediate_results[[#This Row], [Team1 laps '[laps']]] - intermediate_results[[#This Row], [Team6 laps '[laps']]]</f>
        <v>1.5950776148349135</v>
      </c>
      <c r="Q279" s="1">
        <f>intermediate_results[[#This Row], [Team1 laps '[laps']]] - intermediate_results[[#This Row], [Team7 laps '[laps']]]</f>
        <v>1.6428177296296127</v>
      </c>
      <c r="R279" s="1">
        <f>intermediate_results[[#This Row], [Team1 laps '[laps']]] - intermediate_results[[#This Row], [Team8 laps '[laps']]]</f>
        <v>2.1588448251427046</v>
      </c>
      <c r="S279" s="1">
        <f>intermediate_results[[#This Row], [Team1 laps '[laps']]] - intermediate_results[[#This Row], [Team9 laps '[laps']]]</f>
        <v>2.1388203254363525</v>
      </c>
      <c r="T279" s="1">
        <f>MAX(intermediate_results[[#This Row], [Team1 laps '[laps']]:[Team9 laps '[laps']]]) - intermediate_results[[#This Row], [Team1 laps '[laps']]]</f>
        <v>0</v>
      </c>
      <c r="U279" s="1">
        <f>MAX(intermediate_results[[#This Row], [Team1 laps '[laps']]:[Team9 laps '[laps']]]) - intermediate_results[[#This Row], [Team2 laps '[laps']]]</f>
        <v>0.28774411022997981</v>
      </c>
      <c r="V279" s="1">
        <f>MAX(intermediate_results[[#This Row], [Team1 laps '[laps']]:[Team9 laps '[laps']]]) - intermediate_results[[#This Row], [Team3 laps '[laps']]]</f>
        <v>0.51912150140613278</v>
      </c>
      <c r="W279" s="1">
        <f>MAX(intermediate_results[[#This Row], [Team1 laps '[laps']]:[Team9 laps '[laps']]]) - intermediate_results[[#This Row], [Team4 laps '[laps']]]</f>
        <v>1.0447943290540742</v>
      </c>
      <c r="X279" s="1">
        <f>MAX(intermediate_results[[#This Row], [Team1 laps '[laps']]:[Team9 laps '[laps']]]) - intermediate_results[[#This Row], [Team5 laps '[laps']]]</f>
        <v>1.2898508644611084</v>
      </c>
      <c r="Y279" s="1">
        <f>MAX(intermediate_results[[#This Row], [Team1 laps '[laps']]:[Team9 laps '[laps']]]) - intermediate_results[[#This Row], [Team6 laps '[laps']]]</f>
        <v>1.5950776148349135</v>
      </c>
      <c r="Z279" s="1">
        <f>MAX(intermediate_results[[#This Row], [Team1 laps '[laps']]:[Team9 laps '[laps']]]) - intermediate_results[[#This Row], [Team7 laps '[laps']]]</f>
        <v>1.6428177296296127</v>
      </c>
      <c r="AA279" s="1">
        <f>MAX(intermediate_results[[#This Row], [Team1 laps '[laps']]:[Team9 laps '[laps']]]) - intermediate_results[[#This Row], [Team8 laps '[laps']]]</f>
        <v>2.1588448251427046</v>
      </c>
      <c r="AB279" s="1">
        <f>MAX(intermediate_results[[#This Row], [Team1 laps '[laps']]:[Team9 laps '[laps']]]) - intermediate_results[[#This Row], [Team9 laps '[laps']]]</f>
        <v>2.1388203254363525</v>
      </c>
      <c r="AC279" s="1">
        <f>9 * intermediate_results[[#This Row], [All cumulative times '[sec']]] / SUM(intermediate_results[[#This Row], [Team1 laps '[laps']]:[Team9 laps '[laps']]])</f>
        <v>54.68831640716305</v>
      </c>
      <c r="AD279" s="1">
        <f>intermediate_results[[#This Row], [All cumulative times '[sec']]] / intermediate_results[[#This Row], [Team1 laps '[laps']]] - intermediate_results[[#This Row], [Total running average '[sec']]]</f>
        <v>-1.9951032794373731</v>
      </c>
      <c r="AE279" s="1">
        <f>intermediate_results[[#This Row], [All cumulative times '[sec']]] / intermediate_results[[#This Row], [Team2 laps '[laps']]] - intermediate_results[[#This Row], [Total running average '[sec']]]</f>
        <v>-1.5246870901885998</v>
      </c>
      <c r="AF279" s="1">
        <f>intermediate_results[[#This Row], [All cumulative times '[sec']]] / intermediate_results[[#This Row], [Team3 laps '[laps']]] - intermediate_results[[#This Row], [Total running average '[sec']]]</f>
        <v>-1.1402851571630492</v>
      </c>
      <c r="AG279" s="1">
        <f>intermediate_results[[#This Row], [All cumulative times '[sec']]] / intermediate_results[[#This Row], [Team4 laps '[laps']]] - intermediate_results[[#This Row], [Total running average '[sec']]]</f>
        <v>-0.24594530843406659</v>
      </c>
      <c r="AH279" s="1">
        <f>intermediate_results[[#This Row], [All cumulative times '[sec']]] / intermediate_results[[#This Row], [Team5 laps '[laps']]] - intermediate_results[[#This Row], [Total running average '[sec']]]</f>
        <v>0.18126475983487467</v>
      </c>
      <c r="AI279" s="1">
        <f>intermediate_results[[#This Row], [All cumulative times '[sec']]] / intermediate_results[[#This Row], [Team6 laps '[laps']]] - intermediate_results[[#This Row], [Total running average '[sec']]]</f>
        <v>0.7228389477193744</v>
      </c>
      <c r="AJ279" s="1">
        <f>intermediate_results[[#This Row], [All cumulative times '[sec']]] / intermediate_results[[#This Row], [Team7 laps '[laps']]] - intermediate_results[[#This Row], [Total running average '[sec']]]</f>
        <v>0.80851419360055843</v>
      </c>
      <c r="AK279" s="1">
        <f>intermediate_results[[#This Row], [All cumulative times '[sec']]] / intermediate_results[[#This Row], [Team8 laps '[laps']]] - intermediate_results[[#This Row], [Total running average '[sec']]]</f>
        <v>1.7517818920627448</v>
      </c>
      <c r="AL279" s="1">
        <f>intermediate_results[[#This Row], [All cumulative times '[sec']]] / intermediate_results[[#This Row], [Team9 laps '[laps']]] - intermediate_results[[#This Row], [Total running average '[sec']]]</f>
        <v>1.7145806567862039</v>
      </c>
    </row>
    <row r="280" spans="1:38" x14ac:dyDescent="0.25">
      <c r="A280" s="1">
        <v>1717.67</v>
      </c>
      <c r="B280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32.598190201067517</v>
      </c>
      <c r="C280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32.307544874866394</v>
      </c>
      <c r="D280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32.078674357070796</v>
      </c>
      <c r="E280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31.551410933099582</v>
      </c>
      <c r="F280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31.305663376584967</v>
      </c>
      <c r="G280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30.999999999999996</v>
      </c>
      <c r="H280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30.953975681719953</v>
      </c>
      <c r="I280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30.435113259818575</v>
      </c>
      <c r="J280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30.453608613136101</v>
      </c>
      <c r="K280" s="1">
        <f>intermediate_results[[#This Row], [Team1 laps '[laps']]] - intermediate_results[[#This Row], [Team1 laps '[laps']]]</f>
        <v>0</v>
      </c>
      <c r="L280" s="1">
        <f>intermediate_results[[#This Row], [Team1 laps '[laps']]] - intermediate_results[[#This Row], [Team2 laps '[laps']]]</f>
        <v>0.2906453262011226</v>
      </c>
      <c r="M280" s="1">
        <f>intermediate_results[[#This Row], [Team1 laps '[laps']]] - intermediate_results[[#This Row], [Team3 laps '[laps']]]</f>
        <v>0.51951584399672157</v>
      </c>
      <c r="N280" s="1">
        <f>intermediate_results[[#This Row], [Team1 laps '[laps']]] - intermediate_results[[#This Row], [Team4 laps '[laps']]]</f>
        <v>1.0467792679679349</v>
      </c>
      <c r="O280" s="1">
        <f>intermediate_results[[#This Row], [Team1 laps '[laps']]] - intermediate_results[[#This Row], [Team5 laps '[laps']]]</f>
        <v>1.2925268244825503</v>
      </c>
      <c r="P280" s="1">
        <f>intermediate_results[[#This Row], [Team1 laps '[laps']]] - intermediate_results[[#This Row], [Team6 laps '[laps']]]</f>
        <v>1.5981902010675206</v>
      </c>
      <c r="Q280" s="1">
        <f>intermediate_results[[#This Row], [Team1 laps '[laps']]] - intermediate_results[[#This Row], [Team7 laps '[laps']]]</f>
        <v>1.6442145193475639</v>
      </c>
      <c r="R280" s="1">
        <f>intermediate_results[[#This Row], [Team1 laps '[laps']]] - intermediate_results[[#This Row], [Team8 laps '[laps']]]</f>
        <v>2.1630769412489421</v>
      </c>
      <c r="S280" s="1">
        <f>intermediate_results[[#This Row], [Team1 laps '[laps']]] - intermediate_results[[#This Row], [Team9 laps '[laps']]]</f>
        <v>2.1445815879314161</v>
      </c>
      <c r="T280" s="1">
        <f>MAX(intermediate_results[[#This Row], [Team1 laps '[laps']]:[Team9 laps '[laps']]]) - intermediate_results[[#This Row], [Team1 laps '[laps']]]</f>
        <v>0</v>
      </c>
      <c r="U280" s="1">
        <f>MAX(intermediate_results[[#This Row], [Team1 laps '[laps']]:[Team9 laps '[laps']]]) - intermediate_results[[#This Row], [Team2 laps '[laps']]]</f>
        <v>0.2906453262011226</v>
      </c>
      <c r="V280" s="1">
        <f>MAX(intermediate_results[[#This Row], [Team1 laps '[laps']]:[Team9 laps '[laps']]]) - intermediate_results[[#This Row], [Team3 laps '[laps']]]</f>
        <v>0.51951584399672157</v>
      </c>
      <c r="W280" s="1">
        <f>MAX(intermediate_results[[#This Row], [Team1 laps '[laps']]:[Team9 laps '[laps']]]) - intermediate_results[[#This Row], [Team4 laps '[laps']]]</f>
        <v>1.0467792679679349</v>
      </c>
      <c r="X280" s="1">
        <f>MAX(intermediate_results[[#This Row], [Team1 laps '[laps']]:[Team9 laps '[laps']]]) - intermediate_results[[#This Row], [Team5 laps '[laps']]]</f>
        <v>1.2925268244825503</v>
      </c>
      <c r="Y280" s="1">
        <f>MAX(intermediate_results[[#This Row], [Team1 laps '[laps']]:[Team9 laps '[laps']]]) - intermediate_results[[#This Row], [Team6 laps '[laps']]]</f>
        <v>1.5981902010675206</v>
      </c>
      <c r="Z280" s="1">
        <f>MAX(intermediate_results[[#This Row], [Team1 laps '[laps']]:[Team9 laps '[laps']]]) - intermediate_results[[#This Row], [Team7 laps '[laps']]]</f>
        <v>1.6442145193475639</v>
      </c>
      <c r="AA280" s="1">
        <f>MAX(intermediate_results[[#This Row], [Team1 laps '[laps']]:[Team9 laps '[laps']]]) - intermediate_results[[#This Row], [Team8 laps '[laps']]]</f>
        <v>2.1630769412489421</v>
      </c>
      <c r="AB280" s="1">
        <f>MAX(intermediate_results[[#This Row], [Team1 laps '[laps']]:[Team9 laps '[laps']]]) - intermediate_results[[#This Row], [Team9 laps '[laps']]]</f>
        <v>2.1445815879314161</v>
      </c>
      <c r="AC280" s="1">
        <f>9 * intermediate_results[[#This Row], [All cumulative times '[sec']]] / SUM(intermediate_results[[#This Row], [Team1 laps '[laps']]:[Team9 laps '[laps']]])</f>
        <v>54.686576125525008</v>
      </c>
      <c r="AD280" s="1">
        <f>intermediate_results[[#This Row], [All cumulative times '[sec']]] / intermediate_results[[#This Row], [Team1 laps '[laps']]] - intermediate_results[[#This Row], [Total running average '[sec']]]</f>
        <v>-1.9943870989160928</v>
      </c>
      <c r="AE280" s="1">
        <f>intermediate_results[[#This Row], [All cumulative times '[sec']]] / intermediate_results[[#This Row], [Team2 laps '[laps']]] - intermediate_results[[#This Row], [Total running average '[sec']]]</f>
        <v>-1.5203573164858</v>
      </c>
      <c r="AF280" s="1">
        <f>intermediate_results[[#This Row], [All cumulative times '[sec']]] / intermediate_results[[#This Row], [Team3 laps '[laps']]] - intermediate_results[[#This Row], [Total running average '[sec']]]</f>
        <v>-1.1410342842241192</v>
      </c>
      <c r="AG280" s="1">
        <f>intermediate_results[[#This Row], [All cumulative times '[sec']]] / intermediate_results[[#This Row], [Team4 laps '[laps']]] - intermediate_results[[#This Row], [Total running average '[sec']]]</f>
        <v>-0.24622150423461164</v>
      </c>
      <c r="AH280" s="1">
        <f>intermediate_results[[#This Row], [All cumulative times '[sec']]] / intermediate_results[[#This Row], [Team5 laps '[laps']]] - intermediate_results[[#This Row], [Total running average '[sec']]]</f>
        <v>0.18113197372993994</v>
      </c>
      <c r="AI280" s="1">
        <f>intermediate_results[[#This Row], [All cumulative times '[sec']]] / intermediate_results[[#This Row], [Team6 laps '[laps']]] - intermediate_results[[#This Row], [Total running average '[sec']]]</f>
        <v>0.72213355189435902</v>
      </c>
      <c r="AJ280" s="1">
        <f>intermediate_results[[#This Row], [All cumulative times '[sec']]] / intermediate_results[[#This Row], [Team7 laps '[laps']]] - intermediate_results[[#This Row], [Total running average '[sec']]]</f>
        <v>0.8045187070647799</v>
      </c>
      <c r="AK280" s="1">
        <f>intermediate_results[[#This Row], [All cumulative times '[sec']]] / intermediate_results[[#This Row], [Team8 laps '[laps']]] - intermediate_results[[#This Row], [Total running average '[sec']]]</f>
        <v>1.7505392989056219</v>
      </c>
      <c r="AL280" s="1">
        <f>intermediate_results[[#This Row], [All cumulative times '[sec']]] / intermediate_results[[#This Row], [Team9 laps '[laps']]] - intermediate_results[[#This Row], [Total running average '[sec']]]</f>
        <v>1.716263413796014</v>
      </c>
    </row>
    <row r="281" spans="1:38" x14ac:dyDescent="0.25">
      <c r="A281" s="1">
        <v>1720.1189999999999</v>
      </c>
      <c r="B281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32.645042184002598</v>
      </c>
      <c r="C281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32.352677748700749</v>
      </c>
      <c r="D281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32.125292673176858</v>
      </c>
      <c r="E281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31.597086744875696</v>
      </c>
      <c r="F281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31.350929725333621</v>
      </c>
      <c r="G281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31.045377902128994</v>
      </c>
      <c r="H281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31.000000000000004</v>
      </c>
      <c r="I281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30.479457511724341</v>
      </c>
      <c r="J281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30.497046772734532</v>
      </c>
      <c r="K281" s="1">
        <f>intermediate_results[[#This Row], [Team1 laps '[laps']]] - intermediate_results[[#This Row], [Team1 laps '[laps']]]</f>
        <v>0</v>
      </c>
      <c r="L281" s="1">
        <f>intermediate_results[[#This Row], [Team1 laps '[laps']]] - intermediate_results[[#This Row], [Team2 laps '[laps']]]</f>
        <v>0.29236443530184886</v>
      </c>
      <c r="M281" s="1">
        <f>intermediate_results[[#This Row], [Team1 laps '[laps']]] - intermediate_results[[#This Row], [Team3 laps '[laps']]]</f>
        <v>0.51974951082573995</v>
      </c>
      <c r="N281" s="1">
        <f>intermediate_results[[#This Row], [Team1 laps '[laps']]] - intermediate_results[[#This Row], [Team4 laps '[laps']]]</f>
        <v>1.0479554391269019</v>
      </c>
      <c r="O281" s="1">
        <f>intermediate_results[[#This Row], [Team1 laps '[laps']]] - intermediate_results[[#This Row], [Team5 laps '[laps']]]</f>
        <v>1.2941124586689767</v>
      </c>
      <c r="P281" s="1">
        <f>intermediate_results[[#This Row], [Team1 laps '[laps']]] - intermediate_results[[#This Row], [Team6 laps '[laps']]]</f>
        <v>1.5996642818736042</v>
      </c>
      <c r="Q281" s="1">
        <f>intermediate_results[[#This Row], [Team1 laps '[laps']]] - intermediate_results[[#This Row], [Team7 laps '[laps']]]</f>
        <v>1.6450421840025946</v>
      </c>
      <c r="R281" s="1">
        <f>intermediate_results[[#This Row], [Team1 laps '[laps']]] - intermediate_results[[#This Row], [Team8 laps '[laps']]]</f>
        <v>2.165584672278257</v>
      </c>
      <c r="S281" s="1">
        <f>intermediate_results[[#This Row], [Team1 laps '[laps']]] - intermediate_results[[#This Row], [Team9 laps '[laps']]]</f>
        <v>2.1479954112680666</v>
      </c>
      <c r="T281" s="1">
        <f>MAX(intermediate_results[[#This Row], [Team1 laps '[laps']]:[Team9 laps '[laps']]]) - intermediate_results[[#This Row], [Team1 laps '[laps']]]</f>
        <v>0</v>
      </c>
      <c r="U281" s="1">
        <f>MAX(intermediate_results[[#This Row], [Team1 laps '[laps']]:[Team9 laps '[laps']]]) - intermediate_results[[#This Row], [Team2 laps '[laps']]]</f>
        <v>0.29236443530184886</v>
      </c>
      <c r="V281" s="1">
        <f>MAX(intermediate_results[[#This Row], [Team1 laps '[laps']]:[Team9 laps '[laps']]]) - intermediate_results[[#This Row], [Team3 laps '[laps']]]</f>
        <v>0.51974951082573995</v>
      </c>
      <c r="W281" s="1">
        <f>MAX(intermediate_results[[#This Row], [Team1 laps '[laps']]:[Team9 laps '[laps']]]) - intermediate_results[[#This Row], [Team4 laps '[laps']]]</f>
        <v>1.0479554391269019</v>
      </c>
      <c r="X281" s="1">
        <f>MAX(intermediate_results[[#This Row], [Team1 laps '[laps']]:[Team9 laps '[laps']]]) - intermediate_results[[#This Row], [Team5 laps '[laps']]]</f>
        <v>1.2941124586689767</v>
      </c>
      <c r="Y281" s="1">
        <f>MAX(intermediate_results[[#This Row], [Team1 laps '[laps']]:[Team9 laps '[laps']]]) - intermediate_results[[#This Row], [Team6 laps '[laps']]]</f>
        <v>1.5996642818736042</v>
      </c>
      <c r="Z281" s="1">
        <f>MAX(intermediate_results[[#This Row], [Team1 laps '[laps']]:[Team9 laps '[laps']]]) - intermediate_results[[#This Row], [Team7 laps '[laps']]]</f>
        <v>1.6450421840025946</v>
      </c>
      <c r="AA281" s="1">
        <f>MAX(intermediate_results[[#This Row], [Team1 laps '[laps']]:[Team9 laps '[laps']]]) - intermediate_results[[#This Row], [Team8 laps '[laps']]]</f>
        <v>2.165584672278257</v>
      </c>
      <c r="AB281" s="1">
        <f>MAX(intermediate_results[[#This Row], [Team1 laps '[laps']]:[Team9 laps '[laps']]]) - intermediate_results[[#This Row], [Team9 laps '[laps']]]</f>
        <v>2.1479954112680666</v>
      </c>
      <c r="AC281" s="1">
        <f>9 * intermediate_results[[#This Row], [All cumulative times '[sec']]] / SUM(intermediate_results[[#This Row], [Team1 laps '[laps']]:[Team9 laps '[laps']]])</f>
        <v>54.685477396625316</v>
      </c>
      <c r="AD281" s="1">
        <f>intermediate_results[[#This Row], [All cumulative times '[sec']]] / intermediate_results[[#This Row], [Team1 laps '[laps']]] - intermediate_results[[#This Row], [Total running average '[sec']]]</f>
        <v>-1.9938928581642728</v>
      </c>
      <c r="AE281" s="1">
        <f>intermediate_results[[#This Row], [All cumulative times '[sec']]] / intermediate_results[[#This Row], [Team2 laps '[laps']]] - intermediate_results[[#This Row], [Total running average '[sec']]]</f>
        <v>-1.5177299427355635</v>
      </c>
      <c r="AF281" s="1">
        <f>intermediate_results[[#This Row], [All cumulative times '[sec']]] / intermediate_results[[#This Row], [Team3 laps '[laps']]] - intermediate_results[[#This Row], [Total running average '[sec']]]</f>
        <v>-1.1414048958875966</v>
      </c>
      <c r="AG281" s="1">
        <f>intermediate_results[[#This Row], [All cumulative times '[sec']]] / intermediate_results[[#This Row], [Team4 laps '[laps']]] - intermediate_results[[#This Row], [Total running average '[sec']]]</f>
        <v>-0.2463129923638121</v>
      </c>
      <c r="AH281" s="1">
        <f>intermediate_results[[#This Row], [All cumulative times '[sec']]] / intermediate_results[[#This Row], [Team5 laps '[laps']]] - intermediate_results[[#This Row], [Total running average '[sec']]]</f>
        <v>0.18112512744688303</v>
      </c>
      <c r="AI281" s="1">
        <f>intermediate_results[[#This Row], [All cumulative times '[sec']]] / intermediate_results[[#This Row], [Team6 laps '[laps']]] - intermediate_results[[#This Row], [Total running average '[sec']]]</f>
        <v>0.7211279094109031</v>
      </c>
      <c r="AJ281" s="1">
        <f>intermediate_results[[#This Row], [All cumulative times '[sec']]] / intermediate_results[[#This Row], [Team7 laps '[laps']]] - intermediate_results[[#This Row], [Total running average '[sec']]]</f>
        <v>0.80223228079402986</v>
      </c>
      <c r="AK281" s="1">
        <f>intermediate_results[[#This Row], [All cumulative times '[sec']]] / intermediate_results[[#This Row], [Team8 laps '[laps']]] - intermediate_results[[#This Row], [Total running average '[sec']]]</f>
        <v>1.7498774432150128</v>
      </c>
      <c r="AL281" s="1">
        <f>intermediate_results[[#This Row], [All cumulative times '[sec']]] / intermediate_results[[#This Row], [Team9 laps '[laps']]] - intermediate_results[[#This Row], [Total running average '[sec']]]</f>
        <v>1.7173281870893931</v>
      </c>
    </row>
    <row r="282" spans="1:38" x14ac:dyDescent="0.25">
      <c r="A282" s="1">
        <v>1738.673</v>
      </c>
      <c r="B282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33</v>
      </c>
      <c r="C282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32.694611330212673</v>
      </c>
      <c r="D282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32.478480193402241</v>
      </c>
      <c r="E282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31.943133707592747</v>
      </c>
      <c r="F282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31.69387453328897</v>
      </c>
      <c r="G282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31.389167855620812</v>
      </c>
      <c r="H282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31.345068719894368</v>
      </c>
      <c r="I282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30.815416372426537</v>
      </c>
      <c r="J282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30.826140939002116</v>
      </c>
      <c r="K282" s="1">
        <f>intermediate_results[[#This Row], [Team1 laps '[laps']]] - intermediate_results[[#This Row], [Team1 laps '[laps']]]</f>
        <v>0</v>
      </c>
      <c r="L282" s="1">
        <f>intermediate_results[[#This Row], [Team1 laps '[laps']]] - intermediate_results[[#This Row], [Team2 laps '[laps']]]</f>
        <v>0.30538866978732671</v>
      </c>
      <c r="M282" s="1">
        <f>intermediate_results[[#This Row], [Team1 laps '[laps']]] - intermediate_results[[#This Row], [Team3 laps '[laps']]]</f>
        <v>0.52151980659775887</v>
      </c>
      <c r="N282" s="1">
        <f>intermediate_results[[#This Row], [Team1 laps '[laps']]] - intermediate_results[[#This Row], [Team4 laps '[laps']]]</f>
        <v>1.0568662924072534</v>
      </c>
      <c r="O282" s="1">
        <f>intermediate_results[[#This Row], [Team1 laps '[laps']]] - intermediate_results[[#This Row], [Team5 laps '[laps']]]</f>
        <v>1.3061254667110305</v>
      </c>
      <c r="P282" s="1">
        <f>intermediate_results[[#This Row], [Team1 laps '[laps']]] - intermediate_results[[#This Row], [Team6 laps '[laps']]]</f>
        <v>1.610832144379188</v>
      </c>
      <c r="Q282" s="1">
        <f>intermediate_results[[#This Row], [Team1 laps '[laps']]] - intermediate_results[[#This Row], [Team7 laps '[laps']]]</f>
        <v>1.6549312801056324</v>
      </c>
      <c r="R282" s="1">
        <f>intermediate_results[[#This Row], [Team1 laps '[laps']]] - intermediate_results[[#This Row], [Team8 laps '[laps']]]</f>
        <v>2.1845836275734634</v>
      </c>
      <c r="S282" s="1">
        <f>intermediate_results[[#This Row], [Team1 laps '[laps']]] - intermediate_results[[#This Row], [Team9 laps '[laps']]]</f>
        <v>2.1738590609978843</v>
      </c>
      <c r="T282" s="1">
        <f>MAX(intermediate_results[[#This Row], [Team1 laps '[laps']]:[Team9 laps '[laps']]]) - intermediate_results[[#This Row], [Team1 laps '[laps']]]</f>
        <v>0</v>
      </c>
      <c r="U282" s="1">
        <f>MAX(intermediate_results[[#This Row], [Team1 laps '[laps']]:[Team9 laps '[laps']]]) - intermediate_results[[#This Row], [Team2 laps '[laps']]]</f>
        <v>0.30538866978732671</v>
      </c>
      <c r="V282" s="1">
        <f>MAX(intermediate_results[[#This Row], [Team1 laps '[laps']]:[Team9 laps '[laps']]]) - intermediate_results[[#This Row], [Team3 laps '[laps']]]</f>
        <v>0.52151980659775887</v>
      </c>
      <c r="W282" s="1">
        <f>MAX(intermediate_results[[#This Row], [Team1 laps '[laps']]:[Team9 laps '[laps']]]) - intermediate_results[[#This Row], [Team4 laps '[laps']]]</f>
        <v>1.0568662924072534</v>
      </c>
      <c r="X282" s="1">
        <f>MAX(intermediate_results[[#This Row], [Team1 laps '[laps']]:[Team9 laps '[laps']]]) - intermediate_results[[#This Row], [Team5 laps '[laps']]]</f>
        <v>1.3061254667110305</v>
      </c>
      <c r="Y282" s="1">
        <f>MAX(intermediate_results[[#This Row], [Team1 laps '[laps']]:[Team9 laps '[laps']]]) - intermediate_results[[#This Row], [Team6 laps '[laps']]]</f>
        <v>1.610832144379188</v>
      </c>
      <c r="Z282" s="1">
        <f>MAX(intermediate_results[[#This Row], [Team1 laps '[laps']]:[Team9 laps '[laps']]]) - intermediate_results[[#This Row], [Team7 laps '[laps']]]</f>
        <v>1.6549312801056324</v>
      </c>
      <c r="AA282" s="1">
        <f>MAX(intermediate_results[[#This Row], [Team1 laps '[laps']]:[Team9 laps '[laps']]]) - intermediate_results[[#This Row], [Team8 laps '[laps']]]</f>
        <v>2.1845836275734634</v>
      </c>
      <c r="AB282" s="1">
        <f>MAX(intermediate_results[[#This Row], [Team1 laps '[laps']]:[Team9 laps '[laps']]]) - intermediate_results[[#This Row], [Team9 laps '[laps']]]</f>
        <v>2.1738590609978843</v>
      </c>
      <c r="AC282" s="1">
        <f>9 * intermediate_results[[#This Row], [All cumulative times '[sec']]] / SUM(intermediate_results[[#This Row], [Team1 laps '[laps']]:[Team9 laps '[laps']]])</f>
        <v>54.677946562448398</v>
      </c>
      <c r="AD282" s="1">
        <f>intermediate_results[[#This Row], [All cumulative times '[sec']]] / intermediate_results[[#This Row], [Team1 laps '[laps']]] - intermediate_results[[#This Row], [Total running average '[sec']]]</f>
        <v>-1.9908859563877925</v>
      </c>
      <c r="AE282" s="1">
        <f>intermediate_results[[#This Row], [All cumulative times '[sec']]] / intermediate_results[[#This Row], [Team2 laps '[laps']]] - intermediate_results[[#This Row], [Total running average '[sec']]]</f>
        <v>-1.4987549690828459</v>
      </c>
      <c r="AF282" s="1">
        <f>intermediate_results[[#This Row], [All cumulative times '[sec']]] / intermediate_results[[#This Row], [Team3 laps '[laps']]] - intermediate_results[[#This Row], [Total running average '[sec']]]</f>
        <v>-1.1448689785656896</v>
      </c>
      <c r="AG282" s="1">
        <f>intermediate_results[[#This Row], [All cumulative times '[sec']]] / intermediate_results[[#This Row], [Team4 laps '[laps']]] - intermediate_results[[#This Row], [Total running average '[sec']]]</f>
        <v>-0.24768884522496393</v>
      </c>
      <c r="AH282" s="1">
        <f>intermediate_results[[#This Row], [All cumulative times '[sec']]] / intermediate_results[[#This Row], [Team5 laps '[laps']]] - intermediate_results[[#This Row], [Total running average '[sec']]]</f>
        <v>0.18038255013210147</v>
      </c>
      <c r="AI282" s="1">
        <f>intermediate_results[[#This Row], [All cumulative times '[sec']]] / intermediate_results[[#This Row], [Team6 laps '[laps']]] - intermediate_results[[#This Row], [Total running average '[sec']]]</f>
        <v>0.71291336723458443</v>
      </c>
      <c r="AJ282" s="1">
        <f>intermediate_results[[#This Row], [All cumulative times '[sec']]] / intermediate_results[[#This Row], [Team7 laps '[laps']]] - intermediate_results[[#This Row], [Total running average '[sec']]]</f>
        <v>0.79084234138588982</v>
      </c>
      <c r="AK282" s="1">
        <f>intermediate_results[[#This Row], [All cumulative times '[sec']]] / intermediate_results[[#This Row], [Team8 laps '[laps']]] - intermediate_results[[#This Row], [Total running average '[sec']]]</f>
        <v>1.744234432508236</v>
      </c>
      <c r="AL282" s="1">
        <f>intermediate_results[[#This Row], [All cumulative times '[sec']]] / intermediate_results[[#This Row], [Team9 laps '[laps']]] - intermediate_results[[#This Row], [Total running average '[sec']]]</f>
        <v>1.7246048772675309</v>
      </c>
    </row>
    <row r="283" spans="1:38" x14ac:dyDescent="0.25">
      <c r="A283" s="1">
        <v>1741.722</v>
      </c>
      <c r="B283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33.058185912482585</v>
      </c>
      <c r="C283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32.750801665990934</v>
      </c>
      <c r="D283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32.536519901776025</v>
      </c>
      <c r="E283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32.000000000000007</v>
      </c>
      <c r="F283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31.750231045063025</v>
      </c>
      <c r="G283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31.445663251125641</v>
      </c>
      <c r="H283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31.401774256541881</v>
      </c>
      <c r="I283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30.870624875513794</v>
      </c>
      <c r="J283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30.880221359016659</v>
      </c>
      <c r="K283" s="1">
        <f>intermediate_results[[#This Row], [Team1 laps '[laps']]] - intermediate_results[[#This Row], [Team1 laps '[laps']]]</f>
        <v>0</v>
      </c>
      <c r="L283" s="1">
        <f>intermediate_results[[#This Row], [Team1 laps '[laps']]] - intermediate_results[[#This Row], [Team2 laps '[laps']]]</f>
        <v>0.30738424649165097</v>
      </c>
      <c r="M283" s="1">
        <f>intermediate_results[[#This Row], [Team1 laps '[laps']]] - intermediate_results[[#This Row], [Team3 laps '[laps']]]</f>
        <v>0.52166601070656071</v>
      </c>
      <c r="N283" s="1">
        <f>intermediate_results[[#This Row], [Team1 laps '[laps']]] - intermediate_results[[#This Row], [Team4 laps '[laps']]]</f>
        <v>1.0581859124825783</v>
      </c>
      <c r="O283" s="1">
        <f>intermediate_results[[#This Row], [Team1 laps '[laps']]] - intermediate_results[[#This Row], [Team5 laps '[laps']]]</f>
        <v>1.3079548674195607</v>
      </c>
      <c r="P283" s="1">
        <f>intermediate_results[[#This Row], [Team1 laps '[laps']]] - intermediate_results[[#This Row], [Team6 laps '[laps']]]</f>
        <v>1.6125226613569446</v>
      </c>
      <c r="Q283" s="1">
        <f>intermediate_results[[#This Row], [Team1 laps '[laps']]] - intermediate_results[[#This Row], [Team7 laps '[laps']]]</f>
        <v>1.6564116559407047</v>
      </c>
      <c r="R283" s="1">
        <f>intermediate_results[[#This Row], [Team1 laps '[laps']]] - intermediate_results[[#This Row], [Team8 laps '[laps']]]</f>
        <v>2.1875610369687912</v>
      </c>
      <c r="S283" s="1">
        <f>intermediate_results[[#This Row], [Team1 laps '[laps']]] - intermediate_results[[#This Row], [Team9 laps '[laps']]]</f>
        <v>2.1779645534659267</v>
      </c>
      <c r="T283" s="1">
        <f>MAX(intermediate_results[[#This Row], [Team1 laps '[laps']]:[Team9 laps '[laps']]]) - intermediate_results[[#This Row], [Team1 laps '[laps']]]</f>
        <v>0</v>
      </c>
      <c r="U283" s="1">
        <f>MAX(intermediate_results[[#This Row], [Team1 laps '[laps']]:[Team9 laps '[laps']]]) - intermediate_results[[#This Row], [Team2 laps '[laps']]]</f>
        <v>0.30738424649165097</v>
      </c>
      <c r="V283" s="1">
        <f>MAX(intermediate_results[[#This Row], [Team1 laps '[laps']]:[Team9 laps '[laps']]]) - intermediate_results[[#This Row], [Team3 laps '[laps']]]</f>
        <v>0.52166601070656071</v>
      </c>
      <c r="W283" s="1">
        <f>MAX(intermediate_results[[#This Row], [Team1 laps '[laps']]:[Team9 laps '[laps']]]) - intermediate_results[[#This Row], [Team4 laps '[laps']]]</f>
        <v>1.0581859124825783</v>
      </c>
      <c r="X283" s="1">
        <f>MAX(intermediate_results[[#This Row], [Team1 laps '[laps']]:[Team9 laps '[laps']]]) - intermediate_results[[#This Row], [Team5 laps '[laps']]]</f>
        <v>1.3079548674195607</v>
      </c>
      <c r="Y283" s="1">
        <f>MAX(intermediate_results[[#This Row], [Team1 laps '[laps']]:[Team9 laps '[laps']]]) - intermediate_results[[#This Row], [Team6 laps '[laps']]]</f>
        <v>1.6125226613569446</v>
      </c>
      <c r="Z283" s="1">
        <f>MAX(intermediate_results[[#This Row], [Team1 laps '[laps']]:[Team9 laps '[laps']]]) - intermediate_results[[#This Row], [Team7 laps '[laps']]]</f>
        <v>1.6564116559407047</v>
      </c>
      <c r="AA283" s="1">
        <f>MAX(intermediate_results[[#This Row], [Team1 laps '[laps']]:[Team9 laps '[laps']]]) - intermediate_results[[#This Row], [Team8 laps '[laps']]]</f>
        <v>2.1875610369687912</v>
      </c>
      <c r="AB283" s="1">
        <f>MAX(intermediate_results[[#This Row], [Team1 laps '[laps']]:[Team9 laps '[laps']]]) - intermediate_results[[#This Row], [Team9 laps '[laps']]]</f>
        <v>2.1779645534659267</v>
      </c>
      <c r="AC283" s="1">
        <f>9 * intermediate_results[[#This Row], [All cumulative times '[sec']]] / SUM(intermediate_results[[#This Row], [Team1 laps '[laps']]:[Team9 laps '[laps']]])</f>
        <v>54.676752155555555</v>
      </c>
      <c r="AD283" s="1">
        <f>intermediate_results[[#This Row], [All cumulative times '[sec']]] / intermediate_results[[#This Row], [Team1 laps '[laps']]] - intermediate_results[[#This Row], [Total running average '[sec']]]</f>
        <v>-1.990195046493632</v>
      </c>
      <c r="AE283" s="1">
        <f>intermediate_results[[#This Row], [All cumulative times '[sec']]] / intermediate_results[[#This Row], [Team2 laps '[laps']]] - intermediate_results[[#This Row], [Total running average '[sec']]]</f>
        <v>-1.4957027949031811</v>
      </c>
      <c r="AF283" s="1">
        <f>intermediate_results[[#This Row], [All cumulative times '[sec']]] / intermediate_results[[#This Row], [Team3 laps '[laps']]] - intermediate_results[[#This Row], [Total running average '[sec']]]</f>
        <v>-1.1454585427765451</v>
      </c>
      <c r="AG283" s="1">
        <f>intermediate_results[[#This Row], [All cumulative times '[sec']]] / intermediate_results[[#This Row], [Team4 laps '[laps']]] - intermediate_results[[#This Row], [Total running average '[sec']]]</f>
        <v>-0.24793965555556952</v>
      </c>
      <c r="AH283" s="1">
        <f>intermediate_results[[#This Row], [All cumulative times '[sec']]] / intermediate_results[[#This Row], [Team5 laps '[laps']]] - intermediate_results[[#This Row], [Total running average '[sec']]]</f>
        <v>0.18023447638353929</v>
      </c>
      <c r="AI283" s="1">
        <f>intermediate_results[[#This Row], [All cumulative times '[sec']]] / intermediate_results[[#This Row], [Team6 laps '[laps']]] - intermediate_results[[#This Row], [Total running average '[sec']]]</f>
        <v>0.71155325529160507</v>
      </c>
      <c r="AJ283" s="1">
        <f>intermediate_results[[#This Row], [All cumulative times '[sec']]] / intermediate_results[[#This Row], [Team7 laps '[laps']]] - intermediate_results[[#This Row], [Total running average '[sec']]]</f>
        <v>0.78896725796293055</v>
      </c>
      <c r="AK283" s="1">
        <f>intermediate_results[[#This Row], [All cumulative times '[sec']]] / intermediate_results[[#This Row], [Team8 laps '[laps']]] - intermediate_results[[#This Row], [Total running average '[sec']]]</f>
        <v>1.7432913979363889</v>
      </c>
      <c r="AL283" s="1">
        <f>intermediate_results[[#This Row], [All cumulative times '[sec']]] / intermediate_results[[#This Row], [Team9 laps '[laps']]] - intermediate_results[[#This Row], [Total running average '[sec']]]</f>
        <v>1.7257580386091576</v>
      </c>
    </row>
    <row r="284" spans="1:38" x14ac:dyDescent="0.25">
      <c r="A284" s="1">
        <v>1748.4749999999999</v>
      </c>
      <c r="B284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33.187057498902689</v>
      </c>
      <c r="C284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32.875253400169548</v>
      </c>
      <c r="D284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32.665067671749185</v>
      </c>
      <c r="E284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32.127436734539828</v>
      </c>
      <c r="F284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31.87505082991386</v>
      </c>
      <c r="G284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31.570790639070569</v>
      </c>
      <c r="H284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31.527367070244942</v>
      </c>
      <c r="I284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30.992902022561434</v>
      </c>
      <c r="J284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31.000000000000004</v>
      </c>
      <c r="K284" s="1">
        <f>intermediate_results[[#This Row], [Team1 laps '[laps']]] - intermediate_results[[#This Row], [Team1 laps '[laps']]]</f>
        <v>0</v>
      </c>
      <c r="L284" s="1">
        <f>intermediate_results[[#This Row], [Team1 laps '[laps']]] - intermediate_results[[#This Row], [Team2 laps '[laps']]]</f>
        <v>0.31180409873314119</v>
      </c>
      <c r="M284" s="1">
        <f>intermediate_results[[#This Row], [Team1 laps '[laps']]] - intermediate_results[[#This Row], [Team3 laps '[laps']]]</f>
        <v>0.52198982715350439</v>
      </c>
      <c r="N284" s="1">
        <f>intermediate_results[[#This Row], [Team1 laps '[laps']]] - intermediate_results[[#This Row], [Team4 laps '[laps']]]</f>
        <v>1.0596207643628617</v>
      </c>
      <c r="O284" s="1">
        <f>intermediate_results[[#This Row], [Team1 laps '[laps']]] - intermediate_results[[#This Row], [Team5 laps '[laps']]]</f>
        <v>1.312006668988829</v>
      </c>
      <c r="P284" s="1">
        <f>intermediate_results[[#This Row], [Team1 laps '[laps']]] - intermediate_results[[#This Row], [Team6 laps '[laps']]]</f>
        <v>1.6162668598321197</v>
      </c>
      <c r="Q284" s="1">
        <f>intermediate_results[[#This Row], [Team1 laps '[laps']]] - intermediate_results[[#This Row], [Team7 laps '[laps']]]</f>
        <v>1.659690428657747</v>
      </c>
      <c r="R284" s="1">
        <f>intermediate_results[[#This Row], [Team1 laps '[laps']]] - intermediate_results[[#This Row], [Team8 laps '[laps']]]</f>
        <v>2.1941554763412547</v>
      </c>
      <c r="S284" s="1">
        <f>intermediate_results[[#This Row], [Team1 laps '[laps']]] - intermediate_results[[#This Row], [Team9 laps '[laps']]]</f>
        <v>2.1870574989026856</v>
      </c>
      <c r="T284" s="1">
        <f>MAX(intermediate_results[[#This Row], [Team1 laps '[laps']]:[Team9 laps '[laps']]]) - intermediate_results[[#This Row], [Team1 laps '[laps']]]</f>
        <v>0</v>
      </c>
      <c r="U284" s="1">
        <f>MAX(intermediate_results[[#This Row], [Team1 laps '[laps']]:[Team9 laps '[laps']]]) - intermediate_results[[#This Row], [Team2 laps '[laps']]]</f>
        <v>0.31180409873314119</v>
      </c>
      <c r="V284" s="1">
        <f>MAX(intermediate_results[[#This Row], [Team1 laps '[laps']]:[Team9 laps '[laps']]]) - intermediate_results[[#This Row], [Team3 laps '[laps']]]</f>
        <v>0.52198982715350439</v>
      </c>
      <c r="W284" s="1">
        <f>MAX(intermediate_results[[#This Row], [Team1 laps '[laps']]:[Team9 laps '[laps']]]) - intermediate_results[[#This Row], [Team4 laps '[laps']]]</f>
        <v>1.0596207643628617</v>
      </c>
      <c r="X284" s="1">
        <f>MAX(intermediate_results[[#This Row], [Team1 laps '[laps']]:[Team9 laps '[laps']]]) - intermediate_results[[#This Row], [Team5 laps '[laps']]]</f>
        <v>1.312006668988829</v>
      </c>
      <c r="Y284" s="1">
        <f>MAX(intermediate_results[[#This Row], [Team1 laps '[laps']]:[Team9 laps '[laps']]]) - intermediate_results[[#This Row], [Team6 laps '[laps']]]</f>
        <v>1.6162668598321197</v>
      </c>
      <c r="Z284" s="1">
        <f>MAX(intermediate_results[[#This Row], [Team1 laps '[laps']]:[Team9 laps '[laps']]]) - intermediate_results[[#This Row], [Team7 laps '[laps']]]</f>
        <v>1.659690428657747</v>
      </c>
      <c r="AA284" s="1">
        <f>MAX(intermediate_results[[#This Row], [Team1 laps '[laps']]:[Team9 laps '[laps']]]) - intermediate_results[[#This Row], [Team8 laps '[laps']]]</f>
        <v>2.1941554763412547</v>
      </c>
      <c r="AB284" s="1">
        <f>MAX(intermediate_results[[#This Row], [Team1 laps '[laps']]:[Team9 laps '[laps']]]) - intermediate_results[[#This Row], [Team9 laps '[laps']]]</f>
        <v>2.1870574989026856</v>
      </c>
      <c r="AC284" s="1">
        <f>9 * intermediate_results[[#This Row], [All cumulative times '[sec']]] / SUM(intermediate_results[[#This Row], [Team1 laps '[laps']]:[Team9 laps '[laps']]])</f>
        <v>54.673839133098014</v>
      </c>
      <c r="AD284" s="1">
        <f>intermediate_results[[#This Row], [All cumulative times '[sec']]] / intermediate_results[[#This Row], [Team1 laps '[laps']]] - intermediate_results[[#This Row], [Total running average '[sec']]]</f>
        <v>-1.9883908960010004</v>
      </c>
      <c r="AE284" s="1">
        <f>intermediate_results[[#This Row], [All cumulative times '[sec']]] / intermediate_results[[#This Row], [Team2 laps '[laps']]] - intermediate_results[[#This Row], [Total running average '[sec']]]</f>
        <v>-1.488697752834689</v>
      </c>
      <c r="AF284" s="1">
        <f>intermediate_results[[#This Row], [All cumulative times '[sec']]] / intermediate_results[[#This Row], [Team3 laps '[laps']]] - intermediate_results[[#This Row], [Total running average '[sec']]]</f>
        <v>-1.1464741335700452</v>
      </c>
      <c r="AG284" s="1">
        <f>intermediate_results[[#This Row], [All cumulative times '[sec']]] / intermediate_results[[#This Row], [Team4 laps '[laps']]] - intermediate_results[[#This Row], [Total running average '[sec']]]</f>
        <v>-0.25072986212915538</v>
      </c>
      <c r="AH284" s="1">
        <f>intermediate_results[[#This Row], [All cumulative times '[sec']]] / intermediate_results[[#This Row], [Team5 laps '[laps']]] - intermediate_results[[#This Row], [Total running average '[sec']]]</f>
        <v>0.18019104021559684</v>
      </c>
      <c r="AI284" s="1">
        <f>intermediate_results[[#This Row], [All cumulative times '[sec']]] / intermediate_results[[#This Row], [Team6 laps '[laps']]] - intermediate_results[[#This Row], [Total running average '[sec']]]</f>
        <v>0.70884101543672529</v>
      </c>
      <c r="AJ284" s="1">
        <f>intermediate_results[[#This Row], [All cumulative times '[sec']]] / intermediate_results[[#This Row], [Team7 laps '[laps']]] - intermediate_results[[#This Row], [Total running average '[sec']]]</f>
        <v>0.78512120774771432</v>
      </c>
      <c r="AK284" s="1">
        <f>intermediate_results[[#This Row], [All cumulative times '[sec']]] / intermediate_results[[#This Row], [Team8 laps '[laps']]] - intermediate_results[[#This Row], [Total running average '[sec']]]</f>
        <v>1.7414974729154835</v>
      </c>
      <c r="AL284" s="1">
        <f>intermediate_results[[#This Row], [All cumulative times '[sec']]] / intermediate_results[[#This Row], [Team9 laps '[laps']]] - intermediate_results[[#This Row], [Total running average '[sec']]]</f>
        <v>1.7285802217406854</v>
      </c>
    </row>
    <row r="285" spans="1:38" x14ac:dyDescent="0.25">
      <c r="A285" s="1">
        <v>1748.867</v>
      </c>
      <c r="B285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33.194538272170377</v>
      </c>
      <c r="C285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32.882477608639569</v>
      </c>
      <c r="D285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32.672529648030761</v>
      </c>
      <c r="E285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32.134834217131214</v>
      </c>
      <c r="F285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31.882296403090454</v>
      </c>
      <c r="G285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31.57805406807611</v>
      </c>
      <c r="H285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31.534657516412807</v>
      </c>
      <c r="I285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31.000000000000004</v>
      </c>
      <c r="J285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31.006932531611994</v>
      </c>
      <c r="K285" s="1">
        <f>intermediate_results[[#This Row], [Team1 laps '[laps']]] - intermediate_results[[#This Row], [Team1 laps '[laps']]]</f>
        <v>0</v>
      </c>
      <c r="L285" s="1">
        <f>intermediate_results[[#This Row], [Team1 laps '[laps']]] - intermediate_results[[#This Row], [Team2 laps '[laps']]]</f>
        <v>0.31206066353080786</v>
      </c>
      <c r="M285" s="1">
        <f>intermediate_results[[#This Row], [Team1 laps '[laps']]] - intermediate_results[[#This Row], [Team3 laps '[laps']]]</f>
        <v>0.52200862413961602</v>
      </c>
      <c r="N285" s="1">
        <f>intermediate_results[[#This Row], [Team1 laps '[laps']]] - intermediate_results[[#This Row], [Team4 laps '[laps']]]</f>
        <v>1.0597040550391625</v>
      </c>
      <c r="O285" s="1">
        <f>intermediate_results[[#This Row], [Team1 laps '[laps']]] - intermediate_results[[#This Row], [Team5 laps '[laps']]]</f>
        <v>1.3122418690799229</v>
      </c>
      <c r="P285" s="1">
        <f>intermediate_results[[#This Row], [Team1 laps '[laps']]] - intermediate_results[[#This Row], [Team6 laps '[laps']]]</f>
        <v>1.6164842040942666</v>
      </c>
      <c r="Q285" s="1">
        <f>intermediate_results[[#This Row], [Team1 laps '[laps']]] - intermediate_results[[#This Row], [Team7 laps '[laps']]]</f>
        <v>1.6598807557575697</v>
      </c>
      <c r="R285" s="1">
        <f>intermediate_results[[#This Row], [Team1 laps '[laps']]] - intermediate_results[[#This Row], [Team8 laps '[laps']]]</f>
        <v>2.194538272170373</v>
      </c>
      <c r="S285" s="1">
        <f>intermediate_results[[#This Row], [Team1 laps '[laps']]] - intermediate_results[[#This Row], [Team9 laps '[laps']]]</f>
        <v>2.1876057405583822</v>
      </c>
      <c r="T285" s="1">
        <f>MAX(intermediate_results[[#This Row], [Team1 laps '[laps']]:[Team9 laps '[laps']]]) - intermediate_results[[#This Row], [Team1 laps '[laps']]]</f>
        <v>0</v>
      </c>
      <c r="U285" s="1">
        <f>MAX(intermediate_results[[#This Row], [Team1 laps '[laps']]:[Team9 laps '[laps']]]) - intermediate_results[[#This Row], [Team2 laps '[laps']]]</f>
        <v>0.31206066353080786</v>
      </c>
      <c r="V285" s="1">
        <f>MAX(intermediate_results[[#This Row], [Team1 laps '[laps']]:[Team9 laps '[laps']]]) - intermediate_results[[#This Row], [Team3 laps '[laps']]]</f>
        <v>0.52200862413961602</v>
      </c>
      <c r="W285" s="1">
        <f>MAX(intermediate_results[[#This Row], [Team1 laps '[laps']]:[Team9 laps '[laps']]]) - intermediate_results[[#This Row], [Team4 laps '[laps']]]</f>
        <v>1.0597040550391625</v>
      </c>
      <c r="X285" s="1">
        <f>MAX(intermediate_results[[#This Row], [Team1 laps '[laps']]:[Team9 laps '[laps']]]) - intermediate_results[[#This Row], [Team5 laps '[laps']]]</f>
        <v>1.3122418690799229</v>
      </c>
      <c r="Y285" s="1">
        <f>MAX(intermediate_results[[#This Row], [Team1 laps '[laps']]:[Team9 laps '[laps']]]) - intermediate_results[[#This Row], [Team6 laps '[laps']]]</f>
        <v>1.6164842040942666</v>
      </c>
      <c r="Z285" s="1">
        <f>MAX(intermediate_results[[#This Row], [Team1 laps '[laps']]:[Team9 laps '[laps']]]) - intermediate_results[[#This Row], [Team7 laps '[laps']]]</f>
        <v>1.6598807557575697</v>
      </c>
      <c r="AA285" s="1">
        <f>MAX(intermediate_results[[#This Row], [Team1 laps '[laps']]:[Team9 laps '[laps']]]) - intermediate_results[[#This Row], [Team8 laps '[laps']]]</f>
        <v>2.194538272170373</v>
      </c>
      <c r="AB285" s="1">
        <f>MAX(intermediate_results[[#This Row], [Team1 laps '[laps']]:[Team9 laps '[laps']]]) - intermediate_results[[#This Row], [Team9 laps '[laps']]]</f>
        <v>2.1876057405583822</v>
      </c>
      <c r="AC285" s="1">
        <f>9 * intermediate_results[[#This Row], [All cumulative times '[sec']]] / SUM(intermediate_results[[#This Row], [Team1 laps '[laps']]:[Team9 laps '[laps']]])</f>
        <v>54.673674614002316</v>
      </c>
      <c r="AD285" s="1">
        <f>intermediate_results[[#This Row], [All cumulative times '[sec']]] / intermediate_results[[#This Row], [Team1 laps '[laps']]] - intermediate_results[[#This Row], [Total running average '[sec']]]</f>
        <v>-1.9882904806066577</v>
      </c>
      <c r="AE285" s="1">
        <f>intermediate_results[[#This Row], [All cumulative times '[sec']]] / intermediate_results[[#This Row], [Team2 laps '[laps']]] - intermediate_results[[#This Row], [Total running average '[sec']]]</f>
        <v>-1.4882966502535879</v>
      </c>
      <c r="AF285" s="1">
        <f>intermediate_results[[#This Row], [All cumulative times '[sec']]] / intermediate_results[[#This Row], [Team3 laps '[laps']]] - intermediate_results[[#This Row], [Total running average '[sec']]]</f>
        <v>-1.1465367143690131</v>
      </c>
      <c r="AG285" s="1">
        <f>intermediate_results[[#This Row], [All cumulative times '[sec']]] / intermediate_results[[#This Row], [Team4 laps '[laps']]] - intermediate_results[[#This Row], [Total running average '[sec']]]</f>
        <v>-0.25089501653759072</v>
      </c>
      <c r="AH285" s="1">
        <f>intermediate_results[[#This Row], [All cumulative times '[sec']]] / intermediate_results[[#This Row], [Team5 laps '[laps']]] - intermediate_results[[#This Row], [Total running average '[sec']]]</f>
        <v>0.18018465287523355</v>
      </c>
      <c r="AI285" s="1">
        <f>intermediate_results[[#This Row], [All cumulative times '[sec']]] / intermediate_results[[#This Row], [Team6 laps '[laps']]] - intermediate_results[[#This Row], [Total running average '[sec']]]</f>
        <v>0.70868036676326795</v>
      </c>
      <c r="AJ285" s="1">
        <f>intermediate_results[[#This Row], [All cumulative times '[sec']]] / intermediate_results[[#This Row], [Team7 laps '[laps']]] - intermediate_results[[#This Row], [Total running average '[sec']]]</f>
        <v>0.78489502766159802</v>
      </c>
      <c r="AK285" s="1">
        <f>intermediate_results[[#This Row], [All cumulative times '[sec']]] / intermediate_results[[#This Row], [Team8 laps '[laps']]] - intermediate_results[[#This Row], [Total running average '[sec']]]</f>
        <v>1.7413899021267056</v>
      </c>
      <c r="AL285" s="1">
        <f>intermediate_results[[#This Row], [All cumulative times '[sec']]] / intermediate_results[[#This Row], [Team9 laps '[laps']]] - intermediate_results[[#This Row], [Total running average '[sec']]]</f>
        <v>1.7287766190245577</v>
      </c>
    </row>
    <row r="286" spans="1:38" x14ac:dyDescent="0.25">
      <c r="A286" s="1">
        <v>1755.2349999999999</v>
      </c>
      <c r="B286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33.316062670559717</v>
      </c>
      <c r="C286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32.999834138070845</v>
      </c>
      <c r="D286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32.793748691298802</v>
      </c>
      <c r="E286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32.255005566983073</v>
      </c>
      <c r="F286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31.999999999999993</v>
      </c>
      <c r="G286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31.696047731104887</v>
      </c>
      <c r="H286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31.653090070486716</v>
      </c>
      <c r="I286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31.111711458844997</v>
      </c>
      <c r="J286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31.119550800247595</v>
      </c>
      <c r="K286" s="1">
        <f>intermediate_results[[#This Row], [Team1 laps '[laps']]] - intermediate_results[[#This Row], [Team1 laps '[laps']]]</f>
        <v>0</v>
      </c>
      <c r="L286" s="1">
        <f>intermediate_results[[#This Row], [Team1 laps '[laps']]] - intermediate_results[[#This Row], [Team2 laps '[laps']]]</f>
        <v>0.31622853248887139</v>
      </c>
      <c r="M286" s="1">
        <f>intermediate_results[[#This Row], [Team1 laps '[laps']]] - intermediate_results[[#This Row], [Team3 laps '[laps']]]</f>
        <v>0.52231397926091461</v>
      </c>
      <c r="N286" s="1">
        <f>intermediate_results[[#This Row], [Team1 laps '[laps']]] - intermediate_results[[#This Row], [Team4 laps '[laps']]]</f>
        <v>1.0610571035766441</v>
      </c>
      <c r="O286" s="1">
        <f>intermediate_results[[#This Row], [Team1 laps '[laps']]] - intermediate_results[[#This Row], [Team5 laps '[laps']]]</f>
        <v>1.3160626705597238</v>
      </c>
      <c r="P286" s="1">
        <f>intermediate_results[[#This Row], [Team1 laps '[laps']]] - intermediate_results[[#This Row], [Team6 laps '[laps']]]</f>
        <v>1.6200149394548298</v>
      </c>
      <c r="Q286" s="1">
        <f>intermediate_results[[#This Row], [Team1 laps '[laps']]] - intermediate_results[[#This Row], [Team7 laps '[laps']]]</f>
        <v>1.662972600073001</v>
      </c>
      <c r="R286" s="1">
        <f>intermediate_results[[#This Row], [Team1 laps '[laps']]] - intermediate_results[[#This Row], [Team8 laps '[laps']]]</f>
        <v>2.2043512117147195</v>
      </c>
      <c r="S286" s="1">
        <f>intermediate_results[[#This Row], [Team1 laps '[laps']]] - intermediate_results[[#This Row], [Team9 laps '[laps']]]</f>
        <v>2.196511870312122</v>
      </c>
      <c r="T286" s="1">
        <f>MAX(intermediate_results[[#This Row], [Team1 laps '[laps']]:[Team9 laps '[laps']]]) - intermediate_results[[#This Row], [Team1 laps '[laps']]]</f>
        <v>0</v>
      </c>
      <c r="U286" s="1">
        <f>MAX(intermediate_results[[#This Row], [Team1 laps '[laps']]:[Team9 laps '[laps']]]) - intermediate_results[[#This Row], [Team2 laps '[laps']]]</f>
        <v>0.31622853248887139</v>
      </c>
      <c r="V286" s="1">
        <f>MAX(intermediate_results[[#This Row], [Team1 laps '[laps']]:[Team9 laps '[laps']]]) - intermediate_results[[#This Row], [Team3 laps '[laps']]]</f>
        <v>0.52231397926091461</v>
      </c>
      <c r="W286" s="1">
        <f>MAX(intermediate_results[[#This Row], [Team1 laps '[laps']]:[Team9 laps '[laps']]]) - intermediate_results[[#This Row], [Team4 laps '[laps']]]</f>
        <v>1.0610571035766441</v>
      </c>
      <c r="X286" s="1">
        <f>MAX(intermediate_results[[#This Row], [Team1 laps '[laps']]:[Team9 laps '[laps']]]) - intermediate_results[[#This Row], [Team5 laps '[laps']]]</f>
        <v>1.3160626705597238</v>
      </c>
      <c r="Y286" s="1">
        <f>MAX(intermediate_results[[#This Row], [Team1 laps '[laps']]:[Team9 laps '[laps']]]) - intermediate_results[[#This Row], [Team6 laps '[laps']]]</f>
        <v>1.6200149394548298</v>
      </c>
      <c r="Z286" s="1">
        <f>MAX(intermediate_results[[#This Row], [Team1 laps '[laps']]:[Team9 laps '[laps']]]) - intermediate_results[[#This Row], [Team7 laps '[laps']]]</f>
        <v>1.662972600073001</v>
      </c>
      <c r="AA286" s="1">
        <f>MAX(intermediate_results[[#This Row], [Team1 laps '[laps']]:[Team9 laps '[laps']]]) - intermediate_results[[#This Row], [Team8 laps '[laps']]]</f>
        <v>2.2043512117147195</v>
      </c>
      <c r="AB286" s="1">
        <f>MAX(intermediate_results[[#This Row], [Team1 laps '[laps']]:[Team9 laps '[laps']]]) - intermediate_results[[#This Row], [Team9 laps '[laps']]]</f>
        <v>2.196511870312122</v>
      </c>
      <c r="AC286" s="1">
        <f>9 * intermediate_results[[#This Row], [All cumulative times '[sec']]] / SUM(intermediate_results[[#This Row], [Team1 laps '[laps']]:[Team9 laps '[laps']]])</f>
        <v>54.671692553142499</v>
      </c>
      <c r="AD286" s="1">
        <f>intermediate_results[[#This Row], [All cumulative times '[sec']]] / intermediate_results[[#This Row], [Team1 laps '[laps']]] - intermediate_results[[#This Row], [Total running average '[sec']]]</f>
        <v>-1.9873457455276267</v>
      </c>
      <c r="AE286" s="1">
        <f>intermediate_results[[#This Row], [All cumulative times '[sec']]] / intermediate_results[[#This Row], [Team2 laps '[laps']]] - intermediate_results[[#This Row], [Total running average '[sec']]]</f>
        <v>-1.482485823917095</v>
      </c>
      <c r="AF286" s="1">
        <f>intermediate_results[[#This Row], [All cumulative times '[sec']]] / intermediate_results[[#This Row], [Team3 laps '[laps']]] - intermediate_results[[#This Row], [Total running average '[sec']]]</f>
        <v>-1.1482293918321815</v>
      </c>
      <c r="AG286" s="1">
        <f>intermediate_results[[#This Row], [All cumulative times '[sec']]] / intermediate_results[[#This Row], [Team4 laps '[laps']]] - intermediate_results[[#This Row], [Total running average '[sec']]]</f>
        <v>-0.25424728701311494</v>
      </c>
      <c r="AH286" s="1">
        <f>intermediate_results[[#This Row], [All cumulative times '[sec']]] / intermediate_results[[#This Row], [Team5 laps '[laps']]] - intermediate_results[[#This Row], [Total running average '[sec']]]</f>
        <v>0.17940119685751199</v>
      </c>
      <c r="AI286" s="1">
        <f>intermediate_results[[#This Row], [All cumulative times '[sec']]] / intermediate_results[[#This Row], [Team6 laps '[laps']]] - intermediate_results[[#This Row], [Total running average '[sec']]]</f>
        <v>0.70540098516327987</v>
      </c>
      <c r="AJ286" s="1">
        <f>intermediate_results[[#This Row], [All cumulative times '[sec']]] / intermediate_results[[#This Row], [Team7 laps '[laps']]] - intermediate_results[[#This Row], [Total running average '[sec']]]</f>
        <v>0.78055542932471411</v>
      </c>
      <c r="AK286" s="1">
        <f>intermediate_results[[#This Row], [All cumulative times '[sec']]] / intermediate_results[[#This Row], [Team8 laps '[laps']]] - intermediate_results[[#This Row], [Total running average '[sec']]]</f>
        <v>1.7454866278179892</v>
      </c>
      <c r="AL286" s="1">
        <f>intermediate_results[[#This Row], [All cumulative times '[sec']]] / intermediate_results[[#This Row], [Team9 laps '[laps']]] - intermediate_results[[#This Row], [Total running average '[sec']]]</f>
        <v>1.7312745483631815</v>
      </c>
    </row>
    <row r="287" spans="1:38" x14ac:dyDescent="0.25">
      <c r="A287" s="1">
        <v>1755.2439999999999</v>
      </c>
      <c r="B287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33.316234423007195</v>
      </c>
      <c r="C287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33.000000000000007</v>
      </c>
      <c r="D287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32.793920012182816</v>
      </c>
      <c r="E287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32.255175407144613</v>
      </c>
      <c r="F287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32.000166014904444</v>
      </c>
      <c r="G287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31.696214493505522</v>
      </c>
      <c r="H287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31.653257453179346</v>
      </c>
      <c r="I287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31.111869342502285</v>
      </c>
      <c r="J287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31.119709965514197</v>
      </c>
      <c r="K287" s="1">
        <f>intermediate_results[[#This Row], [Team1 laps '[laps']]] - intermediate_results[[#This Row], [Team1 laps '[laps']]]</f>
        <v>0</v>
      </c>
      <c r="L287" s="1">
        <f>intermediate_results[[#This Row], [Team1 laps '[laps']]] - intermediate_results[[#This Row], [Team2 laps '[laps']]]</f>
        <v>0.31623442300718807</v>
      </c>
      <c r="M287" s="1">
        <f>intermediate_results[[#This Row], [Team1 laps '[laps']]] - intermediate_results[[#This Row], [Team3 laps '[laps']]]</f>
        <v>0.52231441082437868</v>
      </c>
      <c r="N287" s="1">
        <f>intermediate_results[[#This Row], [Team1 laps '[laps']]] - intermediate_results[[#This Row], [Team4 laps '[laps']]]</f>
        <v>1.0610590158625826</v>
      </c>
      <c r="O287" s="1">
        <f>intermediate_results[[#This Row], [Team1 laps '[laps']]] - intermediate_results[[#This Row], [Team5 laps '[laps']]]</f>
        <v>1.3160684081027512</v>
      </c>
      <c r="P287" s="1">
        <f>intermediate_results[[#This Row], [Team1 laps '[laps']]] - intermediate_results[[#This Row], [Team6 laps '[laps']]]</f>
        <v>1.6200199295016731</v>
      </c>
      <c r="Q287" s="1">
        <f>intermediate_results[[#This Row], [Team1 laps '[laps']]] - intermediate_results[[#This Row], [Team7 laps '[laps']]]</f>
        <v>1.6629769698278487</v>
      </c>
      <c r="R287" s="1">
        <f>intermediate_results[[#This Row], [Team1 laps '[laps']]] - intermediate_results[[#This Row], [Team8 laps '[laps']]]</f>
        <v>2.2043650805049104</v>
      </c>
      <c r="S287" s="1">
        <f>intermediate_results[[#This Row], [Team1 laps '[laps']]] - intermediate_results[[#This Row], [Team9 laps '[laps']]]</f>
        <v>2.1965244574929983</v>
      </c>
      <c r="T287" s="1">
        <f>MAX(intermediate_results[[#This Row], [Team1 laps '[laps']]:[Team9 laps '[laps']]]) - intermediate_results[[#This Row], [Team1 laps '[laps']]]</f>
        <v>0</v>
      </c>
      <c r="U287" s="1">
        <f>MAX(intermediate_results[[#This Row], [Team1 laps '[laps']]:[Team9 laps '[laps']]]) - intermediate_results[[#This Row], [Team2 laps '[laps']]]</f>
        <v>0.31623442300718807</v>
      </c>
      <c r="V287" s="1">
        <f>MAX(intermediate_results[[#This Row], [Team1 laps '[laps']]:[Team9 laps '[laps']]]) - intermediate_results[[#This Row], [Team3 laps '[laps']]]</f>
        <v>0.52231441082437868</v>
      </c>
      <c r="W287" s="1">
        <f>MAX(intermediate_results[[#This Row], [Team1 laps '[laps']]:[Team9 laps '[laps']]]) - intermediate_results[[#This Row], [Team4 laps '[laps']]]</f>
        <v>1.0610590158625826</v>
      </c>
      <c r="X287" s="1">
        <f>MAX(intermediate_results[[#This Row], [Team1 laps '[laps']]:[Team9 laps '[laps']]]) - intermediate_results[[#This Row], [Team5 laps '[laps']]]</f>
        <v>1.3160684081027512</v>
      </c>
      <c r="Y287" s="1">
        <f>MAX(intermediate_results[[#This Row], [Team1 laps '[laps']]:[Team9 laps '[laps']]]) - intermediate_results[[#This Row], [Team6 laps '[laps']]]</f>
        <v>1.6200199295016731</v>
      </c>
      <c r="Z287" s="1">
        <f>MAX(intermediate_results[[#This Row], [Team1 laps '[laps']]:[Team9 laps '[laps']]]) - intermediate_results[[#This Row], [Team7 laps '[laps']]]</f>
        <v>1.6629769698278487</v>
      </c>
      <c r="AA287" s="1">
        <f>MAX(intermediate_results[[#This Row], [Team1 laps '[laps']]:[Team9 laps '[laps']]]) - intermediate_results[[#This Row], [Team8 laps '[laps']]]</f>
        <v>2.2043650805049104</v>
      </c>
      <c r="AB287" s="1">
        <f>MAX(intermediate_results[[#This Row], [Team1 laps '[laps']]:[Team9 laps '[laps']]]) - intermediate_results[[#This Row], [Team9 laps '[laps']]]</f>
        <v>2.1965244574929983</v>
      </c>
      <c r="AC287" s="1">
        <f>9 * intermediate_results[[#This Row], [All cumulative times '[sec']]] / SUM(intermediate_results[[#This Row], [Team1 laps '[laps']]:[Team9 laps '[laps']]])</f>
        <v>54.671689826007956</v>
      </c>
      <c r="AD287" s="1">
        <f>intermediate_results[[#This Row], [All cumulative times '[sec']]] / intermediate_results[[#This Row], [Team1 laps '[laps']]] - intermediate_results[[#This Row], [Total running average '[sec']]]</f>
        <v>-1.9873444791076196</v>
      </c>
      <c r="AE287" s="1">
        <f>intermediate_results[[#This Row], [All cumulative times '[sec']]] / intermediate_results[[#This Row], [Team2 laps '[laps']]] - intermediate_results[[#This Row], [Total running average '[sec']]]</f>
        <v>-1.4824777047958477</v>
      </c>
      <c r="AF287" s="1">
        <f>intermediate_results[[#This Row], [All cumulative times '[sec']]] / intermediate_results[[#This Row], [Team3 laps '[laps']]] - intermediate_results[[#This Row], [Total running average '[sec']]]</f>
        <v>-1.1482318390416708</v>
      </c>
      <c r="AG287" s="1">
        <f>intermediate_results[[#This Row], [All cumulative times '[sec']]] / intermediate_results[[#This Row], [Team4 laps '[laps']]] - intermediate_results[[#This Row], [Total running average '[sec']]]</f>
        <v>-0.25425207084980883</v>
      </c>
      <c r="AH287" s="1">
        <f>intermediate_results[[#This Row], [All cumulative times '[sec']]] / intermediate_results[[#This Row], [Team5 laps '[laps']]] - intermediate_results[[#This Row], [Total running average '[sec']]]</f>
        <v>0.17940060841275596</v>
      </c>
      <c r="AI287" s="1">
        <f>intermediate_results[[#This Row], [All cumulative times '[sec']]] / intermediate_results[[#This Row], [Team6 laps '[laps']]] - intermediate_results[[#This Row], [Total running average '[sec']]]</f>
        <v>0.7053963039349469</v>
      </c>
      <c r="AJ287" s="1">
        <f>intermediate_results[[#This Row], [All cumulative times '[sec']]] / intermediate_results[[#This Row], [Team7 laps '[laps']]] - intermediate_results[[#This Row], [Total running average '[sec']]]</f>
        <v>0.78054925542971176</v>
      </c>
      <c r="AK287" s="1">
        <f>intermediate_results[[#This Row], [All cumulative times '[sec']]] / intermediate_results[[#This Row], [Team8 laps '[laps']]] - intermediate_results[[#This Row], [Total running average '[sec']]]</f>
        <v>1.7454923328969372</v>
      </c>
      <c r="AL287" s="1">
        <f>intermediate_results[[#This Row], [All cumulative times '[sec']]] / intermediate_results[[#This Row], [Team9 laps '[laps']]] - intermediate_results[[#This Row], [Total running average '[sec']]]</f>
        <v>1.731278001941007</v>
      </c>
    </row>
    <row r="288" spans="1:38" x14ac:dyDescent="0.25">
      <c r="A288" s="1">
        <v>1766.07</v>
      </c>
      <c r="B288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33.522833533711186</v>
      </c>
      <c r="C288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33.202965934869425</v>
      </c>
      <c r="D288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33</v>
      </c>
      <c r="E288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32.4594742503444</v>
      </c>
      <c r="F288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32.199863498856331</v>
      </c>
      <c r="G288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31.896811132316692</v>
      </c>
      <c r="H288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31.854600234335773</v>
      </c>
      <c r="I288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31.30178583959021</v>
      </c>
      <c r="J288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31.311168096206565</v>
      </c>
      <c r="K288" s="1">
        <f>intermediate_results[[#This Row], [Team1 laps '[laps']]] - intermediate_results[[#This Row], [Team1 laps '[laps']]]</f>
        <v>0</v>
      </c>
      <c r="L288" s="1">
        <f>intermediate_results[[#This Row], [Team1 laps '[laps']]] - intermediate_results[[#This Row], [Team2 laps '[laps']]]</f>
        <v>0.31986759884176053</v>
      </c>
      <c r="M288" s="1">
        <f>intermediate_results[[#This Row], [Team1 laps '[laps']]] - intermediate_results[[#This Row], [Team3 laps '[laps']]]</f>
        <v>0.52283353371118579</v>
      </c>
      <c r="N288" s="1">
        <f>intermediate_results[[#This Row], [Team1 laps '[laps']]] - intermediate_results[[#This Row], [Team4 laps '[laps']]]</f>
        <v>1.0633592833667862</v>
      </c>
      <c r="O288" s="1">
        <f>intermediate_results[[#This Row], [Team1 laps '[laps']]] - intermediate_results[[#This Row], [Team5 laps '[laps']]]</f>
        <v>1.3229700348548548</v>
      </c>
      <c r="P288" s="1">
        <f>intermediate_results[[#This Row], [Team1 laps '[laps']]] - intermediate_results[[#This Row], [Team6 laps '[laps']]]</f>
        <v>1.6260224013944935</v>
      </c>
      <c r="Q288" s="1">
        <f>intermediate_results[[#This Row], [Team1 laps '[laps']]] - intermediate_results[[#This Row], [Team7 laps '[laps']]]</f>
        <v>1.6682332993754123</v>
      </c>
      <c r="R288" s="1">
        <f>intermediate_results[[#This Row], [Team1 laps '[laps']]] - intermediate_results[[#This Row], [Team8 laps '[laps']]]</f>
        <v>2.2210476941209762</v>
      </c>
      <c r="S288" s="1">
        <f>intermediate_results[[#This Row], [Team1 laps '[laps']]] - intermediate_results[[#This Row], [Team9 laps '[laps']]]</f>
        <v>2.211665437504621</v>
      </c>
      <c r="T288" s="1">
        <f>MAX(intermediate_results[[#This Row], [Team1 laps '[laps']]:[Team9 laps '[laps']]]) - intermediate_results[[#This Row], [Team1 laps '[laps']]]</f>
        <v>0</v>
      </c>
      <c r="U288" s="1">
        <f>MAX(intermediate_results[[#This Row], [Team1 laps '[laps']]:[Team9 laps '[laps']]]) - intermediate_results[[#This Row], [Team2 laps '[laps']]]</f>
        <v>0.31986759884176053</v>
      </c>
      <c r="V288" s="1">
        <f>MAX(intermediate_results[[#This Row], [Team1 laps '[laps']]:[Team9 laps '[laps']]]) - intermediate_results[[#This Row], [Team3 laps '[laps']]]</f>
        <v>0.52283353371118579</v>
      </c>
      <c r="W288" s="1">
        <f>MAX(intermediate_results[[#This Row], [Team1 laps '[laps']]:[Team9 laps '[laps']]]) - intermediate_results[[#This Row], [Team4 laps '[laps']]]</f>
        <v>1.0633592833667862</v>
      </c>
      <c r="X288" s="1">
        <f>MAX(intermediate_results[[#This Row], [Team1 laps '[laps']]:[Team9 laps '[laps']]]) - intermediate_results[[#This Row], [Team5 laps '[laps']]]</f>
        <v>1.3229700348548548</v>
      </c>
      <c r="Y288" s="1">
        <f>MAX(intermediate_results[[#This Row], [Team1 laps '[laps']]:[Team9 laps '[laps']]]) - intermediate_results[[#This Row], [Team6 laps '[laps']]]</f>
        <v>1.6260224013944935</v>
      </c>
      <c r="Z288" s="1">
        <f>MAX(intermediate_results[[#This Row], [Team1 laps '[laps']]:[Team9 laps '[laps']]]) - intermediate_results[[#This Row], [Team7 laps '[laps']]]</f>
        <v>1.6682332993754123</v>
      </c>
      <c r="AA288" s="1">
        <f>MAX(intermediate_results[[#This Row], [Team1 laps '[laps']]:[Team9 laps '[laps']]]) - intermediate_results[[#This Row], [Team8 laps '[laps']]]</f>
        <v>2.2210476941209762</v>
      </c>
      <c r="AB288" s="1">
        <f>MAX(intermediate_results[[#This Row], [Team1 laps '[laps']]:[Team9 laps '[laps']]]) - intermediate_results[[#This Row], [Team9 laps '[laps']]]</f>
        <v>2.211665437504621</v>
      </c>
      <c r="AC288" s="1">
        <f>9 * intermediate_results[[#This Row], [All cumulative times '[sec']]] / SUM(intermediate_results[[#This Row], [Team1 laps '[laps']]:[Team9 laps '[laps']]])</f>
        <v>54.667780554135376</v>
      </c>
      <c r="AD288" s="1">
        <f>intermediate_results[[#This Row], [All cumulative times '[sec']]] / intermediate_results[[#This Row], [Team1 laps '[laps']]] - intermediate_results[[#This Row], [Total running average '[sec']]]</f>
        <v>-1.9851814467536286</v>
      </c>
      <c r="AE288" s="1">
        <f>intermediate_results[[#This Row], [All cumulative times '[sec']]] / intermediate_results[[#This Row], [Team2 laps '[laps']]] - intermediate_results[[#This Row], [Total running average '[sec']]]</f>
        <v>-1.4776527967445574</v>
      </c>
      <c r="AF288" s="1">
        <f>intermediate_results[[#This Row], [All cumulative times '[sec']]] / intermediate_results[[#This Row], [Team3 laps '[laps']]] - intermediate_results[[#This Row], [Total running average '[sec']]]</f>
        <v>-1.1505078268626505</v>
      </c>
      <c r="AG288" s="1">
        <f>intermediate_results[[#This Row], [All cumulative times '[sec']]] / intermediate_results[[#This Row], [Team4 laps '[laps']]] - intermediate_results[[#This Row], [Total running average '[sec']]]</f>
        <v>-0.25932075040760338</v>
      </c>
      <c r="AH288" s="1">
        <f>intermediate_results[[#This Row], [All cumulative times '[sec']]] / intermediate_results[[#This Row], [Team5 laps '[laps']]] - intermediate_results[[#This Row], [Total running average '[sec']]]</f>
        <v>0.179346361875524</v>
      </c>
      <c r="AI288" s="1">
        <f>intermediate_results[[#This Row], [All cumulative times '[sec']]] / intermediate_results[[#This Row], [Team6 laps '[laps']]] - intermediate_results[[#This Row], [Total running average '[sec']]]</f>
        <v>0.7004502283669467</v>
      </c>
      <c r="AJ288" s="1">
        <f>intermediate_results[[#This Row], [All cumulative times '[sec']]] / intermediate_results[[#This Row], [Team7 laps '[laps']]] - intermediate_results[[#This Row], [Total running average '[sec']]]</f>
        <v>0.7738193092454182</v>
      </c>
      <c r="AK288" s="1">
        <f>intermediate_results[[#This Row], [All cumulative times '[sec']]] / intermediate_results[[#This Row], [Team8 laps '[laps']]] - intermediate_results[[#This Row], [Total running average '[sec']]]</f>
        <v>1.7529619891316273</v>
      </c>
      <c r="AL288" s="1">
        <f>intermediate_results[[#This Row], [All cumulative times '[sec']]] / intermediate_results[[#This Row], [Team9 laps '[laps']]] - intermediate_results[[#This Row], [Total running average '[sec']]]</f>
        <v>1.7360557567164108</v>
      </c>
    </row>
    <row r="289" spans="1:38" x14ac:dyDescent="0.25">
      <c r="A289" s="1">
        <v>1771.6389999999999</v>
      </c>
      <c r="B289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33.629110131486037</v>
      </c>
      <c r="C289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33.307373591555901</v>
      </c>
      <c r="D289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33.103605447239168</v>
      </c>
      <c r="E289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32.564567568077599</v>
      </c>
      <c r="F289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32.302589832509398</v>
      </c>
      <c r="G289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31.999999999999993</v>
      </c>
      <c r="H289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31.958172924919566</v>
      </c>
      <c r="I289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31.399480738193812</v>
      </c>
      <c r="J289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31.409656026173849</v>
      </c>
      <c r="K289" s="1">
        <f>intermediate_results[[#This Row], [Team1 laps '[laps']]] - intermediate_results[[#This Row], [Team1 laps '[laps']]]</f>
        <v>0</v>
      </c>
      <c r="L289" s="1">
        <f>intermediate_results[[#This Row], [Team1 laps '[laps']]] - intermediate_results[[#This Row], [Team2 laps '[laps']]]</f>
        <v>0.32173653993013573</v>
      </c>
      <c r="M289" s="1">
        <f>intermediate_results[[#This Row], [Team1 laps '[laps']]] - intermediate_results[[#This Row], [Team3 laps '[laps']]]</f>
        <v>0.52550468424686869</v>
      </c>
      <c r="N289" s="1">
        <f>intermediate_results[[#This Row], [Team1 laps '[laps']]] - intermediate_results[[#This Row], [Team4 laps '[laps']]]</f>
        <v>1.0645425634084376</v>
      </c>
      <c r="O289" s="1">
        <f>intermediate_results[[#This Row], [Team1 laps '[laps']]] - intermediate_results[[#This Row], [Team5 laps '[laps']]]</f>
        <v>1.3265202989766394</v>
      </c>
      <c r="P289" s="1">
        <f>intermediate_results[[#This Row], [Team1 laps '[laps']]] - intermediate_results[[#This Row], [Team6 laps '[laps']]]</f>
        <v>1.6291101314860441</v>
      </c>
      <c r="Q289" s="1">
        <f>intermediate_results[[#This Row], [Team1 laps '[laps']]] - intermediate_results[[#This Row], [Team7 laps '[laps']]]</f>
        <v>1.6709372065664709</v>
      </c>
      <c r="R289" s="1">
        <f>intermediate_results[[#This Row], [Team1 laps '[laps']]] - intermediate_results[[#This Row], [Team8 laps '[laps']]]</f>
        <v>2.2296293932922246</v>
      </c>
      <c r="S289" s="1">
        <f>intermediate_results[[#This Row], [Team1 laps '[laps']]] - intermediate_results[[#This Row], [Team9 laps '[laps']]]</f>
        <v>2.2194541053121881</v>
      </c>
      <c r="T289" s="1">
        <f>MAX(intermediate_results[[#This Row], [Team1 laps '[laps']]:[Team9 laps '[laps']]]) - intermediate_results[[#This Row], [Team1 laps '[laps']]]</f>
        <v>0</v>
      </c>
      <c r="U289" s="1">
        <f>MAX(intermediate_results[[#This Row], [Team1 laps '[laps']]:[Team9 laps '[laps']]]) - intermediate_results[[#This Row], [Team2 laps '[laps']]]</f>
        <v>0.32173653993013573</v>
      </c>
      <c r="V289" s="1">
        <f>MAX(intermediate_results[[#This Row], [Team1 laps '[laps']]:[Team9 laps '[laps']]]) - intermediate_results[[#This Row], [Team3 laps '[laps']]]</f>
        <v>0.52550468424686869</v>
      </c>
      <c r="W289" s="1">
        <f>MAX(intermediate_results[[#This Row], [Team1 laps '[laps']]:[Team9 laps '[laps']]]) - intermediate_results[[#This Row], [Team4 laps '[laps']]]</f>
        <v>1.0645425634084376</v>
      </c>
      <c r="X289" s="1">
        <f>MAX(intermediate_results[[#This Row], [Team1 laps '[laps']]:[Team9 laps '[laps']]]) - intermediate_results[[#This Row], [Team5 laps '[laps']]]</f>
        <v>1.3265202989766394</v>
      </c>
      <c r="Y289" s="1">
        <f>MAX(intermediate_results[[#This Row], [Team1 laps '[laps']]:[Team9 laps '[laps']]]) - intermediate_results[[#This Row], [Team6 laps '[laps']]]</f>
        <v>1.6291101314860441</v>
      </c>
      <c r="Z289" s="1">
        <f>MAX(intermediate_results[[#This Row], [Team1 laps '[laps']]:[Team9 laps '[laps']]]) - intermediate_results[[#This Row], [Team7 laps '[laps']]]</f>
        <v>1.6709372065664709</v>
      </c>
      <c r="AA289" s="1">
        <f>MAX(intermediate_results[[#This Row], [Team1 laps '[laps']]:[Team9 laps '[laps']]]) - intermediate_results[[#This Row], [Team8 laps '[laps']]]</f>
        <v>2.2296293932922246</v>
      </c>
      <c r="AB289" s="1">
        <f>MAX(intermediate_results[[#This Row], [Team1 laps '[laps']]:[Team9 laps '[laps']]]) - intermediate_results[[#This Row], [Team9 laps '[laps']]]</f>
        <v>2.2194541053121881</v>
      </c>
      <c r="AC289" s="1">
        <f>9 * intermediate_results[[#This Row], [All cumulative times '[sec']]] / SUM(intermediate_results[[#This Row], [Team1 laps '[laps']]:[Team9 laps '[laps']]])</f>
        <v>54.666238990617629</v>
      </c>
      <c r="AD289" s="1">
        <f>intermediate_results[[#This Row], [All cumulative times '[sec']]] / intermediate_results[[#This Row], [Team1 laps '[laps']]] - intermediate_results[[#This Row], [Total running average '[sec']]]</f>
        <v>-1.9845298085105014</v>
      </c>
      <c r="AE289" s="1">
        <f>intermediate_results[[#This Row], [All cumulative times '[sec']]] / intermediate_results[[#This Row], [Team2 laps '[laps']]] - intermediate_results[[#This Row], [Total running average '[sec']]]</f>
        <v>-1.4756445677314431</v>
      </c>
      <c r="AF289" s="1">
        <f>intermediate_results[[#This Row], [All cumulative times '[sec']]] / intermediate_results[[#This Row], [Team3 laps '[laps']]] - intermediate_results[[#This Row], [Total running average '[sec']]]</f>
        <v>-1.1482316296474053</v>
      </c>
      <c r="AG289" s="1">
        <f>intermediate_results[[#This Row], [All cumulative times '[sec']]] / intermediate_results[[#This Row], [Team4 laps '[laps']]] - intermediate_results[[#This Row], [Total running average '[sec']]]</f>
        <v>-0.26235365431417534</v>
      </c>
      <c r="AH289" s="1">
        <f>intermediate_results[[#This Row], [All cumulative times '[sec']]] / intermediate_results[[#This Row], [Team5 laps '[laps']]] - intermediate_results[[#This Row], [Total running average '[sec']]]</f>
        <v>0.17886814122659445</v>
      </c>
      <c r="AI289" s="1">
        <f>intermediate_results[[#This Row], [All cumulative times '[sec']]] / intermediate_results[[#This Row], [Team6 laps '[laps']]] - intermediate_results[[#This Row], [Total running average '[sec']]]</f>
        <v>0.69747975938238227</v>
      </c>
      <c r="AJ289" s="1">
        <f>intermediate_results[[#This Row], [All cumulative times '[sec']]] / intermediate_results[[#This Row], [Team7 laps '[laps']]] - intermediate_results[[#This Row], [Total running average '[sec']]]</f>
        <v>0.76994017275858795</v>
      </c>
      <c r="AK289" s="1">
        <f>intermediate_results[[#This Row], [All cumulative times '[sec']]] / intermediate_results[[#This Row], [Team8 laps '[laps']]] - intermediate_results[[#This Row], [Total running average '[sec']]]</f>
        <v>1.756318273044613</v>
      </c>
      <c r="AL289" s="1">
        <f>intermediate_results[[#This Row], [All cumulative times '[sec']]] / intermediate_results[[#This Row], [Team9 laps '[laps']]] - intermediate_results[[#This Row], [Total running average '[sec']]]</f>
        <v>1.7380399522553134</v>
      </c>
    </row>
    <row r="290" spans="1:38" x14ac:dyDescent="0.25">
      <c r="A290" s="1">
        <v>1773.8879999999999</v>
      </c>
      <c r="B290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33.67202915974886</v>
      </c>
      <c r="C290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33.349537861602208</v>
      </c>
      <c r="D290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33.145445750855785</v>
      </c>
      <c r="E290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32.607008737332755</v>
      </c>
      <c r="F290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32.344075112521203</v>
      </c>
      <c r="G290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32.04103789938506</v>
      </c>
      <c r="H290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32.000000000000007</v>
      </c>
      <c r="I290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31.438934109887029</v>
      </c>
      <c r="J290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31.449429657794681</v>
      </c>
      <c r="K290" s="1">
        <f>intermediate_results[[#This Row], [Team1 laps '[laps']]] - intermediate_results[[#This Row], [Team1 laps '[laps']]]</f>
        <v>0</v>
      </c>
      <c r="L290" s="1">
        <f>intermediate_results[[#This Row], [Team1 laps '[laps']]] - intermediate_results[[#This Row], [Team2 laps '[laps']]]</f>
        <v>0.32249129814665167</v>
      </c>
      <c r="M290" s="1">
        <f>intermediate_results[[#This Row], [Team1 laps '[laps']]] - intermediate_results[[#This Row], [Team3 laps '[laps']]]</f>
        <v>0.52658340889307453</v>
      </c>
      <c r="N290" s="1">
        <f>intermediate_results[[#This Row], [Team1 laps '[laps']]] - intermediate_results[[#This Row], [Team4 laps '[laps']]]</f>
        <v>1.0650204224161044</v>
      </c>
      <c r="O290" s="1">
        <f>intermediate_results[[#This Row], [Team1 laps '[laps']]] - intermediate_results[[#This Row], [Team5 laps '[laps']]]</f>
        <v>1.3279540472276565</v>
      </c>
      <c r="P290" s="1">
        <f>intermediate_results[[#This Row], [Team1 laps '[laps']]] - intermediate_results[[#This Row], [Team6 laps '[laps']]]</f>
        <v>1.6309912603637997</v>
      </c>
      <c r="Q290" s="1">
        <f>intermediate_results[[#This Row], [Team1 laps '[laps']]] - intermediate_results[[#This Row], [Team7 laps '[laps']]]</f>
        <v>1.6720291597488526</v>
      </c>
      <c r="R290" s="1">
        <f>intermediate_results[[#This Row], [Team1 laps '[laps']]] - intermediate_results[[#This Row], [Team8 laps '[laps']]]</f>
        <v>2.2330950498618307</v>
      </c>
      <c r="S290" s="1">
        <f>intermediate_results[[#This Row], [Team1 laps '[laps']]] - intermediate_results[[#This Row], [Team9 laps '[laps']]]</f>
        <v>2.2225995019541784</v>
      </c>
      <c r="T290" s="1">
        <f>MAX(intermediate_results[[#This Row], [Team1 laps '[laps']]:[Team9 laps '[laps']]]) - intermediate_results[[#This Row], [Team1 laps '[laps']]]</f>
        <v>0</v>
      </c>
      <c r="U290" s="1">
        <f>MAX(intermediate_results[[#This Row], [Team1 laps '[laps']]:[Team9 laps '[laps']]]) - intermediate_results[[#This Row], [Team2 laps '[laps']]]</f>
        <v>0.32249129814665167</v>
      </c>
      <c r="V290" s="1">
        <f>MAX(intermediate_results[[#This Row], [Team1 laps '[laps']]:[Team9 laps '[laps']]]) - intermediate_results[[#This Row], [Team3 laps '[laps']]]</f>
        <v>0.52658340889307453</v>
      </c>
      <c r="W290" s="1">
        <f>MAX(intermediate_results[[#This Row], [Team1 laps '[laps']]:[Team9 laps '[laps']]]) - intermediate_results[[#This Row], [Team4 laps '[laps']]]</f>
        <v>1.0650204224161044</v>
      </c>
      <c r="X290" s="1">
        <f>MAX(intermediate_results[[#This Row], [Team1 laps '[laps']]:[Team9 laps '[laps']]]) - intermediate_results[[#This Row], [Team5 laps '[laps']]]</f>
        <v>1.3279540472276565</v>
      </c>
      <c r="Y290" s="1">
        <f>MAX(intermediate_results[[#This Row], [Team1 laps '[laps']]:[Team9 laps '[laps']]]) - intermediate_results[[#This Row], [Team6 laps '[laps']]]</f>
        <v>1.6309912603637997</v>
      </c>
      <c r="Z290" s="1">
        <f>MAX(intermediate_results[[#This Row], [Team1 laps '[laps']]:[Team9 laps '[laps']]]) - intermediate_results[[#This Row], [Team7 laps '[laps']]]</f>
        <v>1.6720291597488526</v>
      </c>
      <c r="AA290" s="1">
        <f>MAX(intermediate_results[[#This Row], [Team1 laps '[laps']]:[Team9 laps '[laps']]]) - intermediate_results[[#This Row], [Team8 laps '[laps']]]</f>
        <v>2.2330950498618307</v>
      </c>
      <c r="AB290" s="1">
        <f>MAX(intermediate_results[[#This Row], [Team1 laps '[laps']]:[Team9 laps '[laps']]]) - intermediate_results[[#This Row], [Team9 laps '[laps']]]</f>
        <v>2.2225995019541784</v>
      </c>
      <c r="AC290" s="1">
        <f>9 * intermediate_results[[#This Row], [All cumulative times '[sec']]] / SUM(intermediate_results[[#This Row], [Team1 laps '[laps']]:[Team9 laps '[laps']]])</f>
        <v>54.665737914298532</v>
      </c>
      <c r="AD290" s="1">
        <f>intermediate_results[[#This Row], [All cumulative times '[sec']]] / intermediate_results[[#This Row], [Team1 laps '[laps']]] - intermediate_results[[#This Row], [Total running average '[sec']]]</f>
        <v>-1.984386529616188</v>
      </c>
      <c r="AE290" s="1">
        <f>intermediate_results[[#This Row], [All cumulative times '[sec']]] / intermediate_results[[#This Row], [Team2 laps '[laps']]] - intermediate_results[[#This Row], [Total running average '[sec']]]</f>
        <v>-1.4749558602416926</v>
      </c>
      <c r="AF290" s="1">
        <f>intermediate_results[[#This Row], [All cumulative times '[sec']]] / intermediate_results[[#This Row], [Team3 laps '[laps']]] - intermediate_results[[#This Row], [Total running average '[sec']]]</f>
        <v>-1.1474351787198529</v>
      </c>
      <c r="AG290" s="1">
        <f>intermediate_results[[#This Row], [All cumulative times '[sec']]] / intermediate_results[[#This Row], [Team4 laps '[laps']]] - intermediate_results[[#This Row], [Total running average '[sec']]]</f>
        <v>-0.26369158463868558</v>
      </c>
      <c r="AH290" s="1">
        <f>intermediate_results[[#This Row], [All cumulative times '[sec']]] / intermediate_results[[#This Row], [Team5 laps '[laps']]] - intermediate_results[[#This Row], [Total running average '[sec']]]</f>
        <v>0.1785571792805527</v>
      </c>
      <c r="AI290" s="1">
        <f>intermediate_results[[#This Row], [All cumulative times '[sec']]] / intermediate_results[[#This Row], [Team6 laps '[laps']]] - intermediate_results[[#This Row], [Total running average '[sec']]]</f>
        <v>0.69726267171072465</v>
      </c>
      <c r="AJ290" s="1">
        <f>intermediate_results[[#This Row], [All cumulative times '[sec']]] / intermediate_results[[#This Row], [Team7 laps '[laps']]] - intermediate_results[[#This Row], [Total running average '[sec']]]</f>
        <v>0.76826208570145127</v>
      </c>
      <c r="AK290" s="1">
        <f>intermediate_results[[#This Row], [All cumulative times '[sec']]] / intermediate_results[[#This Row], [Team8 laps '[laps']]] - intermediate_results[[#This Row], [Total running average '[sec']]]</f>
        <v>1.7575490139355026</v>
      </c>
      <c r="AL290" s="1">
        <f>intermediate_results[[#This Row], [All cumulative times '[sec']]] / intermediate_results[[#This Row], [Team9 laps '[laps']]] - intermediate_results[[#This Row], [Total running average '[sec']]]</f>
        <v>1.7387189964278349</v>
      </c>
    </row>
    <row r="291" spans="1:38" x14ac:dyDescent="0.25">
      <c r="A291" s="1">
        <v>1791.0740000000001</v>
      </c>
      <c r="B291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34</v>
      </c>
      <c r="C291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33.671741127505207</v>
      </c>
      <c r="D291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33.465173388897156</v>
      </c>
      <c r="E291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32.931327961351933</v>
      </c>
      <c r="F291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32.661089795617201</v>
      </c>
      <c r="G291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32.354633870408549</v>
      </c>
      <c r="H291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32.314065897918539</v>
      </c>
      <c r="I291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31.740421724791247</v>
      </c>
      <c r="J291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31.753364576885673</v>
      </c>
      <c r="K291" s="1">
        <f>intermediate_results[[#This Row], [Team1 laps '[laps']]] - intermediate_results[[#This Row], [Team1 laps '[laps']]]</f>
        <v>0</v>
      </c>
      <c r="L291" s="1">
        <f>intermediate_results[[#This Row], [Team1 laps '[laps']]] - intermediate_results[[#This Row], [Team2 laps '[laps']]]</f>
        <v>0.3282588724947928</v>
      </c>
      <c r="M291" s="1">
        <f>intermediate_results[[#This Row], [Team1 laps '[laps']]] - intermediate_results[[#This Row], [Team3 laps '[laps']]]</f>
        <v>0.53482661110284369</v>
      </c>
      <c r="N291" s="1">
        <f>intermediate_results[[#This Row], [Team1 laps '[laps']]] - intermediate_results[[#This Row], [Team4 laps '[laps']]]</f>
        <v>1.0686720386480673</v>
      </c>
      <c r="O291" s="1">
        <f>intermediate_results[[#This Row], [Team1 laps '[laps']]] - intermediate_results[[#This Row], [Team5 laps '[laps']]]</f>
        <v>1.338910204382799</v>
      </c>
      <c r="P291" s="1">
        <f>intermediate_results[[#This Row], [Team1 laps '[laps']]] - intermediate_results[[#This Row], [Team6 laps '[laps']]]</f>
        <v>1.6453661295914515</v>
      </c>
      <c r="Q291" s="1">
        <f>intermediate_results[[#This Row], [Team1 laps '[laps']]] - intermediate_results[[#This Row], [Team7 laps '[laps']]]</f>
        <v>1.6859341020814611</v>
      </c>
      <c r="R291" s="1">
        <f>intermediate_results[[#This Row], [Team1 laps '[laps']]] - intermediate_results[[#This Row], [Team8 laps '[laps']]]</f>
        <v>2.259578275208753</v>
      </c>
      <c r="S291" s="1">
        <f>intermediate_results[[#This Row], [Team1 laps '[laps']]] - intermediate_results[[#This Row], [Team9 laps '[laps']]]</f>
        <v>2.2466354231143271</v>
      </c>
      <c r="T291" s="1">
        <f>MAX(intermediate_results[[#This Row], [Team1 laps '[laps']]:[Team9 laps '[laps']]]) - intermediate_results[[#This Row], [Team1 laps '[laps']]]</f>
        <v>0</v>
      </c>
      <c r="U291" s="1">
        <f>MAX(intermediate_results[[#This Row], [Team1 laps '[laps']]:[Team9 laps '[laps']]]) - intermediate_results[[#This Row], [Team2 laps '[laps']]]</f>
        <v>0.3282588724947928</v>
      </c>
      <c r="V291" s="1">
        <f>MAX(intermediate_results[[#This Row], [Team1 laps '[laps']]:[Team9 laps '[laps']]]) - intermediate_results[[#This Row], [Team3 laps '[laps']]]</f>
        <v>0.53482661110284369</v>
      </c>
      <c r="W291" s="1">
        <f>MAX(intermediate_results[[#This Row], [Team1 laps '[laps']]:[Team9 laps '[laps']]]) - intermediate_results[[#This Row], [Team4 laps '[laps']]]</f>
        <v>1.0686720386480673</v>
      </c>
      <c r="X291" s="1">
        <f>MAX(intermediate_results[[#This Row], [Team1 laps '[laps']]:[Team9 laps '[laps']]]) - intermediate_results[[#This Row], [Team5 laps '[laps']]]</f>
        <v>1.338910204382799</v>
      </c>
      <c r="Y291" s="1">
        <f>MAX(intermediate_results[[#This Row], [Team1 laps '[laps']]:[Team9 laps '[laps']]]) - intermediate_results[[#This Row], [Team6 laps '[laps']]]</f>
        <v>1.6453661295914515</v>
      </c>
      <c r="Z291" s="1">
        <f>MAX(intermediate_results[[#This Row], [Team1 laps '[laps']]:[Team9 laps '[laps']]]) - intermediate_results[[#This Row], [Team7 laps '[laps']]]</f>
        <v>1.6859341020814611</v>
      </c>
      <c r="AA291" s="1">
        <f>MAX(intermediate_results[[#This Row], [Team1 laps '[laps']]:[Team9 laps '[laps']]]) - intermediate_results[[#This Row], [Team8 laps '[laps']]]</f>
        <v>2.259578275208753</v>
      </c>
      <c r="AB291" s="1">
        <f>MAX(intermediate_results[[#This Row], [Team1 laps '[laps']]:[Team9 laps '[laps']]]) - intermediate_results[[#This Row], [Team9 laps '[laps']]]</f>
        <v>2.2466354231143271</v>
      </c>
      <c r="AC291" s="1">
        <f>9 * intermediate_results[[#This Row], [All cumulative times '[sec']]] / SUM(intermediate_results[[#This Row], [Team1 laps '[laps']]:[Team9 laps '[laps']]])</f>
        <v>54.662981464036669</v>
      </c>
      <c r="AD291" s="1">
        <f>intermediate_results[[#This Row], [All cumulative times '[sec']]] / intermediate_results[[#This Row], [Team1 laps '[laps']]] - intermediate_results[[#This Row], [Total running average '[sec']]]</f>
        <v>-1.98433440521314</v>
      </c>
      <c r="AE291" s="1">
        <f>intermediate_results[[#This Row], [All cumulative times '[sec']]] / intermediate_results[[#This Row], [Team2 laps '[laps']]] - intermediate_results[[#This Row], [Total running average '[sec']]]</f>
        <v>-1.4707811196078637</v>
      </c>
      <c r="AF291" s="1">
        <f>intermediate_results[[#This Row], [All cumulative times '[sec']]] / intermediate_results[[#This Row], [Team3 laps '[laps']]] - intermediate_results[[#This Row], [Total running average '[sec']]]</f>
        <v>-1.1424459752162193</v>
      </c>
      <c r="AG291" s="1">
        <f>intermediate_results[[#This Row], [All cumulative times '[sec']]] / intermediate_results[[#This Row], [Team4 laps '[laps']]] - intermediate_results[[#This Row], [Total running average '[sec']]]</f>
        <v>-0.27483161165303471</v>
      </c>
      <c r="AH291" s="1">
        <f>intermediate_results[[#This Row], [All cumulative times '[sec']]] / intermediate_results[[#This Row], [Team5 laps '[laps']]] - intermediate_results[[#This Row], [Total running average '[sec']]]</f>
        <v>0.17517645439092178</v>
      </c>
      <c r="AI291" s="1">
        <f>intermediate_results[[#This Row], [All cumulative times '[sec']]] / intermediate_results[[#This Row], [Team6 laps '[laps']]] - intermediate_results[[#This Row], [Total running average '[sec']]]</f>
        <v>0.69459133910084603</v>
      </c>
      <c r="AJ291" s="1">
        <f>intermediate_results[[#This Row], [All cumulative times '[sec']]] / intermediate_results[[#This Row], [Team7 laps '[laps']]] - intermediate_results[[#This Row], [Total running average '[sec']]]</f>
        <v>0.76408876779600376</v>
      </c>
      <c r="AK291" s="1">
        <f>intermediate_results[[#This Row], [All cumulative times '[sec']]] / intermediate_results[[#This Row], [Team8 laps '[laps']]] - intermediate_results[[#This Row], [Total running average '[sec']]]</f>
        <v>1.7658213896147572</v>
      </c>
      <c r="AL291" s="1">
        <f>intermediate_results[[#This Row], [All cumulative times '[sec']]] / intermediate_results[[#This Row], [Team9 laps '[laps']]] - intermediate_results[[#This Row], [Total running average '[sec']]]</f>
        <v>1.7428206884628565</v>
      </c>
    </row>
    <row r="292" spans="1:38" x14ac:dyDescent="0.25">
      <c r="A292" s="1">
        <v>1794.713</v>
      </c>
      <c r="B292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34.069079222857347</v>
      </c>
      <c r="C292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33.73996512870508</v>
      </c>
      <c r="D292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33.532873195415988</v>
      </c>
      <c r="E292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33.000000000000007</v>
      </c>
      <c r="F292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32.728215155316157</v>
      </c>
      <c r="G292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32.421035344780385</v>
      </c>
      <c r="H292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32.380566875605346</v>
      </c>
      <c r="I292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31.804259350221042</v>
      </c>
      <c r="J292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31.817720399681676</v>
      </c>
      <c r="K292" s="1">
        <f>intermediate_results[[#This Row], [Team1 laps '[laps']]] - intermediate_results[[#This Row], [Team1 laps '[laps']]]</f>
        <v>0</v>
      </c>
      <c r="L292" s="1">
        <f>intermediate_results[[#This Row], [Team1 laps '[laps']]] - intermediate_results[[#This Row], [Team2 laps '[laps']]]</f>
        <v>0.329114094152267</v>
      </c>
      <c r="M292" s="1">
        <f>intermediate_results[[#This Row], [Team1 laps '[laps']]] - intermediate_results[[#This Row], [Team3 laps '[laps']]]</f>
        <v>0.53620602744135937</v>
      </c>
      <c r="N292" s="1">
        <f>intermediate_results[[#This Row], [Team1 laps '[laps']]] - intermediate_results[[#This Row], [Team4 laps '[laps']]]</f>
        <v>1.06907922285734</v>
      </c>
      <c r="O292" s="1">
        <f>intermediate_results[[#This Row], [Team1 laps '[laps']]] - intermediate_results[[#This Row], [Team5 laps '[laps']]]</f>
        <v>1.3408640675411903</v>
      </c>
      <c r="P292" s="1">
        <f>intermediate_results[[#This Row], [Team1 laps '[laps']]] - intermediate_results[[#This Row], [Team6 laps '[laps']]]</f>
        <v>1.6480438780769617</v>
      </c>
      <c r="Q292" s="1">
        <f>intermediate_results[[#This Row], [Team1 laps '[laps']]] - intermediate_results[[#This Row], [Team7 laps '[laps']]]</f>
        <v>1.6885123472520007</v>
      </c>
      <c r="R292" s="1">
        <f>intermediate_results[[#This Row], [Team1 laps '[laps']]] - intermediate_results[[#This Row], [Team8 laps '[laps']]]</f>
        <v>2.2648198726363056</v>
      </c>
      <c r="S292" s="1">
        <f>intermediate_results[[#This Row], [Team1 laps '[laps']]] - intermediate_results[[#This Row], [Team9 laps '[laps']]]</f>
        <v>2.2513588231756714</v>
      </c>
      <c r="T292" s="1">
        <f>MAX(intermediate_results[[#This Row], [Team1 laps '[laps']]:[Team9 laps '[laps']]]) - intermediate_results[[#This Row], [Team1 laps '[laps']]]</f>
        <v>0</v>
      </c>
      <c r="U292" s="1">
        <f>MAX(intermediate_results[[#This Row], [Team1 laps '[laps']]:[Team9 laps '[laps']]]) - intermediate_results[[#This Row], [Team2 laps '[laps']]]</f>
        <v>0.329114094152267</v>
      </c>
      <c r="V292" s="1">
        <f>MAX(intermediate_results[[#This Row], [Team1 laps '[laps']]:[Team9 laps '[laps']]]) - intermediate_results[[#This Row], [Team3 laps '[laps']]]</f>
        <v>0.53620602744135937</v>
      </c>
      <c r="W292" s="1">
        <f>MAX(intermediate_results[[#This Row], [Team1 laps '[laps']]:[Team9 laps '[laps']]]) - intermediate_results[[#This Row], [Team4 laps '[laps']]]</f>
        <v>1.06907922285734</v>
      </c>
      <c r="X292" s="1">
        <f>MAX(intermediate_results[[#This Row], [Team1 laps '[laps']]:[Team9 laps '[laps']]]) - intermediate_results[[#This Row], [Team5 laps '[laps']]]</f>
        <v>1.3408640675411903</v>
      </c>
      <c r="Y292" s="1">
        <f>MAX(intermediate_results[[#This Row], [Team1 laps '[laps']]:[Team9 laps '[laps']]]) - intermediate_results[[#This Row], [Team6 laps '[laps']]]</f>
        <v>1.6480438780769617</v>
      </c>
      <c r="Z292" s="1">
        <f>MAX(intermediate_results[[#This Row], [Team1 laps '[laps']]:[Team9 laps '[laps']]]) - intermediate_results[[#This Row], [Team7 laps '[laps']]]</f>
        <v>1.6885123472520007</v>
      </c>
      <c r="AA292" s="1">
        <f>MAX(intermediate_results[[#This Row], [Team1 laps '[laps']]:[Team9 laps '[laps']]]) - intermediate_results[[#This Row], [Team8 laps '[laps']]]</f>
        <v>2.2648198726363056</v>
      </c>
      <c r="AB292" s="1">
        <f>MAX(intermediate_results[[#This Row], [Team1 laps '[laps']]:[Team9 laps '[laps']]]) - intermediate_results[[#This Row], [Team9 laps '[laps']]]</f>
        <v>2.2513588231756714</v>
      </c>
      <c r="AC292" s="1">
        <f>9 * intermediate_results[[#This Row], [All cumulative times '[sec']]] / SUM(intermediate_results[[#This Row], [Team1 laps '[laps']]:[Team9 laps '[laps']]])</f>
        <v>54.662472323302786</v>
      </c>
      <c r="AD292" s="1">
        <f>intermediate_results[[#This Row], [All cumulative times '[sec']]] / intermediate_results[[#This Row], [Team1 laps '[laps']]] - intermediate_results[[#This Row], [Total running average '[sec']]]</f>
        <v>-1.9838252644792576</v>
      </c>
      <c r="AE292" s="1">
        <f>intermediate_results[[#This Row], [All cumulative times '[sec']]] / intermediate_results[[#This Row], [Team2 laps '[laps']]] - intermediate_results[[#This Row], [Total running average '[sec']]]</f>
        <v>-1.4699751421748459</v>
      </c>
      <c r="AF292" s="1">
        <f>intermediate_results[[#This Row], [All cumulative times '[sec']]] / intermediate_results[[#This Row], [Team3 laps '[laps']]] - intermediate_results[[#This Row], [Total running average '[sec']]]</f>
        <v>-1.1414695287870771</v>
      </c>
      <c r="AG292" s="1">
        <f>intermediate_results[[#This Row], [All cumulative times '[sec']]] / intermediate_results[[#This Row], [Team4 laps '[laps']]] - intermediate_results[[#This Row], [Total running average '[sec']]]</f>
        <v>-0.27722989906037299</v>
      </c>
      <c r="AH292" s="1">
        <f>intermediate_results[[#This Row], [All cumulative times '[sec']]] / intermediate_results[[#This Row], [Team5 laps '[laps']]] - intermediate_results[[#This Row], [Total running average '[sec']]]</f>
        <v>0.17440134924390094</v>
      </c>
      <c r="AI292" s="1">
        <f>intermediate_results[[#This Row], [All cumulative times '[sec']]] / intermediate_results[[#This Row], [Team6 laps '[laps']]] - intermediate_results[[#This Row], [Total running average '[sec']]]</f>
        <v>0.69396466009969515</v>
      </c>
      <c r="AJ292" s="1">
        <f>intermediate_results[[#This Row], [All cumulative times '[sec']]] / intermediate_results[[#This Row], [Team7 laps '[laps']]] - intermediate_results[[#This Row], [Total running average '[sec']]]</f>
        <v>0.76314783012598753</v>
      </c>
      <c r="AK292" s="1">
        <f>intermediate_results[[#This Row], [All cumulative times '[sec']]] / intermediate_results[[#This Row], [Team8 laps '[laps']]] - intermediate_results[[#This Row], [Total running average '[sec']]]</f>
        <v>1.7674850681598286</v>
      </c>
      <c r="AL292" s="1">
        <f>intermediate_results[[#This Row], [All cumulative times '[sec']]] / intermediate_results[[#This Row], [Team9 laps '[laps']]] - intermediate_results[[#This Row], [Total running average '[sec']]]</f>
        <v>1.7436113764570322</v>
      </c>
    </row>
    <row r="293" spans="1:38" x14ac:dyDescent="0.25">
      <c r="A293" s="1">
        <v>1805.02</v>
      </c>
      <c r="B293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34.264737247037253</v>
      </c>
      <c r="C293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33.933200847409971</v>
      </c>
      <c r="D293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33.724624200029766</v>
      </c>
      <c r="E293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33.189518324099737</v>
      </c>
      <c r="F293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32.918339113111479</v>
      </c>
      <c r="G293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32.609108990383731</v>
      </c>
      <c r="H293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32.56892235156522</v>
      </c>
      <c r="I293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31.985071223072069</v>
      </c>
      <c r="J293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32.000000000000007</v>
      </c>
      <c r="K293" s="1">
        <f>intermediate_results[[#This Row], [Team1 laps '[laps']]] - intermediate_results[[#This Row], [Team1 laps '[laps']]]</f>
        <v>0</v>
      </c>
      <c r="L293" s="1">
        <f>intermediate_results[[#This Row], [Team1 laps '[laps']]] - intermediate_results[[#This Row], [Team2 laps '[laps']]]</f>
        <v>0.33153639962728221</v>
      </c>
      <c r="M293" s="1">
        <f>intermediate_results[[#This Row], [Team1 laps '[laps']]] - intermediate_results[[#This Row], [Team3 laps '[laps']]]</f>
        <v>0.54011304700748752</v>
      </c>
      <c r="N293" s="1">
        <f>intermediate_results[[#This Row], [Team1 laps '[laps']]] - intermediate_results[[#This Row], [Team4 laps '[laps']]]</f>
        <v>1.0752189229375162</v>
      </c>
      <c r="O293" s="1">
        <f>intermediate_results[[#This Row], [Team1 laps '[laps']]] - intermediate_results[[#This Row], [Team5 laps '[laps']]]</f>
        <v>1.3463981339257742</v>
      </c>
      <c r="P293" s="1">
        <f>intermediate_results[[#This Row], [Team1 laps '[laps']]] - intermediate_results[[#This Row], [Team6 laps '[laps']]]</f>
        <v>1.6556282566535216</v>
      </c>
      <c r="Q293" s="1">
        <f>intermediate_results[[#This Row], [Team1 laps '[laps']]] - intermediate_results[[#This Row], [Team7 laps '[laps']]]</f>
        <v>1.6958148954720329</v>
      </c>
      <c r="R293" s="1">
        <f>intermediate_results[[#This Row], [Team1 laps '[laps']]] - intermediate_results[[#This Row], [Team8 laps '[laps']]]</f>
        <v>2.2796660239651843</v>
      </c>
      <c r="S293" s="1">
        <f>intermediate_results[[#This Row], [Team1 laps '[laps']]] - intermediate_results[[#This Row], [Team9 laps '[laps']]]</f>
        <v>2.264737247037246</v>
      </c>
      <c r="T293" s="1">
        <f>MAX(intermediate_results[[#This Row], [Team1 laps '[laps']]:[Team9 laps '[laps']]]) - intermediate_results[[#This Row], [Team1 laps '[laps']]]</f>
        <v>0</v>
      </c>
      <c r="U293" s="1">
        <f>MAX(intermediate_results[[#This Row], [Team1 laps '[laps']]:[Team9 laps '[laps']]]) - intermediate_results[[#This Row], [Team2 laps '[laps']]]</f>
        <v>0.33153639962728221</v>
      </c>
      <c r="V293" s="1">
        <f>MAX(intermediate_results[[#This Row], [Team1 laps '[laps']]:[Team9 laps '[laps']]]) - intermediate_results[[#This Row], [Team3 laps '[laps']]]</f>
        <v>0.54011304700748752</v>
      </c>
      <c r="W293" s="1">
        <f>MAX(intermediate_results[[#This Row], [Team1 laps '[laps']]:[Team9 laps '[laps']]]) - intermediate_results[[#This Row], [Team4 laps '[laps']]]</f>
        <v>1.0752189229375162</v>
      </c>
      <c r="X293" s="1">
        <f>MAX(intermediate_results[[#This Row], [Team1 laps '[laps']]:[Team9 laps '[laps']]]) - intermediate_results[[#This Row], [Team5 laps '[laps']]]</f>
        <v>1.3463981339257742</v>
      </c>
      <c r="Y293" s="1">
        <f>MAX(intermediate_results[[#This Row], [Team1 laps '[laps']]:[Team9 laps '[laps']]]) - intermediate_results[[#This Row], [Team6 laps '[laps']]]</f>
        <v>1.6556282566535216</v>
      </c>
      <c r="Z293" s="1">
        <f>MAX(intermediate_results[[#This Row], [Team1 laps '[laps']]:[Team9 laps '[laps']]]) - intermediate_results[[#This Row], [Team7 laps '[laps']]]</f>
        <v>1.6958148954720329</v>
      </c>
      <c r="AA293" s="1">
        <f>MAX(intermediate_results[[#This Row], [Team1 laps '[laps']]:[Team9 laps '[laps']]]) - intermediate_results[[#This Row], [Team8 laps '[laps']]]</f>
        <v>2.2796660239651843</v>
      </c>
      <c r="AB293" s="1">
        <f>MAX(intermediate_results[[#This Row], [Team1 laps '[laps']]:[Team9 laps '[laps']]]) - intermediate_results[[#This Row], [Team9 laps '[laps']]]</f>
        <v>2.264737247037246</v>
      </c>
      <c r="AC293" s="1">
        <f>9 * intermediate_results[[#This Row], [All cumulative times '[sec']]] / SUM(intermediate_results[[#This Row], [Team1 laps '[laps']]:[Team9 laps '[laps']]])</f>
        <v>54.661958559720205</v>
      </c>
      <c r="AD293" s="1">
        <f>intermediate_results[[#This Row], [All cumulative times '[sec']]] / intermediate_results[[#This Row], [Team1 laps '[laps']]] - intermediate_results[[#This Row], [Total running average '[sec']]]</f>
        <v>-1.9833115008966757</v>
      </c>
      <c r="AE293" s="1">
        <f>intermediate_results[[#This Row], [All cumulative times '[sec']]] / intermediate_results[[#This Row], [Team2 laps '[laps']]] - intermediate_results[[#This Row], [Total running average '[sec']]]</f>
        <v>-1.4686271048783226</v>
      </c>
      <c r="AF293" s="1">
        <f>intermediate_results[[#This Row], [All cumulative times '[sec']]] / intermediate_results[[#This Row], [Team3 laps '[laps']]] - intermediate_results[[#This Row], [Total running average '[sec']]]</f>
        <v>-1.1396423644694096</v>
      </c>
      <c r="AG293" s="1">
        <f>intermediate_results[[#This Row], [All cumulative times '[sec']]] / intermediate_results[[#This Row], [Team4 laps '[laps']]] - intermediate_results[[#This Row], [Total running average '[sec']]]</f>
        <v>-0.27671613547779117</v>
      </c>
      <c r="AH293" s="1">
        <f>intermediate_results[[#This Row], [All cumulative times '[sec']]] / intermediate_results[[#This Row], [Team5 laps '[laps']]] - intermediate_results[[#This Row], [Total running average '[sec']]]</f>
        <v>0.17130607728740443</v>
      </c>
      <c r="AI293" s="1">
        <f>intermediate_results[[#This Row], [All cumulative times '[sec']]] / intermediate_results[[#This Row], [Team6 laps '[laps']]] - intermediate_results[[#This Row], [Total running average '[sec']]]</f>
        <v>0.69128646553613038</v>
      </c>
      <c r="AJ293" s="1">
        <f>intermediate_results[[#This Row], [All cumulative times '[sec']]] / intermediate_results[[#This Row], [Team7 laps '[laps']]] - intermediate_results[[#This Row], [Total running average '[sec']]]</f>
        <v>0.75958657203798907</v>
      </c>
      <c r="AK293" s="1">
        <f>intermediate_results[[#This Row], [All cumulative times '[sec']]] / intermediate_results[[#This Row], [Team8 laps '[laps']]] - intermediate_results[[#This Row], [Total running average '[sec']]]</f>
        <v>1.7712438993685637</v>
      </c>
      <c r="AL293" s="1">
        <f>intermediate_results[[#This Row], [All cumulative times '[sec']]] / intermediate_results[[#This Row], [Team9 laps '[laps']]] - intermediate_results[[#This Row], [Total running average '[sec']]]</f>
        <v>1.7449164402797805</v>
      </c>
    </row>
    <row r="294" spans="1:38" x14ac:dyDescent="0.25">
      <c r="A294" s="1">
        <v>1805.8710000000001</v>
      </c>
      <c r="B294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34.280891800115462</v>
      </c>
      <c r="C294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33.949155402238517</v>
      </c>
      <c r="D294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33.740456169072779</v>
      </c>
      <c r="E294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33.205165951324815</v>
      </c>
      <c r="F294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32.934036744632181</v>
      </c>
      <c r="G294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32.624637337372036</v>
      </c>
      <c r="H294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32.584473967946501</v>
      </c>
      <c r="I294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32.000000000000007</v>
      </c>
      <c r="J294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32.015086813442515</v>
      </c>
      <c r="K294" s="1">
        <f>intermediate_results[[#This Row], [Team1 laps '[laps']]] - intermediate_results[[#This Row], [Team1 laps '[laps']]]</f>
        <v>0</v>
      </c>
      <c r="L294" s="1">
        <f>intermediate_results[[#This Row], [Team1 laps '[laps']]] - intermediate_results[[#This Row], [Team2 laps '[laps']]]</f>
        <v>0.33173639787694498</v>
      </c>
      <c r="M294" s="1">
        <f>intermediate_results[[#This Row], [Team1 laps '[laps']]] - intermediate_results[[#This Row], [Team3 laps '[laps']]]</f>
        <v>0.54043563104268344</v>
      </c>
      <c r="N294" s="1">
        <f>intermediate_results[[#This Row], [Team1 laps '[laps']]] - intermediate_results[[#This Row], [Team4 laps '[laps']]]</f>
        <v>1.0757258487906469</v>
      </c>
      <c r="O294" s="1">
        <f>intermediate_results[[#This Row], [Team1 laps '[laps']]] - intermediate_results[[#This Row], [Team5 laps '[laps']]]</f>
        <v>1.3468550554832817</v>
      </c>
      <c r="P294" s="1">
        <f>intermediate_results[[#This Row], [Team1 laps '[laps']]] - intermediate_results[[#This Row], [Team6 laps '[laps']]]</f>
        <v>1.6562544627434264</v>
      </c>
      <c r="Q294" s="1">
        <f>intermediate_results[[#This Row], [Team1 laps '[laps']]] - intermediate_results[[#This Row], [Team7 laps '[laps']]]</f>
        <v>1.6964178321689616</v>
      </c>
      <c r="R294" s="1">
        <f>intermediate_results[[#This Row], [Team1 laps '[laps']]] - intermediate_results[[#This Row], [Team8 laps '[laps']]]</f>
        <v>2.2808918001154552</v>
      </c>
      <c r="S294" s="1">
        <f>intermediate_results[[#This Row], [Team1 laps '[laps']]] - intermediate_results[[#This Row], [Team9 laps '[laps']]]</f>
        <v>2.2658049866729471</v>
      </c>
      <c r="T294" s="1">
        <f>MAX(intermediate_results[[#This Row], [Team1 laps '[laps']]:[Team9 laps '[laps']]]) - intermediate_results[[#This Row], [Team1 laps '[laps']]]</f>
        <v>0</v>
      </c>
      <c r="U294" s="1">
        <f>MAX(intermediate_results[[#This Row], [Team1 laps '[laps']]:[Team9 laps '[laps']]]) - intermediate_results[[#This Row], [Team2 laps '[laps']]]</f>
        <v>0.33173639787694498</v>
      </c>
      <c r="V294" s="1">
        <f>MAX(intermediate_results[[#This Row], [Team1 laps '[laps']]:[Team9 laps '[laps']]]) - intermediate_results[[#This Row], [Team3 laps '[laps']]]</f>
        <v>0.54043563104268344</v>
      </c>
      <c r="W294" s="1">
        <f>MAX(intermediate_results[[#This Row], [Team1 laps '[laps']]:[Team9 laps '[laps']]]) - intermediate_results[[#This Row], [Team4 laps '[laps']]]</f>
        <v>1.0757258487906469</v>
      </c>
      <c r="X294" s="1">
        <f>MAX(intermediate_results[[#This Row], [Team1 laps '[laps']]:[Team9 laps '[laps']]]) - intermediate_results[[#This Row], [Team5 laps '[laps']]]</f>
        <v>1.3468550554832817</v>
      </c>
      <c r="Y294" s="1">
        <f>MAX(intermediate_results[[#This Row], [Team1 laps '[laps']]:[Team9 laps '[laps']]]) - intermediate_results[[#This Row], [Team6 laps '[laps']]]</f>
        <v>1.6562544627434264</v>
      </c>
      <c r="Z294" s="1">
        <f>MAX(intermediate_results[[#This Row], [Team1 laps '[laps']]:[Team9 laps '[laps']]]) - intermediate_results[[#This Row], [Team7 laps '[laps']]]</f>
        <v>1.6964178321689616</v>
      </c>
      <c r="AA294" s="1">
        <f>MAX(intermediate_results[[#This Row], [Team1 laps '[laps']]:[Team9 laps '[laps']]]) - intermediate_results[[#This Row], [Team8 laps '[laps']]]</f>
        <v>2.2808918001154552</v>
      </c>
      <c r="AB294" s="1">
        <f>MAX(intermediate_results[[#This Row], [Team1 laps '[laps']]:[Team9 laps '[laps']]]) - intermediate_results[[#This Row], [Team9 laps '[laps']]]</f>
        <v>2.2658049866729471</v>
      </c>
      <c r="AC294" s="1">
        <f>9 * intermediate_results[[#This Row], [All cumulative times '[sec']]] / SUM(intermediate_results[[#This Row], [Team1 laps '[laps']]:[Team9 laps '[laps']]])</f>
        <v>54.661909628122892</v>
      </c>
      <c r="AD294" s="1">
        <f>intermediate_results[[#This Row], [All cumulative times '[sec']]] / intermediate_results[[#This Row], [Team1 laps '[laps']]] - intermediate_results[[#This Row], [Total running average '[sec']]]</f>
        <v>-1.9832625692993631</v>
      </c>
      <c r="AE294" s="1">
        <f>intermediate_results[[#This Row], [All cumulative times '[sec']]] / intermediate_results[[#This Row], [Team2 laps '[laps']]] - intermediate_results[[#This Row], [Total running average '[sec']]]</f>
        <v>-1.4685097157078175</v>
      </c>
      <c r="AF294" s="1">
        <f>intermediate_results[[#This Row], [All cumulative times '[sec']]] / intermediate_results[[#This Row], [Team3 laps '[laps']]] - intermediate_results[[#This Row], [Total running average '[sec']]]</f>
        <v>-1.1394856587842668</v>
      </c>
      <c r="AG294" s="1">
        <f>intermediate_results[[#This Row], [All cumulative times '[sec']]] / intermediate_results[[#This Row], [Team4 laps '[laps']]] - intermediate_results[[#This Row], [Total running average '[sec']]]</f>
        <v>-0.2766672038804785</v>
      </c>
      <c r="AH294" s="1">
        <f>intermediate_results[[#This Row], [All cumulative times '[sec']]] / intermediate_results[[#This Row], [Team5 laps '[laps']]] - intermediate_results[[#This Row], [Total running average '[sec']]]</f>
        <v>0.17105889020893983</v>
      </c>
      <c r="AI294" s="1">
        <f>intermediate_results[[#This Row], [All cumulative times '[sec']]] / intermediate_results[[#This Row], [Team6 laps '[laps']]] - intermediate_results[[#This Row], [Total running average '[sec']]]</f>
        <v>0.69107349703651977</v>
      </c>
      <c r="AJ294" s="1">
        <f>intermediate_results[[#This Row], [All cumulative times '[sec']]] / intermediate_results[[#This Row], [Team7 laps '[laps']]] - intermediate_results[[#This Row], [Total running average '[sec']]]</f>
        <v>0.75930115393373399</v>
      </c>
      <c r="AK294" s="1">
        <f>intermediate_results[[#This Row], [All cumulative times '[sec']]] / intermediate_results[[#This Row], [Team8 laps '[laps']]] - intermediate_results[[#This Row], [Total running average '[sec']]]</f>
        <v>1.7715591218770967</v>
      </c>
      <c r="AL294" s="1">
        <f>intermediate_results[[#This Row], [All cumulative times '[sec']]] / intermediate_results[[#This Row], [Team9 laps '[laps']]] - intermediate_results[[#This Row], [Total running average '[sec']]]</f>
        <v>1.7449653718771003</v>
      </c>
    </row>
    <row r="295" spans="1:38" x14ac:dyDescent="0.25">
      <c r="A295" s="1">
        <v>1808.5830000000001</v>
      </c>
      <c r="B295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34.332373760101483</v>
      </c>
      <c r="C295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34.000000000000007</v>
      </c>
      <c r="D295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33.790910105670491</v>
      </c>
      <c r="E295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33.255032420225412</v>
      </c>
      <c r="F295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32.98406256917287</v>
      </c>
      <c r="G295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32.674123679360612</v>
      </c>
      <c r="H295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32.634034465744421</v>
      </c>
      <c r="I295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32.048056588759671</v>
      </c>
      <c r="J295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32.063166059101846</v>
      </c>
      <c r="K295" s="1">
        <f>intermediate_results[[#This Row], [Team1 laps '[laps']]] - intermediate_results[[#This Row], [Team1 laps '[laps']]]</f>
        <v>0</v>
      </c>
      <c r="L295" s="1">
        <f>intermediate_results[[#This Row], [Team1 laps '[laps']]] - intermediate_results[[#This Row], [Team2 laps '[laps']]]</f>
        <v>0.33237376010147557</v>
      </c>
      <c r="M295" s="1">
        <f>intermediate_results[[#This Row], [Team1 laps '[laps']]] - intermediate_results[[#This Row], [Team3 laps '[laps']]]</f>
        <v>0.54146365443099143</v>
      </c>
      <c r="N295" s="1">
        <f>intermediate_results[[#This Row], [Team1 laps '[laps']]] - intermediate_results[[#This Row], [Team4 laps '[laps']]]</f>
        <v>1.0773413398760709</v>
      </c>
      <c r="O295" s="1">
        <f>intermediate_results[[#This Row], [Team1 laps '[laps']]] - intermediate_results[[#This Row], [Team5 laps '[laps']]]</f>
        <v>1.3483111909286123</v>
      </c>
      <c r="P295" s="1">
        <f>intermediate_results[[#This Row], [Team1 laps '[laps']]] - intermediate_results[[#This Row], [Team6 laps '[laps']]]</f>
        <v>1.6582500807408707</v>
      </c>
      <c r="Q295" s="1">
        <f>intermediate_results[[#This Row], [Team1 laps '[laps']]] - intermediate_results[[#This Row], [Team7 laps '[laps']]]</f>
        <v>1.6983392943570621</v>
      </c>
      <c r="R295" s="1">
        <f>intermediate_results[[#This Row], [Team1 laps '[laps']]] - intermediate_results[[#This Row], [Team8 laps '[laps']]]</f>
        <v>2.2843171713418116</v>
      </c>
      <c r="S295" s="1">
        <f>intermediate_results[[#This Row], [Team1 laps '[laps']]] - intermediate_results[[#This Row], [Team9 laps '[laps']]]</f>
        <v>2.2692077009996368</v>
      </c>
      <c r="T295" s="1">
        <f>MAX(intermediate_results[[#This Row], [Team1 laps '[laps']]:[Team9 laps '[laps']]]) - intermediate_results[[#This Row], [Team1 laps '[laps']]]</f>
        <v>0</v>
      </c>
      <c r="U295" s="1">
        <f>MAX(intermediate_results[[#This Row], [Team1 laps '[laps']]:[Team9 laps '[laps']]]) - intermediate_results[[#This Row], [Team2 laps '[laps']]]</f>
        <v>0.33237376010147557</v>
      </c>
      <c r="V295" s="1">
        <f>MAX(intermediate_results[[#This Row], [Team1 laps '[laps']]:[Team9 laps '[laps']]]) - intermediate_results[[#This Row], [Team3 laps '[laps']]]</f>
        <v>0.54146365443099143</v>
      </c>
      <c r="W295" s="1">
        <f>MAX(intermediate_results[[#This Row], [Team1 laps '[laps']]:[Team9 laps '[laps']]]) - intermediate_results[[#This Row], [Team4 laps '[laps']]]</f>
        <v>1.0773413398760709</v>
      </c>
      <c r="X295" s="1">
        <f>MAX(intermediate_results[[#This Row], [Team1 laps '[laps']]:[Team9 laps '[laps']]]) - intermediate_results[[#This Row], [Team5 laps '[laps']]]</f>
        <v>1.3483111909286123</v>
      </c>
      <c r="Y295" s="1">
        <f>MAX(intermediate_results[[#This Row], [Team1 laps '[laps']]:[Team9 laps '[laps']]]) - intermediate_results[[#This Row], [Team6 laps '[laps']]]</f>
        <v>1.6582500807408707</v>
      </c>
      <c r="Z295" s="1">
        <f>MAX(intermediate_results[[#This Row], [Team1 laps '[laps']]:[Team9 laps '[laps']]]) - intermediate_results[[#This Row], [Team7 laps '[laps']]]</f>
        <v>1.6983392943570621</v>
      </c>
      <c r="AA295" s="1">
        <f>MAX(intermediate_results[[#This Row], [Team1 laps '[laps']]:[Team9 laps '[laps']]]) - intermediate_results[[#This Row], [Team8 laps '[laps']]]</f>
        <v>2.2843171713418116</v>
      </c>
      <c r="AB295" s="1">
        <f>MAX(intermediate_results[[#This Row], [Team1 laps '[laps']]:[Team9 laps '[laps']]]) - intermediate_results[[#This Row], [Team9 laps '[laps']]]</f>
        <v>2.2692077009996368</v>
      </c>
      <c r="AC295" s="1">
        <f>9 * intermediate_results[[#This Row], [All cumulative times '[sec']]] / SUM(intermediate_results[[#This Row], [Team1 laps '[laps']]:[Team9 laps '[laps']]])</f>
        <v>54.661665708582795</v>
      </c>
      <c r="AD295" s="1">
        <f>intermediate_results[[#This Row], [All cumulative times '[sec']]] / intermediate_results[[#This Row], [Team1 laps '[laps']]] - intermediate_results[[#This Row], [Total running average '[sec']]]</f>
        <v>-1.9830186497592663</v>
      </c>
      <c r="AE295" s="1">
        <f>intermediate_results[[#This Row], [All cumulative times '[sec']]] / intermediate_results[[#This Row], [Team2 laps '[laps']]] - intermediate_results[[#This Row], [Total running average '[sec']]]</f>
        <v>-1.4680480615239802</v>
      </c>
      <c r="AF295" s="1">
        <f>intermediate_results[[#This Row], [All cumulative times '[sec']]] / intermediate_results[[#This Row], [Team3 laps '[laps']]] - intermediate_results[[#This Row], [Total running average '[sec']]]</f>
        <v>-1.1388989543218671</v>
      </c>
      <c r="AG295" s="1">
        <f>intermediate_results[[#This Row], [All cumulative times '[sec']]] / intermediate_results[[#This Row], [Team4 laps '[laps']]] - intermediate_results[[#This Row], [Total running average '[sec']]]</f>
        <v>-0.27642328434037466</v>
      </c>
      <c r="AH295" s="1">
        <f>intermediate_results[[#This Row], [All cumulative times '[sec']]] / intermediate_results[[#This Row], [Team5 laps '[laps']]] - intermediate_results[[#This Row], [Total running average '[sec']]]</f>
        <v>0.17036100756568828</v>
      </c>
      <c r="AI295" s="1">
        <f>intermediate_results[[#This Row], [All cumulative times '[sec']]] / intermediate_results[[#This Row], [Team6 laps '[laps']]] - intermediate_results[[#This Row], [Total running average '[sec']]]</f>
        <v>0.69048444387667729</v>
      </c>
      <c r="AJ295" s="1">
        <f>intermediate_results[[#This Row], [All cumulative times '[sec']]] / intermediate_results[[#This Row], [Team7 laps '[laps']]] - intermediate_results[[#This Row], [Total running average '[sec']]]</f>
        <v>0.75848168074625733</v>
      </c>
      <c r="AK295" s="1">
        <f>intermediate_results[[#This Row], [All cumulative times '[sec']]] / intermediate_results[[#This Row], [Team8 laps '[laps']]] - intermediate_results[[#This Row], [Total running average '[sec']]]</f>
        <v>1.7718030414171935</v>
      </c>
      <c r="AL295" s="1">
        <f>intermediate_results[[#This Row], [All cumulative times '[sec']]] / intermediate_results[[#This Row], [Team9 laps '[laps']]] - intermediate_results[[#This Row], [Total running average '[sec']]]</f>
        <v>1.7452092914171971</v>
      </c>
    </row>
    <row r="296" spans="1:38" x14ac:dyDescent="0.25">
      <c r="A296" s="1">
        <v>1809.4469999999999</v>
      </c>
      <c r="B296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34.348775092486406</v>
      </c>
      <c r="C296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34.016242550106909</v>
      </c>
      <c r="D296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33.806983926179491</v>
      </c>
      <c r="E296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33.270919082884006</v>
      </c>
      <c r="F296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32.999999999999993</v>
      </c>
      <c r="G296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32.689889239640159</v>
      </c>
      <c r="H296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32.649823650883576</v>
      </c>
      <c r="I296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32.063366652435313</v>
      </c>
      <c r="J296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32.07848334090481</v>
      </c>
      <c r="K296" s="1">
        <f>intermediate_results[[#This Row], [Team1 laps '[laps']]] - intermediate_results[[#This Row], [Team1 laps '[laps']]]</f>
        <v>0</v>
      </c>
      <c r="L296" s="1">
        <f>intermediate_results[[#This Row], [Team1 laps '[laps']]] - intermediate_results[[#This Row], [Team2 laps '[laps']]]</f>
        <v>0.33253254237949648</v>
      </c>
      <c r="M296" s="1">
        <f>intermediate_results[[#This Row], [Team1 laps '[laps']]] - intermediate_results[[#This Row], [Team3 laps '[laps']]]</f>
        <v>0.54179116630691482</v>
      </c>
      <c r="N296" s="1">
        <f>intermediate_results[[#This Row], [Team1 laps '[laps']]] - intermediate_results[[#This Row], [Team4 laps '[laps']]]</f>
        <v>1.0778560096023995</v>
      </c>
      <c r="O296" s="1">
        <f>intermediate_results[[#This Row], [Team1 laps '[laps']]] - intermediate_results[[#This Row], [Team5 laps '[laps']]]</f>
        <v>1.348775092486413</v>
      </c>
      <c r="P296" s="1">
        <f>intermediate_results[[#This Row], [Team1 laps '[laps']]] - intermediate_results[[#This Row], [Team6 laps '[laps']]]</f>
        <v>1.6588858528462467</v>
      </c>
      <c r="Q296" s="1">
        <f>intermediate_results[[#This Row], [Team1 laps '[laps']]] - intermediate_results[[#This Row], [Team7 laps '[laps']]]</f>
        <v>1.69895144160283</v>
      </c>
      <c r="R296" s="1">
        <f>intermediate_results[[#This Row], [Team1 laps '[laps']]] - intermediate_results[[#This Row], [Team8 laps '[laps']]]</f>
        <v>2.2854084400510928</v>
      </c>
      <c r="S296" s="1">
        <f>intermediate_results[[#This Row], [Team1 laps '[laps']]] - intermediate_results[[#This Row], [Team9 laps '[laps']]]</f>
        <v>2.2702917515815955</v>
      </c>
      <c r="T296" s="1">
        <f>MAX(intermediate_results[[#This Row], [Team1 laps '[laps']]:[Team9 laps '[laps']]]) - intermediate_results[[#This Row], [Team1 laps '[laps']]]</f>
        <v>0</v>
      </c>
      <c r="U296" s="1">
        <f>MAX(intermediate_results[[#This Row], [Team1 laps '[laps']]:[Team9 laps '[laps']]]) - intermediate_results[[#This Row], [Team2 laps '[laps']]]</f>
        <v>0.33253254237949648</v>
      </c>
      <c r="V296" s="1">
        <f>MAX(intermediate_results[[#This Row], [Team1 laps '[laps']]:[Team9 laps '[laps']]]) - intermediate_results[[#This Row], [Team3 laps '[laps']]]</f>
        <v>0.54179116630691482</v>
      </c>
      <c r="W296" s="1">
        <f>MAX(intermediate_results[[#This Row], [Team1 laps '[laps']]:[Team9 laps '[laps']]]) - intermediate_results[[#This Row], [Team4 laps '[laps']]]</f>
        <v>1.0778560096023995</v>
      </c>
      <c r="X296" s="1">
        <f>MAX(intermediate_results[[#This Row], [Team1 laps '[laps']]:[Team9 laps '[laps']]]) - intermediate_results[[#This Row], [Team5 laps '[laps']]]</f>
        <v>1.348775092486413</v>
      </c>
      <c r="Y296" s="1">
        <f>MAX(intermediate_results[[#This Row], [Team1 laps '[laps']]:[Team9 laps '[laps']]]) - intermediate_results[[#This Row], [Team6 laps '[laps']]]</f>
        <v>1.6588858528462467</v>
      </c>
      <c r="Z296" s="1">
        <f>MAX(intermediate_results[[#This Row], [Team1 laps '[laps']]:[Team9 laps '[laps']]]) - intermediate_results[[#This Row], [Team7 laps '[laps']]]</f>
        <v>1.69895144160283</v>
      </c>
      <c r="AA296" s="1">
        <f>MAX(intermediate_results[[#This Row], [Team1 laps '[laps']]:[Team9 laps '[laps']]]) - intermediate_results[[#This Row], [Team8 laps '[laps']]]</f>
        <v>2.2854084400510928</v>
      </c>
      <c r="AB296" s="1">
        <f>MAX(intermediate_results[[#This Row], [Team1 laps '[laps']]:[Team9 laps '[laps']]]) - intermediate_results[[#This Row], [Team9 laps '[laps']]]</f>
        <v>2.2702917515815955</v>
      </c>
      <c r="AC296" s="1">
        <f>9 * intermediate_results[[#This Row], [All cumulative times '[sec']]] / SUM(intermediate_results[[#This Row], [Team1 laps '[laps']]:[Team9 laps '[laps']]])</f>
        <v>54.661580031096648</v>
      </c>
      <c r="AD296" s="1">
        <f>intermediate_results[[#This Row], [All cumulative times '[sec']]] / intermediate_results[[#This Row], [Team1 laps '[laps']]] - intermediate_results[[#This Row], [Total running average '[sec']]]</f>
        <v>-1.9829329722731188</v>
      </c>
      <c r="AE296" s="1">
        <f>intermediate_results[[#This Row], [All cumulative times '[sec']]] / intermediate_results[[#This Row], [Team2 laps '[laps']]] - intermediate_results[[#This Row], [Total running average '[sec']]]</f>
        <v>-1.4679623840378326</v>
      </c>
      <c r="AF296" s="1">
        <f>intermediate_results[[#This Row], [All cumulative times '[sec']]] / intermediate_results[[#This Row], [Team3 laps '[laps']]] - intermediate_results[[#This Row], [Total running average '[sec']]]</f>
        <v>-1.1387042859226355</v>
      </c>
      <c r="AG296" s="1">
        <f>intermediate_results[[#This Row], [All cumulative times '[sec']]] / intermediate_results[[#This Row], [Team4 laps '[laps']]] - intermediate_results[[#This Row], [Total running average '[sec']]]</f>
        <v>-0.27633760685422715</v>
      </c>
      <c r="AH296" s="1">
        <f>intermediate_results[[#This Row], [All cumulative times '[sec']]] / intermediate_results[[#This Row], [Team5 laps '[laps']]] - intermediate_results[[#This Row], [Total running average '[sec']]]</f>
        <v>0.17014724163063022</v>
      </c>
      <c r="AI296" s="1">
        <f>intermediate_results[[#This Row], [All cumulative times '[sec']]] / intermediate_results[[#This Row], [Team6 laps '[laps']]] - intermediate_results[[#This Row], [Total running average '[sec']]]</f>
        <v>0.69030527923479212</v>
      </c>
      <c r="AJ296" s="1">
        <f>intermediate_results[[#This Row], [All cumulative times '[sec']]] / intermediate_results[[#This Row], [Team7 laps '[laps']]] - intermediate_results[[#This Row], [Total running average '[sec']]]</f>
        <v>0.758229256327553</v>
      </c>
      <c r="AK296" s="1">
        <f>intermediate_results[[#This Row], [All cumulative times '[sec']]] / intermediate_results[[#This Row], [Team8 laps '[laps']]] - intermediate_results[[#This Row], [Total running average '[sec']]]</f>
        <v>1.771888718903341</v>
      </c>
      <c r="AL296" s="1">
        <f>intermediate_results[[#This Row], [All cumulative times '[sec']]] / intermediate_results[[#This Row], [Team9 laps '[laps']]] - intermediate_results[[#This Row], [Total running average '[sec']]]</f>
        <v>1.7452949689033446</v>
      </c>
    </row>
    <row r="297" spans="1:38" x14ac:dyDescent="0.25">
      <c r="A297" s="1">
        <v>1819.8219999999999</v>
      </c>
      <c r="B297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34.545723962270678</v>
      </c>
      <c r="C297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34.211284746124456</v>
      </c>
      <c r="D297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34</v>
      </c>
      <c r="E297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33.461687746174462</v>
      </c>
      <c r="F297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33.189215268532308</v>
      </c>
      <c r="G297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32.879203693228462</v>
      </c>
      <c r="H297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32.839421794192361</v>
      </c>
      <c r="I297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32.247211456410788</v>
      </c>
      <c r="J297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32.262414820888417</v>
      </c>
      <c r="K297" s="1">
        <f>intermediate_results[[#This Row], [Team1 laps '[laps']]] - intermediate_results[[#This Row], [Team1 laps '[laps']]]</f>
        <v>0</v>
      </c>
      <c r="L297" s="1">
        <f>intermediate_results[[#This Row], [Team1 laps '[laps']]] - intermediate_results[[#This Row], [Team2 laps '[laps']]]</f>
        <v>0.33443921614622241</v>
      </c>
      <c r="M297" s="1">
        <f>intermediate_results[[#This Row], [Team1 laps '[laps']]] - intermediate_results[[#This Row], [Team3 laps '[laps']]]</f>
        <v>0.54572396227067799</v>
      </c>
      <c r="N297" s="1">
        <f>intermediate_results[[#This Row], [Team1 laps '[laps']]] - intermediate_results[[#This Row], [Team4 laps '[laps']]]</f>
        <v>1.0840362160962158</v>
      </c>
      <c r="O297" s="1">
        <f>intermediate_results[[#This Row], [Team1 laps '[laps']]] - intermediate_results[[#This Row], [Team5 laps '[laps']]]</f>
        <v>1.3565086937383697</v>
      </c>
      <c r="P297" s="1">
        <f>intermediate_results[[#This Row], [Team1 laps '[laps']]] - intermediate_results[[#This Row], [Team6 laps '[laps']]]</f>
        <v>1.6665202690422163</v>
      </c>
      <c r="Q297" s="1">
        <f>intermediate_results[[#This Row], [Team1 laps '[laps']]] - intermediate_results[[#This Row], [Team7 laps '[laps']]]</f>
        <v>1.7063021680783166</v>
      </c>
      <c r="R297" s="1">
        <f>intermediate_results[[#This Row], [Team1 laps '[laps']]] - intermediate_results[[#This Row], [Team8 laps '[laps']]]</f>
        <v>2.2985125058598896</v>
      </c>
      <c r="S297" s="1">
        <f>intermediate_results[[#This Row], [Team1 laps '[laps']]] - intermediate_results[[#This Row], [Team9 laps '[laps']]]</f>
        <v>2.2833091413822615</v>
      </c>
      <c r="T297" s="1">
        <f>MAX(intermediate_results[[#This Row], [Team1 laps '[laps']]:[Team9 laps '[laps']]]) - intermediate_results[[#This Row], [Team1 laps '[laps']]]</f>
        <v>0</v>
      </c>
      <c r="U297" s="1">
        <f>MAX(intermediate_results[[#This Row], [Team1 laps '[laps']]:[Team9 laps '[laps']]]) - intermediate_results[[#This Row], [Team2 laps '[laps']]]</f>
        <v>0.33443921614622241</v>
      </c>
      <c r="V297" s="1">
        <f>MAX(intermediate_results[[#This Row], [Team1 laps '[laps']]:[Team9 laps '[laps']]]) - intermediate_results[[#This Row], [Team3 laps '[laps']]]</f>
        <v>0.54572396227067799</v>
      </c>
      <c r="W297" s="1">
        <f>MAX(intermediate_results[[#This Row], [Team1 laps '[laps']]:[Team9 laps '[laps']]]) - intermediate_results[[#This Row], [Team4 laps '[laps']]]</f>
        <v>1.0840362160962158</v>
      </c>
      <c r="X297" s="1">
        <f>MAX(intermediate_results[[#This Row], [Team1 laps '[laps']]:[Team9 laps '[laps']]]) - intermediate_results[[#This Row], [Team5 laps '[laps']]]</f>
        <v>1.3565086937383697</v>
      </c>
      <c r="Y297" s="1">
        <f>MAX(intermediate_results[[#This Row], [Team1 laps '[laps']]:[Team9 laps '[laps']]]) - intermediate_results[[#This Row], [Team6 laps '[laps']]]</f>
        <v>1.6665202690422163</v>
      </c>
      <c r="Z297" s="1">
        <f>MAX(intermediate_results[[#This Row], [Team1 laps '[laps']]:[Team9 laps '[laps']]]) - intermediate_results[[#This Row], [Team7 laps '[laps']]]</f>
        <v>1.7063021680783166</v>
      </c>
      <c r="AA297" s="1">
        <f>MAX(intermediate_results[[#This Row], [Team1 laps '[laps']]:[Team9 laps '[laps']]]) - intermediate_results[[#This Row], [Team8 laps '[laps']]]</f>
        <v>2.2985125058598896</v>
      </c>
      <c r="AB297" s="1">
        <f>MAX(intermediate_results[[#This Row], [Team1 laps '[laps']]:[Team9 laps '[laps']]]) - intermediate_results[[#This Row], [Team9 laps '[laps']]]</f>
        <v>2.2833091413822615</v>
      </c>
      <c r="AC297" s="1">
        <f>9 * intermediate_results[[#This Row], [All cumulative times '[sec']]] / SUM(intermediate_results[[#This Row], [Team1 laps '[laps']]:[Team9 laps '[laps']]])</f>
        <v>54.660952167296266</v>
      </c>
      <c r="AD297" s="1">
        <f>intermediate_results[[#This Row], [All cumulative times '[sec']]] / intermediate_results[[#This Row], [Team1 laps '[laps']]] - intermediate_results[[#This Row], [Total running average '[sec']]]</f>
        <v>-1.9823051084727297</v>
      </c>
      <c r="AE297" s="1">
        <f>intermediate_results[[#This Row], [All cumulative times '[sec']]] / intermediate_results[[#This Row], [Team2 laps '[laps']]] - intermediate_results[[#This Row], [Total running average '[sec']]]</f>
        <v>-1.4673345202374506</v>
      </c>
      <c r="AF297" s="1">
        <f>intermediate_results[[#This Row], [All cumulative times '[sec']]] / intermediate_results[[#This Row], [Team3 laps '[laps']]] - intermediate_results[[#This Row], [Total running average '[sec']]]</f>
        <v>-1.1367756967080354</v>
      </c>
      <c r="AG297" s="1">
        <f>intermediate_results[[#This Row], [All cumulative times '[sec']]] / intermediate_results[[#This Row], [Team4 laps '[laps']]] - intermediate_results[[#This Row], [Total running average '[sec']]]</f>
        <v>-0.27570974305385221</v>
      </c>
      <c r="AH297" s="1">
        <f>intermediate_results[[#This Row], [All cumulative times '[sec']]] / intermediate_results[[#This Row], [Team5 laps '[laps']]] - intermediate_results[[#This Row], [Total running average '[sec']]]</f>
        <v>0.17077510543101937</v>
      </c>
      <c r="AI297" s="1">
        <f>intermediate_results[[#This Row], [All cumulative times '[sec']]] / intermediate_results[[#This Row], [Team6 laps '[laps']]] - intermediate_results[[#This Row], [Total running average '[sec']]]</f>
        <v>0.68777272821559876</v>
      </c>
      <c r="AJ297" s="1">
        <f>intermediate_results[[#This Row], [All cumulative times '[sec']]] / intermediate_results[[#This Row], [Team7 laps '[laps']]] - intermediate_results[[#This Row], [Total running average '[sec']]]</f>
        <v>0.75482255020605749</v>
      </c>
      <c r="AK297" s="1">
        <f>intermediate_results[[#This Row], [All cumulative times '[sec']]] / intermediate_results[[#This Row], [Team8 laps '[laps']]] - intermediate_results[[#This Row], [Total running average '[sec']]]</f>
        <v>1.772516582703723</v>
      </c>
      <c r="AL297" s="1">
        <f>intermediate_results[[#This Row], [All cumulative times '[sec']]] / intermediate_results[[#This Row], [Team9 laps '[laps']]] - intermediate_results[[#This Row], [Total running average '[sec']]]</f>
        <v>1.7459228327037195</v>
      </c>
    </row>
    <row r="298" spans="1:38" x14ac:dyDescent="0.25">
      <c r="A298" s="1">
        <v>1826.442</v>
      </c>
      <c r="B298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34.671391578460742</v>
      </c>
      <c r="C298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34.335735766619507</v>
      </c>
      <c r="D298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34.123682426083434</v>
      </c>
      <c r="E298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33.583411943859552</v>
      </c>
      <c r="F298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33.309948288068114</v>
      </c>
      <c r="G298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32.999999999999993</v>
      </c>
      <c r="H298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32.960399115513248</v>
      </c>
      <c r="I298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32.364517731332974</v>
      </c>
      <c r="J298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32.379776401369519</v>
      </c>
      <c r="K298" s="1">
        <f>intermediate_results[[#This Row], [Team1 laps '[laps']]] - intermediate_results[[#This Row], [Team1 laps '[laps']]]</f>
        <v>0</v>
      </c>
      <c r="L298" s="1">
        <f>intermediate_results[[#This Row], [Team1 laps '[laps']]] - intermediate_results[[#This Row], [Team2 laps '[laps']]]</f>
        <v>0.33565581184123516</v>
      </c>
      <c r="M298" s="1">
        <f>intermediate_results[[#This Row], [Team1 laps '[laps']]] - intermediate_results[[#This Row], [Team3 laps '[laps']]]</f>
        <v>0.54770915237730833</v>
      </c>
      <c r="N298" s="1">
        <f>intermediate_results[[#This Row], [Team1 laps '[laps']]] - intermediate_results[[#This Row], [Team4 laps '[laps']]]</f>
        <v>1.0879796346011901</v>
      </c>
      <c r="O298" s="1">
        <f>intermediate_results[[#This Row], [Team1 laps '[laps']]] - intermediate_results[[#This Row], [Team5 laps '[laps']]]</f>
        <v>1.3614432903926286</v>
      </c>
      <c r="P298" s="1">
        <f>intermediate_results[[#This Row], [Team1 laps '[laps']]] - intermediate_results[[#This Row], [Team6 laps '[laps']]]</f>
        <v>1.6713915784607494</v>
      </c>
      <c r="Q298" s="1">
        <f>intermediate_results[[#This Row], [Team1 laps '[laps']]] - intermediate_results[[#This Row], [Team7 laps '[laps']]]</f>
        <v>1.7109924629474946</v>
      </c>
      <c r="R298" s="1">
        <f>intermediate_results[[#This Row], [Team1 laps '[laps']]] - intermediate_results[[#This Row], [Team8 laps '[laps']]]</f>
        <v>2.3068738471277683</v>
      </c>
      <c r="S298" s="1">
        <f>intermediate_results[[#This Row], [Team1 laps '[laps']]] - intermediate_results[[#This Row], [Team9 laps '[laps']]]</f>
        <v>2.2916151770912236</v>
      </c>
      <c r="T298" s="1">
        <f>MAX(intermediate_results[[#This Row], [Team1 laps '[laps']]:[Team9 laps '[laps']]]) - intermediate_results[[#This Row], [Team1 laps '[laps']]]</f>
        <v>0</v>
      </c>
      <c r="U298" s="1">
        <f>MAX(intermediate_results[[#This Row], [Team1 laps '[laps']]:[Team9 laps '[laps']]]) - intermediate_results[[#This Row], [Team2 laps '[laps']]]</f>
        <v>0.33565581184123516</v>
      </c>
      <c r="V298" s="1">
        <f>MAX(intermediate_results[[#This Row], [Team1 laps '[laps']]:[Team9 laps '[laps']]]) - intermediate_results[[#This Row], [Team3 laps '[laps']]]</f>
        <v>0.54770915237730833</v>
      </c>
      <c r="W298" s="1">
        <f>MAX(intermediate_results[[#This Row], [Team1 laps '[laps']]:[Team9 laps '[laps']]]) - intermediate_results[[#This Row], [Team4 laps '[laps']]]</f>
        <v>1.0879796346011901</v>
      </c>
      <c r="X298" s="1">
        <f>MAX(intermediate_results[[#This Row], [Team1 laps '[laps']]:[Team9 laps '[laps']]]) - intermediate_results[[#This Row], [Team5 laps '[laps']]]</f>
        <v>1.3614432903926286</v>
      </c>
      <c r="Y298" s="1">
        <f>MAX(intermediate_results[[#This Row], [Team1 laps '[laps']]:[Team9 laps '[laps']]]) - intermediate_results[[#This Row], [Team6 laps '[laps']]]</f>
        <v>1.6713915784607494</v>
      </c>
      <c r="Z298" s="1">
        <f>MAX(intermediate_results[[#This Row], [Team1 laps '[laps']]:[Team9 laps '[laps']]]) - intermediate_results[[#This Row], [Team7 laps '[laps']]]</f>
        <v>1.7109924629474946</v>
      </c>
      <c r="AA298" s="1">
        <f>MAX(intermediate_results[[#This Row], [Team1 laps '[laps']]:[Team9 laps '[laps']]]) - intermediate_results[[#This Row], [Team8 laps '[laps']]]</f>
        <v>2.3068738471277683</v>
      </c>
      <c r="AB298" s="1">
        <f>MAX(intermediate_results[[#This Row], [Team1 laps '[laps']]:[Team9 laps '[laps']]]) - intermediate_results[[#This Row], [Team9 laps '[laps']]]</f>
        <v>2.2916151770912236</v>
      </c>
      <c r="AC298" s="1">
        <f>9 * intermediate_results[[#This Row], [All cumulative times '[sec']]] / SUM(intermediate_results[[#This Row], [Team1 laps '[laps']]:[Team9 laps '[laps']]])</f>
        <v>54.660459998026326</v>
      </c>
      <c r="AD298" s="1">
        <f>intermediate_results[[#This Row], [All cumulative times '[sec']]] / intermediate_results[[#This Row], [Team1 laps '[laps']]] - intermediate_results[[#This Row], [Total running average '[sec']]]</f>
        <v>-1.9818129392027899</v>
      </c>
      <c r="AE298" s="1">
        <f>intermediate_results[[#This Row], [All cumulative times '[sec']]] / intermediate_results[[#This Row], [Team2 laps '[laps']]] - intermediate_results[[#This Row], [Total running average '[sec']]]</f>
        <v>-1.4668423509675108</v>
      </c>
      <c r="AF298" s="1">
        <f>intermediate_results[[#This Row], [All cumulative times '[sec']]] / intermediate_results[[#This Row], [Team3 laps '[laps']]] - intermediate_results[[#This Row], [Total running average '[sec']]]</f>
        <v>-1.1362835274380956</v>
      </c>
      <c r="AG298" s="1">
        <f>intermediate_results[[#This Row], [All cumulative times '[sec']]] / intermediate_results[[#This Row], [Team4 laps '[laps']]] - intermediate_results[[#This Row], [Total running average '[sec']]]</f>
        <v>-0.27521757378391243</v>
      </c>
      <c r="AH298" s="1">
        <f>intermediate_results[[#This Row], [All cumulative times '[sec']]] / intermediate_results[[#This Row], [Team5 laps '[laps']]] - intermediate_results[[#This Row], [Total running average '[sec']]]</f>
        <v>0.17126727470095915</v>
      </c>
      <c r="AI298" s="1">
        <f>intermediate_results[[#This Row], [All cumulative times '[sec']]] / intermediate_results[[#This Row], [Team6 laps '[laps']]] - intermediate_results[[#This Row], [Total running average '[sec']]]</f>
        <v>0.68626727470095972</v>
      </c>
      <c r="AJ298" s="1">
        <f>intermediate_results[[#This Row], [All cumulative times '[sec']]] / intermediate_results[[#This Row], [Team7 laps '[laps']]] - intermediate_results[[#This Row], [Total running average '[sec']]]</f>
        <v>0.75276462947404355</v>
      </c>
      <c r="AK298" s="1">
        <f>intermediate_results[[#This Row], [All cumulative times '[sec']]] / intermediate_results[[#This Row], [Team8 laps '[laps']]] - intermediate_results[[#This Row], [Total running average '[sec']]]</f>
        <v>1.7730087519736628</v>
      </c>
      <c r="AL298" s="1">
        <f>intermediate_results[[#This Row], [All cumulative times '[sec']]] / intermediate_results[[#This Row], [Team9 laps '[laps']]] - intermediate_results[[#This Row], [Total running average '[sec']]]</f>
        <v>1.7464150019736664</v>
      </c>
    </row>
    <row r="299" spans="1:38" x14ac:dyDescent="0.25">
      <c r="A299" s="1">
        <v>1828.6089999999999</v>
      </c>
      <c r="B299" s="1">
        <f>IFERROR(MATCH(intermediate_results[[#This Row], [All cumulative times '[sec']]], team1_results[Cumulative time '[sec']], 1), 0) + (intermediate_results[[#This Row], [All cumulative times '[sec']]] - IFERROR(INDEX(team1_results[Cumulative time '[sec']], MATCH(intermediate_results[[#This Row], [All cumulative times '[sec']]], team1_results[Cumulative time '[sec']], 1)), 0)) / IFERROR(INDEX(team1_results[Lap times '[sec']], IFERROR(MATCH(intermediate_results[[#This Row], [All cumulative times '[sec']]], team1_results[Cumulative time '[sec']], 1), 0) + 1), INDEX(team1_results[Running average '[sec']], MATCH(intermediate_results[[#This Row], [All cumulative times '[sec']]], team1_results[Cumulative time '[sec']], 1)))</f>
        <v>34.712527790588211</v>
      </c>
      <c r="C299" s="1">
        <f>IFERROR(MATCH(intermediate_results[[#This Row], [All cumulative times '[sec']]], team2_results[Cumulative time '[sec']], 1), 0) + (intermediate_results[[#This Row], [All cumulative times '[sec']]] - IFERROR(INDEX(team2_results[Cumulative time '[sec']], MATCH(intermediate_results[[#This Row], [All cumulative times '[sec']]], team2_results[Cumulative time '[sec']], 1)), 0)) / IFERROR(INDEX(team2_results[Lap times '[sec']], IFERROR(MATCH(intermediate_results[[#This Row], [All cumulative times '[sec']]], team2_results[Cumulative time '[sec']], 1), 0) + 1), INDEX(team2_results[Running average '[sec']], MATCH(intermediate_results[[#This Row], [All cumulative times '[sec']]], team2_results[Cumulative time '[sec']], 1)))</f>
        <v>34.376473736621435</v>
      </c>
      <c r="D299" s="1">
        <f>IFERROR(MATCH(intermediate_results[[#This Row], [All cumulative times '[sec']]], team3_results[Cumulative time '[sec']], 1), 0) + (intermediate_results[[#This Row], [All cumulative times '[sec']]] - IFERROR(INDEX(team3_results[Cumulative time '[sec']], MATCH(intermediate_results[[#This Row], [All cumulative times '[sec']]], team3_results[Cumulative time '[sec']], 1)), 0)) / IFERROR(INDEX(team3_results[Lap times '[sec']], IFERROR(MATCH(intermediate_results[[#This Row], [All cumulative times '[sec']]], team3_results[Cumulative time '[sec']], 1), 0) + 1), INDEX(team3_results[Running average '[sec']], MATCH(intermediate_results[[#This Row], [All cumulative times '[sec']]], team3_results[Cumulative time '[sec']], 1)))</f>
        <v>34.164168803322525</v>
      </c>
      <c r="E299" s="1">
        <f>IFERROR(MATCH(intermediate_results[[#This Row], [All cumulative times '[sec']]], team4_results[Cumulative time '[sec']], 1), 0) + (intermediate_results[[#This Row], [All cumulative times '[sec']]] - IFERROR(INDEX(team4_results[Cumulative time '[sec']], MATCH(intermediate_results[[#This Row], [All cumulative times '[sec']]], team4_results[Cumulative time '[sec']], 1)), 0)) / IFERROR(INDEX(team4_results[Lap times '[sec']], IFERROR(MATCH(intermediate_results[[#This Row], [All cumulative times '[sec']]], team4_results[Cumulative time '[sec']], 1), 0) + 1), INDEX(team4_results[Running average '[sec']], MATCH(intermediate_results[[#This Row], [All cumulative times '[sec']]], team4_results[Cumulative time '[sec']], 1)))</f>
        <v>33.623257311893326</v>
      </c>
      <c r="F299" s="1">
        <f>IFERROR(MATCH(intermediate_results[[#This Row], [All cumulative times '[sec']]], team5_results[Cumulative time '[sec']], 1), 0) + (intermediate_results[[#This Row], [All cumulative times '[sec']]] - IFERROR(INDEX(team5_results[Cumulative time '[sec']], MATCH(intermediate_results[[#This Row], [All cumulative times '[sec']]], team5_results[Cumulative time '[sec']], 1)), 0)) / IFERROR(INDEX(team5_results[Lap times '[sec']], IFERROR(MATCH(intermediate_results[[#This Row], [All cumulative times '[sec']]], team5_results[Cumulative time '[sec']], 1), 0) + 1), INDEX(team5_results[Running average '[sec']], MATCH(intermediate_results[[#This Row], [All cumulative times '[sec']]], team5_results[Cumulative time '[sec']], 1)))</f>
        <v>33.349469202469031</v>
      </c>
      <c r="G299" s="1">
        <f>IFERROR(MATCH(intermediate_results[[#This Row], [All cumulative times '[sec']]], team6_results[Cumulative time '[sec']], 1), 0) + (intermediate_results[[#This Row], [All cumulative times '[sec']]] - IFERROR(INDEX(team6_results[Cumulative time '[sec']], MATCH(intermediate_results[[#This Row], [All cumulative times '[sec']]], team6_results[Cumulative time '[sec']], 1)), 0)) / IFERROR(INDEX(team6_results[Lap times '[sec']], IFERROR(MATCH(intermediate_results[[#This Row], [All cumulative times '[sec']]], team6_results[Cumulative time '[sec']], 1), 0) + 1), INDEX(team6_results[Running average '[sec']], MATCH(intermediate_results[[#This Row], [All cumulative times '[sec']]], team6_results[Cumulative time '[sec']], 1)))</f>
        <v>33.039153173218743</v>
      </c>
      <c r="H299" s="1">
        <f>IFERROR(MATCH(intermediate_results[[#This Row], [All cumulative times '[sec']]], team7_results[Cumulative time '[sec']], 1), 0) + (intermediate_results[[#This Row], [All cumulative times '[sec']]] - IFERROR(INDEX(team7_results[Cumulative time '[sec']], MATCH(intermediate_results[[#This Row], [All cumulative times '[sec']]], team7_results[Cumulative time '[sec']], 1)), 0)) / IFERROR(INDEX(team7_results[Lap times '[sec']], IFERROR(MATCH(intermediate_results[[#This Row], [All cumulative times '[sec']]], team7_results[Cumulative time '[sec']], 1), 0) + 1), INDEX(team7_results[Running average '[sec']], MATCH(intermediate_results[[#This Row], [All cumulative times '[sec']]], team7_results[Cumulative time '[sec']], 1)))</f>
        <v>33.000000000000007</v>
      </c>
      <c r="I299" s="1">
        <f>IFERROR(MATCH(intermediate_results[[#This Row], [All cumulative times '[sec']]], team8_results[Cumulative time '[sec']], 1), 0) + (intermediate_results[[#This Row], [All cumulative times '[sec']]] - IFERROR(INDEX(team8_results[Cumulative time '[sec']], MATCH(intermediate_results[[#This Row], [All cumulative times '[sec']]], team8_results[Cumulative time '[sec']], 1)), 0)) / IFERROR(INDEX(team8_results[Lap times '[sec']], IFERROR(MATCH(intermediate_results[[#This Row], [All cumulative times '[sec']]], team8_results[Cumulative time '[sec']], 1), 0) + 1), INDEX(team8_results[Running average '[sec']], MATCH(intermediate_results[[#This Row], [All cumulative times '[sec']]], team8_results[Cumulative time '[sec']], 1)))</f>
        <v>32.402916930389829</v>
      </c>
      <c r="J299" s="1">
        <f>IFERROR(MATCH(intermediate_results[[#This Row], [All cumulative times '[sec']]], team9_results[Cumulative time '[sec']], 1), 0) + (intermediate_results[[#This Row], [All cumulative times '[sec']]] - IFERROR(INDEX(team9_results[Cumulative time '[sec']], MATCH(intermediate_results[[#This Row], [All cumulative times '[sec']]], team9_results[Cumulative time '[sec']], 1)), 0)) / IFERROR(INDEX(team9_results[Lap times '[sec']], IFERROR(MATCH(intermediate_results[[#This Row], [All cumulative times '[sec']]], team9_results[Cumulative time '[sec']], 1), 0) + 1), INDEX(team9_results[Running average '[sec']], MATCH(intermediate_results[[#This Row], [All cumulative times '[sec']]], team9_results[Cumulative time '[sec']], 1)))</f>
        <v>32.41819370422489</v>
      </c>
      <c r="K299" s="1">
        <f>intermediate_results[[#This Row], [Team1 laps '[laps']]] - intermediate_results[[#This Row], [Team1 laps '[laps']]]</f>
        <v>0</v>
      </c>
      <c r="L299" s="1">
        <f>intermediate_results[[#This Row], [Team1 laps '[laps']]] - intermediate_results[[#This Row], [Team2 laps '[laps']]]</f>
        <v>0.33605405396677668</v>
      </c>
      <c r="M299" s="1">
        <f>intermediate_results[[#This Row], [Team1 laps '[laps']]] - intermediate_results[[#This Row], [Team3 laps '[laps']]]</f>
        <v>0.54835898726568644</v>
      </c>
      <c r="N299" s="1">
        <f>intermediate_results[[#This Row], [Team1 laps '[laps']]] - intermediate_results[[#This Row], [Team4 laps '[laps']]]</f>
        <v>1.0892704786948855</v>
      </c>
      <c r="O299" s="1">
        <f>intermediate_results[[#This Row], [Team1 laps '[laps']]] - intermediate_results[[#This Row], [Team5 laps '[laps']]]</f>
        <v>1.3630585881191806</v>
      </c>
      <c r="P299" s="1">
        <f>intermediate_results[[#This Row], [Team1 laps '[laps']]] - intermediate_results[[#This Row], [Team6 laps '[laps']]]</f>
        <v>1.6733746173694684</v>
      </c>
      <c r="Q299" s="1">
        <f>intermediate_results[[#This Row], [Team1 laps '[laps']]] - intermediate_results[[#This Row], [Team7 laps '[laps']]]</f>
        <v>1.7125277905882044</v>
      </c>
      <c r="R299" s="1">
        <f>intermediate_results[[#This Row], [Team1 laps '[laps']]] - intermediate_results[[#This Row], [Team8 laps '[laps']]]</f>
        <v>2.3096108601983829</v>
      </c>
      <c r="S299" s="1">
        <f>intermediate_results[[#This Row], [Team1 laps '[laps']]] - intermediate_results[[#This Row], [Team9 laps '[laps']]]</f>
        <v>2.294334086363321</v>
      </c>
      <c r="T299" s="1">
        <f>MAX(intermediate_results[[#This Row], [Team1 laps '[laps']]:[Team9 laps '[laps']]]) - intermediate_results[[#This Row], [Team1 laps '[laps']]]</f>
        <v>0</v>
      </c>
      <c r="U299" s="1">
        <f>MAX(intermediate_results[[#This Row], [Team1 laps '[laps']]:[Team9 laps '[laps']]]) - intermediate_results[[#This Row], [Team2 laps '[laps']]]</f>
        <v>0.33605405396677668</v>
      </c>
      <c r="V299" s="1">
        <f>MAX(intermediate_results[[#This Row], [Team1 laps '[laps']]:[Team9 laps '[laps']]]) - intermediate_results[[#This Row], [Team3 laps '[laps']]]</f>
        <v>0.54835898726568644</v>
      </c>
      <c r="W299" s="1">
        <f>MAX(intermediate_results[[#This Row], [Team1 laps '[laps']]:[Team9 laps '[laps']]]) - intermediate_results[[#This Row], [Team4 laps '[laps']]]</f>
        <v>1.0892704786948855</v>
      </c>
      <c r="X299" s="1">
        <f>MAX(intermediate_results[[#This Row], [Team1 laps '[laps']]:[Team9 laps '[laps']]]) - intermediate_results[[#This Row], [Team5 laps '[laps']]]</f>
        <v>1.3630585881191806</v>
      </c>
      <c r="Y299" s="1">
        <f>MAX(intermediate_results[[#This Row], [Team1 laps '[laps']]:[Team9 laps '[laps']]]) - intermediate_results[[#This Row], [Team6 laps '[laps']]]</f>
        <v>1.6733746173694684</v>
      </c>
      <c r="Z299" s="1">
        <f>MAX(intermediate_results[[#This Row], [Team1 laps '[laps']]:[Team9 laps '[laps']]]) - intermediate_results[[#This Row], [Team7 laps '[laps']]]</f>
        <v>1.7125277905882044</v>
      </c>
      <c r="AA299" s="1">
        <f>MAX(intermediate_results[[#This Row], [Team1 laps '[laps']]:[Team9 laps '[laps']]]) - intermediate_results[[#This Row], [Team8 laps '[laps']]]</f>
        <v>2.3096108601983829</v>
      </c>
      <c r="AB299" s="1">
        <f>MAX(intermediate_results[[#This Row], [Team1 laps '[laps']]:[Team9 laps '[laps']]]) - intermediate_results[[#This Row], [Team9 laps '[laps']]]</f>
        <v>2.294334086363321</v>
      </c>
      <c r="AC299" s="1">
        <f>9 * intermediate_results[[#This Row], [All cumulative times '[sec']]] / SUM(intermediate_results[[#This Row], [Team1 laps '[laps']]:[Team9 laps '[laps']]])</f>
        <v>54.660370188791298</v>
      </c>
      <c r="AD299" s="1">
        <f>intermediate_results[[#This Row], [All cumulative times '[sec']]] / intermediate_results[[#This Row], [Team1 laps '[laps']]] - intermediate_results[[#This Row], [Total running average '[sec']]]</f>
        <v>-1.9817231299677616</v>
      </c>
      <c r="AE299" s="1">
        <f>intermediate_results[[#This Row], [All cumulative times '[sec']]] / intermediate_results[[#This Row], [Team2 laps '[laps']]] - intermediate_results[[#This Row], [Total running average '[sec']]]</f>
        <v>-1.4667525417324825</v>
      </c>
      <c r="AF299" s="1">
        <f>intermediate_results[[#This Row], [All cumulative times '[sec']]] / intermediate_results[[#This Row], [Team3 laps '[laps']]] - intermediate_results[[#This Row], [Total running average '[sec']]]</f>
        <v>-1.1361937182030672</v>
      </c>
      <c r="AG299" s="1">
        <f>intermediate_results[[#This Row], [All cumulative times '[sec']]] / intermediate_results[[#This Row], [Team4 laps '[laps']]] - intermediate_results[[#This Row], [Total running average '[sec']]]</f>
        <v>-0.2751277645488841</v>
      </c>
      <c r="AH299" s="1">
        <f>intermediate_results[[#This Row], [All cumulative times '[sec']]] / intermediate_results[[#This Row], [Team5 laps '[laps']]] - intermediate_results[[#This Row], [Total running average '[sec']]]</f>
        <v>0.17135708393598748</v>
      </c>
      <c r="AI299" s="1">
        <f>intermediate_results[[#This Row], [All cumulative times '[sec']]] / intermediate_results[[#This Row], [Team6 laps '[laps']]] - intermediate_results[[#This Row], [Total running average '[sec']]]</f>
        <v>0.68635708393598094</v>
      </c>
      <c r="AJ299" s="1">
        <f>intermediate_results[[#This Row], [All cumulative times '[sec']]] / intermediate_results[[#This Row], [Team7 laps '[laps']]] - intermediate_results[[#This Row], [Total running average '[sec']]]</f>
        <v>0.75202375060262483</v>
      </c>
      <c r="AK299" s="1">
        <f>intermediate_results[[#This Row], [All cumulative times '[sec']]] / intermediate_results[[#This Row], [Team8 laps '[laps']]] - intermediate_results[[#This Row], [Total running average '[sec']]]</f>
        <v>1.7730985612086911</v>
      </c>
      <c r="AL299" s="1">
        <f>intermediate_results[[#This Row], [All cumulative times '[sec']]] / intermediate_results[[#This Row], [Team9 laps '[laps']]] - intermediate_results[[#This Row], [Total running average '[sec']]]</f>
        <v>1.7465048112086876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results</vt:lpstr>
      <vt:lpstr>race_data</vt:lpstr>
      <vt:lpstr>intermediate_data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inigo.merckx@gmail.com</cp:lastModifiedBy>
  <dcterms:created xsi:type="dcterms:W3CDTF">2026-01-07T21:48:33Z</dcterms:created>
  <dcterms:modified xsi:type="dcterms:W3CDTF">2026-01-08T22:29:00Z</dcterms:modified>
</cp:coreProperties>
</file>