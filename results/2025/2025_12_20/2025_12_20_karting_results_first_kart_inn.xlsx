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race_data" sheetId="2" r:id="rId2"/>
    <sheet name="intermediate_data" sheetId="3" r:id="rId3"/>
  </sheets>
  <calcPr calcId="124519" fullCalcOnLoad="1"/>
</workbook>
</file>

<file path=xl/sharedStrings.xml><?xml version="1.0" encoding="utf-8"?>
<sst xmlns="http://schemas.openxmlformats.org/spreadsheetml/2006/main" count="524" uniqueCount="73">
  <si>
    <t>Position</t>
  </si>
  <si>
    <t>Kart number</t>
  </si>
  <si>
    <t>Team</t>
  </si>
  <si>
    <t>Laps [laps]</t>
  </si>
  <si>
    <t>Distance</t>
  </si>
  <si>
    <t>Fastest lap [laps]</t>
  </si>
  <si>
    <t>Slowest lap [laps]</t>
  </si>
  <si>
    <t>Average lap [sec]</t>
  </si>
  <si>
    <t>Standard deviation [sec]</t>
  </si>
  <si>
    <t>Pit time [sec]</t>
  </si>
  <si>
    <t>Pit stops</t>
  </si>
  <si>
    <t>Average pit time [sec]</t>
  </si>
  <si>
    <t>SanderV</t>
  </si>
  <si>
    <t>0 sec</t>
  </si>
  <si>
    <t>InigoM</t>
  </si>
  <si>
    <t>17.945 sec</t>
  </si>
  <si>
    <t>LodeH</t>
  </si>
  <si>
    <t>29.983 sec</t>
  </si>
  <si>
    <t>YannickD</t>
  </si>
  <si>
    <t>1 lap</t>
  </si>
  <si>
    <t>NielsS</t>
  </si>
  <si>
    <t>GökhanB</t>
  </si>
  <si>
    <t>KyleS</t>
  </si>
  <si>
    <t>HannesD</t>
  </si>
  <si>
    <t>2 laps</t>
  </si>
  <si>
    <t>DieterV</t>
  </si>
  <si>
    <t>30 min GP race - 14:12 - Sodi 270cc 20/12/2025</t>
  </si>
  <si>
    <t>Percentage of outliers</t>
  </si>
  <si>
    <t>Driver</t>
  </si>
  <si>
    <t>Fastest lap [sec]</t>
  </si>
  <si>
    <t>Slowest lap [sec]</t>
  </si>
  <si>
    <t>Avg lap (no outliers) [sec]</t>
  </si>
  <si>
    <t>Lap times [sec]</t>
  </si>
  <si>
    <t>Running average [sec]</t>
  </si>
  <si>
    <t>Cumulative time [sec]</t>
  </si>
  <si>
    <t>All cumulative times [sec]</t>
  </si>
  <si>
    <t>Team1 laps [laps]</t>
  </si>
  <si>
    <t>Team2 laps [laps]</t>
  </si>
  <si>
    <t>Team3 laps [laps]</t>
  </si>
  <si>
    <t>Team4 laps [laps]</t>
  </si>
  <si>
    <t>Team5 laps [laps]</t>
  </si>
  <si>
    <t>Team6 laps [laps]</t>
  </si>
  <si>
    <t>Team7 laps [laps]</t>
  </si>
  <si>
    <t>Team8 laps [laps]</t>
  </si>
  <si>
    <t>Team9 laps [laps]</t>
  </si>
  <si>
    <t>Team1 distance to winner [laps]</t>
  </si>
  <si>
    <t>Team2 distance to winner [laps]</t>
  </si>
  <si>
    <t>Team3 distance to winner [laps]</t>
  </si>
  <si>
    <t>Team4 distance to winner [laps]</t>
  </si>
  <si>
    <t>Team5 distance to winner [laps]</t>
  </si>
  <si>
    <t>Team6 distance to winner [laps]</t>
  </si>
  <si>
    <t>Team7 distance to winner [laps]</t>
  </si>
  <si>
    <t>Team8 distance to winner [laps]</t>
  </si>
  <si>
    <t>Team9 distance to winner [laps]</t>
  </si>
  <si>
    <t>Team1 distance to leader [laps]</t>
  </si>
  <si>
    <t>Team2 distance to leader [laps]</t>
  </si>
  <si>
    <t>Team3 distance to leader [laps]</t>
  </si>
  <si>
    <t>Team4 distance to leader [laps]</t>
  </si>
  <si>
    <t>Team5 distance to leader [laps]</t>
  </si>
  <si>
    <t>Team6 distance to leader [laps]</t>
  </si>
  <si>
    <t>Team7 distance to leader [laps]</t>
  </si>
  <si>
    <t>Team8 distance to leader [laps]</t>
  </si>
  <si>
    <t>Team9 distance to leader [laps]</t>
  </si>
  <si>
    <t>Total running average [sec]</t>
  </si>
  <si>
    <t>Team1 running average diff [sec]</t>
  </si>
  <si>
    <t>Team2 running average diff [sec]</t>
  </si>
  <si>
    <t>Team3 running average diff [sec]</t>
  </si>
  <si>
    <t>Team4 running average diff [sec]</t>
  </si>
  <si>
    <t>Team5 running average diff [sec]</t>
  </si>
  <si>
    <t>Team6 running average diff [sec]</t>
  </si>
  <si>
    <t>Team7 running average diff [sec]</t>
  </si>
  <si>
    <t>Team8 running average diff [sec]</t>
  </si>
  <si>
    <t>Team9 running average diff [sec]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</si>
</sst>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Running average lap times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race_data!$A$1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race_data!$D$3:$D$36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xVal>
          <c:yVal>
            <c:numRef>
              <c:f>race_data!$C$3:$C$36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</c:ser>
        <c:ser>
          <c:idx val="1"/>
          <c:order val="1"/>
          <c:tx>
            <c:strRef>
              <c:f>race_data!$F$1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race_data!$I$3:$I$36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xVal>
          <c:yVal>
            <c:numRef>
              <c:f>race_data!$H$3:$H$36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</c:ser>
        <c:ser>
          <c:idx val="2"/>
          <c:order val="2"/>
          <c:tx>
            <c:strRef>
              <c:f>race_data!$K$1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race_data!$N$3:$N$36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xVal>
          <c:yVal>
            <c:numRef>
              <c:f>race_data!$M$3:$M$36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</c:ser>
        <c:ser>
          <c:idx val="3"/>
          <c:order val="3"/>
          <c:tx>
            <c:strRef>
              <c:f>race_data!$P$1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race_data!$S$3:$S$35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race_data!$R$3:$R$35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</c:ser>
        <c:ser>
          <c:idx val="4"/>
          <c:order val="4"/>
          <c:tx>
            <c:strRef>
              <c:f>race_data!$U$1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race_data!$X$3:$X$35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race_data!$W$3:$W$35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</c:ser>
        <c:ser>
          <c:idx val="5"/>
          <c:order val="5"/>
          <c:tx>
            <c:strRef>
              <c:f>race_data!$Z$1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race_data!$AC$3:$AC$35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race_data!$AB$3:$AB$35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</c:ser>
        <c:ser>
          <c:idx val="6"/>
          <c:order val="6"/>
          <c:tx>
            <c:strRef>
              <c:f>race_data!$AE$1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race_data!$AH$3:$AH$35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xVal>
          <c:yVal>
            <c:numRef>
              <c:f>race_data!$AG$3:$AG$35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</c:ser>
        <c:ser>
          <c:idx val="7"/>
          <c:order val="7"/>
          <c:tx>
            <c:strRef>
              <c:f>race_data!$AJ$1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race_data!$AM$3:$AM$34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xVal>
          <c:yVal>
            <c:numRef>
              <c:f>race_data!$AL$3:$AL$34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</c:ser>
        <c:ser>
          <c:idx val="8"/>
          <c:order val="8"/>
          <c:tx>
            <c:strRef>
              <c:f>race_data!$AO$1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race_data!$AR$3:$AR$34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xVal>
          <c:yVal>
            <c:numRef>
              <c:f>race_data!$AQ$3:$AQ$34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800.0"/>
          <c:min val="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[sec]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  <c:majorUnit val="250"/>
        <c:minorUnit val="50.0"/>
      </c:valAx>
      <c:valAx>
        <c:axId val="50010002"/>
        <c:scaling>
          <c:orientation val="minMax"/>
          <c:max val="59.0"/>
          <c:min val="52.5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lap time [sec]</a:t>
                </a:r>
              </a:p>
            </c:rich>
          </c:tx>
          <c:layout/>
        </c:title>
        <c:numFmt formatCode="General" sourceLinked="1"/>
        <c:tickLblPos val="low"/>
        <c:crossAx val="50010001"/>
        <c:crosses val="autoZero"/>
        <c:crossBetween val="midCat"/>
        <c:majorUnit val="0.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Running distance to winner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race_data!$A$1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intermediate_data!$K$2:$K$299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1"/>
          <c:order val="1"/>
          <c:tx>
            <c:strRef>
              <c:f>race_data!$F$1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intermediate_data!$L$2:$L$299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2"/>
          <c:order val="2"/>
          <c:tx>
            <c:strRef>
              <c:f>race_data!$K$1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intermediate_data!$M$2:$M$299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3"/>
          <c:order val="3"/>
          <c:tx>
            <c:strRef>
              <c:f>race_data!$P$1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intermediate_data!$N$2:$N$299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4"/>
          <c:order val="4"/>
          <c:tx>
            <c:strRef>
              <c:f>race_data!$U$1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intermediate_data!$O$2:$O$299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5"/>
          <c:order val="5"/>
          <c:tx>
            <c:strRef>
              <c:f>race_data!$Z$1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intermediate_data!$P$2:$P$299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6"/>
          <c:order val="6"/>
          <c:tx>
            <c:strRef>
              <c:f>race_data!$AE$1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intermediate_data!$Q$2:$Q$299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7"/>
          <c:order val="7"/>
          <c:tx>
            <c:strRef>
              <c:f>race_data!$AJ$1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intermediate_data!$R$2:$R$299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8"/>
          <c:order val="8"/>
          <c:tx>
            <c:strRef>
              <c:f>race_data!$AO$1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intermediate_data!$S$2:$S$299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800.0"/>
          <c:min val="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[sec]</a:t>
                </a:r>
              </a:p>
            </c:rich>
          </c:tx>
          <c:layout/>
        </c:title>
        <c:numFmt formatCode="General" sourceLinked="1"/>
        <c:tickLblPos val="low"/>
        <c:crossAx val="50020002"/>
        <c:crosses val="autoZero"/>
        <c:crossBetween val="midCat"/>
        <c:majorUnit val="250"/>
        <c:minorUnit val="50.0"/>
      </c:valAx>
      <c:valAx>
        <c:axId val="50020002"/>
        <c:scaling>
          <c:orientation val="minMax"/>
          <c:max val="2.5"/>
          <c:min val="-0.5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to winner [laps]</a:t>
                </a:r>
              </a:p>
            </c:rich>
          </c:tx>
          <c:layout/>
        </c:title>
        <c:numFmt formatCode="General" sourceLinked="1"/>
        <c:tickLblPos val="low"/>
        <c:crossAx val="50020001"/>
        <c:crosses val="autoZero"/>
        <c:crossBetween val="midCat"/>
        <c:majorUnit val="0.25"/>
        <c:minorUnit val="0.0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Running distance to leader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race_data!$A$1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intermediate_data!$T$2:$T$299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1"/>
          <c:order val="1"/>
          <c:tx>
            <c:strRef>
              <c:f>race_data!$F$1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intermediate_data!$U$2:$U$299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2"/>
          <c:order val="2"/>
          <c:tx>
            <c:strRef>
              <c:f>race_data!$K$1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intermediate_data!$V$2:$V$299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3"/>
          <c:order val="3"/>
          <c:tx>
            <c:strRef>
              <c:f>race_data!$P$1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intermediate_data!$W$2:$W$299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4"/>
          <c:order val="4"/>
          <c:tx>
            <c:strRef>
              <c:f>race_data!$U$1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intermediate_data!$X$2:$X$299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5"/>
          <c:order val="5"/>
          <c:tx>
            <c:strRef>
              <c:f>race_data!$Z$1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intermediate_data!$Y$2:$Y$299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6"/>
          <c:order val="6"/>
          <c:tx>
            <c:strRef>
              <c:f>race_data!$AE$1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intermediate_data!$Z$2:$Z$299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7"/>
          <c:order val="7"/>
          <c:tx>
            <c:strRef>
              <c:f>race_data!$AJ$1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intermediate_data!$AA$2:$AA$299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8"/>
          <c:order val="8"/>
          <c:tx>
            <c:strRef>
              <c:f>race_data!$AO$1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intermediate_data!$AB$2:$AB$299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800.0"/>
          <c:min val="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[sec]</a:t>
                </a:r>
              </a:p>
            </c:rich>
          </c:tx>
          <c:layout/>
        </c:title>
        <c:numFmt formatCode="General" sourceLinked="1"/>
        <c:tickLblPos val="low"/>
        <c:crossAx val="50030002"/>
        <c:crosses val="autoZero"/>
        <c:crossBetween val="midCat"/>
        <c:majorUnit val="250"/>
        <c:minorUnit val="50.0"/>
      </c:valAx>
      <c:valAx>
        <c:axId val="50030002"/>
        <c:scaling>
          <c:orientation val="minMax"/>
          <c:max val="2.5"/>
          <c:min val="-0.25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to leader [laps]</a:t>
                </a:r>
              </a:p>
            </c:rich>
          </c:tx>
          <c:layout/>
        </c:title>
        <c:numFmt formatCode="General" sourceLinked="1"/>
        <c:tickLblPos val="low"/>
        <c:crossAx val="50030001"/>
        <c:crosses val="autoZero"/>
        <c:crossBetween val="midCat"/>
        <c:majorUnit val="0.25"/>
        <c:minorUnit val="0.0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Diff to total running average lap time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race_data!$A$1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intermediate_data!$AD$2:$AD$299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1"/>
          <c:order val="1"/>
          <c:tx>
            <c:strRef>
              <c:f>race_data!$F$1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intermediate_data!$AE$2:$AE$299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2"/>
          <c:order val="2"/>
          <c:tx>
            <c:strRef>
              <c:f>race_data!$K$1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intermediate_data!$AF$2:$AF$299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3"/>
          <c:order val="3"/>
          <c:tx>
            <c:strRef>
              <c:f>race_data!$P$1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intermediate_data!$AG$2:$AG$299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4"/>
          <c:order val="4"/>
          <c:tx>
            <c:strRef>
              <c:f>race_data!$U$1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intermediate_data!$AH$2:$AH$299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5"/>
          <c:order val="5"/>
          <c:tx>
            <c:strRef>
              <c:f>race_data!$Z$1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intermediate_data!$AI$2:$AI$299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6"/>
          <c:order val="6"/>
          <c:tx>
            <c:strRef>
              <c:f>race_data!$AE$1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intermediate_data!$AJ$2:$AJ$299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7"/>
          <c:order val="7"/>
          <c:tx>
            <c:strRef>
              <c:f>race_data!$AJ$1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intermediate_data!$AK$2:$AK$299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ser>
          <c:idx val="8"/>
          <c:order val="8"/>
          <c:tx>
            <c:strRef>
              <c:f>race_data!$AO$1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intermediate_data!$A$2:$A$299</c:f>
              <c:numCache>
                <c:formatCode>General</c:formatCode>
                <c:ptCount val="298"/>
                <c:pt idx="0">
                  <c:v>53.684</c:v>
                </c:pt>
                <c:pt idx="1">
                  <c:v>53.756</c:v>
                </c:pt>
                <c:pt idx="2">
                  <c:v>54.529</c:v>
                </c:pt>
                <c:pt idx="3">
                  <c:v>55.473</c:v>
                </c:pt>
                <c:pt idx="4">
                  <c:v>55.91</c:v>
                </c:pt>
                <c:pt idx="5">
                  <c:v>56.984</c:v>
                </c:pt>
                <c:pt idx="6">
                  <c:v>57.092</c:v>
                </c:pt>
                <c:pt idx="7">
                  <c:v>57.483</c:v>
                </c:pt>
                <c:pt idx="8">
                  <c:v>58.719</c:v>
                </c:pt>
                <c:pt idx="9">
                  <c:v>107.248</c:v>
                </c:pt>
                <c:pt idx="10">
                  <c:v>107.484</c:v>
                </c:pt>
                <c:pt idx="11">
                  <c:v>109.506</c:v>
                </c:pt>
                <c:pt idx="12">
                  <c:v>111.094</c:v>
                </c:pt>
                <c:pt idx="13">
                  <c:v>111.527</c:v>
                </c:pt>
                <c:pt idx="14">
                  <c:v>112.53</c:v>
                </c:pt>
                <c:pt idx="15">
                  <c:v>113.362</c:v>
                </c:pt>
                <c:pt idx="16">
                  <c:v>113.758</c:v>
                </c:pt>
                <c:pt idx="17">
                  <c:v>115.387</c:v>
                </c:pt>
                <c:pt idx="18">
                  <c:v>160.595</c:v>
                </c:pt>
                <c:pt idx="19">
                  <c:v>160.697</c:v>
                </c:pt>
                <c:pt idx="20">
                  <c:v>163.79</c:v>
                </c:pt>
                <c:pt idx="21">
                  <c:v>166.34</c:v>
                </c:pt>
                <c:pt idx="22">
                  <c:v>166.872</c:v>
                </c:pt>
                <c:pt idx="23">
                  <c:v>167.848</c:v>
                </c:pt>
                <c:pt idx="24">
                  <c:v>169.199</c:v>
                </c:pt>
                <c:pt idx="25">
                  <c:v>170.291</c:v>
                </c:pt>
                <c:pt idx="26">
                  <c:v>171.417</c:v>
                </c:pt>
                <c:pt idx="27">
                  <c:v>214.058</c:v>
                </c:pt>
                <c:pt idx="28">
                  <c:v>214.311</c:v>
                </c:pt>
                <c:pt idx="29">
                  <c:v>217.576</c:v>
                </c:pt>
                <c:pt idx="30">
                  <c:v>221.208</c:v>
                </c:pt>
                <c:pt idx="31">
                  <c:v>222.996</c:v>
                </c:pt>
                <c:pt idx="32">
                  <c:v>223.346</c:v>
                </c:pt>
                <c:pt idx="33">
                  <c:v>224.792</c:v>
                </c:pt>
                <c:pt idx="34">
                  <c:v>227.237</c:v>
                </c:pt>
                <c:pt idx="35">
                  <c:v>227.387</c:v>
                </c:pt>
                <c:pt idx="36">
                  <c:v>267.203</c:v>
                </c:pt>
                <c:pt idx="37">
                  <c:v>267.286</c:v>
                </c:pt>
                <c:pt idx="38">
                  <c:v>271.62</c:v>
                </c:pt>
                <c:pt idx="39">
                  <c:v>276.245</c:v>
                </c:pt>
                <c:pt idx="40">
                  <c:v>278.115</c:v>
                </c:pt>
                <c:pt idx="41">
                  <c:v>278.771</c:v>
                </c:pt>
                <c:pt idx="42">
                  <c:v>280.431</c:v>
                </c:pt>
                <c:pt idx="43">
                  <c:v>283.977</c:v>
                </c:pt>
                <c:pt idx="44">
                  <c:v>284.369</c:v>
                </c:pt>
                <c:pt idx="45">
                  <c:v>319.94</c:v>
                </c:pt>
                <c:pt idx="46">
                  <c:v>320.417</c:v>
                </c:pt>
                <c:pt idx="47">
                  <c:v>325.777</c:v>
                </c:pt>
                <c:pt idx="48">
                  <c:v>331.447</c:v>
                </c:pt>
                <c:pt idx="49">
                  <c:v>333.305</c:v>
                </c:pt>
                <c:pt idx="50">
                  <c:v>333.831</c:v>
                </c:pt>
                <c:pt idx="51">
                  <c:v>335.64</c:v>
                </c:pt>
                <c:pt idx="52">
                  <c:v>340.833</c:v>
                </c:pt>
                <c:pt idx="53">
                  <c:v>341.092</c:v>
                </c:pt>
                <c:pt idx="54">
                  <c:v>372.535</c:v>
                </c:pt>
                <c:pt idx="55">
                  <c:v>373.22</c:v>
                </c:pt>
                <c:pt idx="56">
                  <c:v>380.056</c:v>
                </c:pt>
                <c:pt idx="57">
                  <c:v>386.749</c:v>
                </c:pt>
                <c:pt idx="58">
                  <c:v>388.193</c:v>
                </c:pt>
                <c:pt idx="59">
                  <c:v>388.3029999999999</c:v>
                </c:pt>
                <c:pt idx="60">
                  <c:v>391.551</c:v>
                </c:pt>
                <c:pt idx="61">
                  <c:v>397.342</c:v>
                </c:pt>
                <c:pt idx="62">
                  <c:v>397.602</c:v>
                </c:pt>
                <c:pt idx="63">
                  <c:v>425.076</c:v>
                </c:pt>
                <c:pt idx="64">
                  <c:v>426.263</c:v>
                </c:pt>
                <c:pt idx="65">
                  <c:v>434.231</c:v>
                </c:pt>
                <c:pt idx="66">
                  <c:v>442.305</c:v>
                </c:pt>
                <c:pt idx="67">
                  <c:v>442.877</c:v>
                </c:pt>
                <c:pt idx="68">
                  <c:v>443.707</c:v>
                </c:pt>
                <c:pt idx="69">
                  <c:v>447.206</c:v>
                </c:pt>
                <c:pt idx="70">
                  <c:v>453.821</c:v>
                </c:pt>
                <c:pt idx="71">
                  <c:v>454.595</c:v>
                </c:pt>
                <c:pt idx="72">
                  <c:v>477.6659999999999</c:v>
                </c:pt>
                <c:pt idx="73">
                  <c:v>479.288</c:v>
                </c:pt>
                <c:pt idx="74">
                  <c:v>488.191</c:v>
                </c:pt>
                <c:pt idx="75">
                  <c:v>497.561</c:v>
                </c:pt>
                <c:pt idx="76">
                  <c:v>497.723</c:v>
                </c:pt>
                <c:pt idx="77">
                  <c:v>498.917</c:v>
                </c:pt>
                <c:pt idx="78">
                  <c:v>502.585</c:v>
                </c:pt>
                <c:pt idx="79">
                  <c:v>509.871</c:v>
                </c:pt>
                <c:pt idx="80">
                  <c:v>511.538</c:v>
                </c:pt>
                <c:pt idx="81">
                  <c:v>530.6529999999999</c:v>
                </c:pt>
                <c:pt idx="82">
                  <c:v>532.333</c:v>
                </c:pt>
                <c:pt idx="83">
                  <c:v>541.521</c:v>
                </c:pt>
                <c:pt idx="84">
                  <c:v>551.9350000000001</c:v>
                </c:pt>
                <c:pt idx="85">
                  <c:v>552.7149999999999</c:v>
                </c:pt>
                <c:pt idx="86">
                  <c:v>553.384</c:v>
                </c:pt>
                <c:pt idx="87">
                  <c:v>558.1800000000001</c:v>
                </c:pt>
                <c:pt idx="88">
                  <c:v>566.237</c:v>
                </c:pt>
                <c:pt idx="89">
                  <c:v>569.4749999999999</c:v>
                </c:pt>
                <c:pt idx="90">
                  <c:v>583.6529999999999</c:v>
                </c:pt>
                <c:pt idx="91">
                  <c:v>585.439</c:v>
                </c:pt>
                <c:pt idx="92">
                  <c:v>594.9649999999999</c:v>
                </c:pt>
                <c:pt idx="93">
                  <c:v>606.9720000000001</c:v>
                </c:pt>
                <c:pt idx="94">
                  <c:v>607.3299999999999</c:v>
                </c:pt>
                <c:pt idx="95">
                  <c:v>608.366</c:v>
                </c:pt>
                <c:pt idx="96">
                  <c:v>613.038</c:v>
                </c:pt>
                <c:pt idx="97">
                  <c:v>621.6909999999999</c:v>
                </c:pt>
                <c:pt idx="98">
                  <c:v>625.0229999999999</c:v>
                </c:pt>
                <c:pt idx="99">
                  <c:v>636.2439999999999</c:v>
                </c:pt>
                <c:pt idx="100">
                  <c:v>638.471</c:v>
                </c:pt>
                <c:pt idx="101">
                  <c:v>648.2169999999999</c:v>
                </c:pt>
                <c:pt idx="102">
                  <c:v>661.5229999999999</c:v>
                </c:pt>
                <c:pt idx="103">
                  <c:v>661.6510000000001</c:v>
                </c:pt>
                <c:pt idx="104">
                  <c:v>663.02</c:v>
                </c:pt>
                <c:pt idx="105">
                  <c:v>668.73</c:v>
                </c:pt>
                <c:pt idx="106">
                  <c:v>677.1529999999999</c:v>
                </c:pt>
                <c:pt idx="107">
                  <c:v>680.4719999999999</c:v>
                </c:pt>
                <c:pt idx="108">
                  <c:v>688.8079999999999</c:v>
                </c:pt>
                <c:pt idx="109">
                  <c:v>691.472</c:v>
                </c:pt>
                <c:pt idx="110">
                  <c:v>701.5089999999999</c:v>
                </c:pt>
                <c:pt idx="111">
                  <c:v>716.0759999999999</c:v>
                </c:pt>
                <c:pt idx="112">
                  <c:v>716.2020000000001</c:v>
                </c:pt>
                <c:pt idx="113">
                  <c:v>717.6659999999999</c:v>
                </c:pt>
                <c:pt idx="114">
                  <c:v>724.0410000000001</c:v>
                </c:pt>
                <c:pt idx="115">
                  <c:v>733.6349999999999</c:v>
                </c:pt>
                <c:pt idx="116">
                  <c:v>737.1329999999998</c:v>
                </c:pt>
                <c:pt idx="117">
                  <c:v>741.7129999999999</c:v>
                </c:pt>
                <c:pt idx="118">
                  <c:v>744.259</c:v>
                </c:pt>
                <c:pt idx="119">
                  <c:v>754.4499999999999</c:v>
                </c:pt>
                <c:pt idx="120">
                  <c:v>770.6559999999999</c:v>
                </c:pt>
                <c:pt idx="121">
                  <c:v>770.7630000000001</c:v>
                </c:pt>
                <c:pt idx="122">
                  <c:v>772.1369999999999</c:v>
                </c:pt>
                <c:pt idx="123">
                  <c:v>779.1840000000001</c:v>
                </c:pt>
                <c:pt idx="124">
                  <c:v>789.3359999999999</c:v>
                </c:pt>
                <c:pt idx="125">
                  <c:v>794.0309999999998</c:v>
                </c:pt>
                <c:pt idx="126">
                  <c:v>794.5029999999998</c:v>
                </c:pt>
                <c:pt idx="127">
                  <c:v>797.929</c:v>
                </c:pt>
                <c:pt idx="128">
                  <c:v>808.1039999999999</c:v>
                </c:pt>
                <c:pt idx="129">
                  <c:v>825.7009999999999</c:v>
                </c:pt>
                <c:pt idx="130">
                  <c:v>826.4490000000002</c:v>
                </c:pt>
                <c:pt idx="131">
                  <c:v>826.54</c:v>
                </c:pt>
                <c:pt idx="132">
                  <c:v>834.335</c:v>
                </c:pt>
                <c:pt idx="133">
                  <c:v>845.6689999999999</c:v>
                </c:pt>
                <c:pt idx="134">
                  <c:v>846.6819999999998</c:v>
                </c:pt>
                <c:pt idx="135">
                  <c:v>850.2489999999998</c:v>
                </c:pt>
                <c:pt idx="136">
                  <c:v>851.0599999999999</c:v>
                </c:pt>
                <c:pt idx="137">
                  <c:v>862.0069999999999</c:v>
                </c:pt>
                <c:pt idx="138">
                  <c:v>879.5059999999999</c:v>
                </c:pt>
                <c:pt idx="139">
                  <c:v>880.3339999999999</c:v>
                </c:pt>
                <c:pt idx="140">
                  <c:v>880.3800000000002</c:v>
                </c:pt>
                <c:pt idx="141">
                  <c:v>889.133</c:v>
                </c:pt>
                <c:pt idx="142">
                  <c:v>899.1349999999998</c:v>
                </c:pt>
                <c:pt idx="143">
                  <c:v>902.0849999999998</c:v>
                </c:pt>
                <c:pt idx="144">
                  <c:v>903.8979999999999</c:v>
                </c:pt>
                <c:pt idx="145">
                  <c:v>905.2339999999998</c:v>
                </c:pt>
                <c:pt idx="146">
                  <c:v>914.929</c:v>
                </c:pt>
                <c:pt idx="147">
                  <c:v>933.4669999999999</c:v>
                </c:pt>
                <c:pt idx="148">
                  <c:v>934.0619999999999</c:v>
                </c:pt>
                <c:pt idx="149">
                  <c:v>934.2380000000002</c:v>
                </c:pt>
                <c:pt idx="150">
                  <c:v>944.414</c:v>
                </c:pt>
                <c:pt idx="151">
                  <c:v>951.7549999999998</c:v>
                </c:pt>
                <c:pt idx="152">
                  <c:v>956.579</c:v>
                </c:pt>
                <c:pt idx="153">
                  <c:v>959.0069999999998</c:v>
                </c:pt>
                <c:pt idx="154">
                  <c:v>960.3619999999999</c:v>
                </c:pt>
                <c:pt idx="155">
                  <c:v>968.2769999999999</c:v>
                </c:pt>
                <c:pt idx="156">
                  <c:v>987.4059999999998</c:v>
                </c:pt>
                <c:pt idx="157">
                  <c:v>988.2829999999999</c:v>
                </c:pt>
                <c:pt idx="158">
                  <c:v>988.2930000000001</c:v>
                </c:pt>
                <c:pt idx="159">
                  <c:v>1000.082</c:v>
                </c:pt>
                <c:pt idx="160">
                  <c:v>1004.273</c:v>
                </c:pt>
                <c:pt idx="161">
                  <c:v>1009.982</c:v>
                </c:pt>
                <c:pt idx="162">
                  <c:v>1015.061</c:v>
                </c:pt>
                <c:pt idx="163">
                  <c:v>1017.012</c:v>
                </c:pt>
                <c:pt idx="164">
                  <c:v>1022.78</c:v>
                </c:pt>
                <c:pt idx="165">
                  <c:v>1041.758</c:v>
                </c:pt>
                <c:pt idx="166">
                  <c:v>1041.986</c:v>
                </c:pt>
                <c:pt idx="167">
                  <c:v>1042.531</c:v>
                </c:pt>
                <c:pt idx="168">
                  <c:v>1055.546</c:v>
                </c:pt>
                <c:pt idx="169">
                  <c:v>1056.577</c:v>
                </c:pt>
                <c:pt idx="170">
                  <c:v>1062.858</c:v>
                </c:pt>
                <c:pt idx="171">
                  <c:v>1072.257</c:v>
                </c:pt>
                <c:pt idx="172">
                  <c:v>1074.156</c:v>
                </c:pt>
                <c:pt idx="173">
                  <c:v>1078.166</c:v>
                </c:pt>
                <c:pt idx="174">
                  <c:v>1095.512</c:v>
                </c:pt>
                <c:pt idx="175">
                  <c:v>1095.879</c:v>
                </c:pt>
                <c:pt idx="176">
                  <c:v>1097.713</c:v>
                </c:pt>
                <c:pt idx="177">
                  <c:v>1108.851</c:v>
                </c:pt>
                <c:pt idx="178">
                  <c:v>1112.067</c:v>
                </c:pt>
                <c:pt idx="179">
                  <c:v>1115.752</c:v>
                </c:pt>
                <c:pt idx="180">
                  <c:v>1127.679</c:v>
                </c:pt>
                <c:pt idx="181">
                  <c:v>1129.257</c:v>
                </c:pt>
                <c:pt idx="182">
                  <c:v>1131.147</c:v>
                </c:pt>
                <c:pt idx="183">
                  <c:v>1149.988</c:v>
                </c:pt>
                <c:pt idx="184">
                  <c:v>1150.188</c:v>
                </c:pt>
                <c:pt idx="185">
                  <c:v>1152.442</c:v>
                </c:pt>
                <c:pt idx="186">
                  <c:v>1161.149</c:v>
                </c:pt>
                <c:pt idx="187">
                  <c:v>1167.48</c:v>
                </c:pt>
                <c:pt idx="188">
                  <c:v>1168.566</c:v>
                </c:pt>
                <c:pt idx="189">
                  <c:v>1183.204</c:v>
                </c:pt>
                <c:pt idx="190">
                  <c:v>1183.861</c:v>
                </c:pt>
                <c:pt idx="191">
                  <c:v>1184.771</c:v>
                </c:pt>
                <c:pt idx="192">
                  <c:v>1203.775</c:v>
                </c:pt>
                <c:pt idx="193">
                  <c:v>1204.131</c:v>
                </c:pt>
                <c:pt idx="194">
                  <c:v>1206.932</c:v>
                </c:pt>
                <c:pt idx="195">
                  <c:v>1213.044</c:v>
                </c:pt>
                <c:pt idx="196">
                  <c:v>1221.406</c:v>
                </c:pt>
                <c:pt idx="197">
                  <c:v>1222.774</c:v>
                </c:pt>
                <c:pt idx="198">
                  <c:v>1236.656</c:v>
                </c:pt>
                <c:pt idx="199">
                  <c:v>1239.469</c:v>
                </c:pt>
                <c:pt idx="200">
                  <c:v>1242.714999999999</c:v>
                </c:pt>
                <c:pt idx="201">
                  <c:v>1258.185</c:v>
                </c:pt>
                <c:pt idx="202">
                  <c:v>1258.582</c:v>
                </c:pt>
                <c:pt idx="203">
                  <c:v>1262.677</c:v>
                </c:pt>
                <c:pt idx="204">
                  <c:v>1264.936</c:v>
                </c:pt>
                <c:pt idx="205">
                  <c:v>1274.206</c:v>
                </c:pt>
                <c:pt idx="206">
                  <c:v>1278.503</c:v>
                </c:pt>
                <c:pt idx="207">
                  <c:v>1289.805</c:v>
                </c:pt>
                <c:pt idx="208">
                  <c:v>1295.049</c:v>
                </c:pt>
                <c:pt idx="209">
                  <c:v>1298.196999999999</c:v>
                </c:pt>
                <c:pt idx="210">
                  <c:v>1311.886</c:v>
                </c:pt>
                <c:pt idx="211">
                  <c:v>1312.077</c:v>
                </c:pt>
                <c:pt idx="212">
                  <c:v>1316.857</c:v>
                </c:pt>
                <c:pt idx="213">
                  <c:v>1316.897</c:v>
                </c:pt>
                <c:pt idx="214">
                  <c:v>1327.065</c:v>
                </c:pt>
                <c:pt idx="215">
                  <c:v>1334.078</c:v>
                </c:pt>
                <c:pt idx="216">
                  <c:v>1343.328</c:v>
                </c:pt>
                <c:pt idx="217">
                  <c:v>1353.563</c:v>
                </c:pt>
                <c:pt idx="218">
                  <c:v>1355.049999999999</c:v>
                </c:pt>
                <c:pt idx="219">
                  <c:v>1365.291</c:v>
                </c:pt>
                <c:pt idx="220">
                  <c:v>1371.103</c:v>
                </c:pt>
                <c:pt idx="221">
                  <c:v>1371.922</c:v>
                </c:pt>
                <c:pt idx="222">
                  <c:v>1380.578</c:v>
                </c:pt>
                <c:pt idx="223">
                  <c:v>1390.499</c:v>
                </c:pt>
                <c:pt idx="224">
                  <c:v>1396.672</c:v>
                </c:pt>
                <c:pt idx="225">
                  <c:v>1400.73</c:v>
                </c:pt>
                <c:pt idx="226">
                  <c:v>1409.274</c:v>
                </c:pt>
                <c:pt idx="227">
                  <c:v>1411.327</c:v>
                </c:pt>
                <c:pt idx="228">
                  <c:v>1418.57</c:v>
                </c:pt>
                <c:pt idx="229">
                  <c:v>1423.571</c:v>
                </c:pt>
                <c:pt idx="230">
                  <c:v>1426.067</c:v>
                </c:pt>
                <c:pt idx="231">
                  <c:v>1433.551</c:v>
                </c:pt>
                <c:pt idx="232">
                  <c:v>1445.697</c:v>
                </c:pt>
                <c:pt idx="233">
                  <c:v>1449.525</c:v>
                </c:pt>
                <c:pt idx="234">
                  <c:v>1454.166</c:v>
                </c:pt>
                <c:pt idx="235">
                  <c:v>1464.657</c:v>
                </c:pt>
                <c:pt idx="236">
                  <c:v>1466.481</c:v>
                </c:pt>
                <c:pt idx="237">
                  <c:v>1472.396</c:v>
                </c:pt>
                <c:pt idx="238">
                  <c:v>1476.029</c:v>
                </c:pt>
                <c:pt idx="239">
                  <c:v>1481.104</c:v>
                </c:pt>
                <c:pt idx="240">
                  <c:v>1486.465</c:v>
                </c:pt>
                <c:pt idx="241">
                  <c:v>1500.119</c:v>
                </c:pt>
                <c:pt idx="242">
                  <c:v>1502.512</c:v>
                </c:pt>
                <c:pt idx="243">
                  <c:v>1507.449</c:v>
                </c:pt>
                <c:pt idx="244">
                  <c:v>1521.09</c:v>
                </c:pt>
                <c:pt idx="245">
                  <c:v>1525.594</c:v>
                </c:pt>
                <c:pt idx="246">
                  <c:v>1527.826</c:v>
                </c:pt>
                <c:pt idx="247">
                  <c:v>1529.785</c:v>
                </c:pt>
                <c:pt idx="248">
                  <c:v>1535.702</c:v>
                </c:pt>
                <c:pt idx="249">
                  <c:v>1539.453</c:v>
                </c:pt>
                <c:pt idx="250">
                  <c:v>1554.765</c:v>
                </c:pt>
                <c:pt idx="251">
                  <c:v>1555.56</c:v>
                </c:pt>
                <c:pt idx="252">
                  <c:v>1560.393</c:v>
                </c:pt>
                <c:pt idx="253">
                  <c:v>1578.941</c:v>
                </c:pt>
                <c:pt idx="254">
                  <c:v>1581.619</c:v>
                </c:pt>
                <c:pt idx="255">
                  <c:v>1582.057</c:v>
                </c:pt>
                <c:pt idx="256">
                  <c:v>1582.367</c:v>
                </c:pt>
                <c:pt idx="257">
                  <c:v>1590.637</c:v>
                </c:pt>
                <c:pt idx="258">
                  <c:v>1593.943</c:v>
                </c:pt>
                <c:pt idx="259">
                  <c:v>1608.148</c:v>
                </c:pt>
                <c:pt idx="260">
                  <c:v>1609.286</c:v>
                </c:pt>
                <c:pt idx="261">
                  <c:v>1613.301</c:v>
                </c:pt>
                <c:pt idx="262">
                  <c:v>1634.247</c:v>
                </c:pt>
                <c:pt idx="263">
                  <c:v>1634.453</c:v>
                </c:pt>
                <c:pt idx="264">
                  <c:v>1635.501</c:v>
                </c:pt>
                <c:pt idx="265">
                  <c:v>1637.64</c:v>
                </c:pt>
                <c:pt idx="266">
                  <c:v>1646.942</c:v>
                </c:pt>
                <c:pt idx="267">
                  <c:v>1648.129</c:v>
                </c:pt>
                <c:pt idx="268">
                  <c:v>1660.857</c:v>
                </c:pt>
                <c:pt idx="269">
                  <c:v>1663.257</c:v>
                </c:pt>
                <c:pt idx="270">
                  <c:v>1666.908</c:v>
                </c:pt>
                <c:pt idx="271">
                  <c:v>1686.402</c:v>
                </c:pt>
                <c:pt idx="272">
                  <c:v>1688.105</c:v>
                </c:pt>
                <c:pt idx="273">
                  <c:v>1692.096</c:v>
                </c:pt>
                <c:pt idx="274">
                  <c:v>1693.64</c:v>
                </c:pt>
                <c:pt idx="275">
                  <c:v>1700.982</c:v>
                </c:pt>
                <c:pt idx="276">
                  <c:v>1701.133</c:v>
                </c:pt>
                <c:pt idx="277">
                  <c:v>1713.537</c:v>
                </c:pt>
                <c:pt idx="278">
                  <c:v>1717.67</c:v>
                </c:pt>
                <c:pt idx="279">
                  <c:v>1720.119</c:v>
                </c:pt>
                <c:pt idx="280">
                  <c:v>1738.673</c:v>
                </c:pt>
                <c:pt idx="281">
                  <c:v>1741.722</c:v>
                </c:pt>
                <c:pt idx="282">
                  <c:v>1748.475</c:v>
                </c:pt>
                <c:pt idx="283">
                  <c:v>1748.867</c:v>
                </c:pt>
                <c:pt idx="284">
                  <c:v>1755.235</c:v>
                </c:pt>
                <c:pt idx="285">
                  <c:v>1755.244</c:v>
                </c:pt>
                <c:pt idx="286">
                  <c:v>1766.07</c:v>
                </c:pt>
                <c:pt idx="287">
                  <c:v>1771.639</c:v>
                </c:pt>
                <c:pt idx="288">
                  <c:v>1773.888</c:v>
                </c:pt>
                <c:pt idx="289">
                  <c:v>1791.074</c:v>
                </c:pt>
                <c:pt idx="290">
                  <c:v>1794.713</c:v>
                </c:pt>
                <c:pt idx="291">
                  <c:v>1805.02</c:v>
                </c:pt>
                <c:pt idx="292">
                  <c:v>1805.871</c:v>
                </c:pt>
                <c:pt idx="293">
                  <c:v>1808.583</c:v>
                </c:pt>
                <c:pt idx="294">
                  <c:v>1809.447</c:v>
                </c:pt>
                <c:pt idx="295">
                  <c:v>1819.822</c:v>
                </c:pt>
                <c:pt idx="296">
                  <c:v>1826.442</c:v>
                </c:pt>
                <c:pt idx="297">
                  <c:v>1828.609</c:v>
                </c:pt>
              </c:numCache>
            </c:numRef>
          </c:xVal>
          <c:yVal>
            <c:numRef>
              <c:f>intermediate_data!$AL$2:$AL$299</c:f>
              <c:numCache>
                <c:formatCode>General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1800.0"/>
          <c:min val="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[sec]</a:t>
                </a:r>
              </a:p>
            </c:rich>
          </c:tx>
          <c:layout/>
        </c:title>
        <c:numFmt formatCode="General" sourceLinked="1"/>
        <c:tickLblPos val="low"/>
        <c:crossAx val="50040002"/>
        <c:crosses val="autoZero"/>
        <c:crossBetween val="midCat"/>
        <c:majorUnit val="250"/>
        <c:minorUnit val="50.0"/>
      </c:valAx>
      <c:valAx>
        <c:axId val="50040002"/>
        <c:scaling>
          <c:orientation val="minMax"/>
          <c:max val="3.0"/>
          <c:min val="-2.25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 to total average lap time [sec]</a:t>
                </a:r>
              </a:p>
            </c:rich>
          </c:tx>
          <c:layout/>
        </c:title>
        <c:numFmt formatCode="General" sourceLinked="1"/>
        <c:tickLblPos val="low"/>
        <c:crossAx val="50040001"/>
        <c:crosses val="autoZero"/>
        <c:crossBetween val="midCat"/>
        <c:majorUnit val="0.5"/>
        <c:min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8</xdr:col>
      <xdr:colOff>1905000</xdr:colOff>
      <xdr:row>71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8</xdr:col>
      <xdr:colOff>1905000</xdr:colOff>
      <xdr:row>117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120</xdr:row>
      <xdr:rowOff>0</xdr:rowOff>
    </xdr:from>
    <xdr:to>
      <xdr:col>8</xdr:col>
      <xdr:colOff>1905000</xdr:colOff>
      <xdr:row>163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166</xdr:row>
      <xdr:rowOff>0</xdr:rowOff>
    </xdr:from>
    <xdr:to>
      <xdr:col>8</xdr:col>
      <xdr:colOff>1905000</xdr:colOff>
      <xdr:row>209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ce_results" displayName="race_results" ref="A2:L11" totalsRowShown="0">
  <autoFilter ref="A2:L11"/>
  <tableColumns count="12">
    <tableColumn id="1" name="Position" dataDxfId="0"/>
    <tableColumn id="2" name="Kart number" dataDxfId="0"/>
    <tableColumn id="3" name="Team" dataDxfId="0"/>
    <tableColumn id="4" name="Laps [laps]" dataDxfId="0">
      <calculatedColumnFormula>COUNT(INDIRECT("team" &amp; race_results[[#This Row], [Position]] &amp; "_results[Lap times '[sec']]"))</calculatedColumnFormula>
    </tableColumn>
    <tableColumn id="5" name="Distance" dataDxfId="0"/>
    <tableColumn id="6" name="Fastest lap [laps]" dataDxfId="0">
      <calculatedColumnFormula>MIN(INDIRECT("team" &amp; race_results[[#This Row], [Position]] &amp; "_results[Lap times '[sec']]"))</calculatedColumnFormula>
    </tableColumn>
    <tableColumn id="7" name="Slowest lap [laps]" dataDxfId="0"/>
    <tableColumn id="8" name="Average lap [sec]" dataDxfId="0">
      <calculatedColumnFormula>SUM(INDIRECT("team" &amp; race_results[[#This Row], [Position]] &amp; "_results[Lap times '[sec']]")) / race_results[[#This Row], [Laps '[laps']]]</calculatedColumnFormula>
    </tableColumn>
    <tableColumn id="9" name="Standard deviation [sec]" dataDxfId="0"/>
    <tableColumn id="10" name="Pit time [sec]" dataDxfId="0">
      <calculatedColumnFormula>SUMIF(INDIRECT("team" &amp; race_results[[#This Row], [Position]] &amp; "_results[Driver]"), "Pit", INDIRECT("team" &amp; race_results[[#This Row], [Position]] &amp; "_results[Lap times '[sec']]"))</calculatedColumnFormula>
    </tableColumn>
    <tableColumn id="11" name="Pit stops" dataDxfId="0">
      <calculatedColumnFormula>COUNTIF(INDIRECT("team" &amp; race_results[[#This Row], [Position]] &amp; "_results[Driver]"), "Pit")</calculatedColumnFormula>
    </tableColumn>
    <tableColumn id="12" name="Average pit time [sec]" dataDxfId="0">
      <calculatedColumnFormula>IF(race_results[[#This Row], [Pit stops]] = 0, 0, race_results[[#This Row], [Pit time '[sec']]] / race_results[[#This Row], [Pit stops]])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river_results" displayName="driver_results" ref="A16:H25" totalsRowShown="0">
  <autoFilter ref="A16:H25"/>
  <tableColumns count="8">
    <tableColumn id="1" name="Driver" dataDxfId="0"/>
    <tableColumn id="2" name="Team" dataDxfId="0"/>
    <tableColumn id="3" name="Laps [laps]" dataDxfId="0">
      <calculatedColumnFormula>COUNTIF(INDIRECT("team" &amp; INDEX(race_results[Position], MATCH(driver_results[[#This Row], [Team]], race_results[Team], 0)) &amp; "_results[Driver]"), driver_results[[#This Row], [Driver]])</calculatedColumnFormula>
    </tableColumn>
    <tableColumn id="4" name="Fastest lap [sec]" dataDxfId="0"/>
    <tableColumn id="5" name="Slowest lap [sec]" dataDxfId="0"/>
    <tableColumn id="6" name="Average lap [sec]" dataDxfId="0"/>
    <tableColumn id="7" name="Avg lap (no outliers) [sec]" dataDxfId="0"/>
    <tableColumn id="8" name="Standard deviation [sec]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eam1_results" displayName="team1_results" ref="A2:D36" totalsRowShown="0">
  <autoFilter ref="A2:D36"/>
  <tableColumns count="4">
    <tableColumn id="1" name="Lap times [sec]" dataDxfId="0"/>
    <tableColumn id="2" name="Driver" dataDxfId="0"/>
    <tableColumn id="3" name="Running average [sec]" dataDxfId="0">
      <calculatedColumnFormula>AVERAGE(INDEX(team1_results[Lap times '[sec']], 1):team1_results[[#This Row], [Lap times '[sec']]])</calculatedColumnFormula>
    </tableColumn>
    <tableColumn id="4" name="Cumulative time [sec]" dataDxfId="0">
      <calculatedColumnFormula>SUM(INDEX(team1_results[Lap times '[sec']], 1):team1_results[[#This Row], [Lap times '[sec']]])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eam2_results" displayName="team2_results" ref="F2:I36" totalsRowShown="0">
  <autoFilter ref="F2:I36"/>
  <tableColumns count="4">
    <tableColumn id="1" name="Lap times [sec]" dataDxfId="0"/>
    <tableColumn id="2" name="Driver" dataDxfId="0"/>
    <tableColumn id="3" name="Running average [sec]" dataDxfId="0">
      <calculatedColumnFormula>AVERAGE(INDEX(team2_results[Lap times '[sec']], 1):team2_results[[#This Row], [Lap times '[sec']]])</calculatedColumnFormula>
    </tableColumn>
    <tableColumn id="4" name="Cumulative time [sec]" dataDxfId="0">
      <calculatedColumnFormula>SUM(INDEX(team2_results[Lap times '[sec']], 1):team2_results[[#This Row], [Lap times '[sec']]])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eam3_results" displayName="team3_results" ref="K2:N36" totalsRowShown="0">
  <autoFilter ref="K2:N36"/>
  <tableColumns count="4">
    <tableColumn id="1" name="Lap times [sec]" dataDxfId="0"/>
    <tableColumn id="2" name="Driver" dataDxfId="0"/>
    <tableColumn id="3" name="Running average [sec]" dataDxfId="0">
      <calculatedColumnFormula>AVERAGE(INDEX(team3_results[Lap times '[sec']], 1):team3_results[[#This Row], [Lap times '[sec']]])</calculatedColumnFormula>
    </tableColumn>
    <tableColumn id="4" name="Cumulative time [sec]" dataDxfId="0">
      <calculatedColumnFormula>SUM(INDEX(team3_results[Lap times '[sec']], 1):team3_results[[#This Row], [Lap times '[sec']]])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eam4_results" displayName="team4_results" ref="P2:S35" totalsRowShown="0">
  <autoFilter ref="P2:S35"/>
  <tableColumns count="4">
    <tableColumn id="1" name="Lap times [sec]" dataDxfId="0"/>
    <tableColumn id="2" name="Driver" dataDxfId="0"/>
    <tableColumn id="3" name="Running average [sec]" dataDxfId="0">
      <calculatedColumnFormula>AVERAGE(INDEX(team4_results[Lap times '[sec']], 1):team4_results[[#This Row], [Lap times '[sec']]])</calculatedColumnFormula>
    </tableColumn>
    <tableColumn id="4" name="Cumulative time [sec]" dataDxfId="0">
      <calculatedColumnFormula>SUM(INDEX(team4_results[Lap times '[sec']], 1):team4_results[[#This Row], [Lap times '[sec']]])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eam5_results" displayName="team5_results" ref="U2:X35" totalsRowShown="0">
  <autoFilter ref="U2:X35"/>
  <tableColumns count="4">
    <tableColumn id="1" name="Lap times [sec]" dataDxfId="0"/>
    <tableColumn id="2" name="Driver" dataDxfId="0"/>
    <tableColumn id="3" name="Running average [sec]" dataDxfId="0">
      <calculatedColumnFormula>AVERAGE(INDEX(team5_results[Lap times '[sec']], 1):team5_results[[#This Row], [Lap times '[sec']]])</calculatedColumnFormula>
    </tableColumn>
    <tableColumn id="4" name="Cumulative time [sec]" dataDxfId="0">
      <calculatedColumnFormula>SUM(INDEX(team5_results[Lap times '[sec']], 1):team5_results[[#This Row], [Lap times '[sec']]])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eam6_results" displayName="team6_results" ref="Z2:AC35" totalsRowShown="0">
  <autoFilter ref="Z2:AC35"/>
  <tableColumns count="4">
    <tableColumn id="1" name="Lap times [sec]" dataDxfId="0"/>
    <tableColumn id="2" name="Driver" dataDxfId="0"/>
    <tableColumn id="3" name="Running average [sec]" dataDxfId="0">
      <calculatedColumnFormula>AVERAGE(INDEX(team6_results[Lap times '[sec']], 1):team6_results[[#This Row], [Lap times '[sec']]])</calculatedColumnFormula>
    </tableColumn>
    <tableColumn id="4" name="Cumulative time [sec]" dataDxfId="0">
      <calculatedColumnFormula>SUM(INDEX(team6_results[Lap times '[sec']], 1):team6_results[[#This Row], [Lap times '[sec']]])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eam7_results" displayName="team7_results" ref="AE2:AH35" totalsRowShown="0">
  <autoFilter ref="AE2:AH35"/>
  <tableColumns count="4">
    <tableColumn id="1" name="Lap times [sec]" dataDxfId="0"/>
    <tableColumn id="2" name="Driver" dataDxfId="0"/>
    <tableColumn id="3" name="Running average [sec]" dataDxfId="0">
      <calculatedColumnFormula>AVERAGE(INDEX(team7_results[Lap times '[sec']], 1):team7_results[[#This Row], [Lap times '[sec']]])</calculatedColumnFormula>
    </tableColumn>
    <tableColumn id="4" name="Cumulative time [sec]" dataDxfId="0">
      <calculatedColumnFormula>SUM(INDEX(team7_results[Lap times '[sec']], 1):team7_results[[#This Row], [Lap times '[sec']]])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eam8_results" displayName="team8_results" ref="AJ2:AM34" totalsRowShown="0">
  <autoFilter ref="AJ2:AM34"/>
  <tableColumns count="4">
    <tableColumn id="1" name="Lap times [sec]" dataDxfId="0"/>
    <tableColumn id="2" name="Driver" dataDxfId="0"/>
    <tableColumn id="3" name="Running average [sec]" dataDxfId="0">
      <calculatedColumnFormula>AVERAGE(INDEX(team8_results[Lap times '[sec']], 1):team8_results[[#This Row], [Lap times '[sec']]])</calculatedColumnFormula>
    </tableColumn>
    <tableColumn id="4" name="Cumulative time [sec]" dataDxfId="0">
      <calculatedColumnFormula>SUM(INDEX(team8_results[Lap times '[sec']], 1):team8_results[[#This Row], [Lap times '[sec']]])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eam9_results" displayName="team9_results" ref="AO2:AR34" totalsRowShown="0">
  <autoFilter ref="AO2:AR34"/>
  <tableColumns count="4">
    <tableColumn id="1" name="Lap times [sec]" dataDxfId="0"/>
    <tableColumn id="2" name="Driver" dataDxfId="0"/>
    <tableColumn id="3" name="Running average [sec]" dataDxfId="0">
      <calculatedColumnFormula>AVERAGE(INDEX(team9_results[Lap times '[sec']], 1):team9_results[[#This Row], [Lap times '[sec']]])</calculatedColumnFormula>
    </tableColumn>
    <tableColumn id="4" name="Cumulative time [sec]" dataDxfId="0">
      <calculatedColumnFormula>SUM(INDEX(team9_results[Lap times '[sec']], 1):team9_results[[#This Row], [Lap times '[sec']]])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intermediate_results" displayName="intermediate_results" ref="A1:AL299" totalsRowShown="0">
  <autoFilter ref="A1:AL299"/>
  <tableColumns count="38">
    <tableColumn id="1" name="All cumulative times [sec]" dataDxfId="0"/>
    <tableColumn id="2" name="Team1 laps [laps]" dataDxfId="0">
      <calculatedColumnFormula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calculatedColumnFormula>
    </tableColumn>
    <tableColumn id="3" name="Team2 laps [laps]" dataDxfId="0">
      <calculatedColumnFormula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calculatedColumnFormula>
    </tableColumn>
    <tableColumn id="4" name="Team3 laps [laps]" dataDxfId="0">
      <calculatedColumnFormula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calculatedColumnFormula>
    </tableColumn>
    <tableColumn id="5" name="Team4 laps [laps]" dataDxfId="0">
      <calculatedColumnFormula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calculatedColumnFormula>
    </tableColumn>
    <tableColumn id="6" name="Team5 laps [laps]" dataDxfId="0">
      <calculatedColumnFormula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calculatedColumnFormula>
    </tableColumn>
    <tableColumn id="7" name="Team6 laps [laps]" dataDxfId="0">
      <calculatedColumnFormula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calculatedColumnFormula>
    </tableColumn>
    <tableColumn id="8" name="Team7 laps [laps]" dataDxfId="0">
      <calculatedColumnFormula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calculatedColumnFormula>
    </tableColumn>
    <tableColumn id="9" name="Team8 laps [laps]" dataDxfId="0">
      <calculatedColumnFormula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calculatedColumnFormula>
    </tableColumn>
    <tableColumn id="10" name="Team9 laps [laps]" dataDxfId="0">
      <calculatedColumnFormula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calculatedColumnFormula>
    </tableColumn>
    <tableColumn id="11" name="Team1 distance to winner [laps]" dataDxfId="0">
      <calculatedColumnFormula>intermediate_results[[#This Row], [Team1 laps '[laps']]] - intermediate_results[[#This Row], [Team1 laps '[laps']]]</calculatedColumnFormula>
    </tableColumn>
    <tableColumn id="12" name="Team2 distance to winner [laps]" dataDxfId="0">
      <calculatedColumnFormula>intermediate_results[[#This Row], [Team1 laps '[laps']]] - intermediate_results[[#This Row], [Team2 laps '[laps']]]</calculatedColumnFormula>
    </tableColumn>
    <tableColumn id="13" name="Team3 distance to winner [laps]" dataDxfId="0">
      <calculatedColumnFormula>intermediate_results[[#This Row], [Team1 laps '[laps']]] - intermediate_results[[#This Row], [Team3 laps '[laps']]]</calculatedColumnFormula>
    </tableColumn>
    <tableColumn id="14" name="Team4 distance to winner [laps]" dataDxfId="0">
      <calculatedColumnFormula>intermediate_results[[#This Row], [Team1 laps '[laps']]] - intermediate_results[[#This Row], [Team4 laps '[laps']]]</calculatedColumnFormula>
    </tableColumn>
    <tableColumn id="15" name="Team5 distance to winner [laps]" dataDxfId="0">
      <calculatedColumnFormula>intermediate_results[[#This Row], [Team1 laps '[laps']]] - intermediate_results[[#This Row], [Team5 laps '[laps']]]</calculatedColumnFormula>
    </tableColumn>
    <tableColumn id="16" name="Team6 distance to winner [laps]" dataDxfId="0">
      <calculatedColumnFormula>intermediate_results[[#This Row], [Team1 laps '[laps']]] - intermediate_results[[#This Row], [Team6 laps '[laps']]]</calculatedColumnFormula>
    </tableColumn>
    <tableColumn id="17" name="Team7 distance to winner [laps]" dataDxfId="0">
      <calculatedColumnFormula>intermediate_results[[#This Row], [Team1 laps '[laps']]] - intermediate_results[[#This Row], [Team7 laps '[laps']]]</calculatedColumnFormula>
    </tableColumn>
    <tableColumn id="18" name="Team8 distance to winner [laps]" dataDxfId="0">
      <calculatedColumnFormula>intermediate_results[[#This Row], [Team1 laps '[laps']]] - intermediate_results[[#This Row], [Team8 laps '[laps']]]</calculatedColumnFormula>
    </tableColumn>
    <tableColumn id="19" name="Team9 distance to winner [laps]" dataDxfId="0">
      <calculatedColumnFormula>intermediate_results[[#This Row], [Team1 laps '[laps']]] - intermediate_results[[#This Row], [Team9 laps '[laps']]]</calculatedColumnFormula>
    </tableColumn>
    <tableColumn id="20" name="Team1 distance to leader [laps]" dataDxfId="0">
      <calculatedColumnFormula>MAX(intermediate_results[[#This Row], [Team1 laps '[laps']]:[Team9 laps '[laps']]]) - intermediate_results[[#This Row], [Team1 laps '[laps']]]</calculatedColumnFormula>
    </tableColumn>
    <tableColumn id="21" name="Team2 distance to leader [laps]" dataDxfId="0">
      <calculatedColumnFormula>MAX(intermediate_results[[#This Row], [Team1 laps '[laps']]:[Team9 laps '[laps']]]) - intermediate_results[[#This Row], [Team2 laps '[laps']]]</calculatedColumnFormula>
    </tableColumn>
    <tableColumn id="22" name="Team3 distance to leader [laps]" dataDxfId="0">
      <calculatedColumnFormula>MAX(intermediate_results[[#This Row], [Team1 laps '[laps']]:[Team9 laps '[laps']]]) - intermediate_results[[#This Row], [Team3 laps '[laps']]]</calculatedColumnFormula>
    </tableColumn>
    <tableColumn id="23" name="Team4 distance to leader [laps]" dataDxfId="0">
      <calculatedColumnFormula>MAX(intermediate_results[[#This Row], [Team1 laps '[laps']]:[Team9 laps '[laps']]]) - intermediate_results[[#This Row], [Team4 laps '[laps']]]</calculatedColumnFormula>
    </tableColumn>
    <tableColumn id="24" name="Team5 distance to leader [laps]" dataDxfId="0">
      <calculatedColumnFormula>MAX(intermediate_results[[#This Row], [Team1 laps '[laps']]:[Team9 laps '[laps']]]) - intermediate_results[[#This Row], [Team5 laps '[laps']]]</calculatedColumnFormula>
    </tableColumn>
    <tableColumn id="25" name="Team6 distance to leader [laps]" dataDxfId="0">
      <calculatedColumnFormula>MAX(intermediate_results[[#This Row], [Team1 laps '[laps']]:[Team9 laps '[laps']]]) - intermediate_results[[#This Row], [Team6 laps '[laps']]]</calculatedColumnFormula>
    </tableColumn>
    <tableColumn id="26" name="Team7 distance to leader [laps]" dataDxfId="0">
      <calculatedColumnFormula>MAX(intermediate_results[[#This Row], [Team1 laps '[laps']]:[Team9 laps '[laps']]]) - intermediate_results[[#This Row], [Team7 laps '[laps']]]</calculatedColumnFormula>
    </tableColumn>
    <tableColumn id="27" name="Team8 distance to leader [laps]" dataDxfId="0">
      <calculatedColumnFormula>MAX(intermediate_results[[#This Row], [Team1 laps '[laps']]:[Team9 laps '[laps']]]) - intermediate_results[[#This Row], [Team8 laps '[laps']]]</calculatedColumnFormula>
    </tableColumn>
    <tableColumn id="28" name="Team9 distance to leader [laps]" dataDxfId="0">
      <calculatedColumnFormula>MAX(intermediate_results[[#This Row], [Team1 laps '[laps']]:[Team9 laps '[laps']]]) - intermediate_results[[#This Row], [Team9 laps '[laps']]]</calculatedColumnFormula>
    </tableColumn>
    <tableColumn id="29" name="Total running average [sec]" dataDxfId="0">
      <calculatedColumnFormula>9 * intermediate_results[[#This Row], [All cumulative times '[sec']]] / SUM(intermediate_results[[#This Row], [Team1 laps '[laps']]:[Team9 laps '[laps']]])</calculatedColumnFormula>
    </tableColumn>
    <tableColumn id="30" name="Team1 running average diff [sec]" dataDxfId="0">
      <calculatedColumnFormula>intermediate_results[[#This Row], [All cumulative times '[sec']]] / intermediate_results[[#This Row], [Team1 laps '[laps']]] - intermediate_results[[#This Row], [Total running average '[sec']]]</calculatedColumnFormula>
    </tableColumn>
    <tableColumn id="31" name="Team2 running average diff [sec]" dataDxfId="0">
      <calculatedColumnFormula>intermediate_results[[#This Row], [All cumulative times '[sec']]] / intermediate_results[[#This Row], [Team2 laps '[laps']]] - intermediate_results[[#This Row], [Total running average '[sec']]]</calculatedColumnFormula>
    </tableColumn>
    <tableColumn id="32" name="Team3 running average diff [sec]" dataDxfId="0">
      <calculatedColumnFormula>intermediate_results[[#This Row], [All cumulative times '[sec']]] / intermediate_results[[#This Row], [Team3 laps '[laps']]] - intermediate_results[[#This Row], [Total running average '[sec']]]</calculatedColumnFormula>
    </tableColumn>
    <tableColumn id="33" name="Team4 running average diff [sec]" dataDxfId="0">
      <calculatedColumnFormula>intermediate_results[[#This Row], [All cumulative times '[sec']]] / intermediate_results[[#This Row], [Team4 laps '[laps']]] - intermediate_results[[#This Row], [Total running average '[sec']]]</calculatedColumnFormula>
    </tableColumn>
    <tableColumn id="34" name="Team5 running average diff [sec]" dataDxfId="0">
      <calculatedColumnFormula>intermediate_results[[#This Row], [All cumulative times '[sec']]] / intermediate_results[[#This Row], [Team5 laps '[laps']]] - intermediate_results[[#This Row], [Total running average '[sec']]]</calculatedColumnFormula>
    </tableColumn>
    <tableColumn id="35" name="Team6 running average diff [sec]" dataDxfId="0">
      <calculatedColumnFormula>intermediate_results[[#This Row], [All cumulative times '[sec']]] / intermediate_results[[#This Row], [Team6 laps '[laps']]] - intermediate_results[[#This Row], [Total running average '[sec']]]</calculatedColumnFormula>
    </tableColumn>
    <tableColumn id="36" name="Team7 running average diff [sec]" dataDxfId="0">
      <calculatedColumnFormula>intermediate_results[[#This Row], [All cumulative times '[sec']]] / intermediate_results[[#This Row], [Team7 laps '[laps']]] - intermediate_results[[#This Row], [Total running average '[sec']]]</calculatedColumnFormula>
    </tableColumn>
    <tableColumn id="37" name="Team8 running average diff [sec]" dataDxfId="0">
      <calculatedColumnFormula>intermediate_results[[#This Row], [All cumulative times '[sec']]] / intermediate_results[[#This Row], [Team8 laps '[laps']]] - intermediate_results[[#This Row], [Total running average '[sec']]]</calculatedColumnFormula>
    </tableColumn>
    <tableColumn id="38" name="Team9 running average diff [sec]" dataDxfId="0">
      <calculatedColumnFormula>intermediate_results[[#This Row], [All cumulative times '[sec']]] / intermediate_results[[#This Row], [Team9 laps '[laps']]] - intermediate_results[[#This Row], [Total running average '[sec']]]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Relationship Id="rId9" Type="http://schemas.openxmlformats.org/officeDocument/2006/relationships/table" Target="../tables/table1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>
      <c r="A3" s="3">
        <v>1</v>
      </c>
      <c r="B3" s="3">
        <v>13</v>
      </c>
      <c r="C3" s="3" t="s">
        <v>12</v>
      </c>
      <c r="D3" s="3">
        <f>COUNT(INDIRECT("team" &amp; race_results[[#This Row], [Position]] &amp; "_results[Lap times '[sec']]"))</f>
        <v>0</v>
      </c>
      <c r="E3" s="3" t="s">
        <v>13</v>
      </c>
      <c r="F3" s="3">
        <f>MIN(INDIRECT("team" &amp; race_results[[#This Row], [Position]] &amp; "_results[Lap times '[sec']]"))</f>
        <v>0</v>
      </c>
      <c r="G3">
        <f t="array" ref="G3">MAX(IF(INDIRECT("team" &amp; race_results[[#This Row], [Position]] &amp; "_results[Driver]") &lt;&gt; "Pit", INDIRECT("team" &amp; race_results[[#This Row], [Position]] &amp; "_results[Lap times '[sec']]")))</f>
        <v>0</v>
      </c>
      <c r="H3" s="3">
        <f>SUM(INDIRECT("team" &amp; race_results[[#This Row], [Position]] &amp; "_results[Lap times '[sec']]")) / race_results[[#This Row], [Laps '[laps']]]</f>
        <v>0</v>
      </c>
      <c r="I3">
        <f t="array" ref="I3">_xlfn.STDEV.S(IF(INDIRECT("team" &amp; race_results[[#This Row], [Position]] &amp; "_results[Driver]") &lt;&gt; "Pit", INDIRECT("team" &amp; race_results[[#This Row], [Position]] &amp; "_results[Lap times '[sec']]")))</f>
        <v>0</v>
      </c>
      <c r="J3" s="3">
        <f>SUMIF(INDIRECT("team" &amp; race_results[[#This Row], [Position]] &amp; "_results[Driver]"), "Pit", INDIRECT("team" &amp; race_results[[#This Row], [Position]] &amp; "_results[Lap times '[sec']]"))</f>
        <v>0</v>
      </c>
      <c r="K3" s="3">
        <f>COUNTIF(INDIRECT("team" &amp; race_results[[#This Row], [Position]] &amp; "_results[Driver]"), "Pit")</f>
        <v>0</v>
      </c>
      <c r="L3" s="3">
        <f>IF(race_results[[#This Row], [Pit stops]] = 0, 0, race_results[[#This Row], [Pit time '[sec']]] / race_results[[#This Row], [Pit stops]])</f>
        <v>0</v>
      </c>
    </row>
    <row r="4" spans="1:12">
      <c r="A4" s="3">
        <v>2</v>
      </c>
      <c r="B4" s="3">
        <v>18</v>
      </c>
      <c r="C4" s="3" t="s">
        <v>14</v>
      </c>
      <c r="D4" s="3">
        <f>COUNT(INDIRECT("team" &amp; race_results[[#This Row], [Position]] &amp; "_results[Lap times '[sec']]"))</f>
        <v>0</v>
      </c>
      <c r="E4" s="3" t="s">
        <v>15</v>
      </c>
      <c r="F4" s="3">
        <f>MIN(INDIRECT("team" &amp; race_results[[#This Row], [Position]] &amp; "_results[Lap times '[sec']]"))</f>
        <v>0</v>
      </c>
      <c r="G4">
        <f t="array" ref="G4">MAX(IF(INDIRECT("team" &amp; race_results[[#This Row], [Position]] &amp; "_results[Driver]") &lt;&gt; "Pit", INDIRECT("team" &amp; race_results[[#This Row], [Position]] &amp; "_results[Lap times '[sec']]")))</f>
        <v>0</v>
      </c>
      <c r="H4" s="3">
        <f>SUM(INDIRECT("team" &amp; race_results[[#This Row], [Position]] &amp; "_results[Lap times '[sec']]")) / race_results[[#This Row], [Laps '[laps']]]</f>
        <v>0</v>
      </c>
      <c r="I4">
        <f t="array" ref="I4">_xlfn.STDEV.S(IF(INDIRECT("team" &amp; race_results[[#This Row], [Position]] &amp; "_results[Driver]") &lt;&gt; "Pit", INDIRECT("team" &amp; race_results[[#This Row], [Position]] &amp; "_results[Lap times '[sec']]")))</f>
        <v>0</v>
      </c>
      <c r="J4" s="3">
        <f>SUMIF(INDIRECT("team" &amp; race_results[[#This Row], [Position]] &amp; "_results[Driver]"), "Pit", INDIRECT("team" &amp; race_results[[#This Row], [Position]] &amp; "_results[Lap times '[sec']]"))</f>
        <v>0</v>
      </c>
      <c r="K4" s="3">
        <f>COUNTIF(INDIRECT("team" &amp; race_results[[#This Row], [Position]] &amp; "_results[Driver]"), "Pit")</f>
        <v>0</v>
      </c>
      <c r="L4" s="3">
        <f>IF(race_results[[#This Row], [Pit stops]] = 0, 0, race_results[[#This Row], [Pit time '[sec']]] / race_results[[#This Row], [Pit stops]])</f>
        <v>0</v>
      </c>
    </row>
    <row r="5" spans="1:12">
      <c r="A5" s="3">
        <v>3</v>
      </c>
      <c r="B5" s="3">
        <v>3</v>
      </c>
      <c r="C5" s="3" t="s">
        <v>16</v>
      </c>
      <c r="D5" s="3">
        <f>COUNT(INDIRECT("team" &amp; race_results[[#This Row], [Position]] &amp; "_results[Lap times '[sec']]"))</f>
        <v>0</v>
      </c>
      <c r="E5" s="3" t="s">
        <v>17</v>
      </c>
      <c r="F5" s="3">
        <f>MIN(INDIRECT("team" &amp; race_results[[#This Row], [Position]] &amp; "_results[Lap times '[sec']]"))</f>
        <v>0</v>
      </c>
      <c r="G5">
        <f t="array" ref="G5">MAX(IF(INDIRECT("team" &amp; race_results[[#This Row], [Position]] &amp; "_results[Driver]") &lt;&gt; "Pit", INDIRECT("team" &amp; race_results[[#This Row], [Position]] &amp; "_results[Lap times '[sec']]")))</f>
        <v>0</v>
      </c>
      <c r="H5" s="3">
        <f>SUM(INDIRECT("team" &amp; race_results[[#This Row], [Position]] &amp; "_results[Lap times '[sec']]")) / race_results[[#This Row], [Laps '[laps']]]</f>
        <v>0</v>
      </c>
      <c r="I5">
        <f t="array" ref="I5">_xlfn.STDEV.S(IF(INDIRECT("team" &amp; race_results[[#This Row], [Position]] &amp; "_results[Driver]") &lt;&gt; "Pit", INDIRECT("team" &amp; race_results[[#This Row], [Position]] &amp; "_results[Lap times '[sec']]")))</f>
        <v>0</v>
      </c>
      <c r="J5" s="3">
        <f>SUMIF(INDIRECT("team" &amp; race_results[[#This Row], [Position]] &amp; "_results[Driver]"), "Pit", INDIRECT("team" &amp; race_results[[#This Row], [Position]] &amp; "_results[Lap times '[sec']]"))</f>
        <v>0</v>
      </c>
      <c r="K5" s="3">
        <f>COUNTIF(INDIRECT("team" &amp; race_results[[#This Row], [Position]] &amp; "_results[Driver]"), "Pit")</f>
        <v>0</v>
      </c>
      <c r="L5" s="3">
        <f>IF(race_results[[#This Row], [Pit stops]] = 0, 0, race_results[[#This Row], [Pit time '[sec']]] / race_results[[#This Row], [Pit stops]])</f>
        <v>0</v>
      </c>
    </row>
    <row r="6" spans="1:12">
      <c r="A6" s="3">
        <v>4</v>
      </c>
      <c r="B6" s="3">
        <v>14</v>
      </c>
      <c r="C6" s="3" t="s">
        <v>18</v>
      </c>
      <c r="D6" s="3">
        <f>COUNT(INDIRECT("team" &amp; race_results[[#This Row], [Position]] &amp; "_results[Lap times '[sec']]"))</f>
        <v>0</v>
      </c>
      <c r="E6" s="3" t="s">
        <v>19</v>
      </c>
      <c r="F6" s="3">
        <f>MIN(INDIRECT("team" &amp; race_results[[#This Row], [Position]] &amp; "_results[Lap times '[sec']]"))</f>
        <v>0</v>
      </c>
      <c r="G6">
        <f t="array" ref="G6">MAX(IF(INDIRECT("team" &amp; race_results[[#This Row], [Position]] &amp; "_results[Driver]") &lt;&gt; "Pit", INDIRECT("team" &amp; race_results[[#This Row], [Position]] &amp; "_results[Lap times '[sec']]")))</f>
        <v>0</v>
      </c>
      <c r="H6" s="3">
        <f>SUM(INDIRECT("team" &amp; race_results[[#This Row], [Position]] &amp; "_results[Lap times '[sec']]")) / race_results[[#This Row], [Laps '[laps']]]</f>
        <v>0</v>
      </c>
      <c r="I6">
        <f t="array" ref="I6">_xlfn.STDEV.S(IF(INDIRECT("team" &amp; race_results[[#This Row], [Position]] &amp; "_results[Driver]") &lt;&gt; "Pit", INDIRECT("team" &amp; race_results[[#This Row], [Position]] &amp; "_results[Lap times '[sec']]")))</f>
        <v>0</v>
      </c>
      <c r="J6" s="3">
        <f>SUMIF(INDIRECT("team" &amp; race_results[[#This Row], [Position]] &amp; "_results[Driver]"), "Pit", INDIRECT("team" &amp; race_results[[#This Row], [Position]] &amp; "_results[Lap times '[sec']]"))</f>
        <v>0</v>
      </c>
      <c r="K6" s="3">
        <f>COUNTIF(INDIRECT("team" &amp; race_results[[#This Row], [Position]] &amp; "_results[Driver]"), "Pit")</f>
        <v>0</v>
      </c>
      <c r="L6" s="3">
        <f>IF(race_results[[#This Row], [Pit stops]] = 0, 0, race_results[[#This Row], [Pit time '[sec']]] / race_results[[#This Row], [Pit stops]])</f>
        <v>0</v>
      </c>
    </row>
    <row r="7" spans="1:12">
      <c r="A7" s="3">
        <v>5</v>
      </c>
      <c r="B7" s="3">
        <v>19</v>
      </c>
      <c r="C7" s="3" t="s">
        <v>20</v>
      </c>
      <c r="D7" s="3">
        <f>COUNT(INDIRECT("team" &amp; race_results[[#This Row], [Position]] &amp; "_results[Lap times '[sec']]"))</f>
        <v>0</v>
      </c>
      <c r="E7" s="3" t="s">
        <v>19</v>
      </c>
      <c r="F7" s="3">
        <f>MIN(INDIRECT("team" &amp; race_results[[#This Row], [Position]] &amp; "_results[Lap times '[sec']]"))</f>
        <v>0</v>
      </c>
      <c r="G7">
        <f t="array" ref="G7">MAX(IF(INDIRECT("team" &amp; race_results[[#This Row], [Position]] &amp; "_results[Driver]") &lt;&gt; "Pit", INDIRECT("team" &amp; race_results[[#This Row], [Position]] &amp; "_results[Lap times '[sec']]")))</f>
        <v>0</v>
      </c>
      <c r="H7" s="3">
        <f>SUM(INDIRECT("team" &amp; race_results[[#This Row], [Position]] &amp; "_results[Lap times '[sec']]")) / race_results[[#This Row], [Laps '[laps']]]</f>
        <v>0</v>
      </c>
      <c r="I7">
        <f t="array" ref="I7">_xlfn.STDEV.S(IF(INDIRECT("team" &amp; race_results[[#This Row], [Position]] &amp; "_results[Driver]") &lt;&gt; "Pit", INDIRECT("team" &amp; race_results[[#This Row], [Position]] &amp; "_results[Lap times '[sec']]")))</f>
        <v>0</v>
      </c>
      <c r="J7" s="3">
        <f>SUMIF(INDIRECT("team" &amp; race_results[[#This Row], [Position]] &amp; "_results[Driver]"), "Pit", INDIRECT("team" &amp; race_results[[#This Row], [Position]] &amp; "_results[Lap times '[sec']]"))</f>
        <v>0</v>
      </c>
      <c r="K7" s="3">
        <f>COUNTIF(INDIRECT("team" &amp; race_results[[#This Row], [Position]] &amp; "_results[Driver]"), "Pit")</f>
        <v>0</v>
      </c>
      <c r="L7" s="3">
        <f>IF(race_results[[#This Row], [Pit stops]] = 0, 0, race_results[[#This Row], [Pit time '[sec']]] / race_results[[#This Row], [Pit stops]])</f>
        <v>0</v>
      </c>
    </row>
    <row r="8" spans="1:12">
      <c r="A8" s="3">
        <v>6</v>
      </c>
      <c r="B8" s="3">
        <v>5</v>
      </c>
      <c r="C8" s="3" t="s">
        <v>21</v>
      </c>
      <c r="D8" s="3">
        <f>COUNT(INDIRECT("team" &amp; race_results[[#This Row], [Position]] &amp; "_results[Lap times '[sec']]"))</f>
        <v>0</v>
      </c>
      <c r="E8" s="3" t="s">
        <v>19</v>
      </c>
      <c r="F8" s="3">
        <f>MIN(INDIRECT("team" &amp; race_results[[#This Row], [Position]] &amp; "_results[Lap times '[sec']]"))</f>
        <v>0</v>
      </c>
      <c r="G8">
        <f t="array" ref="G8">MAX(IF(INDIRECT("team" &amp; race_results[[#This Row], [Position]] &amp; "_results[Driver]") &lt;&gt; "Pit", INDIRECT("team" &amp; race_results[[#This Row], [Position]] &amp; "_results[Lap times '[sec']]")))</f>
        <v>0</v>
      </c>
      <c r="H8" s="3">
        <f>SUM(INDIRECT("team" &amp; race_results[[#This Row], [Position]] &amp; "_results[Lap times '[sec']]")) / race_results[[#This Row], [Laps '[laps']]]</f>
        <v>0</v>
      </c>
      <c r="I8">
        <f t="array" ref="I8">_xlfn.STDEV.S(IF(INDIRECT("team" &amp; race_results[[#This Row], [Position]] &amp; "_results[Driver]") &lt;&gt; "Pit", INDIRECT("team" &amp; race_results[[#This Row], [Position]] &amp; "_results[Lap times '[sec']]")))</f>
        <v>0</v>
      </c>
      <c r="J8" s="3">
        <f>SUMIF(INDIRECT("team" &amp; race_results[[#This Row], [Position]] &amp; "_results[Driver]"), "Pit", INDIRECT("team" &amp; race_results[[#This Row], [Position]] &amp; "_results[Lap times '[sec']]"))</f>
        <v>0</v>
      </c>
      <c r="K8" s="3">
        <f>COUNTIF(INDIRECT("team" &amp; race_results[[#This Row], [Position]] &amp; "_results[Driver]"), "Pit")</f>
        <v>0</v>
      </c>
      <c r="L8" s="3">
        <f>IF(race_results[[#This Row], [Pit stops]] = 0, 0, race_results[[#This Row], [Pit time '[sec']]] / race_results[[#This Row], [Pit stops]])</f>
        <v>0</v>
      </c>
    </row>
    <row r="9" spans="1:12">
      <c r="A9" s="3">
        <v>7</v>
      </c>
      <c r="B9" s="3">
        <v>12</v>
      </c>
      <c r="C9" s="3" t="s">
        <v>22</v>
      </c>
      <c r="D9" s="3">
        <f>COUNT(INDIRECT("team" &amp; race_results[[#This Row], [Position]] &amp; "_results[Lap times '[sec']]"))</f>
        <v>0</v>
      </c>
      <c r="E9" s="3" t="s">
        <v>19</v>
      </c>
      <c r="F9" s="3">
        <f>MIN(INDIRECT("team" &amp; race_results[[#This Row], [Position]] &amp; "_results[Lap times '[sec']]"))</f>
        <v>0</v>
      </c>
      <c r="G9">
        <f t="array" ref="G9">MAX(IF(INDIRECT("team" &amp; race_results[[#This Row], [Position]] &amp; "_results[Driver]") &lt;&gt; "Pit", INDIRECT("team" &amp; race_results[[#This Row], [Position]] &amp; "_results[Lap times '[sec']]")))</f>
        <v>0</v>
      </c>
      <c r="H9" s="3">
        <f>SUM(INDIRECT("team" &amp; race_results[[#This Row], [Position]] &amp; "_results[Lap times '[sec']]")) / race_results[[#This Row], [Laps '[laps']]]</f>
        <v>0</v>
      </c>
      <c r="I9">
        <f t="array" ref="I9">_xlfn.STDEV.S(IF(INDIRECT("team" &amp; race_results[[#This Row], [Position]] &amp; "_results[Driver]") &lt;&gt; "Pit", INDIRECT("team" &amp; race_results[[#This Row], [Position]] &amp; "_results[Lap times '[sec']]")))</f>
        <v>0</v>
      </c>
      <c r="J9" s="3">
        <f>SUMIF(INDIRECT("team" &amp; race_results[[#This Row], [Position]] &amp; "_results[Driver]"), "Pit", INDIRECT("team" &amp; race_results[[#This Row], [Position]] &amp; "_results[Lap times '[sec']]"))</f>
        <v>0</v>
      </c>
      <c r="K9" s="3">
        <f>COUNTIF(INDIRECT("team" &amp; race_results[[#This Row], [Position]] &amp; "_results[Driver]"), "Pit")</f>
        <v>0</v>
      </c>
      <c r="L9" s="3">
        <f>IF(race_results[[#This Row], [Pit stops]] = 0, 0, race_results[[#This Row], [Pit time '[sec']]] / race_results[[#This Row], [Pit stops]])</f>
        <v>0</v>
      </c>
    </row>
    <row r="10" spans="1:12">
      <c r="A10" s="3">
        <v>8</v>
      </c>
      <c r="B10" s="3">
        <v>8</v>
      </c>
      <c r="C10" s="3" t="s">
        <v>23</v>
      </c>
      <c r="D10" s="3">
        <f>COUNT(INDIRECT("team" &amp; race_results[[#This Row], [Position]] &amp; "_results[Lap times '[sec']]"))</f>
        <v>0</v>
      </c>
      <c r="E10" s="3" t="s">
        <v>24</v>
      </c>
      <c r="F10" s="3">
        <f>MIN(INDIRECT("team" &amp; race_results[[#This Row], [Position]] &amp; "_results[Lap times '[sec']]"))</f>
        <v>0</v>
      </c>
      <c r="G10">
        <f t="array" ref="G10">MAX(IF(INDIRECT("team" &amp; race_results[[#This Row], [Position]] &amp; "_results[Driver]") &lt;&gt; "Pit", INDIRECT("team" &amp; race_results[[#This Row], [Position]] &amp; "_results[Lap times '[sec']]")))</f>
        <v>0</v>
      </c>
      <c r="H10" s="3">
        <f>SUM(INDIRECT("team" &amp; race_results[[#This Row], [Position]] &amp; "_results[Lap times '[sec']]")) / race_results[[#This Row], [Laps '[laps']]]</f>
        <v>0</v>
      </c>
      <c r="I10">
        <f t="array" ref="I10">_xlfn.STDEV.S(IF(INDIRECT("team" &amp; race_results[[#This Row], [Position]] &amp; "_results[Driver]") &lt;&gt; "Pit", INDIRECT("team" &amp; race_results[[#This Row], [Position]] &amp; "_results[Lap times '[sec']]")))</f>
        <v>0</v>
      </c>
      <c r="J10" s="3">
        <f>SUMIF(INDIRECT("team" &amp; race_results[[#This Row], [Position]] &amp; "_results[Driver]"), "Pit", INDIRECT("team" &amp; race_results[[#This Row], [Position]] &amp; "_results[Lap times '[sec']]"))</f>
        <v>0</v>
      </c>
      <c r="K10" s="3">
        <f>COUNTIF(INDIRECT("team" &amp; race_results[[#This Row], [Position]] &amp; "_results[Driver]"), "Pit")</f>
        <v>0</v>
      </c>
      <c r="L10" s="3">
        <f>IF(race_results[[#This Row], [Pit stops]] = 0, 0, race_results[[#This Row], [Pit time '[sec']]] / race_results[[#This Row], [Pit stops]])</f>
        <v>0</v>
      </c>
    </row>
    <row r="11" spans="1:12">
      <c r="A11" s="3">
        <v>9</v>
      </c>
      <c r="B11" s="3">
        <v>17</v>
      </c>
      <c r="C11" s="3" t="s">
        <v>25</v>
      </c>
      <c r="D11" s="3">
        <f>COUNT(INDIRECT("team" &amp; race_results[[#This Row], [Position]] &amp; "_results[Lap times '[sec']]"))</f>
        <v>0</v>
      </c>
      <c r="E11" s="3" t="s">
        <v>24</v>
      </c>
      <c r="F11" s="3">
        <f>MIN(INDIRECT("team" &amp; race_results[[#This Row], [Position]] &amp; "_results[Lap times '[sec']]"))</f>
        <v>0</v>
      </c>
      <c r="G11">
        <f t="array" ref="G11">MAX(IF(INDIRECT("team" &amp; race_results[[#This Row], [Position]] &amp; "_results[Driver]") &lt;&gt; "Pit", INDIRECT("team" &amp; race_results[[#This Row], [Position]] &amp; "_results[Lap times '[sec']]")))</f>
        <v>0</v>
      </c>
      <c r="H11" s="3">
        <f>SUM(INDIRECT("team" &amp; race_results[[#This Row], [Position]] &amp; "_results[Lap times '[sec']]")) / race_results[[#This Row], [Laps '[laps']]]</f>
        <v>0</v>
      </c>
      <c r="I11">
        <f t="array" ref="I11">_xlfn.STDEV.S(IF(INDIRECT("team" &amp; race_results[[#This Row], [Position]] &amp; "_results[Driver]") &lt;&gt; "Pit", INDIRECT("team" &amp; race_results[[#This Row], [Position]] &amp; "_results[Lap times '[sec']]")))</f>
        <v>0</v>
      </c>
      <c r="J11" s="3">
        <f>SUMIF(INDIRECT("team" &amp; race_results[[#This Row], [Position]] &amp; "_results[Driver]"), "Pit", INDIRECT("team" &amp; race_results[[#This Row], [Position]] &amp; "_results[Lap times '[sec']]"))</f>
        <v>0</v>
      </c>
      <c r="K11" s="3">
        <f>COUNTIF(INDIRECT("team" &amp; race_results[[#This Row], [Position]] &amp; "_results[Driver]"), "Pit")</f>
        <v>0</v>
      </c>
      <c r="L11" s="3">
        <f>IF(race_results[[#This Row], [Pit stops]] = 0, 0, race_results[[#This Row], [Pit time '[sec']]] / race_results[[#This Row], [Pit stops]])</f>
        <v>0</v>
      </c>
    </row>
    <row r="16" spans="1:12">
      <c r="A16" s="2" t="s">
        <v>28</v>
      </c>
      <c r="B16" s="2" t="s">
        <v>2</v>
      </c>
      <c r="C16" s="2" t="s">
        <v>3</v>
      </c>
      <c r="D16" s="2" t="s">
        <v>29</v>
      </c>
      <c r="E16" s="2" t="s">
        <v>30</v>
      </c>
      <c r="F16" s="2" t="s">
        <v>7</v>
      </c>
      <c r="G16" s="2" t="s">
        <v>31</v>
      </c>
      <c r="H16" s="2" t="s">
        <v>8</v>
      </c>
      <c r="J16" t="s">
        <v>27</v>
      </c>
    </row>
    <row r="17" spans="1:10">
      <c r="A17" s="3" t="s">
        <v>12</v>
      </c>
      <c r="B17" s="3" t="s">
        <v>12</v>
      </c>
      <c r="C17" s="3">
        <f>COUNTIF(INDIRECT("team" &amp; INDEX(race_results[Position], MATCH(driver_results[[#This Row], [Team]], race_results[Team], 0)) &amp; "_results[Driver]"), driver_results[[#This Row], [Driver]])</f>
        <v>0</v>
      </c>
      <c r="D17">
        <f t="array" ref="D17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17">
        <f t="array" ref="E17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17">
        <f t="array" ref="F17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17">
        <f t="array" ref="G17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17">
        <f t="array" ref="H17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J17">
        <v>0.1</v>
      </c>
    </row>
    <row r="18" spans="1:10">
      <c r="A18" s="3" t="s">
        <v>16</v>
      </c>
      <c r="B18" s="3" t="s">
        <v>16</v>
      </c>
      <c r="C18" s="3">
        <f>COUNTIF(INDIRECT("team" &amp; INDEX(race_results[Position], MATCH(driver_results[[#This Row], [Team]], race_results[Team], 0)) &amp; "_results[Driver]"), driver_results[[#This Row], [Driver]])</f>
        <v>0</v>
      </c>
      <c r="D18">
        <f t="array" ref="D18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18">
        <f t="array" ref="E18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18">
        <f t="array" ref="F18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18">
        <f t="array" ref="G18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18">
        <f t="array" ref="H18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19" spans="1:10">
      <c r="A19" s="3" t="s">
        <v>18</v>
      </c>
      <c r="B19" s="3" t="s">
        <v>18</v>
      </c>
      <c r="C19" s="3">
        <f>COUNTIF(INDIRECT("team" &amp; INDEX(race_results[Position], MATCH(driver_results[[#This Row], [Team]], race_results[Team], 0)) &amp; "_results[Driver]"), driver_results[[#This Row], [Driver]])</f>
        <v>0</v>
      </c>
      <c r="D19">
        <f t="array" ref="D19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19">
        <f t="array" ref="E19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19">
        <f t="array" ref="F19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19">
        <f t="array" ref="G19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19">
        <f t="array" ref="H19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0" spans="1:10">
      <c r="A20" s="3" t="s">
        <v>14</v>
      </c>
      <c r="B20" s="3" t="s">
        <v>14</v>
      </c>
      <c r="C20" s="3">
        <f>COUNTIF(INDIRECT("team" &amp; INDEX(race_results[Position], MATCH(driver_results[[#This Row], [Team]], race_results[Team], 0)) &amp; "_results[Driver]"), driver_results[[#This Row], [Driver]])</f>
        <v>0</v>
      </c>
      <c r="D20">
        <f t="array" ref="D20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0">
        <f t="array" ref="E20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0">
        <f t="array" ref="F20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0">
        <f t="array" ref="G20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0">
        <f t="array" ref="H20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1" spans="1:10">
      <c r="A21" s="3" t="s">
        <v>22</v>
      </c>
      <c r="B21" s="3" t="s">
        <v>22</v>
      </c>
      <c r="C21" s="3">
        <f>COUNTIF(INDIRECT("team" &amp; INDEX(race_results[Position], MATCH(driver_results[[#This Row], [Team]], race_results[Team], 0)) &amp; "_results[Driver]"), driver_results[[#This Row], [Driver]])</f>
        <v>0</v>
      </c>
      <c r="D21">
        <f t="array" ref="D21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1">
        <f t="array" ref="E21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1">
        <f t="array" ref="F21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1">
        <f t="array" ref="G21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1">
        <f t="array" ref="H21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2" spans="1:10">
      <c r="A22" s="3" t="s">
        <v>20</v>
      </c>
      <c r="B22" s="3" t="s">
        <v>20</v>
      </c>
      <c r="C22" s="3">
        <f>COUNTIF(INDIRECT("team" &amp; INDEX(race_results[Position], MATCH(driver_results[[#This Row], [Team]], race_results[Team], 0)) &amp; "_results[Driver]"), driver_results[[#This Row], [Driver]])</f>
        <v>0</v>
      </c>
      <c r="D22">
        <f t="array" ref="D22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2">
        <f t="array" ref="E22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2">
        <f t="array" ref="F22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2">
        <f t="array" ref="G22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2">
        <f t="array" ref="H22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3" spans="1:10">
      <c r="A23" s="3" t="s">
        <v>21</v>
      </c>
      <c r="B23" s="3" t="s">
        <v>21</v>
      </c>
      <c r="C23" s="3">
        <f>COUNTIF(INDIRECT("team" &amp; INDEX(race_results[Position], MATCH(driver_results[[#This Row], [Team]], race_results[Team], 0)) &amp; "_results[Driver]"), driver_results[[#This Row], [Driver]])</f>
        <v>0</v>
      </c>
      <c r="D23">
        <f t="array" ref="D23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3">
        <f t="array" ref="E23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3">
        <f t="array" ref="F23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3">
        <f t="array" ref="G23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3">
        <f t="array" ref="H23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4" spans="1:10">
      <c r="A24" s="3" t="s">
        <v>23</v>
      </c>
      <c r="B24" s="3" t="s">
        <v>23</v>
      </c>
      <c r="C24" s="3">
        <f>COUNTIF(INDIRECT("team" &amp; INDEX(race_results[Position], MATCH(driver_results[[#This Row], [Team]], race_results[Team], 0)) &amp; "_results[Driver]"), driver_results[[#This Row], [Driver]])</f>
        <v>0</v>
      </c>
      <c r="D24">
        <f t="array" ref="D24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4">
        <f t="array" ref="E24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4">
        <f t="array" ref="F24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4">
        <f t="array" ref="G24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4">
        <f t="array" ref="H24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  <row r="25" spans="1:10">
      <c r="A25" s="3" t="s">
        <v>25</v>
      </c>
      <c r="B25" s="3" t="s">
        <v>25</v>
      </c>
      <c r="C25" s="3">
        <f>COUNTIF(INDIRECT("team" &amp; INDEX(race_results[Position], MATCH(driver_results[[#This Row], [Team]], race_results[Team], 0)) &amp; "_results[Driver]"), driver_results[[#This Row], [Driver]])</f>
        <v>0</v>
      </c>
      <c r="D25">
        <f t="array" ref="D25">MIN(IF(INDIRECT("team"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E25">
        <f t="array" ref="E25">MAX(IF(INDIRECT("team"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F25">
        <f t="array" ref="F25">AVERAGE(IF(INDIRECT("team"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  <c r="G25">
        <f t="array" ref="G25">AVERAGE(SMALL(IF(INDIRECT("team"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'[sec']]")), ROW(INDIRECT("1:"&amp;ROUND((1 - $J$17) * driver_results[[#This Row], [Laps '[laps']]], 0)))))</f>
        <v>0</v>
      </c>
      <c r="H25">
        <f t="array" ref="H25">_xlfn.STDEV.S(IF(INDIRECT("team" &amp; INDEX(race_results[Position], MATCH(driver_results[[#This Row], [Team]], race_results[Team], 0)) &amp; "_results[Driver]") = driver_results[[#This Row], [Driver]], INDIRECT("team" &amp; INDEX(race_results[Position], MATCH(driver_results[[#This Row], [Team]], race_results[Team], 0)) &amp; "_results[Lap times '[sec']]")))</f>
        <v>0</v>
      </c>
    </row>
  </sheetData>
  <mergeCells count="1">
    <mergeCell ref="A1:L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R36"/>
  <sheetViews>
    <sheetView workbookViewId="0"/>
  </sheetViews>
  <sheetFormatPr defaultRowHeight="15"/>
  <cols>
    <col min="1" max="44" width="30.7109375" customWidth="1"/>
  </cols>
  <sheetData>
    <row r="1" spans="1:44">
      <c r="A1" s="1">
        <f>INDEX(race_results[Team], MATCH(1, race_results[Position], 0))</f>
        <v>0</v>
      </c>
      <c r="B1" s="1"/>
      <c r="C1" s="1"/>
      <c r="D1" s="1"/>
      <c r="F1" s="1">
        <f>INDEX(race_results[Team], MATCH(2, race_results[Position], 0))</f>
        <v>0</v>
      </c>
      <c r="G1" s="1"/>
      <c r="H1" s="1"/>
      <c r="I1" s="1"/>
      <c r="K1" s="1">
        <f>INDEX(race_results[Team], MATCH(3, race_results[Position], 0))</f>
        <v>0</v>
      </c>
      <c r="L1" s="1"/>
      <c r="M1" s="1"/>
      <c r="N1" s="1"/>
      <c r="P1" s="1">
        <f>INDEX(race_results[Team], MATCH(4, race_results[Position], 0))</f>
        <v>0</v>
      </c>
      <c r="Q1" s="1"/>
      <c r="R1" s="1"/>
      <c r="S1" s="1"/>
      <c r="U1" s="1">
        <f>INDEX(race_results[Team], MATCH(5, race_results[Position], 0))</f>
        <v>0</v>
      </c>
      <c r="V1" s="1"/>
      <c r="W1" s="1"/>
      <c r="X1" s="1"/>
      <c r="Z1" s="1">
        <f>INDEX(race_results[Team], MATCH(6, race_results[Position], 0))</f>
        <v>0</v>
      </c>
      <c r="AA1" s="1"/>
      <c r="AB1" s="1"/>
      <c r="AC1" s="1"/>
      <c r="AE1" s="1">
        <f>INDEX(race_results[Team], MATCH(7, race_results[Position], 0))</f>
        <v>0</v>
      </c>
      <c r="AF1" s="1"/>
      <c r="AG1" s="1"/>
      <c r="AH1" s="1"/>
      <c r="AJ1" s="1">
        <f>INDEX(race_results[Team], MATCH(8, race_results[Position], 0))</f>
        <v>0</v>
      </c>
      <c r="AK1" s="1"/>
      <c r="AL1" s="1"/>
      <c r="AM1" s="1"/>
      <c r="AO1" s="1">
        <f>INDEX(race_results[Team], MATCH(9, race_results[Position], 0))</f>
        <v>0</v>
      </c>
      <c r="AP1" s="1"/>
      <c r="AQ1" s="1"/>
      <c r="AR1" s="1"/>
    </row>
    <row r="2" spans="1:44">
      <c r="A2" s="2" t="s">
        <v>32</v>
      </c>
      <c r="B2" s="2" t="s">
        <v>28</v>
      </c>
      <c r="C2" s="2" t="s">
        <v>33</v>
      </c>
      <c r="D2" s="2" t="s">
        <v>34</v>
      </c>
      <c r="F2" s="2" t="s">
        <v>32</v>
      </c>
      <c r="G2" s="2" t="s">
        <v>28</v>
      </c>
      <c r="H2" s="2" t="s">
        <v>33</v>
      </c>
      <c r="I2" s="2" t="s">
        <v>34</v>
      </c>
      <c r="K2" s="2" t="s">
        <v>32</v>
      </c>
      <c r="L2" s="2" t="s">
        <v>28</v>
      </c>
      <c r="M2" s="2" t="s">
        <v>33</v>
      </c>
      <c r="N2" s="2" t="s">
        <v>34</v>
      </c>
      <c r="P2" s="2" t="s">
        <v>32</v>
      </c>
      <c r="Q2" s="2" t="s">
        <v>28</v>
      </c>
      <c r="R2" s="2" t="s">
        <v>33</v>
      </c>
      <c r="S2" s="2" t="s">
        <v>34</v>
      </c>
      <c r="U2" s="2" t="s">
        <v>32</v>
      </c>
      <c r="V2" s="2" t="s">
        <v>28</v>
      </c>
      <c r="W2" s="2" t="s">
        <v>33</v>
      </c>
      <c r="X2" s="2" t="s">
        <v>34</v>
      </c>
      <c r="Z2" s="2" t="s">
        <v>32</v>
      </c>
      <c r="AA2" s="2" t="s">
        <v>28</v>
      </c>
      <c r="AB2" s="2" t="s">
        <v>33</v>
      </c>
      <c r="AC2" s="2" t="s">
        <v>34</v>
      </c>
      <c r="AE2" s="2" t="s">
        <v>32</v>
      </c>
      <c r="AF2" s="2" t="s">
        <v>28</v>
      </c>
      <c r="AG2" s="2" t="s">
        <v>33</v>
      </c>
      <c r="AH2" s="2" t="s">
        <v>34</v>
      </c>
      <c r="AJ2" s="2" t="s">
        <v>32</v>
      </c>
      <c r="AK2" s="2" t="s">
        <v>28</v>
      </c>
      <c r="AL2" s="2" t="s">
        <v>33</v>
      </c>
      <c r="AM2" s="2" t="s">
        <v>34</v>
      </c>
      <c r="AO2" s="2" t="s">
        <v>32</v>
      </c>
      <c r="AP2" s="2" t="s">
        <v>28</v>
      </c>
      <c r="AQ2" s="2" t="s">
        <v>33</v>
      </c>
      <c r="AR2" s="2" t="s">
        <v>34</v>
      </c>
    </row>
    <row r="3" spans="1:44">
      <c r="A3" s="3">
        <v>53.756</v>
      </c>
      <c r="B3" s="3" t="s">
        <v>12</v>
      </c>
      <c r="C3" s="3">
        <f>AVERAGE(INDEX(team1_results[Lap times '[sec']], 1):team1_results[[#This Row], [Lap times '[sec']]])</f>
        <v>0</v>
      </c>
      <c r="D3" s="3">
        <f>SUM(INDEX(team1_results[Lap times '[sec']], 1):team1_results[[#This Row], [Lap times '[sec']]])</f>
        <v>0</v>
      </c>
      <c r="F3" s="3">
        <v>53.684</v>
      </c>
      <c r="G3" s="3" t="s">
        <v>14</v>
      </c>
      <c r="H3" s="3">
        <f>AVERAGE(INDEX(team2_results[Lap times '[sec']], 1):team2_results[[#This Row], [Lap times '[sec']]])</f>
        <v>0</v>
      </c>
      <c r="I3" s="3">
        <f>SUM(INDEX(team2_results[Lap times '[sec']], 1):team2_results[[#This Row], [Lap times '[sec']]])</f>
        <v>0</v>
      </c>
      <c r="K3" s="3">
        <v>54.529</v>
      </c>
      <c r="L3" s="3" t="s">
        <v>16</v>
      </c>
      <c r="M3" s="3">
        <f>AVERAGE(INDEX(team3_results[Lap times '[sec']], 1):team3_results[[#This Row], [Lap times '[sec']]])</f>
        <v>0</v>
      </c>
      <c r="N3" s="3">
        <f>SUM(INDEX(team3_results[Lap times '[sec']], 1):team3_results[[#This Row], [Lap times '[sec']]])</f>
        <v>0</v>
      </c>
      <c r="P3" s="3">
        <v>56.984</v>
      </c>
      <c r="Q3" s="3" t="s">
        <v>18</v>
      </c>
      <c r="R3" s="3">
        <f>AVERAGE(INDEX(team4_results[Lap times '[sec']], 1):team4_results[[#This Row], [Lap times '[sec']]])</f>
        <v>0</v>
      </c>
      <c r="S3" s="3">
        <f>SUM(INDEX(team4_results[Lap times '[sec']], 1):team4_results[[#This Row], [Lap times '[sec']]])</f>
        <v>0</v>
      </c>
      <c r="U3" s="3">
        <v>55.473</v>
      </c>
      <c r="V3" s="3" t="s">
        <v>20</v>
      </c>
      <c r="W3" s="3">
        <f>AVERAGE(INDEX(team5_results[Lap times '[sec']], 1):team5_results[[#This Row], [Lap times '[sec']]])</f>
        <v>0</v>
      </c>
      <c r="X3" s="3">
        <f>SUM(INDEX(team5_results[Lap times '[sec']], 1):team5_results[[#This Row], [Lap times '[sec']]])</f>
        <v>0</v>
      </c>
      <c r="Z3" s="3">
        <v>57.483</v>
      </c>
      <c r="AA3" s="3" t="s">
        <v>21</v>
      </c>
      <c r="AB3" s="3">
        <f>AVERAGE(INDEX(team6_results[Lap times '[sec']], 1):team6_results[[#This Row], [Lap times '[sec']]])</f>
        <v>0</v>
      </c>
      <c r="AC3" s="3">
        <f>SUM(INDEX(team6_results[Lap times '[sec']], 1):team6_results[[#This Row], [Lap times '[sec']]])</f>
        <v>0</v>
      </c>
      <c r="AE3" s="3">
        <v>55.91</v>
      </c>
      <c r="AF3" s="3" t="s">
        <v>22</v>
      </c>
      <c r="AG3" s="3">
        <f>AVERAGE(INDEX(team7_results[Lap times '[sec']], 1):team7_results[[#This Row], [Lap times '[sec']]])</f>
        <v>0</v>
      </c>
      <c r="AH3" s="3">
        <f>SUM(INDEX(team7_results[Lap times '[sec']], 1):team7_results[[#This Row], [Lap times '[sec']]])</f>
        <v>0</v>
      </c>
      <c r="AJ3" s="3">
        <v>58.719</v>
      </c>
      <c r="AK3" s="3" t="s">
        <v>23</v>
      </c>
      <c r="AL3" s="3">
        <f>AVERAGE(INDEX(team8_results[Lap times '[sec']], 1):team8_results[[#This Row], [Lap times '[sec']]])</f>
        <v>0</v>
      </c>
      <c r="AM3" s="3">
        <f>SUM(INDEX(team8_results[Lap times '[sec']], 1):team8_results[[#This Row], [Lap times '[sec']]])</f>
        <v>0</v>
      </c>
      <c r="AO3" s="3">
        <v>57.092</v>
      </c>
      <c r="AP3" s="3" t="s">
        <v>25</v>
      </c>
      <c r="AQ3" s="3">
        <f>AVERAGE(INDEX(team9_results[Lap times '[sec']], 1):team9_results[[#This Row], [Lap times '[sec']]])</f>
        <v>0</v>
      </c>
      <c r="AR3" s="3">
        <f>SUM(INDEX(team9_results[Lap times '[sec']], 1):team9_results[[#This Row], [Lap times '[sec']]])</f>
        <v>0</v>
      </c>
    </row>
    <row r="4" spans="1:44">
      <c r="A4" s="3">
        <v>53.492</v>
      </c>
      <c r="B4" s="3" t="s">
        <v>12</v>
      </c>
      <c r="C4" s="3">
        <f>AVERAGE(INDEX(team1_results[Lap times '[sec']], 1):team1_results[[#This Row], [Lap times '[sec']]])</f>
        <v>0</v>
      </c>
      <c r="D4" s="3">
        <f>SUM(INDEX(team1_results[Lap times '[sec']], 1):team1_results[[#This Row], [Lap times '[sec']]])</f>
        <v>0</v>
      </c>
      <c r="F4" s="3">
        <v>53.8</v>
      </c>
      <c r="G4" s="3" t="s">
        <v>14</v>
      </c>
      <c r="H4" s="3">
        <f>AVERAGE(INDEX(team2_results[Lap times '[sec']], 1):team2_results[[#This Row], [Lap times '[sec']]])</f>
        <v>0</v>
      </c>
      <c r="I4" s="3">
        <f>SUM(INDEX(team2_results[Lap times '[sec']], 1):team2_results[[#This Row], [Lap times '[sec']]])</f>
        <v>0</v>
      </c>
      <c r="K4" s="3">
        <v>54.977</v>
      </c>
      <c r="L4" s="3" t="s">
        <v>16</v>
      </c>
      <c r="M4" s="3">
        <f>AVERAGE(INDEX(team3_results[Lap times '[sec']], 1):team3_results[[#This Row], [Lap times '[sec']]])</f>
        <v>0</v>
      </c>
      <c r="N4" s="3">
        <f>SUM(INDEX(team3_results[Lap times '[sec']], 1):team3_results[[#This Row], [Lap times '[sec']]])</f>
        <v>0</v>
      </c>
      <c r="P4" s="3">
        <v>55.546</v>
      </c>
      <c r="Q4" s="3" t="s">
        <v>18</v>
      </c>
      <c r="R4" s="3">
        <f>AVERAGE(INDEX(team4_results[Lap times '[sec']], 1):team4_results[[#This Row], [Lap times '[sec']]])</f>
        <v>0</v>
      </c>
      <c r="S4" s="3">
        <f>SUM(INDEX(team4_results[Lap times '[sec']], 1):team4_results[[#This Row], [Lap times '[sec']]])</f>
        <v>0</v>
      </c>
      <c r="U4" s="3">
        <v>55.621</v>
      </c>
      <c r="V4" s="3" t="s">
        <v>20</v>
      </c>
      <c r="W4" s="3">
        <f>AVERAGE(INDEX(team5_results[Lap times '[sec']], 1):team5_results[[#This Row], [Lap times '[sec']]])</f>
        <v>0</v>
      </c>
      <c r="X4" s="3">
        <f>SUM(INDEX(team5_results[Lap times '[sec']], 1):team5_results[[#This Row], [Lap times '[sec']]])</f>
        <v>0</v>
      </c>
      <c r="Z4" s="3">
        <v>55.879</v>
      </c>
      <c r="AA4" s="3" t="s">
        <v>21</v>
      </c>
      <c r="AB4" s="3">
        <f>AVERAGE(INDEX(team6_results[Lap times '[sec']], 1):team6_results[[#This Row], [Lap times '[sec']]])</f>
        <v>0</v>
      </c>
      <c r="AC4" s="3">
        <f>SUM(INDEX(team6_results[Lap times '[sec']], 1):team6_results[[#This Row], [Lap times '[sec']]])</f>
        <v>0</v>
      </c>
      <c r="AE4" s="3">
        <v>55.617</v>
      </c>
      <c r="AF4" s="3" t="s">
        <v>22</v>
      </c>
      <c r="AG4" s="3">
        <f>AVERAGE(INDEX(team7_results[Lap times '[sec']], 1):team7_results[[#This Row], [Lap times '[sec']]])</f>
        <v>0</v>
      </c>
      <c r="AH4" s="3">
        <f>SUM(INDEX(team7_results[Lap times '[sec']], 1):team7_results[[#This Row], [Lap times '[sec']]])</f>
        <v>0</v>
      </c>
      <c r="AJ4" s="3">
        <v>56.668</v>
      </c>
      <c r="AK4" s="3" t="s">
        <v>23</v>
      </c>
      <c r="AL4" s="3">
        <f>AVERAGE(INDEX(team8_results[Lap times '[sec']], 1):team8_results[[#This Row], [Lap times '[sec']]])</f>
        <v>0</v>
      </c>
      <c r="AM4" s="3">
        <f>SUM(INDEX(team8_results[Lap times '[sec']], 1):team8_results[[#This Row], [Lap times '[sec']]])</f>
        <v>0</v>
      </c>
      <c r="AO4" s="3">
        <v>56.666</v>
      </c>
      <c r="AP4" s="3" t="s">
        <v>25</v>
      </c>
      <c r="AQ4" s="3">
        <f>AVERAGE(INDEX(team9_results[Lap times '[sec']], 1):team9_results[[#This Row], [Lap times '[sec']]])</f>
        <v>0</v>
      </c>
      <c r="AR4" s="3">
        <f>SUM(INDEX(team9_results[Lap times '[sec']], 1):team9_results[[#This Row], [Lap times '[sec']]])</f>
        <v>0</v>
      </c>
    </row>
    <row r="5" spans="1:44">
      <c r="A5" s="3">
        <v>53.347</v>
      </c>
      <c r="B5" s="3" t="s">
        <v>12</v>
      </c>
      <c r="C5" s="3">
        <f>AVERAGE(INDEX(team1_results[Lap times '[sec']], 1):team1_results[[#This Row], [Lap times '[sec']]])</f>
        <v>0</v>
      </c>
      <c r="D5" s="3">
        <f>SUM(INDEX(team1_results[Lap times '[sec']], 1):team1_results[[#This Row], [Lap times '[sec']]])</f>
        <v>0</v>
      </c>
      <c r="F5" s="3">
        <v>53.213</v>
      </c>
      <c r="G5" s="3" t="s">
        <v>14</v>
      </c>
      <c r="H5" s="3">
        <f>AVERAGE(INDEX(team2_results[Lap times '[sec']], 1):team2_results[[#This Row], [Lap times '[sec']]])</f>
        <v>0</v>
      </c>
      <c r="I5" s="3">
        <f>SUM(INDEX(team2_results[Lap times '[sec']], 1):team2_results[[#This Row], [Lap times '[sec']]])</f>
        <v>0</v>
      </c>
      <c r="K5" s="3">
        <v>54.284</v>
      </c>
      <c r="L5" s="3" t="s">
        <v>16</v>
      </c>
      <c r="M5" s="3">
        <f>AVERAGE(INDEX(team3_results[Lap times '[sec']], 1):team3_results[[#This Row], [Lap times '[sec']]])</f>
        <v>0</v>
      </c>
      <c r="N5" s="3">
        <f>SUM(INDEX(team3_results[Lap times '[sec']], 1):team3_results[[#This Row], [Lap times '[sec']]])</f>
        <v>0</v>
      </c>
      <c r="P5" s="3">
        <v>55.318</v>
      </c>
      <c r="Q5" s="3" t="s">
        <v>18</v>
      </c>
      <c r="R5" s="3">
        <f>AVERAGE(INDEX(team4_results[Lap times '[sec']], 1):team4_results[[#This Row], [Lap times '[sec']]])</f>
        <v>0</v>
      </c>
      <c r="S5" s="3">
        <f>SUM(INDEX(team4_results[Lap times '[sec']], 1):team4_results[[#This Row], [Lap times '[sec']]])</f>
        <v>0</v>
      </c>
      <c r="U5" s="3">
        <v>55.246</v>
      </c>
      <c r="V5" s="3" t="s">
        <v>20</v>
      </c>
      <c r="W5" s="3">
        <f>AVERAGE(INDEX(team5_results[Lap times '[sec']], 1):team5_results[[#This Row], [Lap times '[sec']]])</f>
        <v>0</v>
      </c>
      <c r="X5" s="3">
        <f>SUM(INDEX(team5_results[Lap times '[sec']], 1):team5_results[[#This Row], [Lap times '[sec']]])</f>
        <v>0</v>
      </c>
      <c r="Z5" s="3">
        <v>55.837</v>
      </c>
      <c r="AA5" s="3" t="s">
        <v>21</v>
      </c>
      <c r="AB5" s="3">
        <f>AVERAGE(INDEX(team6_results[Lap times '[sec']], 1):team6_results[[#This Row], [Lap times '[sec']]])</f>
        <v>0</v>
      </c>
      <c r="AC5" s="3">
        <f>SUM(INDEX(team6_results[Lap times '[sec']], 1):team6_results[[#This Row], [Lap times '[sec']]])</f>
        <v>0</v>
      </c>
      <c r="AE5" s="3">
        <v>55.345</v>
      </c>
      <c r="AF5" s="3" t="s">
        <v>22</v>
      </c>
      <c r="AG5" s="3">
        <f>AVERAGE(INDEX(team7_results[Lap times '[sec']], 1):team7_results[[#This Row], [Lap times '[sec']]])</f>
        <v>0</v>
      </c>
      <c r="AH5" s="3">
        <f>SUM(INDEX(team7_results[Lap times '[sec']], 1):team7_results[[#This Row], [Lap times '[sec']]])</f>
        <v>0</v>
      </c>
      <c r="AJ5" s="3">
        <v>56.03</v>
      </c>
      <c r="AK5" s="3" t="s">
        <v>23</v>
      </c>
      <c r="AL5" s="3">
        <f>AVERAGE(INDEX(team8_results[Lap times '[sec']], 1):team8_results[[#This Row], [Lap times '[sec']]])</f>
        <v>0</v>
      </c>
      <c r="AM5" s="3">
        <f>SUM(INDEX(team8_results[Lap times '[sec']], 1):team8_results[[#This Row], [Lap times '[sec']]])</f>
        <v>0</v>
      </c>
      <c r="AO5" s="3">
        <v>56.533</v>
      </c>
      <c r="AP5" s="3" t="s">
        <v>25</v>
      </c>
      <c r="AQ5" s="3">
        <f>AVERAGE(INDEX(team9_results[Lap times '[sec']], 1):team9_results[[#This Row], [Lap times '[sec']]])</f>
        <v>0</v>
      </c>
      <c r="AR5" s="3">
        <f>SUM(INDEX(team9_results[Lap times '[sec']], 1):team9_results[[#This Row], [Lap times '[sec']]])</f>
        <v>0</v>
      </c>
    </row>
    <row r="6" spans="1:44">
      <c r="A6" s="3">
        <v>53.463</v>
      </c>
      <c r="B6" s="3" t="s">
        <v>12</v>
      </c>
      <c r="C6" s="3">
        <f>AVERAGE(INDEX(team1_results[Lap times '[sec']], 1):team1_results[[#This Row], [Lap times '[sec']]])</f>
        <v>0</v>
      </c>
      <c r="D6" s="3">
        <f>SUM(INDEX(team1_results[Lap times '[sec']], 1):team1_results[[#This Row], [Lap times '[sec']]])</f>
        <v>0</v>
      </c>
      <c r="F6" s="3">
        <v>53.614</v>
      </c>
      <c r="G6" s="3" t="s">
        <v>14</v>
      </c>
      <c r="H6" s="3">
        <f>AVERAGE(INDEX(team2_results[Lap times '[sec']], 1):team2_results[[#This Row], [Lap times '[sec']]])</f>
        <v>0</v>
      </c>
      <c r="I6" s="3">
        <f>SUM(INDEX(team2_results[Lap times '[sec']], 1):team2_results[[#This Row], [Lap times '[sec']]])</f>
        <v>0</v>
      </c>
      <c r="K6" s="3">
        <v>53.786</v>
      </c>
      <c r="L6" s="3" t="s">
        <v>16</v>
      </c>
      <c r="M6" s="3">
        <f>AVERAGE(INDEX(team3_results[Lap times '[sec']], 1):team3_results[[#This Row], [Lap times '[sec']]])</f>
        <v>0</v>
      </c>
      <c r="N6" s="3">
        <f>SUM(INDEX(team3_results[Lap times '[sec']], 1):team3_results[[#This Row], [Lap times '[sec']]])</f>
        <v>0</v>
      </c>
      <c r="P6" s="3">
        <v>55.148</v>
      </c>
      <c r="Q6" s="3" t="s">
        <v>18</v>
      </c>
      <c r="R6" s="3">
        <f>AVERAGE(INDEX(team4_results[Lap times '[sec']], 1):team4_results[[#This Row], [Lap times '[sec']]])</f>
        <v>0</v>
      </c>
      <c r="S6" s="3">
        <f>SUM(INDEX(team4_results[Lap times '[sec']], 1):team4_results[[#This Row], [Lap times '[sec']]])</f>
        <v>0</v>
      </c>
      <c r="U6" s="3">
        <v>54.868</v>
      </c>
      <c r="V6" s="3" t="s">
        <v>20</v>
      </c>
      <c r="W6" s="3">
        <f>AVERAGE(INDEX(team5_results[Lap times '[sec']], 1):team5_results[[#This Row], [Lap times '[sec']]])</f>
        <v>0</v>
      </c>
      <c r="X6" s="3">
        <f>SUM(INDEX(team5_results[Lap times '[sec']], 1):team5_results[[#This Row], [Lap times '[sec']]])</f>
        <v>0</v>
      </c>
      <c r="Z6" s="3">
        <v>55.593</v>
      </c>
      <c r="AA6" s="3" t="s">
        <v>21</v>
      </c>
      <c r="AB6" s="3">
        <f>AVERAGE(INDEX(team6_results[Lap times '[sec']], 1):team6_results[[#This Row], [Lap times '[sec']]])</f>
        <v>0</v>
      </c>
      <c r="AC6" s="3">
        <f>SUM(INDEX(team6_results[Lap times '[sec']], 1):team6_results[[#This Row], [Lap times '[sec']]])</f>
        <v>0</v>
      </c>
      <c r="AE6" s="3">
        <v>56.474</v>
      </c>
      <c r="AF6" s="3" t="s">
        <v>22</v>
      </c>
      <c r="AG6" s="3">
        <f>AVERAGE(INDEX(team7_results[Lap times '[sec']], 1):team7_results[[#This Row], [Lap times '[sec']]])</f>
        <v>0</v>
      </c>
      <c r="AH6" s="3">
        <f>SUM(INDEX(team7_results[Lap times '[sec']], 1):team7_results[[#This Row], [Lap times '[sec']]])</f>
        <v>0</v>
      </c>
      <c r="AJ6" s="3">
        <v>55.97</v>
      </c>
      <c r="AK6" s="3" t="s">
        <v>23</v>
      </c>
      <c r="AL6" s="3">
        <f>AVERAGE(INDEX(team8_results[Lap times '[sec']], 1):team8_results[[#This Row], [Lap times '[sec']]])</f>
        <v>0</v>
      </c>
      <c r="AM6" s="3">
        <f>SUM(INDEX(team8_results[Lap times '[sec']], 1):team8_results[[#This Row], [Lap times '[sec']]])</f>
        <v>0</v>
      </c>
      <c r="AO6" s="3">
        <v>56.946</v>
      </c>
      <c r="AP6" s="3" t="s">
        <v>25</v>
      </c>
      <c r="AQ6" s="3">
        <f>AVERAGE(INDEX(team9_results[Lap times '[sec']], 1):team9_results[[#This Row], [Lap times '[sec']]])</f>
        <v>0</v>
      </c>
      <c r="AR6" s="3">
        <f>SUM(INDEX(team9_results[Lap times '[sec']], 1):team9_results[[#This Row], [Lap times '[sec']]])</f>
        <v>0</v>
      </c>
    </row>
    <row r="7" spans="1:44">
      <c r="A7" s="3">
        <v>53.145</v>
      </c>
      <c r="B7" s="3" t="s">
        <v>12</v>
      </c>
      <c r="C7" s="3">
        <f>AVERAGE(INDEX(team1_results[Lap times '[sec']], 1):team1_results[[#This Row], [Lap times '[sec']]])</f>
        <v>0</v>
      </c>
      <c r="D7" s="3">
        <f>SUM(INDEX(team1_results[Lap times '[sec']], 1):team1_results[[#This Row], [Lap times '[sec']]])</f>
        <v>0</v>
      </c>
      <c r="F7" s="3">
        <v>52.975</v>
      </c>
      <c r="G7" s="3" t="s">
        <v>14</v>
      </c>
      <c r="H7" s="3">
        <f>AVERAGE(INDEX(team2_results[Lap times '[sec']], 1):team2_results[[#This Row], [Lap times '[sec']]])</f>
        <v>0</v>
      </c>
      <c r="I7" s="3">
        <f>SUM(INDEX(team2_results[Lap times '[sec']], 1):team2_results[[#This Row], [Lap times '[sec']]])</f>
        <v>0</v>
      </c>
      <c r="K7" s="3">
        <v>54.044</v>
      </c>
      <c r="L7" s="3" t="s">
        <v>16</v>
      </c>
      <c r="M7" s="3">
        <f>AVERAGE(INDEX(team3_results[Lap times '[sec']], 1):team3_results[[#This Row], [Lap times '[sec']]])</f>
        <v>0</v>
      </c>
      <c r="N7" s="3">
        <f>SUM(INDEX(team3_results[Lap times '[sec']], 1):team3_results[[#This Row], [Lap times '[sec']]])</f>
        <v>0</v>
      </c>
      <c r="P7" s="3">
        <v>55.119</v>
      </c>
      <c r="Q7" s="3" t="s">
        <v>18</v>
      </c>
      <c r="R7" s="3">
        <f>AVERAGE(INDEX(team4_results[Lap times '[sec']], 1):team4_results[[#This Row], [Lap times '[sec']]])</f>
        <v>0</v>
      </c>
      <c r="S7" s="3">
        <f>SUM(INDEX(team4_results[Lap times '[sec']], 1):team4_results[[#This Row], [Lap times '[sec']]])</f>
        <v>0</v>
      </c>
      <c r="U7" s="3">
        <v>55.037</v>
      </c>
      <c r="V7" s="3" t="s">
        <v>20</v>
      </c>
      <c r="W7" s="3">
        <f>AVERAGE(INDEX(team5_results[Lap times '[sec']], 1):team5_results[[#This Row], [Lap times '[sec']]])</f>
        <v>0</v>
      </c>
      <c r="X7" s="3">
        <f>SUM(INDEX(team5_results[Lap times '[sec']], 1):team5_results[[#This Row], [Lap times '[sec']]])</f>
        <v>0</v>
      </c>
      <c r="Z7" s="3">
        <v>55.639</v>
      </c>
      <c r="AA7" s="3" t="s">
        <v>21</v>
      </c>
      <c r="AB7" s="3">
        <f>AVERAGE(INDEX(team6_results[Lap times '[sec']], 1):team6_results[[#This Row], [Lap times '[sec']]])</f>
        <v>0</v>
      </c>
      <c r="AC7" s="3">
        <f>SUM(INDEX(team6_results[Lap times '[sec']], 1):team6_results[[#This Row], [Lap times '[sec']]])</f>
        <v>0</v>
      </c>
      <c r="AE7" s="3">
        <v>55.425</v>
      </c>
      <c r="AF7" s="3" t="s">
        <v>22</v>
      </c>
      <c r="AG7" s="3">
        <f>AVERAGE(INDEX(team7_results[Lap times '[sec']], 1):team7_results[[#This Row], [Lap times '[sec']]])</f>
        <v>0</v>
      </c>
      <c r="AH7" s="3">
        <f>SUM(INDEX(team7_results[Lap times '[sec']], 1):team7_results[[#This Row], [Lap times '[sec']]])</f>
        <v>0</v>
      </c>
      <c r="AJ7" s="3">
        <v>56.59</v>
      </c>
      <c r="AK7" s="3" t="s">
        <v>23</v>
      </c>
      <c r="AL7" s="3">
        <f>AVERAGE(INDEX(team8_results[Lap times '[sec']], 1):team8_results[[#This Row], [Lap times '[sec']]])</f>
        <v>0</v>
      </c>
      <c r="AM7" s="3">
        <f>SUM(INDEX(team8_results[Lap times '[sec']], 1):team8_results[[#This Row], [Lap times '[sec']]])</f>
        <v>0</v>
      </c>
      <c r="AO7" s="3">
        <v>57.132</v>
      </c>
      <c r="AP7" s="3" t="s">
        <v>25</v>
      </c>
      <c r="AQ7" s="3">
        <f>AVERAGE(INDEX(team9_results[Lap times '[sec']], 1):team9_results[[#This Row], [Lap times '[sec']]])</f>
        <v>0</v>
      </c>
      <c r="AR7" s="3">
        <f>SUM(INDEX(team9_results[Lap times '[sec']], 1):team9_results[[#This Row], [Lap times '[sec']]])</f>
        <v>0</v>
      </c>
    </row>
    <row r="8" spans="1:44">
      <c r="A8" s="3">
        <v>52.737</v>
      </c>
      <c r="B8" s="3" t="s">
        <v>12</v>
      </c>
      <c r="C8" s="3">
        <f>AVERAGE(INDEX(team1_results[Lap times '[sec']], 1):team1_results[[#This Row], [Lap times '[sec']]])</f>
        <v>0</v>
      </c>
      <c r="D8" s="3">
        <f>SUM(INDEX(team1_results[Lap times '[sec']], 1):team1_results[[#This Row], [Lap times '[sec']]])</f>
        <v>0</v>
      </c>
      <c r="F8" s="3">
        <v>53.131</v>
      </c>
      <c r="G8" s="3" t="s">
        <v>14</v>
      </c>
      <c r="H8" s="3">
        <f>AVERAGE(INDEX(team2_results[Lap times '[sec']], 1):team2_results[[#This Row], [Lap times '[sec']]])</f>
        <v>0</v>
      </c>
      <c r="I8" s="3">
        <f>SUM(INDEX(team2_results[Lap times '[sec']], 1):team2_results[[#This Row], [Lap times '[sec']]])</f>
        <v>0</v>
      </c>
      <c r="K8" s="3">
        <v>54.157</v>
      </c>
      <c r="L8" s="3" t="s">
        <v>16</v>
      </c>
      <c r="M8" s="3">
        <f>AVERAGE(INDEX(team3_results[Lap times '[sec']], 1):team3_results[[#This Row], [Lap times '[sec']]])</f>
        <v>0</v>
      </c>
      <c r="N8" s="3">
        <f>SUM(INDEX(team3_results[Lap times '[sec']], 1):team3_results[[#This Row], [Lap times '[sec']]])</f>
        <v>0</v>
      </c>
      <c r="P8" s="3">
        <v>55.19</v>
      </c>
      <c r="Q8" s="3" t="s">
        <v>18</v>
      </c>
      <c r="R8" s="3">
        <f>AVERAGE(INDEX(team4_results[Lap times '[sec']], 1):team4_results[[#This Row], [Lap times '[sec']]])</f>
        <v>0</v>
      </c>
      <c r="S8" s="3">
        <f>SUM(INDEX(team4_results[Lap times '[sec']], 1):team4_results[[#This Row], [Lap times '[sec']]])</f>
        <v>0</v>
      </c>
      <c r="U8" s="3">
        <v>55.202</v>
      </c>
      <c r="V8" s="3" t="s">
        <v>20</v>
      </c>
      <c r="W8" s="3">
        <f>AVERAGE(INDEX(team5_results[Lap times '[sec']], 1):team5_results[[#This Row], [Lap times '[sec']]])</f>
        <v>0</v>
      </c>
      <c r="X8" s="3">
        <f>SUM(INDEX(team5_results[Lap times '[sec']], 1):team5_results[[#This Row], [Lap times '[sec']]])</f>
        <v>0</v>
      </c>
      <c r="Z8" s="3">
        <v>55.209</v>
      </c>
      <c r="AA8" s="3" t="s">
        <v>21</v>
      </c>
      <c r="AB8" s="3">
        <f>AVERAGE(INDEX(team6_results[Lap times '[sec']], 1):team6_results[[#This Row], [Lap times '[sec']]])</f>
        <v>0</v>
      </c>
      <c r="AC8" s="3">
        <f>SUM(INDEX(team6_results[Lap times '[sec']], 1):team6_results[[#This Row], [Lap times '[sec']]])</f>
        <v>0</v>
      </c>
      <c r="AE8" s="3">
        <v>55.06</v>
      </c>
      <c r="AF8" s="3" t="s">
        <v>22</v>
      </c>
      <c r="AG8" s="3">
        <f>AVERAGE(INDEX(team7_results[Lap times '[sec']], 1):team7_results[[#This Row], [Lap times '[sec']]])</f>
        <v>0</v>
      </c>
      <c r="AH8" s="3">
        <f>SUM(INDEX(team7_results[Lap times '[sec']], 1):team7_results[[#This Row], [Lap times '[sec']]])</f>
        <v>0</v>
      </c>
      <c r="AJ8" s="3">
        <v>57.115</v>
      </c>
      <c r="AK8" s="3" t="s">
        <v>23</v>
      </c>
      <c r="AL8" s="3">
        <f>AVERAGE(INDEX(team8_results[Lap times '[sec']], 1):team8_results[[#This Row], [Lap times '[sec']]])</f>
        <v>0</v>
      </c>
      <c r="AM8" s="3">
        <f>SUM(INDEX(team8_results[Lap times '[sec']], 1):team8_results[[#This Row], [Lap times '[sec']]])</f>
        <v>0</v>
      </c>
      <c r="AO8" s="3">
        <v>56.464</v>
      </c>
      <c r="AP8" s="3" t="s">
        <v>25</v>
      </c>
      <c r="AQ8" s="3">
        <f>AVERAGE(INDEX(team9_results[Lap times '[sec']], 1):team9_results[[#This Row], [Lap times '[sec']]])</f>
        <v>0</v>
      </c>
      <c r="AR8" s="3">
        <f>SUM(INDEX(team9_results[Lap times '[sec']], 1):team9_results[[#This Row], [Lap times '[sec']]])</f>
        <v>0</v>
      </c>
    </row>
    <row r="9" spans="1:44">
      <c r="A9" s="3">
        <v>52.595</v>
      </c>
      <c r="B9" s="3" t="s">
        <v>12</v>
      </c>
      <c r="C9" s="3">
        <f>AVERAGE(INDEX(team1_results[Lap times '[sec']], 1):team1_results[[#This Row], [Lap times '[sec']]])</f>
        <v>0</v>
      </c>
      <c r="D9" s="3">
        <f>SUM(INDEX(team1_results[Lap times '[sec']], 1):team1_results[[#This Row], [Lap times '[sec']]])</f>
        <v>0</v>
      </c>
      <c r="F9" s="3">
        <v>52.803</v>
      </c>
      <c r="G9" s="3" t="s">
        <v>14</v>
      </c>
      <c r="H9" s="3">
        <f>AVERAGE(INDEX(team2_results[Lap times '[sec']], 1):team2_results[[#This Row], [Lap times '[sec']]])</f>
        <v>0</v>
      </c>
      <c r="I9" s="3">
        <f>SUM(INDEX(team2_results[Lap times '[sec']], 1):team2_results[[#This Row], [Lap times '[sec']]])</f>
        <v>0</v>
      </c>
      <c r="K9" s="3">
        <v>54.279</v>
      </c>
      <c r="L9" s="3" t="s">
        <v>16</v>
      </c>
      <c r="M9" s="3">
        <f>AVERAGE(INDEX(team3_results[Lap times '[sec']], 1):team3_results[[#This Row], [Lap times '[sec']]])</f>
        <v>0</v>
      </c>
      <c r="N9" s="3">
        <f>SUM(INDEX(team3_results[Lap times '[sec']], 1):team3_results[[#This Row], [Lap times '[sec']]])</f>
        <v>0</v>
      </c>
      <c r="P9" s="3">
        <v>54.888</v>
      </c>
      <c r="Q9" s="3" t="s">
        <v>18</v>
      </c>
      <c r="R9" s="3">
        <f>AVERAGE(INDEX(team4_results[Lap times '[sec']], 1):team4_results[[#This Row], [Lap times '[sec']]])</f>
        <v>0</v>
      </c>
      <c r="S9" s="3">
        <f>SUM(INDEX(team4_results[Lap times '[sec']], 1):team4_results[[#This Row], [Lap times '[sec']]])</f>
        <v>0</v>
      </c>
      <c r="U9" s="3">
        <v>55.302</v>
      </c>
      <c r="V9" s="3" t="s">
        <v>20</v>
      </c>
      <c r="W9" s="3">
        <f>AVERAGE(INDEX(team5_results[Lap times '[sec']], 1):team5_results[[#This Row], [Lap times '[sec']]])</f>
        <v>0</v>
      </c>
      <c r="X9" s="3">
        <f>SUM(INDEX(team5_results[Lap times '[sec']], 1):team5_results[[#This Row], [Lap times '[sec']]])</f>
        <v>0</v>
      </c>
      <c r="Z9" s="3">
        <v>55.911</v>
      </c>
      <c r="AA9" s="3" t="s">
        <v>21</v>
      </c>
      <c r="AB9" s="3">
        <f>AVERAGE(INDEX(team6_results[Lap times '[sec']], 1):team6_results[[#This Row], [Lap times '[sec']]])</f>
        <v>0</v>
      </c>
      <c r="AC9" s="3">
        <f>SUM(INDEX(team6_results[Lap times '[sec']], 1):team6_results[[#This Row], [Lap times '[sec']]])</f>
        <v>0</v>
      </c>
      <c r="AE9" s="3">
        <v>54.472</v>
      </c>
      <c r="AF9" s="3" t="s">
        <v>22</v>
      </c>
      <c r="AG9" s="3">
        <f>AVERAGE(INDEX(team7_results[Lap times '[sec']], 1):team7_results[[#This Row], [Lap times '[sec']]])</f>
        <v>0</v>
      </c>
      <c r="AH9" s="3">
        <f>SUM(INDEX(team7_results[Lap times '[sec']], 1):team7_results[[#This Row], [Lap times '[sec']]])</f>
        <v>0</v>
      </c>
      <c r="AJ9" s="3">
        <v>56.51</v>
      </c>
      <c r="AK9" s="3" t="s">
        <v>23</v>
      </c>
      <c r="AL9" s="3">
        <f>AVERAGE(INDEX(team8_results[Lap times '[sec']], 1):team8_results[[#This Row], [Lap times '[sec']]])</f>
        <v>0</v>
      </c>
      <c r="AM9" s="3">
        <f>SUM(INDEX(team8_results[Lap times '[sec']], 1):team8_results[[#This Row], [Lap times '[sec']]])</f>
        <v>0</v>
      </c>
      <c r="AO9" s="3">
        <v>56.509</v>
      </c>
      <c r="AP9" s="3" t="s">
        <v>25</v>
      </c>
      <c r="AQ9" s="3">
        <f>AVERAGE(INDEX(team9_results[Lap times '[sec']], 1):team9_results[[#This Row], [Lap times '[sec']]])</f>
        <v>0</v>
      </c>
      <c r="AR9" s="3">
        <f>SUM(INDEX(team9_results[Lap times '[sec']], 1):team9_results[[#This Row], [Lap times '[sec']]])</f>
        <v>0</v>
      </c>
    </row>
    <row r="10" spans="1:44">
      <c r="A10" s="3">
        <v>52.541</v>
      </c>
      <c r="B10" s="3" t="s">
        <v>12</v>
      </c>
      <c r="C10" s="3">
        <f>AVERAGE(INDEX(team1_results[Lap times '[sec']], 1):team1_results[[#This Row], [Lap times '[sec']]])</f>
        <v>0</v>
      </c>
      <c r="D10" s="3">
        <f>SUM(INDEX(team1_results[Lap times '[sec']], 1):team1_results[[#This Row], [Lap times '[sec']]])</f>
        <v>0</v>
      </c>
      <c r="F10" s="3">
        <v>53.043</v>
      </c>
      <c r="G10" s="3" t="s">
        <v>14</v>
      </c>
      <c r="H10" s="3">
        <f>AVERAGE(INDEX(team2_results[Lap times '[sec']], 1):team2_results[[#This Row], [Lap times '[sec']]])</f>
        <v>0</v>
      </c>
      <c r="I10" s="3">
        <f>SUM(INDEX(team2_results[Lap times '[sec']], 1):team2_results[[#This Row], [Lap times '[sec']]])</f>
        <v>0</v>
      </c>
      <c r="K10" s="3">
        <v>54.175</v>
      </c>
      <c r="L10" s="3" t="s">
        <v>16</v>
      </c>
      <c r="M10" s="3">
        <f>AVERAGE(INDEX(team3_results[Lap times '[sec']], 1):team3_results[[#This Row], [Lap times '[sec']]])</f>
        <v>0</v>
      </c>
      <c r="N10" s="3">
        <f>SUM(INDEX(team3_results[Lap times '[sec']], 1):team3_results[[#This Row], [Lap times '[sec']]])</f>
        <v>0</v>
      </c>
      <c r="P10" s="3">
        <v>55.514</v>
      </c>
      <c r="Q10" s="3" t="s">
        <v>18</v>
      </c>
      <c r="R10" s="3">
        <f>AVERAGE(INDEX(team4_results[Lap times '[sec']], 1):team4_results[[#This Row], [Lap times '[sec']]])</f>
        <v>0</v>
      </c>
      <c r="S10" s="3">
        <f>SUM(INDEX(team4_results[Lap times '[sec']], 1):team4_results[[#This Row], [Lap times '[sec']]])</f>
        <v>0</v>
      </c>
      <c r="U10" s="3">
        <v>55.556</v>
      </c>
      <c r="V10" s="3" t="s">
        <v>20</v>
      </c>
      <c r="W10" s="3">
        <f>AVERAGE(INDEX(team5_results[Lap times '[sec']], 1):team5_results[[#This Row], [Lap times '[sec']]])</f>
        <v>0</v>
      </c>
      <c r="X10" s="3">
        <f>SUM(INDEX(team5_results[Lap times '[sec']], 1):team5_results[[#This Row], [Lap times '[sec']]])</f>
        <v>0</v>
      </c>
      <c r="Z10" s="3">
        <v>55.655</v>
      </c>
      <c r="AA10" s="3" t="s">
        <v>21</v>
      </c>
      <c r="AB10" s="3">
        <f>AVERAGE(INDEX(team6_results[Lap times '[sec']], 1):team6_results[[#This Row], [Lap times '[sec']]])</f>
        <v>0</v>
      </c>
      <c r="AC10" s="3">
        <f>SUM(INDEX(team6_results[Lap times '[sec']], 1):team6_results[[#This Row], [Lap times '[sec']]])</f>
        <v>0</v>
      </c>
      <c r="AE10" s="3">
        <v>54.574</v>
      </c>
      <c r="AF10" s="3" t="s">
        <v>22</v>
      </c>
      <c r="AG10" s="3">
        <f>AVERAGE(INDEX(team7_results[Lap times '[sec']], 1):team7_results[[#This Row], [Lap times '[sec']]])</f>
        <v>0</v>
      </c>
      <c r="AH10" s="3">
        <f>SUM(INDEX(team7_results[Lap times '[sec']], 1):team7_results[[#This Row], [Lap times '[sec']]])</f>
        <v>0</v>
      </c>
      <c r="AJ10" s="3">
        <v>56.993</v>
      </c>
      <c r="AK10" s="3" t="s">
        <v>23</v>
      </c>
      <c r="AL10" s="3">
        <f>AVERAGE(INDEX(team8_results[Lap times '[sec']], 1):team8_results[[#This Row], [Lap times '[sec']]])</f>
        <v>0</v>
      </c>
      <c r="AM10" s="3">
        <f>SUM(INDEX(team8_results[Lap times '[sec']], 1):team8_results[[#This Row], [Lap times '[sec']]])</f>
        <v>0</v>
      </c>
      <c r="AO10" s="3">
        <v>56.479</v>
      </c>
      <c r="AP10" s="3" t="s">
        <v>25</v>
      </c>
      <c r="AQ10" s="3">
        <f>AVERAGE(INDEX(team9_results[Lap times '[sec']], 1):team9_results[[#This Row], [Lap times '[sec']]])</f>
        <v>0</v>
      </c>
      <c r="AR10" s="3">
        <f>SUM(INDEX(team9_results[Lap times '[sec']], 1):team9_results[[#This Row], [Lap times '[sec']]])</f>
        <v>0</v>
      </c>
    </row>
    <row r="11" spans="1:44">
      <c r="A11" s="3">
        <v>52.59</v>
      </c>
      <c r="B11" s="3" t="s">
        <v>12</v>
      </c>
      <c r="C11" s="3">
        <f>AVERAGE(INDEX(team1_results[Lap times '[sec']], 1):team1_results[[#This Row], [Lap times '[sec']]])</f>
        <v>0</v>
      </c>
      <c r="D11" s="3">
        <f>SUM(INDEX(team1_results[Lap times '[sec']], 1):team1_results[[#This Row], [Lap times '[sec']]])</f>
        <v>0</v>
      </c>
      <c r="F11" s="3">
        <v>53.025</v>
      </c>
      <c r="G11" s="3" t="s">
        <v>14</v>
      </c>
      <c r="H11" s="3">
        <f>AVERAGE(INDEX(team2_results[Lap times '[sec']], 1):team2_results[[#This Row], [Lap times '[sec']]])</f>
        <v>0</v>
      </c>
      <c r="I11" s="3">
        <f>SUM(INDEX(team2_results[Lap times '[sec']], 1):team2_results[[#This Row], [Lap times '[sec']]])</f>
        <v>0</v>
      </c>
      <c r="K11" s="3">
        <v>53.96</v>
      </c>
      <c r="L11" s="3" t="s">
        <v>16</v>
      </c>
      <c r="M11" s="3">
        <f>AVERAGE(INDEX(team3_results[Lap times '[sec']], 1):team3_results[[#This Row], [Lap times '[sec']]])</f>
        <v>0</v>
      </c>
      <c r="N11" s="3">
        <f>SUM(INDEX(team3_results[Lap times '[sec']], 1):team3_results[[#This Row], [Lap times '[sec']]])</f>
        <v>0</v>
      </c>
      <c r="P11" s="3">
        <v>55.21</v>
      </c>
      <c r="Q11" s="3" t="s">
        <v>18</v>
      </c>
      <c r="R11" s="3">
        <f>AVERAGE(INDEX(team4_results[Lap times '[sec']], 1):team4_results[[#This Row], [Lap times '[sec']]])</f>
        <v>0</v>
      </c>
      <c r="S11" s="3">
        <f>SUM(INDEX(team4_results[Lap times '[sec']], 1):team4_results[[#This Row], [Lap times '[sec']]])</f>
        <v>0</v>
      </c>
      <c r="U11" s="3">
        <v>55.256</v>
      </c>
      <c r="V11" s="3" t="s">
        <v>20</v>
      </c>
      <c r="W11" s="3">
        <f>AVERAGE(INDEX(team5_results[Lap times '[sec']], 1):team5_results[[#This Row], [Lap times '[sec']]])</f>
        <v>0</v>
      </c>
      <c r="X11" s="3">
        <f>SUM(INDEX(team5_results[Lap times '[sec']], 1):team5_results[[#This Row], [Lap times '[sec']]])</f>
        <v>0</v>
      </c>
      <c r="Z11" s="3">
        <v>55.379</v>
      </c>
      <c r="AA11" s="3" t="s">
        <v>21</v>
      </c>
      <c r="AB11" s="3">
        <f>AVERAGE(INDEX(team6_results[Lap times '[sec']], 1):team6_results[[#This Row], [Lap times '[sec']]])</f>
        <v>0</v>
      </c>
      <c r="AC11" s="3">
        <f>SUM(INDEX(team6_results[Lap times '[sec']], 1):team6_results[[#This Row], [Lap times '[sec']]])</f>
        <v>0</v>
      </c>
      <c r="AE11" s="3">
        <v>54.846</v>
      </c>
      <c r="AF11" s="3" t="s">
        <v>22</v>
      </c>
      <c r="AG11" s="3">
        <f>AVERAGE(INDEX(team7_results[Lap times '[sec']], 1):team7_results[[#This Row], [Lap times '[sec']]])</f>
        <v>0</v>
      </c>
      <c r="AH11" s="3">
        <f>SUM(INDEX(team7_results[Lap times '[sec']], 1):team7_results[[#This Row], [Lap times '[sec']]])</f>
        <v>0</v>
      </c>
      <c r="AJ11" s="3">
        <v>56.943</v>
      </c>
      <c r="AK11" s="3" t="s">
        <v>23</v>
      </c>
      <c r="AL11" s="3">
        <f>AVERAGE(INDEX(team8_results[Lap times '[sec']], 1):team8_results[[#This Row], [Lap times '[sec']]])</f>
        <v>0</v>
      </c>
      <c r="AM11" s="3">
        <f>SUM(INDEX(team8_results[Lap times '[sec']], 1):team8_results[[#This Row], [Lap times '[sec']]])</f>
        <v>0</v>
      </c>
      <c r="AO11" s="3">
        <v>56.05</v>
      </c>
      <c r="AP11" s="3" t="s">
        <v>25</v>
      </c>
      <c r="AQ11" s="3">
        <f>AVERAGE(INDEX(team9_results[Lap times '[sec']], 1):team9_results[[#This Row], [Lap times '[sec']]])</f>
        <v>0</v>
      </c>
      <c r="AR11" s="3">
        <f>SUM(INDEX(team9_results[Lap times '[sec']], 1):team9_results[[#This Row], [Lap times '[sec']]])</f>
        <v>0</v>
      </c>
    </row>
    <row r="12" spans="1:44">
      <c r="A12" s="3">
        <v>52.987</v>
      </c>
      <c r="B12" s="3" t="s">
        <v>12</v>
      </c>
      <c r="C12" s="3">
        <f>AVERAGE(INDEX(team1_results[Lap times '[sec']], 1):team1_results[[#This Row], [Lap times '[sec']]])</f>
        <v>0</v>
      </c>
      <c r="D12" s="3">
        <f>SUM(INDEX(team1_results[Lap times '[sec']], 1):team1_results[[#This Row], [Lap times '[sec']]])</f>
        <v>0</v>
      </c>
      <c r="F12" s="3">
        <v>53.045</v>
      </c>
      <c r="G12" s="3" t="s">
        <v>14</v>
      </c>
      <c r="H12" s="3">
        <f>AVERAGE(INDEX(team2_results[Lap times '[sec']], 1):team2_results[[#This Row], [Lap times '[sec']]])</f>
        <v>0</v>
      </c>
      <c r="I12" s="3">
        <f>SUM(INDEX(team2_results[Lap times '[sec']], 1):team2_results[[#This Row], [Lap times '[sec']]])</f>
        <v>0</v>
      </c>
      <c r="K12" s="3">
        <v>53.33</v>
      </c>
      <c r="L12" s="3" t="s">
        <v>16</v>
      </c>
      <c r="M12" s="3">
        <f>AVERAGE(INDEX(team3_results[Lap times '[sec']], 1):team3_results[[#This Row], [Lap times '[sec']]])</f>
        <v>0</v>
      </c>
      <c r="N12" s="3">
        <f>SUM(INDEX(team3_results[Lap times '[sec']], 1):team3_results[[#This Row], [Lap times '[sec']]])</f>
        <v>0</v>
      </c>
      <c r="P12" s="3">
        <v>54.467</v>
      </c>
      <c r="Q12" s="3" t="s">
        <v>18</v>
      </c>
      <c r="R12" s="3">
        <f>AVERAGE(INDEX(team4_results[Lap times '[sec']], 1):team4_results[[#This Row], [Lap times '[sec']]])</f>
        <v>0</v>
      </c>
      <c r="S12" s="3">
        <f>SUM(INDEX(team4_results[Lap times '[sec']], 1):team4_results[[#This Row], [Lap times '[sec']]])</f>
        <v>0</v>
      </c>
      <c r="U12" s="3">
        <v>54.374</v>
      </c>
      <c r="V12" s="3" t="s">
        <v>20</v>
      </c>
      <c r="W12" s="3">
        <f>AVERAGE(INDEX(team5_results[Lap times '[sec']], 1):team5_results[[#This Row], [Lap times '[sec']]])</f>
        <v>0</v>
      </c>
      <c r="X12" s="3">
        <f>SUM(INDEX(team5_results[Lap times '[sec']], 1):team5_results[[#This Row], [Lap times '[sec']]])</f>
        <v>0</v>
      </c>
      <c r="Z12" s="3">
        <v>55.595</v>
      </c>
      <c r="AA12" s="3" t="s">
        <v>21</v>
      </c>
      <c r="AB12" s="3">
        <f>AVERAGE(INDEX(team6_results[Lap times '[sec']], 1):team6_results[[#This Row], [Lap times '[sec']]])</f>
        <v>0</v>
      </c>
      <c r="AC12" s="3">
        <f>SUM(INDEX(team6_results[Lap times '[sec']], 1):team6_results[[#This Row], [Lap times '[sec']]])</f>
        <v>0</v>
      </c>
      <c r="AE12" s="3">
        <v>54.992</v>
      </c>
      <c r="AF12" s="3" t="s">
        <v>22</v>
      </c>
      <c r="AG12" s="3">
        <f>AVERAGE(INDEX(team7_results[Lap times '[sec']], 1):team7_results[[#This Row], [Lap times '[sec']]])</f>
        <v>0</v>
      </c>
      <c r="AH12" s="3">
        <f>SUM(INDEX(team7_results[Lap times '[sec']], 1):team7_results[[#This Row], [Lap times '[sec']]])</f>
        <v>0</v>
      </c>
      <c r="AJ12" s="3">
        <v>57.937</v>
      </c>
      <c r="AK12" s="3" t="s">
        <v>23</v>
      </c>
      <c r="AL12" s="3">
        <f>AVERAGE(INDEX(team8_results[Lap times '[sec']], 1):team8_results[[#This Row], [Lap times '[sec']]])</f>
        <v>0</v>
      </c>
      <c r="AM12" s="3">
        <f>SUM(INDEX(team8_results[Lap times '[sec']], 1):team8_results[[#This Row], [Lap times '[sec']]])</f>
        <v>0</v>
      </c>
      <c r="AO12" s="3">
        <v>56.366</v>
      </c>
      <c r="AP12" s="3" t="s">
        <v>25</v>
      </c>
      <c r="AQ12" s="3">
        <f>AVERAGE(INDEX(team9_results[Lap times '[sec']], 1):team9_results[[#This Row], [Lap times '[sec']]])</f>
        <v>0</v>
      </c>
      <c r="AR12" s="3">
        <f>SUM(INDEX(team9_results[Lap times '[sec']], 1):team9_results[[#This Row], [Lap times '[sec']]])</f>
        <v>0</v>
      </c>
    </row>
    <row r="13" spans="1:44">
      <c r="A13" s="3">
        <v>53</v>
      </c>
      <c r="B13" s="3" t="s">
        <v>12</v>
      </c>
      <c r="C13" s="3">
        <f>AVERAGE(INDEX(team1_results[Lap times '[sec']], 1):team1_results[[#This Row], [Lap times '[sec']]])</f>
        <v>0</v>
      </c>
      <c r="D13" s="3">
        <f>SUM(INDEX(team1_results[Lap times '[sec']], 1):team1_results[[#This Row], [Lap times '[sec']]])</f>
        <v>0</v>
      </c>
      <c r="F13" s="3">
        <v>53.106</v>
      </c>
      <c r="G13" s="3" t="s">
        <v>14</v>
      </c>
      <c r="H13" s="3">
        <f>AVERAGE(INDEX(team2_results[Lap times '[sec']], 1):team2_results[[#This Row], [Lap times '[sec']]])</f>
        <v>0</v>
      </c>
      <c r="I13" s="3">
        <f>SUM(INDEX(team2_results[Lap times '[sec']], 1):team2_results[[#This Row], [Lap times '[sec']]])</f>
        <v>0</v>
      </c>
      <c r="K13" s="3">
        <v>53.444</v>
      </c>
      <c r="L13" s="3" t="s">
        <v>16</v>
      </c>
      <c r="M13" s="3">
        <f>AVERAGE(INDEX(team3_results[Lap times '[sec']], 1):team3_results[[#This Row], [Lap times '[sec']]])</f>
        <v>0</v>
      </c>
      <c r="N13" s="3">
        <f>SUM(INDEX(team3_results[Lap times '[sec']], 1):team3_results[[#This Row], [Lap times '[sec']]])</f>
        <v>0</v>
      </c>
      <c r="P13" s="3">
        <v>54.982</v>
      </c>
      <c r="Q13" s="3" t="s">
        <v>18</v>
      </c>
      <c r="R13" s="3">
        <f>AVERAGE(INDEX(team4_results[Lap times '[sec']], 1):team4_results[[#This Row], [Lap times '[sec']]])</f>
        <v>0</v>
      </c>
      <c r="S13" s="3">
        <f>SUM(INDEX(team4_results[Lap times '[sec']], 1):team4_results[[#This Row], [Lap times '[sec']]])</f>
        <v>0</v>
      </c>
      <c r="U13" s="3">
        <v>55.037</v>
      </c>
      <c r="V13" s="3" t="s">
        <v>20</v>
      </c>
      <c r="W13" s="3">
        <f>AVERAGE(INDEX(team5_results[Lap times '[sec']], 1):team5_results[[#This Row], [Lap times '[sec']]])</f>
        <v>0</v>
      </c>
      <c r="X13" s="3">
        <f>SUM(INDEX(team5_results[Lap times '[sec']], 1):team5_results[[#This Row], [Lap times '[sec']]])</f>
        <v>0</v>
      </c>
      <c r="Z13" s="3">
        <v>54.858</v>
      </c>
      <c r="AA13" s="3" t="s">
        <v>21</v>
      </c>
      <c r="AB13" s="3">
        <f>AVERAGE(INDEX(team6_results[Lap times '[sec']], 1):team6_results[[#This Row], [Lap times '[sec']]])</f>
        <v>0</v>
      </c>
      <c r="AC13" s="3">
        <f>SUM(INDEX(team6_results[Lap times '[sec']], 1):team6_results[[#This Row], [Lap times '[sec']]])</f>
        <v>0</v>
      </c>
      <c r="AE13" s="3">
        <v>54.615</v>
      </c>
      <c r="AF13" s="3" t="s">
        <v>22</v>
      </c>
      <c r="AG13" s="3">
        <f>AVERAGE(INDEX(team7_results[Lap times '[sec']], 1):team7_results[[#This Row], [Lap times '[sec']]])</f>
        <v>0</v>
      </c>
      <c r="AH13" s="3">
        <f>SUM(INDEX(team7_results[Lap times '[sec']], 1):team7_results[[#This Row], [Lap times '[sec']]])</f>
        <v>0</v>
      </c>
      <c r="AJ13" s="3">
        <v>55.548</v>
      </c>
      <c r="AK13" s="3" t="s">
        <v>23</v>
      </c>
      <c r="AL13" s="3">
        <f>AVERAGE(INDEX(team8_results[Lap times '[sec']], 1):team8_results[[#This Row], [Lap times '[sec']]])</f>
        <v>0</v>
      </c>
      <c r="AM13" s="3">
        <f>SUM(INDEX(team8_results[Lap times '[sec']], 1):team8_results[[#This Row], [Lap times '[sec']]])</f>
        <v>0</v>
      </c>
      <c r="AO13" s="3">
        <v>55.454</v>
      </c>
      <c r="AP13" s="3" t="s">
        <v>25</v>
      </c>
      <c r="AQ13" s="3">
        <f>AVERAGE(INDEX(team9_results[Lap times '[sec']], 1):team9_results[[#This Row], [Lap times '[sec']]])</f>
        <v>0</v>
      </c>
      <c r="AR13" s="3">
        <f>SUM(INDEX(team9_results[Lap times '[sec']], 1):team9_results[[#This Row], [Lap times '[sec']]])</f>
        <v>0</v>
      </c>
    </row>
    <row r="14" spans="1:44">
      <c r="A14" s="3">
        <v>52.591</v>
      </c>
      <c r="B14" s="3" t="s">
        <v>12</v>
      </c>
      <c r="C14" s="3">
        <f>AVERAGE(INDEX(team1_results[Lap times '[sec']], 1):team1_results[[#This Row], [Lap times '[sec']]])</f>
        <v>0</v>
      </c>
      <c r="D14" s="3">
        <f>SUM(INDEX(team1_results[Lap times '[sec']], 1):team1_results[[#This Row], [Lap times '[sec']]])</f>
        <v>0</v>
      </c>
      <c r="F14" s="3">
        <v>53.032</v>
      </c>
      <c r="G14" s="3" t="s">
        <v>14</v>
      </c>
      <c r="H14" s="3">
        <f>AVERAGE(INDEX(team2_results[Lap times '[sec']], 1):team2_results[[#This Row], [Lap times '[sec']]])</f>
        <v>0</v>
      </c>
      <c r="I14" s="3">
        <f>SUM(INDEX(team2_results[Lap times '[sec']], 1):team2_results[[#This Row], [Lap times '[sec']]])</f>
        <v>0</v>
      </c>
      <c r="K14" s="3">
        <v>53.252</v>
      </c>
      <c r="L14" s="3" t="s">
        <v>16</v>
      </c>
      <c r="M14" s="3">
        <f>AVERAGE(INDEX(team3_results[Lap times '[sec']], 1):team3_results[[#This Row], [Lap times '[sec']]])</f>
        <v>0</v>
      </c>
      <c r="N14" s="3">
        <f>SUM(INDEX(team3_results[Lap times '[sec']], 1):team3_results[[#This Row], [Lap times '[sec']]])</f>
        <v>0</v>
      </c>
      <c r="P14" s="3">
        <v>54.654</v>
      </c>
      <c r="Q14" s="3" t="s">
        <v>18</v>
      </c>
      <c r="R14" s="3">
        <f>AVERAGE(INDEX(team4_results[Lap times '[sec']], 1):team4_results[[#This Row], [Lap times '[sec']]])</f>
        <v>0</v>
      </c>
      <c r="S14" s="3">
        <f>SUM(INDEX(team4_results[Lap times '[sec']], 1):team4_results[[#This Row], [Lap times '[sec']]])</f>
        <v>0</v>
      </c>
      <c r="U14" s="3">
        <v>54.679</v>
      </c>
      <c r="V14" s="3" t="s">
        <v>20</v>
      </c>
      <c r="W14" s="3">
        <f>AVERAGE(INDEX(team5_results[Lap times '[sec']], 1):team5_results[[#This Row], [Lap times '[sec']]])</f>
        <v>0</v>
      </c>
      <c r="X14" s="3">
        <f>SUM(INDEX(team5_results[Lap times '[sec']], 1):team5_results[[#This Row], [Lap times '[sec']]])</f>
        <v>0</v>
      </c>
      <c r="Z14" s="3">
        <v>55.692</v>
      </c>
      <c r="AA14" s="3" t="s">
        <v>21</v>
      </c>
      <c r="AB14" s="3">
        <f>AVERAGE(INDEX(team6_results[Lap times '[sec']], 1):team6_results[[#This Row], [Lap times '[sec']]])</f>
        <v>0</v>
      </c>
      <c r="AC14" s="3">
        <f>SUM(INDEX(team6_results[Lap times '[sec']], 1):team6_results[[#This Row], [Lap times '[sec']]])</f>
        <v>0</v>
      </c>
      <c r="AE14" s="3">
        <v>54.193</v>
      </c>
      <c r="AF14" s="3" t="s">
        <v>22</v>
      </c>
      <c r="AG14" s="3">
        <f>AVERAGE(INDEX(team7_results[Lap times '[sec']], 1):team7_results[[#This Row], [Lap times '[sec']]])</f>
        <v>0</v>
      </c>
      <c r="AH14" s="3">
        <f>SUM(INDEX(team7_results[Lap times '[sec']], 1):team7_results[[#This Row], [Lap times '[sec']]])</f>
        <v>0</v>
      </c>
      <c r="AJ14" s="3">
        <v>55.449</v>
      </c>
      <c r="AK14" s="3" t="s">
        <v>23</v>
      </c>
      <c r="AL14" s="3">
        <f>AVERAGE(INDEX(team8_results[Lap times '[sec']], 1):team8_results[[#This Row], [Lap times '[sec']]])</f>
        <v>0</v>
      </c>
      <c r="AM14" s="3">
        <f>SUM(INDEX(team8_results[Lap times '[sec']], 1):team8_results[[#This Row], [Lap times '[sec']]])</f>
        <v>0</v>
      </c>
      <c r="AO14" s="3">
        <v>55.462</v>
      </c>
      <c r="AP14" s="3" t="s">
        <v>25</v>
      </c>
      <c r="AQ14" s="3">
        <f>AVERAGE(INDEX(team9_results[Lap times '[sec']], 1):team9_results[[#This Row], [Lap times '[sec']]])</f>
        <v>0</v>
      </c>
      <c r="AR14" s="3">
        <f>SUM(INDEX(team9_results[Lap times '[sec']], 1):team9_results[[#This Row], [Lap times '[sec']]])</f>
        <v>0</v>
      </c>
    </row>
    <row r="15" spans="1:44">
      <c r="A15" s="3">
        <v>52.564</v>
      </c>
      <c r="B15" s="3" t="s">
        <v>12</v>
      </c>
      <c r="C15" s="3">
        <f>AVERAGE(INDEX(team1_results[Lap times '[sec']], 1):team1_results[[#This Row], [Lap times '[sec']]])</f>
        <v>0</v>
      </c>
      <c r="D15" s="3">
        <f>SUM(INDEX(team1_results[Lap times '[sec']], 1):team1_results[[#This Row], [Lap times '[sec']]])</f>
        <v>0</v>
      </c>
      <c r="F15" s="3">
        <v>53.001</v>
      </c>
      <c r="G15" s="3" t="s">
        <v>14</v>
      </c>
      <c r="H15" s="3">
        <f>AVERAGE(INDEX(team2_results[Lap times '[sec']], 1):team2_results[[#This Row], [Lap times '[sec']]])</f>
        <v>0</v>
      </c>
      <c r="I15" s="3">
        <f>SUM(INDEX(team2_results[Lap times '[sec']], 1):team2_results[[#This Row], [Lap times '[sec']]])</f>
        <v>0</v>
      </c>
      <c r="K15" s="3">
        <v>53.292</v>
      </c>
      <c r="L15" s="3" t="s">
        <v>16</v>
      </c>
      <c r="M15" s="3">
        <f>AVERAGE(INDEX(team3_results[Lap times '[sec']], 1):team3_results[[#This Row], [Lap times '[sec']]])</f>
        <v>0</v>
      </c>
      <c r="N15" s="3">
        <f>SUM(INDEX(team3_results[Lap times '[sec']], 1):team3_results[[#This Row], [Lap times '[sec']]])</f>
        <v>0</v>
      </c>
      <c r="P15" s="3">
        <v>54.646</v>
      </c>
      <c r="Q15" s="3" t="s">
        <v>18</v>
      </c>
      <c r="R15" s="3">
        <f>AVERAGE(INDEX(team4_results[Lap times '[sec']], 1):team4_results[[#This Row], [Lap times '[sec']]])</f>
        <v>0</v>
      </c>
      <c r="S15" s="3">
        <f>SUM(INDEX(team4_results[Lap times '[sec']], 1):team4_results[[#This Row], [Lap times '[sec']]])</f>
        <v>0</v>
      </c>
      <c r="U15" s="3">
        <v>54.551</v>
      </c>
      <c r="V15" s="3" t="s">
        <v>20</v>
      </c>
      <c r="W15" s="3">
        <f>AVERAGE(INDEX(team5_results[Lap times '[sec']], 1):team5_results[[#This Row], [Lap times '[sec']]])</f>
        <v>0</v>
      </c>
      <c r="X15" s="3">
        <f>SUM(INDEX(team5_results[Lap times '[sec']], 1):team5_results[[#This Row], [Lap times '[sec']]])</f>
        <v>0</v>
      </c>
      <c r="Z15" s="3">
        <v>55.311</v>
      </c>
      <c r="AA15" s="3" t="s">
        <v>21</v>
      </c>
      <c r="AB15" s="3">
        <f>AVERAGE(INDEX(team6_results[Lap times '[sec']], 1):team6_results[[#This Row], [Lap times '[sec']]])</f>
        <v>0</v>
      </c>
      <c r="AC15" s="3">
        <f>SUM(INDEX(team6_results[Lap times '[sec']], 1):team6_results[[#This Row], [Lap times '[sec']]])</f>
        <v>0</v>
      </c>
      <c r="AE15" s="3">
        <v>54.553</v>
      </c>
      <c r="AF15" s="3" t="s">
        <v>22</v>
      </c>
      <c r="AG15" s="3">
        <f>AVERAGE(INDEX(team7_results[Lap times '[sec']], 1):team7_results[[#This Row], [Lap times '[sec']]])</f>
        <v>0</v>
      </c>
      <c r="AH15" s="3">
        <f>SUM(INDEX(team7_results[Lap times '[sec']], 1):team7_results[[#This Row], [Lap times '[sec']]])</f>
        <v>0</v>
      </c>
      <c r="AJ15" s="3">
        <v>56.661</v>
      </c>
      <c r="AK15" s="3" t="s">
        <v>23</v>
      </c>
      <c r="AL15" s="3">
        <f>AVERAGE(INDEX(team8_results[Lap times '[sec']], 1):team8_results[[#This Row], [Lap times '[sec']]])</f>
        <v>0</v>
      </c>
      <c r="AM15" s="3">
        <f>SUM(INDEX(team8_results[Lap times '[sec']], 1):team8_results[[#This Row], [Lap times '[sec']]])</f>
        <v>0</v>
      </c>
      <c r="AO15" s="3">
        <v>56.482</v>
      </c>
      <c r="AP15" s="3" t="s">
        <v>25</v>
      </c>
      <c r="AQ15" s="3">
        <f>AVERAGE(INDEX(team9_results[Lap times '[sec']], 1):team9_results[[#This Row], [Lap times '[sec']]])</f>
        <v>0</v>
      </c>
      <c r="AR15" s="3">
        <f>SUM(INDEX(team9_results[Lap times '[sec']], 1):team9_results[[#This Row], [Lap times '[sec']]])</f>
        <v>0</v>
      </c>
    </row>
    <row r="16" spans="1:44">
      <c r="A16" s="3">
        <v>52.905</v>
      </c>
      <c r="B16" s="3" t="s">
        <v>12</v>
      </c>
      <c r="C16" s="3">
        <f>AVERAGE(INDEX(team1_results[Lap times '[sec']], 1):team1_results[[#This Row], [Lap times '[sec']]])</f>
        <v>0</v>
      </c>
      <c r="D16" s="3">
        <f>SUM(INDEX(team1_results[Lap times '[sec']], 1):team1_results[[#This Row], [Lap times '[sec']]])</f>
        <v>0</v>
      </c>
      <c r="F16" s="3">
        <v>52.787</v>
      </c>
      <c r="G16" s="3" t="s">
        <v>14</v>
      </c>
      <c r="H16" s="3">
        <f>AVERAGE(INDEX(team2_results[Lap times '[sec']], 1):team2_results[[#This Row], [Lap times '[sec']]])</f>
        <v>0</v>
      </c>
      <c r="I16" s="3">
        <f>SUM(INDEX(team2_results[Lap times '[sec']], 1):team2_results[[#This Row], [Lap times '[sec']]])</f>
        <v>0</v>
      </c>
      <c r="K16" s="3">
        <v>52.941</v>
      </c>
      <c r="L16" s="3" t="s">
        <v>16</v>
      </c>
      <c r="M16" s="3">
        <f>AVERAGE(INDEX(team3_results[Lap times '[sec']], 1):team3_results[[#This Row], [Lap times '[sec']]])</f>
        <v>0</v>
      </c>
      <c r="N16" s="3">
        <f>SUM(INDEX(team3_results[Lap times '[sec']], 1):team3_results[[#This Row], [Lap times '[sec']]])</f>
        <v>0</v>
      </c>
      <c r="P16" s="3">
        <v>54.471</v>
      </c>
      <c r="Q16" s="3" t="s">
        <v>18</v>
      </c>
      <c r="R16" s="3">
        <f>AVERAGE(INDEX(team4_results[Lap times '[sec']], 1):team4_results[[#This Row], [Lap times '[sec']]])</f>
        <v>0</v>
      </c>
      <c r="S16" s="3">
        <f>SUM(INDEX(team4_results[Lap times '[sec']], 1):team4_results[[#This Row], [Lap times '[sec']]])</f>
        <v>0</v>
      </c>
      <c r="U16" s="3">
        <v>54.561</v>
      </c>
      <c r="V16" s="3" t="s">
        <v>20</v>
      </c>
      <c r="W16" s="3">
        <f>AVERAGE(INDEX(team5_results[Lap times '[sec']], 1):team5_results[[#This Row], [Lap times '[sec']]])</f>
        <v>0</v>
      </c>
      <c r="X16" s="3">
        <f>SUM(INDEX(team5_results[Lap times '[sec']], 1):team5_results[[#This Row], [Lap times '[sec']]])</f>
        <v>0</v>
      </c>
      <c r="Z16" s="3">
        <v>55.143</v>
      </c>
      <c r="AA16" s="3" t="s">
        <v>21</v>
      </c>
      <c r="AB16" s="3">
        <f>AVERAGE(INDEX(team6_results[Lap times '[sec']], 1):team6_results[[#This Row], [Lap times '[sec']]])</f>
        <v>0</v>
      </c>
      <c r="AC16" s="3">
        <f>SUM(INDEX(team6_results[Lap times '[sec']], 1):team6_results[[#This Row], [Lap times '[sec']]])</f>
        <v>0</v>
      </c>
      <c r="AE16" s="3">
        <v>54.58</v>
      </c>
      <c r="AF16" s="3" t="s">
        <v>22</v>
      </c>
      <c r="AG16" s="3">
        <f>AVERAGE(INDEX(team7_results[Lap times '[sec']], 1):team7_results[[#This Row], [Lap times '[sec']]])</f>
        <v>0</v>
      </c>
      <c r="AH16" s="3">
        <f>SUM(INDEX(team7_results[Lap times '[sec']], 1):team7_results[[#This Row], [Lap times '[sec']]])</f>
        <v>0</v>
      </c>
      <c r="AJ16" s="3">
        <v>57.37</v>
      </c>
      <c r="AK16" s="3" t="s">
        <v>23</v>
      </c>
      <c r="AL16" s="3">
        <f>AVERAGE(INDEX(team8_results[Lap times '[sec']], 1):team8_results[[#This Row], [Lap times '[sec']]])</f>
        <v>0</v>
      </c>
      <c r="AM16" s="3">
        <f>SUM(INDEX(team8_results[Lap times '[sec']], 1):team8_results[[#This Row], [Lap times '[sec']]])</f>
        <v>0</v>
      </c>
      <c r="AO16" s="3">
        <v>55.701</v>
      </c>
      <c r="AP16" s="3" t="s">
        <v>25</v>
      </c>
      <c r="AQ16" s="3">
        <f>AVERAGE(INDEX(team9_results[Lap times '[sec']], 1):team9_results[[#This Row], [Lap times '[sec']]])</f>
        <v>0</v>
      </c>
      <c r="AR16" s="3">
        <f>SUM(INDEX(team9_results[Lap times '[sec']], 1):team9_results[[#This Row], [Lap times '[sec']]])</f>
        <v>0</v>
      </c>
    </row>
    <row r="17" spans="1:44">
      <c r="A17" s="3">
        <v>52.318</v>
      </c>
      <c r="B17" s="3" t="s">
        <v>12</v>
      </c>
      <c r="C17" s="3">
        <f>AVERAGE(INDEX(team1_results[Lap times '[sec']], 1):team1_results[[#This Row], [Lap times '[sec']]])</f>
        <v>0</v>
      </c>
      <c r="D17" s="3">
        <f>SUM(INDEX(team1_results[Lap times '[sec']], 1):team1_results[[#This Row], [Lap times '[sec']]])</f>
        <v>0</v>
      </c>
      <c r="F17" s="3">
        <v>53.67</v>
      </c>
      <c r="G17" s="3" t="s">
        <v>14</v>
      </c>
      <c r="H17" s="3">
        <f>AVERAGE(INDEX(team2_results[Lap times '[sec']], 1):team2_results[[#This Row], [Lap times '[sec']]])</f>
        <v>0</v>
      </c>
      <c r="I17" s="3">
        <f>SUM(INDEX(team2_results[Lap times '[sec']], 1):team2_results[[#This Row], [Lap times '[sec']]])</f>
        <v>0</v>
      </c>
      <c r="K17" s="3">
        <v>53.654</v>
      </c>
      <c r="L17" s="3" t="s">
        <v>16</v>
      </c>
      <c r="M17" s="3">
        <f>AVERAGE(INDEX(team3_results[Lap times '[sec']], 1):team3_results[[#This Row], [Lap times '[sec']]])</f>
        <v>0</v>
      </c>
      <c r="N17" s="3">
        <f>SUM(INDEX(team3_results[Lap times '[sec']], 1):team3_results[[#This Row], [Lap times '[sec']]])</f>
        <v>0</v>
      </c>
      <c r="P17" s="3">
        <v>54.403</v>
      </c>
      <c r="Q17" s="3" t="s">
        <v>18</v>
      </c>
      <c r="R17" s="3">
        <f>AVERAGE(INDEX(team4_results[Lap times '[sec']], 1):team4_results[[#This Row], [Lap times '[sec']]])</f>
        <v>0</v>
      </c>
      <c r="S17" s="3">
        <f>SUM(INDEX(team4_results[Lap times '[sec']], 1):team4_results[[#This Row], [Lap times '[sec']]])</f>
        <v>0</v>
      </c>
      <c r="U17" s="3">
        <v>55.686</v>
      </c>
      <c r="V17" s="3" t="s">
        <v>20</v>
      </c>
      <c r="W17" s="3">
        <f>AVERAGE(INDEX(team5_results[Lap times '[sec']], 1):team5_results[[#This Row], [Lap times '[sec']]])</f>
        <v>0</v>
      </c>
      <c r="X17" s="3">
        <f>SUM(INDEX(team5_results[Lap times '[sec']], 1):team5_results[[#This Row], [Lap times '[sec']]])</f>
        <v>0</v>
      </c>
      <c r="Z17" s="3">
        <v>55.151</v>
      </c>
      <c r="AA17" s="3" t="s">
        <v>21</v>
      </c>
      <c r="AB17" s="3">
        <f>AVERAGE(INDEX(team6_results[Lap times '[sec']], 1):team6_results[[#This Row], [Lap times '[sec']]])</f>
        <v>0</v>
      </c>
      <c r="AC17" s="3">
        <f>SUM(INDEX(team6_results[Lap times '[sec']], 1):team6_results[[#This Row], [Lap times '[sec']]])</f>
        <v>0</v>
      </c>
      <c r="AE17" s="3">
        <v>55.045</v>
      </c>
      <c r="AF17" s="3" t="s">
        <v>22</v>
      </c>
      <c r="AG17" s="3">
        <f>AVERAGE(INDEX(team7_results[Lap times '[sec']], 1):team7_results[[#This Row], [Lap times '[sec']]])</f>
        <v>0</v>
      </c>
      <c r="AH17" s="3">
        <f>SUM(INDEX(team7_results[Lap times '[sec']], 1):team7_results[[#This Row], [Lap times '[sec']]])</f>
        <v>0</v>
      </c>
      <c r="AJ17" s="3">
        <v>55.746</v>
      </c>
      <c r="AK17" s="3" t="s">
        <v>23</v>
      </c>
      <c r="AL17" s="3">
        <f>AVERAGE(INDEX(team8_results[Lap times '[sec']], 1):team8_results[[#This Row], [Lap times '[sec']]])</f>
        <v>0</v>
      </c>
      <c r="AM17" s="3">
        <f>SUM(INDEX(team8_results[Lap times '[sec']], 1):team8_results[[#This Row], [Lap times '[sec']]])</f>
        <v>0</v>
      </c>
      <c r="AO17" s="3">
        <v>56.333</v>
      </c>
      <c r="AP17" s="3" t="s">
        <v>25</v>
      </c>
      <c r="AQ17" s="3">
        <f>AVERAGE(INDEX(team9_results[Lap times '[sec']], 1):team9_results[[#This Row], [Lap times '[sec']]])</f>
        <v>0</v>
      </c>
      <c r="AR17" s="3">
        <f>SUM(INDEX(team9_results[Lap times '[sec']], 1):team9_results[[#This Row], [Lap times '[sec']]])</f>
        <v>0</v>
      </c>
    </row>
    <row r="18" spans="1:44">
      <c r="A18" s="3">
        <v>52.651</v>
      </c>
      <c r="B18" s="3" t="s">
        <v>12</v>
      </c>
      <c r="C18" s="3">
        <f>AVERAGE(INDEX(team1_results[Lap times '[sec']], 1):team1_results[[#This Row], [Lap times '[sec']]])</f>
        <v>0</v>
      </c>
      <c r="D18" s="3">
        <f>SUM(INDEX(team1_results[Lap times '[sec']], 1):team1_results[[#This Row], [Lap times '[sec']]])</f>
        <v>0</v>
      </c>
      <c r="F18" s="3">
        <v>53.131</v>
      </c>
      <c r="G18" s="3" t="s">
        <v>14</v>
      </c>
      <c r="H18" s="3">
        <f>AVERAGE(INDEX(team2_results[Lap times '[sec']], 1):team2_results[[#This Row], [Lap times '[sec']]])</f>
        <v>0</v>
      </c>
      <c r="I18" s="3">
        <f>SUM(INDEX(team2_results[Lap times '[sec']], 1):team2_results[[#This Row], [Lap times '[sec']]])</f>
        <v>0</v>
      </c>
      <c r="K18" s="3">
        <v>53.903</v>
      </c>
      <c r="L18" s="3" t="s">
        <v>16</v>
      </c>
      <c r="M18" s="3">
        <f>AVERAGE(INDEX(team3_results[Lap times '[sec']], 1):team3_results[[#This Row], [Lap times '[sec']]])</f>
        <v>0</v>
      </c>
      <c r="N18" s="3">
        <f>SUM(INDEX(team3_results[Lap times '[sec']], 1):team3_results[[#This Row], [Lap times '[sec']]])</f>
        <v>0</v>
      </c>
      <c r="P18" s="3">
        <v>53.794</v>
      </c>
      <c r="Q18" s="3" t="s">
        <v>18</v>
      </c>
      <c r="R18" s="3">
        <f>AVERAGE(INDEX(team4_results[Lap times '[sec']], 1):team4_results[[#This Row], [Lap times '[sec']]])</f>
        <v>0</v>
      </c>
      <c r="S18" s="3">
        <f>SUM(INDEX(team4_results[Lap times '[sec']], 1):team4_results[[#This Row], [Lap times '[sec']]])</f>
        <v>0</v>
      </c>
      <c r="U18" s="3">
        <v>53.931</v>
      </c>
      <c r="V18" s="3" t="s">
        <v>20</v>
      </c>
      <c r="W18" s="3">
        <f>AVERAGE(INDEX(team5_results[Lap times '[sec']], 1):team5_results[[#This Row], [Lap times '[sec']]])</f>
        <v>0</v>
      </c>
      <c r="X18" s="3">
        <f>SUM(INDEX(team5_results[Lap times '[sec']], 1):team5_results[[#This Row], [Lap times '[sec']]])</f>
        <v>0</v>
      </c>
      <c r="Z18" s="3">
        <v>54.798</v>
      </c>
      <c r="AA18" s="3" t="s">
        <v>21</v>
      </c>
      <c r="AB18" s="3">
        <f>AVERAGE(INDEX(team6_results[Lap times '[sec']], 1):team6_results[[#This Row], [Lap times '[sec']]])</f>
        <v>0</v>
      </c>
      <c r="AC18" s="3">
        <f>SUM(INDEX(team6_results[Lap times '[sec']], 1):team6_results[[#This Row], [Lap times '[sec']]])</f>
        <v>0</v>
      </c>
      <c r="AE18" s="3">
        <v>53.805</v>
      </c>
      <c r="AF18" s="3" t="s">
        <v>22</v>
      </c>
      <c r="AG18" s="3">
        <f>AVERAGE(INDEX(team7_results[Lap times '[sec']], 1):team7_results[[#This Row], [Lap times '[sec']]])</f>
        <v>0</v>
      </c>
      <c r="AH18" s="3">
        <f>SUM(INDEX(team7_results[Lap times '[sec']], 1):team7_results[[#This Row], [Lap times '[sec']]])</f>
        <v>0</v>
      </c>
      <c r="AJ18" s="3">
        <v>54.985</v>
      </c>
      <c r="AK18" s="3" t="s">
        <v>23</v>
      </c>
      <c r="AL18" s="3">
        <f>AVERAGE(INDEX(team8_results[Lap times '[sec']], 1):team8_results[[#This Row], [Lap times '[sec']]])</f>
        <v>0</v>
      </c>
      <c r="AM18" s="3">
        <f>SUM(INDEX(team8_results[Lap times '[sec']], 1):team8_results[[#This Row], [Lap times '[sec']]])</f>
        <v>0</v>
      </c>
      <c r="AO18" s="3">
        <v>56.416</v>
      </c>
      <c r="AP18" s="3" t="s">
        <v>25</v>
      </c>
      <c r="AQ18" s="3">
        <f>AVERAGE(INDEX(team9_results[Lap times '[sec']], 1):team9_results[[#This Row], [Lap times '[sec']]])</f>
        <v>0</v>
      </c>
      <c r="AR18" s="3">
        <f>SUM(INDEX(team9_results[Lap times '[sec']], 1):team9_results[[#This Row], [Lap times '[sec']]])</f>
        <v>0</v>
      </c>
    </row>
    <row r="19" spans="1:44">
      <c r="A19" s="3">
        <v>52.453</v>
      </c>
      <c r="B19" s="3" t="s">
        <v>12</v>
      </c>
      <c r="C19" s="3">
        <f>AVERAGE(INDEX(team1_results[Lap times '[sec']], 1):team1_results[[#This Row], [Lap times '[sec']]])</f>
        <v>0</v>
      </c>
      <c r="D19" s="3">
        <f>SUM(INDEX(team1_results[Lap times '[sec']], 1):team1_results[[#This Row], [Lap times '[sec']]])</f>
        <v>0</v>
      </c>
      <c r="F19" s="3">
        <v>52.838</v>
      </c>
      <c r="G19" s="3" t="s">
        <v>14</v>
      </c>
      <c r="H19" s="3">
        <f>AVERAGE(INDEX(team2_results[Lap times '[sec']], 1):team2_results[[#This Row], [Lap times '[sec']]])</f>
        <v>0</v>
      </c>
      <c r="I19" s="3">
        <f>SUM(INDEX(team2_results[Lap times '[sec']], 1):team2_results[[#This Row], [Lap times '[sec']]])</f>
        <v>0</v>
      </c>
      <c r="K19" s="3">
        <v>52.922</v>
      </c>
      <c r="L19" s="3" t="s">
        <v>16</v>
      </c>
      <c r="M19" s="3">
        <f>AVERAGE(INDEX(team3_results[Lap times '[sec']], 1):team3_results[[#This Row], [Lap times '[sec']]])</f>
        <v>0</v>
      </c>
      <c r="N19" s="3">
        <f>SUM(INDEX(team3_results[Lap times '[sec']], 1):team3_results[[#This Row], [Lap times '[sec']]])</f>
        <v>0</v>
      </c>
      <c r="P19" s="3">
        <v>53.728</v>
      </c>
      <c r="Q19" s="3" t="s">
        <v>18</v>
      </c>
      <c r="R19" s="3">
        <f>AVERAGE(INDEX(team4_results[Lap times '[sec']], 1):team4_results[[#This Row], [Lap times '[sec']]])</f>
        <v>0</v>
      </c>
      <c r="S19" s="3">
        <f>SUM(INDEX(team4_results[Lap times '[sec']], 1):team4_results[[#This Row], [Lap times '[sec']]])</f>
        <v>0</v>
      </c>
      <c r="U19" s="3">
        <v>53.858</v>
      </c>
      <c r="V19" s="3" t="s">
        <v>20</v>
      </c>
      <c r="W19" s="3">
        <f>AVERAGE(INDEX(team5_results[Lap times '[sec']], 1):team5_results[[#This Row], [Lap times '[sec']]])</f>
        <v>0</v>
      </c>
      <c r="X19" s="3">
        <f>SUM(INDEX(team5_results[Lap times '[sec']], 1):team5_results[[#This Row], [Lap times '[sec']]])</f>
        <v>0</v>
      </c>
      <c r="Z19" s="3">
        <v>55.281</v>
      </c>
      <c r="AA19" s="3" t="s">
        <v>21</v>
      </c>
      <c r="AB19" s="3">
        <f>AVERAGE(INDEX(team6_results[Lap times '[sec']], 1):team6_results[[#This Row], [Lap times '[sec']]])</f>
        <v>0</v>
      </c>
      <c r="AC19" s="3">
        <f>SUM(INDEX(team6_results[Lap times '[sec']], 1):team6_results[[#This Row], [Lap times '[sec']]])</f>
        <v>0</v>
      </c>
      <c r="AE19" s="3">
        <v>53.961</v>
      </c>
      <c r="AF19" s="3" t="s">
        <v>22</v>
      </c>
      <c r="AG19" s="3">
        <f>AVERAGE(INDEX(team7_results[Lap times '[sec']], 1):team7_results[[#This Row], [Lap times '[sec']]])</f>
        <v>0</v>
      </c>
      <c r="AH19" s="3">
        <f>SUM(INDEX(team7_results[Lap times '[sec']], 1):team7_results[[#This Row], [Lap times '[sec']]])</f>
        <v>0</v>
      </c>
      <c r="AJ19" s="3">
        <v>55.128</v>
      </c>
      <c r="AK19" s="3" t="s">
        <v>23</v>
      </c>
      <c r="AL19" s="3">
        <f>AVERAGE(INDEX(team8_results[Lap times '[sec']], 1):team8_results[[#This Row], [Lap times '[sec']]])</f>
        <v>0</v>
      </c>
      <c r="AM19" s="3">
        <f>SUM(INDEX(team8_results[Lap times '[sec']], 1):team8_results[[#This Row], [Lap times '[sec']]])</f>
        <v>0</v>
      </c>
      <c r="AO19" s="3">
        <v>56.922</v>
      </c>
      <c r="AP19" s="3" t="s">
        <v>25</v>
      </c>
      <c r="AQ19" s="3">
        <f>AVERAGE(INDEX(team9_results[Lap times '[sec']], 1):team9_results[[#This Row], [Lap times '[sec']]])</f>
        <v>0</v>
      </c>
      <c r="AR19" s="3">
        <f>SUM(INDEX(team9_results[Lap times '[sec']], 1):team9_results[[#This Row], [Lap times '[sec']]])</f>
        <v>0</v>
      </c>
    </row>
    <row r="20" spans="1:44">
      <c r="A20" s="3">
        <v>52.62</v>
      </c>
      <c r="B20" s="3" t="s">
        <v>12</v>
      </c>
      <c r="C20" s="3">
        <f>AVERAGE(INDEX(team1_results[Lap times '[sec']], 1):team1_results[[#This Row], [Lap times '[sec']]])</f>
        <v>0</v>
      </c>
      <c r="D20" s="3">
        <f>SUM(INDEX(team1_results[Lap times '[sec']], 1):team1_results[[#This Row], [Lap times '[sec']]])</f>
        <v>0</v>
      </c>
      <c r="F20" s="3">
        <v>52.681</v>
      </c>
      <c r="G20" s="3" t="s">
        <v>14</v>
      </c>
      <c r="H20" s="3">
        <f>AVERAGE(INDEX(team2_results[Lap times '[sec']], 1):team2_results[[#This Row], [Lap times '[sec']]])</f>
        <v>0</v>
      </c>
      <c r="I20" s="3">
        <f>SUM(INDEX(team2_results[Lap times '[sec']], 1):team2_results[[#This Row], [Lap times '[sec']]])</f>
        <v>0</v>
      </c>
      <c r="K20" s="3">
        <v>53.348</v>
      </c>
      <c r="L20" s="3" t="s">
        <v>16</v>
      </c>
      <c r="M20" s="3">
        <f>AVERAGE(INDEX(team3_results[Lap times '[sec']], 1):team3_results[[#This Row], [Lap times '[sec']]])</f>
        <v>0</v>
      </c>
      <c r="N20" s="3">
        <f>SUM(INDEX(team3_results[Lap times '[sec']], 1):team3_results[[#This Row], [Lap times '[sec']]])</f>
        <v>0</v>
      </c>
      <c r="P20" s="3">
        <v>54.221</v>
      </c>
      <c r="Q20" s="3" t="s">
        <v>18</v>
      </c>
      <c r="R20" s="3">
        <f>AVERAGE(INDEX(team4_results[Lap times '[sec']], 1):team4_results[[#This Row], [Lap times '[sec']]])</f>
        <v>0</v>
      </c>
      <c r="S20" s="3">
        <f>SUM(INDEX(team4_results[Lap times '[sec']], 1):team4_results[[#This Row], [Lap times '[sec']]])</f>
        <v>0</v>
      </c>
      <c r="U20" s="3">
        <v>54.055</v>
      </c>
      <c r="V20" s="3" t="s">
        <v>20</v>
      </c>
      <c r="W20" s="3">
        <f>AVERAGE(INDEX(team5_results[Lap times '[sec']], 1):team5_results[[#This Row], [Lap times '[sec']]])</f>
        <v>0</v>
      </c>
      <c r="X20" s="3">
        <f>SUM(INDEX(team5_results[Lap times '[sec']], 1):team5_results[[#This Row], [Lap times '[sec']]])</f>
        <v>0</v>
      </c>
      <c r="Z20" s="3">
        <v>55.668</v>
      </c>
      <c r="AA20" s="3" t="s">
        <v>21</v>
      </c>
      <c r="AB20" s="3">
        <f>AVERAGE(INDEX(team6_results[Lap times '[sec']], 1):team6_results[[#This Row], [Lap times '[sec']]])</f>
        <v>0</v>
      </c>
      <c r="AC20" s="3">
        <f>SUM(INDEX(team6_results[Lap times '[sec']], 1):team6_results[[#This Row], [Lap times '[sec']]])</f>
        <v>0</v>
      </c>
      <c r="AE20" s="3">
        <v>53.939</v>
      </c>
      <c r="AF20" s="3" t="s">
        <v>22</v>
      </c>
      <c r="AG20" s="3">
        <f>AVERAGE(INDEX(team7_results[Lap times '[sec']], 1):team7_results[[#This Row], [Lap times '[sec']]])</f>
        <v>0</v>
      </c>
      <c r="AH20" s="3">
        <f>SUM(INDEX(team7_results[Lap times '[sec']], 1):team7_results[[#This Row], [Lap times '[sec']]])</f>
        <v>0</v>
      </c>
      <c r="AJ20" s="3">
        <v>56.65</v>
      </c>
      <c r="AK20" s="3" t="s">
        <v>23</v>
      </c>
      <c r="AL20" s="3">
        <f>AVERAGE(INDEX(team8_results[Lap times '[sec']], 1):team8_results[[#This Row], [Lap times '[sec']]])</f>
        <v>0</v>
      </c>
      <c r="AM20" s="3">
        <f>SUM(INDEX(team8_results[Lap times '[sec']], 1):team8_results[[#This Row], [Lap times '[sec']]])</f>
        <v>0</v>
      </c>
      <c r="AO20" s="3">
        <v>56.054</v>
      </c>
      <c r="AP20" s="3" t="s">
        <v>25</v>
      </c>
      <c r="AQ20" s="3">
        <f>AVERAGE(INDEX(team9_results[Lap times '[sec']], 1):team9_results[[#This Row], [Lap times '[sec']]])</f>
        <v>0</v>
      </c>
      <c r="AR20" s="3">
        <f>SUM(INDEX(team9_results[Lap times '[sec']], 1):team9_results[[#This Row], [Lap times '[sec']]])</f>
        <v>0</v>
      </c>
    </row>
    <row r="21" spans="1:44">
      <c r="A21" s="3">
        <v>52.518</v>
      </c>
      <c r="B21" s="3" t="s">
        <v>12</v>
      </c>
      <c r="C21" s="3">
        <f>AVERAGE(INDEX(team1_results[Lap times '[sec']], 1):team1_results[[#This Row], [Lap times '[sec']]])</f>
        <v>0</v>
      </c>
      <c r="D21" s="3">
        <f>SUM(INDEX(team1_results[Lap times '[sec']], 1):team1_results[[#This Row], [Lap times '[sec']]])</f>
        <v>0</v>
      </c>
      <c r="F21" s="3">
        <v>53.403</v>
      </c>
      <c r="G21" s="3" t="s">
        <v>14</v>
      </c>
      <c r="H21" s="3">
        <f>AVERAGE(INDEX(team2_results[Lap times '[sec']], 1):team2_results[[#This Row], [Lap times '[sec']]])</f>
        <v>0</v>
      </c>
      <c r="I21" s="3">
        <f>SUM(INDEX(team2_results[Lap times '[sec']], 1):team2_results[[#This Row], [Lap times '[sec']]])</f>
        <v>0</v>
      </c>
      <c r="K21" s="3">
        <v>54.503</v>
      </c>
      <c r="L21" s="3" t="s">
        <v>16</v>
      </c>
      <c r="M21" s="3">
        <f>AVERAGE(INDEX(team3_results[Lap times '[sec']], 1):team3_results[[#This Row], [Lap times '[sec']]])</f>
        <v>0</v>
      </c>
      <c r="N21" s="3">
        <f>SUM(INDEX(team3_results[Lap times '[sec']], 1):team3_results[[#This Row], [Lap times '[sec']]])</f>
        <v>0</v>
      </c>
      <c r="P21" s="3">
        <v>53.703</v>
      </c>
      <c r="Q21" s="3" t="s">
        <v>18</v>
      </c>
      <c r="R21" s="3">
        <f>AVERAGE(INDEX(team4_results[Lap times '[sec']], 1):team4_results[[#This Row], [Lap times '[sec']]])</f>
        <v>0</v>
      </c>
      <c r="S21" s="3">
        <f>SUM(INDEX(team4_results[Lap times '[sec']], 1):team4_results[[#This Row], [Lap times '[sec']]])</f>
        <v>0</v>
      </c>
      <c r="U21" s="3">
        <v>54.238</v>
      </c>
      <c r="V21" s="3" t="s">
        <v>20</v>
      </c>
      <c r="W21" s="3">
        <f>AVERAGE(INDEX(team5_results[Lap times '[sec']], 1):team5_results[[#This Row], [Lap times '[sec']]])</f>
        <v>0</v>
      </c>
      <c r="X21" s="3">
        <f>SUM(INDEX(team5_results[Lap times '[sec']], 1):team5_results[[#This Row], [Lap times '[sec']]])</f>
        <v>0</v>
      </c>
      <c r="Z21" s="3">
        <v>55.464</v>
      </c>
      <c r="AA21" s="3" t="s">
        <v>21</v>
      </c>
      <c r="AB21" s="3">
        <f>AVERAGE(INDEX(team6_results[Lap times '[sec']], 1):team6_results[[#This Row], [Lap times '[sec']]])</f>
        <v>0</v>
      </c>
      <c r="AC21" s="3">
        <f>SUM(INDEX(team6_results[Lap times '[sec']], 1):team6_results[[#This Row], [Lap times '[sec']]])</f>
        <v>0</v>
      </c>
      <c r="AE21" s="3">
        <v>54.352</v>
      </c>
      <c r="AF21" s="3" t="s">
        <v>22</v>
      </c>
      <c r="AG21" s="3">
        <f>AVERAGE(INDEX(team7_results[Lap times '[sec']], 1):team7_results[[#This Row], [Lap times '[sec']]])</f>
        <v>0</v>
      </c>
      <c r="AH21" s="3">
        <f>SUM(INDEX(team7_results[Lap times '[sec']], 1):team7_results[[#This Row], [Lap times '[sec']]])</f>
        <v>0</v>
      </c>
      <c r="AJ21" s="3">
        <v>57.144</v>
      </c>
      <c r="AK21" s="3" t="s">
        <v>23</v>
      </c>
      <c r="AL21" s="3">
        <f>AVERAGE(INDEX(team8_results[Lap times '[sec']], 1):team8_results[[#This Row], [Lap times '[sec']]])</f>
        <v>0</v>
      </c>
      <c r="AM21" s="3">
        <f>SUM(INDEX(team8_results[Lap times '[sec']], 1):team8_results[[#This Row], [Lap times '[sec']]])</f>
        <v>0</v>
      </c>
      <c r="AO21" s="3">
        <v>57.196</v>
      </c>
      <c r="AP21" s="3" t="s">
        <v>25</v>
      </c>
      <c r="AQ21" s="3">
        <f>AVERAGE(INDEX(team9_results[Lap times '[sec']], 1):team9_results[[#This Row], [Lap times '[sec']]])</f>
        <v>0</v>
      </c>
      <c r="AR21" s="3">
        <f>SUM(INDEX(team9_results[Lap times '[sec']], 1):team9_results[[#This Row], [Lap times '[sec']]])</f>
        <v>0</v>
      </c>
    </row>
    <row r="22" spans="1:44">
      <c r="A22" s="3">
        <v>52.304</v>
      </c>
      <c r="B22" s="3" t="s">
        <v>12</v>
      </c>
      <c r="C22" s="3">
        <f>AVERAGE(INDEX(team1_results[Lap times '[sec']], 1):team1_results[[#This Row], [Lap times '[sec']]])</f>
        <v>0</v>
      </c>
      <c r="D22" s="3">
        <f>SUM(INDEX(team1_results[Lap times '[sec']], 1):team1_results[[#This Row], [Lap times '[sec']]])</f>
        <v>0</v>
      </c>
      <c r="F22" s="3">
        <v>52.876</v>
      </c>
      <c r="G22" s="3" t="s">
        <v>14</v>
      </c>
      <c r="H22" s="3">
        <f>AVERAGE(INDEX(team2_results[Lap times '[sec']], 1):team2_results[[#This Row], [Lap times '[sec']]])</f>
        <v>0</v>
      </c>
      <c r="I22" s="3">
        <f>SUM(INDEX(team2_results[Lap times '[sec']], 1):team2_results[[#This Row], [Lap times '[sec']]])</f>
        <v>0</v>
      </c>
      <c r="K22" s="3">
        <v>55.386</v>
      </c>
      <c r="L22" s="3" t="s">
        <v>16</v>
      </c>
      <c r="M22" s="3">
        <f>AVERAGE(INDEX(team3_results[Lap times '[sec']], 1):team3_results[[#This Row], [Lap times '[sec']]])</f>
        <v>0</v>
      </c>
      <c r="N22" s="3">
        <f>SUM(INDEX(team3_results[Lap times '[sec']], 1):team3_results[[#This Row], [Lap times '[sec']]])</f>
        <v>0</v>
      </c>
      <c r="P22" s="3">
        <v>53.893</v>
      </c>
      <c r="Q22" s="3" t="s">
        <v>18</v>
      </c>
      <c r="R22" s="3">
        <f>AVERAGE(INDEX(team4_results[Lap times '[sec']], 1):team4_results[[#This Row], [Lap times '[sec']]])</f>
        <v>0</v>
      </c>
      <c r="S22" s="3">
        <f>SUM(INDEX(team4_results[Lap times '[sec']], 1):team4_results[[#This Row], [Lap times '[sec']]])</f>
        <v>0</v>
      </c>
      <c r="U22" s="3">
        <v>55.182</v>
      </c>
      <c r="V22" s="3" t="s">
        <v>20</v>
      </c>
      <c r="W22" s="3">
        <f>AVERAGE(INDEX(team5_results[Lap times '[sec']], 1):team5_results[[#This Row], [Lap times '[sec']]])</f>
        <v>0</v>
      </c>
      <c r="X22" s="3">
        <f>SUM(INDEX(team5_results[Lap times '[sec']], 1):team5_results[[#This Row], [Lap times '[sec']]])</f>
        <v>0</v>
      </c>
      <c r="Z22" s="3">
        <v>56.521</v>
      </c>
      <c r="AA22" s="3" t="s">
        <v>21</v>
      </c>
      <c r="AB22" s="3">
        <f>AVERAGE(INDEX(team6_results[Lap times '[sec']], 1):team6_results[[#This Row], [Lap times '[sec']]])</f>
        <v>0</v>
      </c>
      <c r="AC22" s="3">
        <f>SUM(INDEX(team6_results[Lap times '[sec']], 1):team6_results[[#This Row], [Lap times '[sec']]])</f>
        <v>0</v>
      </c>
      <c r="AE22" s="3">
        <v>53.754</v>
      </c>
      <c r="AF22" s="3" t="s">
        <v>22</v>
      </c>
      <c r="AG22" s="3">
        <f>AVERAGE(INDEX(team7_results[Lap times '[sec']], 1):team7_results[[#This Row], [Lap times '[sec']]])</f>
        <v>0</v>
      </c>
      <c r="AH22" s="3">
        <f>SUM(INDEX(team7_results[Lap times '[sec']], 1):team7_results[[#This Row], [Lap times '[sec']]])</f>
        <v>0</v>
      </c>
      <c r="AJ22" s="3">
        <v>55.101</v>
      </c>
      <c r="AK22" s="3" t="s">
        <v>23</v>
      </c>
      <c r="AL22" s="3">
        <f>AVERAGE(INDEX(team8_results[Lap times '[sec']], 1):team8_results[[#This Row], [Lap times '[sec']]])</f>
        <v>0</v>
      </c>
      <c r="AM22" s="3">
        <f>SUM(INDEX(team8_results[Lap times '[sec']], 1):team8_results[[#This Row], [Lap times '[sec']]])</f>
        <v>0</v>
      </c>
      <c r="AO22" s="3">
        <v>55.422</v>
      </c>
      <c r="AP22" s="3" t="s">
        <v>25</v>
      </c>
      <c r="AQ22" s="3">
        <f>AVERAGE(INDEX(team9_results[Lap times '[sec']], 1):team9_results[[#This Row], [Lap times '[sec']]])</f>
        <v>0</v>
      </c>
      <c r="AR22" s="3">
        <f>SUM(INDEX(team9_results[Lap times '[sec']], 1):team9_results[[#This Row], [Lap times '[sec']]])</f>
        <v>0</v>
      </c>
    </row>
    <row r="23" spans="1:44">
      <c r="A23" s="3">
        <v>52.274</v>
      </c>
      <c r="B23" s="3" t="s">
        <v>12</v>
      </c>
      <c r="C23" s="3">
        <f>AVERAGE(INDEX(team1_results[Lap times '[sec']], 1):team1_results[[#This Row], [Lap times '[sec']]])</f>
        <v>0</v>
      </c>
      <c r="D23" s="3">
        <f>SUM(INDEX(team1_results[Lap times '[sec']], 1):team1_results[[#This Row], [Lap times '[sec']]])</f>
        <v>0</v>
      </c>
      <c r="F23" s="3">
        <v>52.894</v>
      </c>
      <c r="G23" s="3" t="s">
        <v>14</v>
      </c>
      <c r="H23" s="3">
        <f>AVERAGE(INDEX(team2_results[Lap times '[sec']], 1):team2_results[[#This Row], [Lap times '[sec']]])</f>
        <v>0</v>
      </c>
      <c r="I23" s="3">
        <f>SUM(INDEX(team2_results[Lap times '[sec']], 1):team2_results[[#This Row], [Lap times '[sec']]])</f>
        <v>0</v>
      </c>
      <c r="K23" s="3">
        <v>52.981</v>
      </c>
      <c r="L23" s="3" t="s">
        <v>16</v>
      </c>
      <c r="M23" s="3">
        <f>AVERAGE(INDEX(team3_results[Lap times '[sec']], 1):team3_results[[#This Row], [Lap times '[sec']]])</f>
        <v>0</v>
      </c>
      <c r="N23" s="3">
        <f>SUM(INDEX(team3_results[Lap times '[sec']], 1):team3_results[[#This Row], [Lap times '[sec']]])</f>
        <v>0</v>
      </c>
      <c r="P23" s="3">
        <v>54.309</v>
      </c>
      <c r="Q23" s="3" t="s">
        <v>18</v>
      </c>
      <c r="R23" s="3">
        <f>AVERAGE(INDEX(team4_results[Lap times '[sec']], 1):team4_results[[#This Row], [Lap times '[sec']]])</f>
        <v>0</v>
      </c>
      <c r="S23" s="3">
        <f>SUM(INDEX(team4_results[Lap times '[sec']], 1):team4_results[[#This Row], [Lap times '[sec']]])</f>
        <v>0</v>
      </c>
      <c r="U23" s="3">
        <v>54.729</v>
      </c>
      <c r="V23" s="3" t="s">
        <v>20</v>
      </c>
      <c r="W23" s="3">
        <f>AVERAGE(INDEX(team5_results[Lap times '[sec']], 1):team5_results[[#This Row], [Lap times '[sec']]])</f>
        <v>0</v>
      </c>
      <c r="X23" s="3">
        <f>SUM(INDEX(team5_results[Lap times '[sec']], 1):team5_results[[#This Row], [Lap times '[sec']]])</f>
        <v>0</v>
      </c>
      <c r="Z23" s="3">
        <v>55.413</v>
      </c>
      <c r="AA23" s="3" t="s">
        <v>21</v>
      </c>
      <c r="AB23" s="3">
        <f>AVERAGE(INDEX(team6_results[Lap times '[sec']], 1):team6_results[[#This Row], [Lap times '[sec']]])</f>
        <v>0</v>
      </c>
      <c r="AC23" s="3">
        <f>SUM(INDEX(team6_results[Lap times '[sec']], 1):team6_results[[#This Row], [Lap times '[sec']]])</f>
        <v>0</v>
      </c>
      <c r="AE23" s="3">
        <v>54.476</v>
      </c>
      <c r="AF23" s="3" t="s">
        <v>22</v>
      </c>
      <c r="AG23" s="3">
        <f>AVERAGE(INDEX(team7_results[Lap times '[sec']], 1):team7_results[[#This Row], [Lap times '[sec']]])</f>
        <v>0</v>
      </c>
      <c r="AH23" s="3">
        <f>SUM(INDEX(team7_results[Lap times '[sec']], 1):team7_results[[#This Row], [Lap times '[sec']]])</f>
        <v>0</v>
      </c>
      <c r="AJ23" s="3">
        <v>55.514</v>
      </c>
      <c r="AK23" s="3" t="s">
        <v>23</v>
      </c>
      <c r="AL23" s="3">
        <f>AVERAGE(INDEX(team8_results[Lap times '[sec']], 1):team8_results[[#This Row], [Lap times '[sec']]])</f>
        <v>0</v>
      </c>
      <c r="AM23" s="3">
        <f>SUM(INDEX(team8_results[Lap times '[sec']], 1):team8_results[[#This Row], [Lap times '[sec']]])</f>
        <v>0</v>
      </c>
      <c r="AO23" s="3">
        <v>55.525</v>
      </c>
      <c r="AP23" s="3" t="s">
        <v>25</v>
      </c>
      <c r="AQ23" s="3">
        <f>AVERAGE(INDEX(team9_results[Lap times '[sec']], 1):team9_results[[#This Row], [Lap times '[sec']]])</f>
        <v>0</v>
      </c>
      <c r="AR23" s="3">
        <f>SUM(INDEX(team9_results[Lap times '[sec']], 1):team9_results[[#This Row], [Lap times '[sec']]])</f>
        <v>0</v>
      </c>
    </row>
    <row r="24" spans="1:44">
      <c r="A24" s="3">
        <v>52.298</v>
      </c>
      <c r="B24" s="3" t="s">
        <v>12</v>
      </c>
      <c r="C24" s="3">
        <f>AVERAGE(INDEX(team1_results[Lap times '[sec']], 1):team1_results[[#This Row], [Lap times '[sec']]])</f>
        <v>0</v>
      </c>
      <c r="D24" s="3">
        <f>SUM(INDEX(team1_results[Lap times '[sec']], 1):team1_results[[#This Row], [Lap times '[sec']]])</f>
        <v>0</v>
      </c>
      <c r="F24" s="3">
        <v>52.814</v>
      </c>
      <c r="G24" s="3" t="s">
        <v>14</v>
      </c>
      <c r="H24" s="3">
        <f>AVERAGE(INDEX(team2_results[Lap times '[sec']], 1):team2_results[[#This Row], [Lap times '[sec']]])</f>
        <v>0</v>
      </c>
      <c r="I24" s="3">
        <f>SUM(INDEX(team2_results[Lap times '[sec']], 1):team2_results[[#This Row], [Lap times '[sec']]])</f>
        <v>0</v>
      </c>
      <c r="K24" s="3">
        <v>52.714</v>
      </c>
      <c r="L24" s="3" t="s">
        <v>16</v>
      </c>
      <c r="M24" s="3">
        <f>AVERAGE(INDEX(team3_results[Lap times '[sec']], 1):team3_results[[#This Row], [Lap times '[sec']]])</f>
        <v>0</v>
      </c>
      <c r="N24" s="3">
        <f>SUM(INDEX(team3_results[Lap times '[sec']], 1):team3_results[[#This Row], [Lap times '[sec']]])</f>
        <v>0</v>
      </c>
      <c r="P24" s="3">
        <v>53.943</v>
      </c>
      <c r="Q24" s="3" t="s">
        <v>18</v>
      </c>
      <c r="R24" s="3">
        <f>AVERAGE(INDEX(team4_results[Lap times '[sec']], 1):team4_results[[#This Row], [Lap times '[sec']]])</f>
        <v>0</v>
      </c>
      <c r="S24" s="3">
        <f>SUM(INDEX(team4_results[Lap times '[sec']], 1):team4_results[[#This Row], [Lap times '[sec']]])</f>
        <v>0</v>
      </c>
      <c r="U24" s="3">
        <v>54.49</v>
      </c>
      <c r="V24" s="3" t="s">
        <v>20</v>
      </c>
      <c r="W24" s="3">
        <f>AVERAGE(INDEX(team5_results[Lap times '[sec']], 1):team5_results[[#This Row], [Lap times '[sec']]])</f>
        <v>0</v>
      </c>
      <c r="X24" s="3">
        <f>SUM(INDEX(team5_results[Lap times '[sec']], 1):team5_results[[#This Row], [Lap times '[sec']]])</f>
        <v>0</v>
      </c>
      <c r="Z24" s="3">
        <v>55.294</v>
      </c>
      <c r="AA24" s="3" t="s">
        <v>21</v>
      </c>
      <c r="AB24" s="3">
        <f>AVERAGE(INDEX(team6_results[Lap times '[sec']], 1):team6_results[[#This Row], [Lap times '[sec']]])</f>
        <v>0</v>
      </c>
      <c r="AC24" s="3">
        <f>SUM(INDEX(team6_results[Lap times '[sec']], 1):team6_results[[#This Row], [Lap times '[sec']]])</f>
        <v>0</v>
      </c>
      <c r="AE24" s="3">
        <v>53.787</v>
      </c>
      <c r="AF24" s="3" t="s">
        <v>22</v>
      </c>
      <c r="AG24" s="3">
        <f>AVERAGE(INDEX(team7_results[Lap times '[sec']], 1):team7_results[[#This Row], [Lap times '[sec']]])</f>
        <v>0</v>
      </c>
      <c r="AH24" s="3">
        <f>SUM(INDEX(team7_results[Lap times '[sec']], 1):team7_results[[#This Row], [Lap times '[sec']]])</f>
        <v>0</v>
      </c>
      <c r="AJ24" s="3">
        <v>57.944</v>
      </c>
      <c r="AK24" s="3" t="s">
        <v>23</v>
      </c>
      <c r="AL24" s="3">
        <f>AVERAGE(INDEX(team8_results[Lap times '[sec']], 1):team8_results[[#This Row], [Lap times '[sec']]])</f>
        <v>0</v>
      </c>
      <c r="AM24" s="3">
        <f>SUM(INDEX(team8_results[Lap times '[sec']], 1):team8_results[[#This Row], [Lap times '[sec']]])</f>
        <v>0</v>
      </c>
      <c r="AO24" s="3">
        <v>56.265</v>
      </c>
      <c r="AP24" s="3" t="s">
        <v>25</v>
      </c>
      <c r="AQ24" s="3">
        <f>AVERAGE(INDEX(team9_results[Lap times '[sec']], 1):team9_results[[#This Row], [Lap times '[sec']]])</f>
        <v>0</v>
      </c>
      <c r="AR24" s="3">
        <f>SUM(INDEX(team9_results[Lap times '[sec']], 1):team9_results[[#This Row], [Lap times '[sec']]])</f>
        <v>0</v>
      </c>
    </row>
    <row r="25" spans="1:44">
      <c r="A25" s="3">
        <v>51.895</v>
      </c>
      <c r="B25" s="3" t="s">
        <v>12</v>
      </c>
      <c r="C25" s="3">
        <f>AVERAGE(INDEX(team1_results[Lap times '[sec']], 1):team1_results[[#This Row], [Lap times '[sec']]])</f>
        <v>0</v>
      </c>
      <c r="D25" s="3">
        <f>SUM(INDEX(team1_results[Lap times '[sec']], 1):team1_results[[#This Row], [Lap times '[sec']]])</f>
        <v>0</v>
      </c>
      <c r="F25" s="3">
        <v>52.84</v>
      </c>
      <c r="G25" s="3" t="s">
        <v>14</v>
      </c>
      <c r="H25" s="3">
        <f>AVERAGE(INDEX(team2_results[Lap times '[sec']], 1):team2_results[[#This Row], [Lap times '[sec']]])</f>
        <v>0</v>
      </c>
      <c r="I25" s="3">
        <f>SUM(INDEX(team2_results[Lap times '[sec']], 1):team2_results[[#This Row], [Lap times '[sec']]])</f>
        <v>0</v>
      </c>
      <c r="K25" s="3">
        <v>52.795</v>
      </c>
      <c r="L25" s="3" t="s">
        <v>16</v>
      </c>
      <c r="M25" s="3">
        <f>AVERAGE(INDEX(team3_results[Lap times '[sec']], 1):team3_results[[#This Row], [Lap times '[sec']]])</f>
        <v>0</v>
      </c>
      <c r="N25" s="3">
        <f>SUM(INDEX(team3_results[Lap times '[sec']], 1):team3_results[[#This Row], [Lap times '[sec']]])</f>
        <v>0</v>
      </c>
      <c r="P25" s="3">
        <v>54.451</v>
      </c>
      <c r="Q25" s="3" t="s">
        <v>18</v>
      </c>
      <c r="R25" s="3">
        <f>AVERAGE(INDEX(team4_results[Lap times '[sec']], 1):team4_results[[#This Row], [Lap times '[sec']]])</f>
        <v>0</v>
      </c>
      <c r="S25" s="3">
        <f>SUM(INDEX(team4_results[Lap times '[sec']], 1):team4_results[[#This Row], [Lap times '[sec']]])</f>
        <v>0</v>
      </c>
      <c r="U25" s="3">
        <v>55.745</v>
      </c>
      <c r="V25" s="3" t="s">
        <v>20</v>
      </c>
      <c r="W25" s="3">
        <f>AVERAGE(INDEX(team5_results[Lap times '[sec']], 1):team5_results[[#This Row], [Lap times '[sec']]])</f>
        <v>0</v>
      </c>
      <c r="X25" s="3">
        <f>SUM(INDEX(team5_results[Lap times '[sec']], 1):team5_results[[#This Row], [Lap times '[sec']]])</f>
        <v>0</v>
      </c>
      <c r="Z25" s="3">
        <v>55.729</v>
      </c>
      <c r="AA25" s="3" t="s">
        <v>21</v>
      </c>
      <c r="AB25" s="3">
        <f>AVERAGE(INDEX(team6_results[Lap times '[sec']], 1):team6_results[[#This Row], [Lap times '[sec']]])</f>
        <v>0</v>
      </c>
      <c r="AC25" s="3">
        <f>SUM(INDEX(team6_results[Lap times '[sec']], 1):team6_results[[#This Row], [Lap times '[sec']]])</f>
        <v>0</v>
      </c>
      <c r="AE25" s="3">
        <v>54.41</v>
      </c>
      <c r="AF25" s="3" t="s">
        <v>22</v>
      </c>
      <c r="AG25" s="3">
        <f>AVERAGE(INDEX(team7_results[Lap times '[sec']], 1):team7_results[[#This Row], [Lap times '[sec']]])</f>
        <v>0</v>
      </c>
      <c r="AH25" s="3">
        <f>SUM(INDEX(team7_results[Lap times '[sec']], 1):team7_results[[#This Row], [Lap times '[sec']]])</f>
        <v>0</v>
      </c>
      <c r="AJ25" s="3">
        <v>55.482</v>
      </c>
      <c r="AK25" s="3" t="s">
        <v>23</v>
      </c>
      <c r="AL25" s="3">
        <f>AVERAGE(INDEX(team8_results[Lap times '[sec']], 1):team8_results[[#This Row], [Lap times '[sec']]])</f>
        <v>0</v>
      </c>
      <c r="AM25" s="3">
        <f>SUM(INDEX(team8_results[Lap times '[sec']], 1):team8_results[[#This Row], [Lap times '[sec']]])</f>
        <v>0</v>
      </c>
      <c r="AO25" s="3">
        <v>55.58</v>
      </c>
      <c r="AP25" s="3" t="s">
        <v>25</v>
      </c>
      <c r="AQ25" s="3">
        <f>AVERAGE(INDEX(team9_results[Lap times '[sec']], 1):team9_results[[#This Row], [Lap times '[sec']]])</f>
        <v>0</v>
      </c>
      <c r="AR25" s="3">
        <f>SUM(INDEX(team9_results[Lap times '[sec']], 1):team9_results[[#This Row], [Lap times '[sec']]])</f>
        <v>0</v>
      </c>
    </row>
    <row r="26" spans="1:44">
      <c r="A26" s="3">
        <v>51.892</v>
      </c>
      <c r="B26" s="3" t="s">
        <v>12</v>
      </c>
      <c r="C26" s="3">
        <f>AVERAGE(INDEX(team1_results[Lap times '[sec']], 1):team1_results[[#This Row], [Lap times '[sec']]])</f>
        <v>0</v>
      </c>
      <c r="D26" s="3">
        <f>SUM(INDEX(team1_results[Lap times '[sec']], 1):team1_results[[#This Row], [Lap times '[sec']]])</f>
        <v>0</v>
      </c>
      <c r="F26" s="3">
        <v>52.8</v>
      </c>
      <c r="G26" s="3" t="s">
        <v>14</v>
      </c>
      <c r="H26" s="3">
        <f>AVERAGE(INDEX(team2_results[Lap times '[sec']], 1):team2_results[[#This Row], [Lap times '[sec']]])</f>
        <v>0</v>
      </c>
      <c r="I26" s="3">
        <f>SUM(INDEX(team2_results[Lap times '[sec']], 1):team2_results[[#This Row], [Lap times '[sec']]])</f>
        <v>0</v>
      </c>
      <c r="K26" s="3">
        <v>53.149</v>
      </c>
      <c r="L26" s="3" t="s">
        <v>16</v>
      </c>
      <c r="M26" s="3">
        <f>AVERAGE(INDEX(team3_results[Lap times '[sec']], 1):team3_results[[#This Row], [Lap times '[sec']]])</f>
        <v>0</v>
      </c>
      <c r="N26" s="3">
        <f>SUM(INDEX(team3_results[Lap times '[sec']], 1):team3_results[[#This Row], [Lap times '[sec']]])</f>
        <v>0</v>
      </c>
      <c r="P26" s="3">
        <v>53.495</v>
      </c>
      <c r="Q26" s="3" t="s">
        <v>18</v>
      </c>
      <c r="R26" s="3">
        <f>AVERAGE(INDEX(team4_results[Lap times '[sec']], 1):team4_results[[#This Row], [Lap times '[sec']]])</f>
        <v>0</v>
      </c>
      <c r="S26" s="3">
        <f>SUM(INDEX(team4_results[Lap times '[sec']], 1):team4_results[[#This Row], [Lap times '[sec']]])</f>
        <v>0</v>
      </c>
      <c r="U26" s="3">
        <v>54.18</v>
      </c>
      <c r="V26" s="3" t="s">
        <v>20</v>
      </c>
      <c r="W26" s="3">
        <f>AVERAGE(INDEX(team5_results[Lap times '[sec']], 1):team5_results[[#This Row], [Lap times '[sec']]])</f>
        <v>0</v>
      </c>
      <c r="X26" s="3">
        <f>SUM(INDEX(team5_results[Lap times '[sec']], 1):team5_results[[#This Row], [Lap times '[sec']]])</f>
        <v>0</v>
      </c>
      <c r="Z26" s="3">
        <v>55.575</v>
      </c>
      <c r="AA26" s="3" t="s">
        <v>21</v>
      </c>
      <c r="AB26" s="3">
        <f>AVERAGE(INDEX(team6_results[Lap times '[sec']], 1):team6_results[[#This Row], [Lap times '[sec']]])</f>
        <v>0</v>
      </c>
      <c r="AC26" s="3">
        <f>SUM(INDEX(team6_results[Lap times '[sec']], 1):team6_results[[#This Row], [Lap times '[sec']]])</f>
        <v>0</v>
      </c>
      <c r="AE26" s="3">
        <v>53.701</v>
      </c>
      <c r="AF26" s="3" t="s">
        <v>22</v>
      </c>
      <c r="AG26" s="3">
        <f>AVERAGE(INDEX(team7_results[Lap times '[sec']], 1):team7_results[[#This Row], [Lap times '[sec']]])</f>
        <v>0</v>
      </c>
      <c r="AH26" s="3">
        <f>SUM(INDEX(team7_results[Lap times '[sec']], 1):team7_results[[#This Row], [Lap times '[sec']]])</f>
        <v>0</v>
      </c>
      <c r="AJ26" s="3">
        <v>56.853</v>
      </c>
      <c r="AK26" s="3" t="s">
        <v>23</v>
      </c>
      <c r="AL26" s="3">
        <f>AVERAGE(INDEX(team8_results[Lap times '[sec']], 1):team8_results[[#This Row], [Lap times '[sec']]])</f>
        <v>0</v>
      </c>
      <c r="AM26" s="3">
        <f>SUM(INDEX(team8_results[Lap times '[sec']], 1):team8_results[[#This Row], [Lap times '[sec']]])</f>
        <v>0</v>
      </c>
      <c r="AO26" s="3">
        <v>58.514</v>
      </c>
      <c r="AP26" s="3" t="s">
        <v>25</v>
      </c>
      <c r="AQ26" s="3">
        <f>AVERAGE(INDEX(team9_results[Lap times '[sec']], 1):team9_results[[#This Row], [Lap times '[sec']]])</f>
        <v>0</v>
      </c>
      <c r="AR26" s="3">
        <f>SUM(INDEX(team9_results[Lap times '[sec']], 1):team9_results[[#This Row], [Lap times '[sec']]])</f>
        <v>0</v>
      </c>
    </row>
    <row r="27" spans="1:44">
      <c r="A27" s="3">
        <v>51.961</v>
      </c>
      <c r="B27" s="3" t="s">
        <v>12</v>
      </c>
      <c r="C27" s="3">
        <f>AVERAGE(INDEX(team1_results[Lap times '[sec']], 1):team1_results[[#This Row], [Lap times '[sec']]])</f>
        <v>0</v>
      </c>
      <c r="D27" s="3">
        <f>SUM(INDEX(team1_results[Lap times '[sec']], 1):team1_results[[#This Row], [Lap times '[sec']]])</f>
        <v>0</v>
      </c>
      <c r="F27" s="3">
        <v>52.859</v>
      </c>
      <c r="G27" s="3" t="s">
        <v>14</v>
      </c>
      <c r="H27" s="3">
        <f>AVERAGE(INDEX(team2_results[Lap times '[sec']], 1):team2_results[[#This Row], [Lap times '[sec']]])</f>
        <v>0</v>
      </c>
      <c r="I27" s="3">
        <f>SUM(INDEX(team2_results[Lap times '[sec']], 1):team2_results[[#This Row], [Lap times '[sec']]])</f>
        <v>0</v>
      </c>
      <c r="K27" s="3">
        <v>53.523</v>
      </c>
      <c r="L27" s="3" t="s">
        <v>16</v>
      </c>
      <c r="M27" s="3">
        <f>AVERAGE(INDEX(team3_results[Lap times '[sec']], 1):team3_results[[#This Row], [Lap times '[sec']]])</f>
        <v>0</v>
      </c>
      <c r="N27" s="3">
        <f>SUM(INDEX(team3_results[Lap times '[sec']], 1):team3_results[[#This Row], [Lap times '[sec']]])</f>
        <v>0</v>
      </c>
      <c r="P27" s="3">
        <v>53.214</v>
      </c>
      <c r="Q27" s="3" t="s">
        <v>18</v>
      </c>
      <c r="R27" s="3">
        <f>AVERAGE(INDEX(team4_results[Lap times '[sec']], 1):team4_results[[#This Row], [Lap times '[sec']]])</f>
        <v>0</v>
      </c>
      <c r="S27" s="3">
        <f>SUM(INDEX(team4_results[Lap times '[sec']], 1):team4_results[[#This Row], [Lap times '[sec']]])</f>
        <v>0</v>
      </c>
      <c r="U27" s="3">
        <v>55.065</v>
      </c>
      <c r="V27" s="3" t="s">
        <v>20</v>
      </c>
      <c r="W27" s="3">
        <f>AVERAGE(INDEX(team5_results[Lap times '[sec']], 1):team5_results[[#This Row], [Lap times '[sec']]])</f>
        <v>0</v>
      </c>
      <c r="X27" s="3">
        <f>SUM(INDEX(team5_results[Lap times '[sec']], 1):team5_results[[#This Row], [Lap times '[sec']]])</f>
        <v>0</v>
      </c>
      <c r="Z27" s="3">
        <v>56.421</v>
      </c>
      <c r="AA27" s="3" t="s">
        <v>21</v>
      </c>
      <c r="AB27" s="3">
        <f>AVERAGE(INDEX(team6_results[Lap times '[sec']], 1):team6_results[[#This Row], [Lap times '[sec']]])</f>
        <v>0</v>
      </c>
      <c r="AC27" s="3">
        <f>SUM(INDEX(team6_results[Lap times '[sec']], 1):team6_results[[#This Row], [Lap times '[sec']]])</f>
        <v>0</v>
      </c>
      <c r="AE27" s="3">
        <v>88.84399999999999</v>
      </c>
      <c r="AF27" s="3" t="s">
        <v>22</v>
      </c>
      <c r="AG27" s="3">
        <f>AVERAGE(INDEX(team7_results[Lap times '[sec']], 1):team7_results[[#This Row], [Lap times '[sec']]])</f>
        <v>0</v>
      </c>
      <c r="AH27" s="3">
        <f>SUM(INDEX(team7_results[Lap times '[sec']], 1):team7_results[[#This Row], [Lap times '[sec']]])</f>
        <v>0</v>
      </c>
      <c r="AJ27" s="3">
        <v>56.277</v>
      </c>
      <c r="AK27" s="3" t="s">
        <v>23</v>
      </c>
      <c r="AL27" s="3">
        <f>AVERAGE(INDEX(team8_results[Lap times '[sec']], 1):team8_results[[#This Row], [Lap times '[sec']]])</f>
        <v>0</v>
      </c>
      <c r="AM27" s="3">
        <f>SUM(INDEX(team8_results[Lap times '[sec']], 1):team8_results[[#This Row], [Lap times '[sec']]])</f>
        <v>0</v>
      </c>
      <c r="AO27" s="3">
        <v>55.711</v>
      </c>
      <c r="AP27" s="3" t="s">
        <v>25</v>
      </c>
      <c r="AQ27" s="3">
        <f>AVERAGE(INDEX(team9_results[Lap times '[sec']], 1):team9_results[[#This Row], [Lap times '[sec']]])</f>
        <v>0</v>
      </c>
      <c r="AR27" s="3">
        <f>SUM(INDEX(team9_results[Lap times '[sec']], 1):team9_results[[#This Row], [Lap times '[sec']]])</f>
        <v>0</v>
      </c>
    </row>
    <row r="28" spans="1:44">
      <c r="A28" s="3">
        <v>54.206</v>
      </c>
      <c r="B28" s="3" t="s">
        <v>12</v>
      </c>
      <c r="C28" s="3">
        <f>AVERAGE(INDEX(team1_results[Lap times '[sec']], 1):team1_results[[#This Row], [Lap times '[sec']]])</f>
        <v>0</v>
      </c>
      <c r="D28" s="3">
        <f>SUM(INDEX(team1_results[Lap times '[sec']], 1):team1_results[[#This Row], [Lap times '[sec']]])</f>
        <v>0</v>
      </c>
      <c r="F28" s="3">
        <v>53.513</v>
      </c>
      <c r="G28" s="3" t="s">
        <v>14</v>
      </c>
      <c r="H28" s="3">
        <f>AVERAGE(INDEX(team2_results[Lap times '[sec']], 1):team2_results[[#This Row], [Lap times '[sec']]])</f>
        <v>0</v>
      </c>
      <c r="I28" s="3">
        <f>SUM(INDEX(team2_results[Lap times '[sec']], 1):team2_results[[#This Row], [Lap times '[sec']]])</f>
        <v>0</v>
      </c>
      <c r="K28" s="3">
        <v>53.344</v>
      </c>
      <c r="L28" s="3" t="s">
        <v>16</v>
      </c>
      <c r="M28" s="3">
        <f>AVERAGE(INDEX(team3_results[Lap times '[sec']], 1):team3_results[[#This Row], [Lap times '[sec']]])</f>
        <v>0</v>
      </c>
      <c r="N28" s="3">
        <f>SUM(INDEX(team3_results[Lap times '[sec']], 1):team3_results[[#This Row], [Lap times '[sec']]])</f>
        <v>0</v>
      </c>
      <c r="P28" s="3">
        <v>53.279</v>
      </c>
      <c r="Q28" s="3" t="s">
        <v>18</v>
      </c>
      <c r="R28" s="3">
        <f>AVERAGE(INDEX(team4_results[Lap times '[sec']], 1):team4_results[[#This Row], [Lap times '[sec']]])</f>
        <v>0</v>
      </c>
      <c r="S28" s="3">
        <f>SUM(INDEX(team4_results[Lap times '[sec']], 1):team4_results[[#This Row], [Lap times '[sec']]])</f>
        <v>0</v>
      </c>
      <c r="U28" s="3">
        <v>54.145</v>
      </c>
      <c r="V28" s="3" t="s">
        <v>20</v>
      </c>
      <c r="W28" s="3">
        <f>AVERAGE(INDEX(team5_results[Lap times '[sec']], 1):team5_results[[#This Row], [Lap times '[sec']]])</f>
        <v>0</v>
      </c>
      <c r="X28" s="3">
        <f>SUM(INDEX(team5_results[Lap times '[sec']], 1):team5_results[[#This Row], [Lap times '[sec']]])</f>
        <v>0</v>
      </c>
      <c r="Z28" s="3">
        <v>55.198</v>
      </c>
      <c r="AA28" s="3" t="s">
        <v>21</v>
      </c>
      <c r="AB28" s="3">
        <f>AVERAGE(INDEX(team6_results[Lap times '[sec']], 1):team6_results[[#This Row], [Lap times '[sec']]])</f>
        <v>0</v>
      </c>
      <c r="AC28" s="3">
        <f>SUM(INDEX(team6_results[Lap times '[sec']], 1):team6_results[[#This Row], [Lap times '[sec']]])</f>
        <v>0</v>
      </c>
      <c r="AE28" s="3">
        <v>53.436</v>
      </c>
      <c r="AF28" s="3" t="s">
        <v>22</v>
      </c>
      <c r="AG28" s="3">
        <f>AVERAGE(INDEX(team7_results[Lap times '[sec']], 1):team7_results[[#This Row], [Lap times '[sec']]])</f>
        <v>0</v>
      </c>
      <c r="AH28" s="3">
        <f>SUM(INDEX(team7_results[Lap times '[sec']], 1):team7_results[[#This Row], [Lap times '[sec']]])</f>
        <v>0</v>
      </c>
      <c r="AJ28" s="3">
        <v>55.154</v>
      </c>
      <c r="AK28" s="3" t="s">
        <v>23</v>
      </c>
      <c r="AL28" s="3">
        <f>AVERAGE(INDEX(team8_results[Lap times '[sec']], 1):team8_results[[#This Row], [Lap times '[sec']]])</f>
        <v>0</v>
      </c>
      <c r="AM28" s="3">
        <f>SUM(INDEX(team8_results[Lap times '[sec']], 1):team8_results[[#This Row], [Lap times '[sec']]])</f>
        <v>0</v>
      </c>
      <c r="AO28" s="3">
        <v>55.383</v>
      </c>
      <c r="AP28" s="3" t="s">
        <v>25</v>
      </c>
      <c r="AQ28" s="3">
        <f>AVERAGE(INDEX(team9_results[Lap times '[sec']], 1):team9_results[[#This Row], [Lap times '[sec']]])</f>
        <v>0</v>
      </c>
      <c r="AR28" s="3">
        <f>SUM(INDEX(team9_results[Lap times '[sec']], 1):team9_results[[#This Row], [Lap times '[sec']]])</f>
        <v>0</v>
      </c>
    </row>
    <row r="29" spans="1:44">
      <c r="A29" s="3">
        <v>52.468</v>
      </c>
      <c r="B29" s="3" t="s">
        <v>12</v>
      </c>
      <c r="C29" s="3">
        <f>AVERAGE(INDEX(team1_results[Lap times '[sec']], 1):team1_results[[#This Row], [Lap times '[sec']]])</f>
        <v>0</v>
      </c>
      <c r="D29" s="3">
        <f>SUM(INDEX(team1_results[Lap times '[sec']], 1):team1_results[[#This Row], [Lap times '[sec']]])</f>
        <v>0</v>
      </c>
      <c r="F29" s="3">
        <v>52.973</v>
      </c>
      <c r="G29" s="3" t="s">
        <v>14</v>
      </c>
      <c r="H29" s="3">
        <f>AVERAGE(INDEX(team2_results[Lap times '[sec']], 1):team2_results[[#This Row], [Lap times '[sec']]])</f>
        <v>0</v>
      </c>
      <c r="I29" s="3">
        <f>SUM(INDEX(team2_results[Lap times '[sec']], 1):team2_results[[#This Row], [Lap times '[sec']]])</f>
        <v>0</v>
      </c>
      <c r="K29" s="3">
        <v>52.853</v>
      </c>
      <c r="L29" s="3" t="s">
        <v>16</v>
      </c>
      <c r="M29" s="3">
        <f>AVERAGE(INDEX(team3_results[Lap times '[sec']], 1):team3_results[[#This Row], [Lap times '[sec']]])</f>
        <v>0</v>
      </c>
      <c r="N29" s="3">
        <f>SUM(INDEX(team3_results[Lap times '[sec']], 1):team3_results[[#This Row], [Lap times '[sec']]])</f>
        <v>0</v>
      </c>
      <c r="P29" s="3">
        <v>53.826</v>
      </c>
      <c r="Q29" s="3" t="s">
        <v>18</v>
      </c>
      <c r="R29" s="3">
        <f>AVERAGE(INDEX(team4_results[Lap times '[sec']], 1):team4_results[[#This Row], [Lap times '[sec']]])</f>
        <v>0</v>
      </c>
      <c r="S29" s="3">
        <f>SUM(INDEX(team4_results[Lap times '[sec']], 1):team4_results[[#This Row], [Lap times '[sec']]])</f>
        <v>0</v>
      </c>
      <c r="U29" s="3">
        <v>55.037</v>
      </c>
      <c r="V29" s="3" t="s">
        <v>20</v>
      </c>
      <c r="W29" s="3">
        <f>AVERAGE(INDEX(team5_results[Lap times '[sec']], 1):team5_results[[#This Row], [Lap times '[sec']]])</f>
        <v>0</v>
      </c>
      <c r="X29" s="3">
        <f>SUM(INDEX(team5_results[Lap times '[sec']], 1):team5_results[[#This Row], [Lap times '[sec']]])</f>
        <v>0</v>
      </c>
      <c r="Z29" s="3">
        <v>54.422</v>
      </c>
      <c r="AA29" s="3" t="s">
        <v>21</v>
      </c>
      <c r="AB29" s="3">
        <f>AVERAGE(INDEX(team6_results[Lap times '[sec']], 1):team6_results[[#This Row], [Lap times '[sec']]])</f>
        <v>0</v>
      </c>
      <c r="AC29" s="3">
        <f>SUM(INDEX(team6_results[Lap times '[sec']], 1):team6_results[[#This Row], [Lap times '[sec']]])</f>
        <v>0</v>
      </c>
      <c r="AE29" s="3">
        <v>53.283</v>
      </c>
      <c r="AF29" s="3" t="s">
        <v>22</v>
      </c>
      <c r="AG29" s="3">
        <f>AVERAGE(INDEX(team7_results[Lap times '[sec']], 1):team7_results[[#This Row], [Lap times '[sec']]])</f>
        <v>0</v>
      </c>
      <c r="AH29" s="3">
        <f>SUM(INDEX(team7_results[Lap times '[sec']], 1):team7_results[[#This Row], [Lap times '[sec']]])</f>
        <v>0</v>
      </c>
      <c r="AJ29" s="3">
        <v>59.113</v>
      </c>
      <c r="AK29" s="3" t="s">
        <v>23</v>
      </c>
      <c r="AL29" s="3">
        <f>AVERAGE(INDEX(team8_results[Lap times '[sec']], 1):team8_results[[#This Row], [Lap times '[sec']]])</f>
        <v>0</v>
      </c>
      <c r="AM29" s="3">
        <f>SUM(INDEX(team8_results[Lap times '[sec']], 1):team8_results[[#This Row], [Lap times '[sec']]])</f>
        <v>0</v>
      </c>
      <c r="AO29" s="3">
        <v>56.433</v>
      </c>
      <c r="AP29" s="3" t="s">
        <v>25</v>
      </c>
      <c r="AQ29" s="3">
        <f>AVERAGE(INDEX(team9_results[Lap times '[sec']], 1):team9_results[[#This Row], [Lap times '[sec']]])</f>
        <v>0</v>
      </c>
      <c r="AR29" s="3">
        <f>SUM(INDEX(team9_results[Lap times '[sec']], 1):team9_results[[#This Row], [Lap times '[sec']]])</f>
        <v>0</v>
      </c>
    </row>
    <row r="30" spans="1:44">
      <c r="A30" s="3">
        <v>52.458</v>
      </c>
      <c r="B30" s="3" t="s">
        <v>12</v>
      </c>
      <c r="C30" s="3">
        <f>AVERAGE(INDEX(team1_results[Lap times '[sec']], 1):team1_results[[#This Row], [Lap times '[sec']]])</f>
        <v>0</v>
      </c>
      <c r="D30" s="3">
        <f>SUM(INDEX(team1_results[Lap times '[sec']], 1):team1_results[[#This Row], [Lap times '[sec']]])</f>
        <v>0</v>
      </c>
      <c r="F30" s="3">
        <v>52.914</v>
      </c>
      <c r="G30" s="3" t="s">
        <v>14</v>
      </c>
      <c r="H30" s="3">
        <f>AVERAGE(INDEX(team2_results[Lap times '[sec']], 1):team2_results[[#This Row], [Lap times '[sec']]])</f>
        <v>0</v>
      </c>
      <c r="I30" s="3">
        <f>SUM(INDEX(team2_results[Lap times '[sec']], 1):team2_results[[#This Row], [Lap times '[sec']]])</f>
        <v>0</v>
      </c>
      <c r="K30" s="3">
        <v>52.987</v>
      </c>
      <c r="L30" s="3" t="s">
        <v>16</v>
      </c>
      <c r="M30" s="3">
        <f>AVERAGE(INDEX(team3_results[Lap times '[sec']], 1):team3_results[[#This Row], [Lap times '[sec']]])</f>
        <v>0</v>
      </c>
      <c r="N30" s="3">
        <f>SUM(INDEX(team3_results[Lap times '[sec']], 1):team3_results[[#This Row], [Lap times '[sec']]])</f>
        <v>0</v>
      </c>
      <c r="P30" s="3">
        <v>55.43</v>
      </c>
      <c r="Q30" s="3" t="s">
        <v>18</v>
      </c>
      <c r="R30" s="3">
        <f>AVERAGE(INDEX(team4_results[Lap times '[sec']], 1):team4_results[[#This Row], [Lap times '[sec']]])</f>
        <v>0</v>
      </c>
      <c r="S30" s="3">
        <f>SUM(INDEX(team4_results[Lap times '[sec']], 1):team4_results[[#This Row], [Lap times '[sec']]])</f>
        <v>0</v>
      </c>
      <c r="U30" s="3">
        <v>54.598</v>
      </c>
      <c r="V30" s="3" t="s">
        <v>20</v>
      </c>
      <c r="W30" s="3">
        <f>AVERAGE(INDEX(team5_results[Lap times '[sec']], 1):team5_results[[#This Row], [Lap times '[sec']]])</f>
        <v>0</v>
      </c>
      <c r="X30" s="3">
        <f>SUM(INDEX(team5_results[Lap times '[sec']], 1):team5_results[[#This Row], [Lap times '[sec']]])</f>
        <v>0</v>
      </c>
      <c r="Z30" s="3">
        <v>54.646</v>
      </c>
      <c r="AA30" s="3" t="s">
        <v>21</v>
      </c>
      <c r="AB30" s="3">
        <f>AVERAGE(INDEX(team6_results[Lap times '[sec']], 1):team6_results[[#This Row], [Lap times '[sec']]])</f>
        <v>0</v>
      </c>
      <c r="AC30" s="3">
        <f>SUM(INDEX(team6_results[Lap times '[sec']], 1):team6_results[[#This Row], [Lap times '[sec']]])</f>
        <v>0</v>
      </c>
      <c r="AE30" s="3">
        <v>52.944</v>
      </c>
      <c r="AF30" s="3" t="s">
        <v>22</v>
      </c>
      <c r="AG30" s="3">
        <f>AVERAGE(INDEX(team7_results[Lap times '[sec']], 1):team7_results[[#This Row], [Lap times '[sec']]])</f>
        <v>0</v>
      </c>
      <c r="AH30" s="3">
        <f>SUM(INDEX(team7_results[Lap times '[sec']], 1):team7_results[[#This Row], [Lap times '[sec']]])</f>
        <v>0</v>
      </c>
      <c r="AJ30" s="3">
        <v>56.463</v>
      </c>
      <c r="AK30" s="3" t="s">
        <v>23</v>
      </c>
      <c r="AL30" s="3">
        <f>AVERAGE(INDEX(team8_results[Lap times '[sec']], 1):team8_results[[#This Row], [Lap times '[sec']]])</f>
        <v>0</v>
      </c>
      <c r="AM30" s="3">
        <f>SUM(INDEX(team8_results[Lap times '[sec']], 1):team8_results[[#This Row], [Lap times '[sec']]])</f>
        <v>0</v>
      </c>
      <c r="AO30" s="3">
        <v>57.851</v>
      </c>
      <c r="AP30" s="3" t="s">
        <v>25</v>
      </c>
      <c r="AQ30" s="3">
        <f>AVERAGE(INDEX(team9_results[Lap times '[sec']], 1):team9_results[[#This Row], [Lap times '[sec']]])</f>
        <v>0</v>
      </c>
      <c r="AR30" s="3">
        <f>SUM(INDEX(team9_results[Lap times '[sec']], 1):team9_results[[#This Row], [Lap times '[sec']]])</f>
        <v>0</v>
      </c>
    </row>
    <row r="31" spans="1:44">
      <c r="A31" s="3">
        <v>53.756</v>
      </c>
      <c r="B31" s="3" t="s">
        <v>12</v>
      </c>
      <c r="C31" s="3">
        <f>AVERAGE(INDEX(team1_results[Lap times '[sec']], 1):team1_results[[#This Row], [Lap times '[sec']]])</f>
        <v>0</v>
      </c>
      <c r="D31" s="3">
        <f>SUM(INDEX(team1_results[Lap times '[sec']], 1):team1_results[[#This Row], [Lap times '[sec']]])</f>
        <v>0</v>
      </c>
      <c r="F31" s="3">
        <v>52.988</v>
      </c>
      <c r="G31" s="3" t="s">
        <v>14</v>
      </c>
      <c r="H31" s="3">
        <f>AVERAGE(INDEX(team2_results[Lap times '[sec']], 1):team2_results[[#This Row], [Lap times '[sec']]])</f>
        <v>0</v>
      </c>
      <c r="I31" s="3">
        <f>SUM(INDEX(team2_results[Lap times '[sec']], 1):team2_results[[#This Row], [Lap times '[sec']]])</f>
        <v>0</v>
      </c>
      <c r="K31" s="3">
        <v>53.048</v>
      </c>
      <c r="L31" s="3" t="s">
        <v>16</v>
      </c>
      <c r="M31" s="3">
        <f>AVERAGE(INDEX(team3_results[Lap times '[sec']], 1):team3_results[[#This Row], [Lap times '[sec']]])</f>
        <v>0</v>
      </c>
      <c r="N31" s="3">
        <f>SUM(INDEX(team3_results[Lap times '[sec']], 1):team3_results[[#This Row], [Lap times '[sec']]])</f>
        <v>0</v>
      </c>
      <c r="P31" s="3">
        <v>53.793</v>
      </c>
      <c r="Q31" s="3" t="s">
        <v>18</v>
      </c>
      <c r="R31" s="3">
        <f>AVERAGE(INDEX(team4_results[Lap times '[sec']], 1):team4_results[[#This Row], [Lap times '[sec']]])</f>
        <v>0</v>
      </c>
      <c r="S31" s="3">
        <f>SUM(INDEX(team4_results[Lap times '[sec']], 1):team4_results[[#This Row], [Lap times '[sec']]])</f>
        <v>0</v>
      </c>
      <c r="U31" s="3">
        <v>54.935</v>
      </c>
      <c r="V31" s="3" t="s">
        <v>20</v>
      </c>
      <c r="W31" s="3">
        <f>AVERAGE(INDEX(team5_results[Lap times '[sec']], 1):team5_results[[#This Row], [Lap times '[sec']]])</f>
        <v>0</v>
      </c>
      <c r="X31" s="3">
        <f>SUM(INDEX(team5_results[Lap times '[sec']], 1):team5_results[[#This Row], [Lap times '[sec']]])</f>
        <v>0</v>
      </c>
      <c r="Z31" s="3">
        <v>54.521</v>
      </c>
      <c r="AA31" s="3" t="s">
        <v>21</v>
      </c>
      <c r="AB31" s="3">
        <f>AVERAGE(INDEX(team6_results[Lap times '[sec']], 1):team6_results[[#This Row], [Lap times '[sec']]])</f>
        <v>0</v>
      </c>
      <c r="AC31" s="3">
        <f>SUM(INDEX(team6_results[Lap times '[sec']], 1):team6_results[[#This Row], [Lap times '[sec']]])</f>
        <v>0</v>
      </c>
      <c r="AE31" s="3">
        <v>52.908</v>
      </c>
      <c r="AF31" s="3" t="s">
        <v>22</v>
      </c>
      <c r="AG31" s="3">
        <f>AVERAGE(INDEX(team7_results[Lap times '[sec']], 1):team7_results[[#This Row], [Lap times '[sec']]])</f>
        <v>0</v>
      </c>
      <c r="AH31" s="3">
        <f>SUM(INDEX(team7_results[Lap times '[sec']], 1):team7_results[[#This Row], [Lap times '[sec']]])</f>
        <v>0</v>
      </c>
      <c r="AJ31" s="3">
        <v>55.583</v>
      </c>
      <c r="AK31" s="3" t="s">
        <v>23</v>
      </c>
      <c r="AL31" s="3">
        <f>AVERAGE(INDEX(team8_results[Lap times '[sec']], 1):team8_results[[#This Row], [Lap times '[sec']]])</f>
        <v>0</v>
      </c>
      <c r="AM31" s="3">
        <f>SUM(INDEX(team8_results[Lap times '[sec']], 1):team8_results[[#This Row], [Lap times '[sec']]])</f>
        <v>0</v>
      </c>
      <c r="AO31" s="3">
        <v>55.512</v>
      </c>
      <c r="AP31" s="3" t="s">
        <v>25</v>
      </c>
      <c r="AQ31" s="3">
        <f>AVERAGE(INDEX(team9_results[Lap times '[sec']], 1):team9_results[[#This Row], [Lap times '[sec']]])</f>
        <v>0</v>
      </c>
      <c r="AR31" s="3">
        <f>SUM(INDEX(team9_results[Lap times '[sec']], 1):team9_results[[#This Row], [Lap times '[sec']]])</f>
        <v>0</v>
      </c>
    </row>
    <row r="32" spans="1:44">
      <c r="A32" s="3">
        <v>52.582</v>
      </c>
      <c r="B32" s="3" t="s">
        <v>12</v>
      </c>
      <c r="C32" s="3">
        <f>AVERAGE(INDEX(team1_results[Lap times '[sec']], 1):team1_results[[#This Row], [Lap times '[sec']]])</f>
        <v>0</v>
      </c>
      <c r="D32" s="3">
        <f>SUM(INDEX(team1_results[Lap times '[sec']], 1):team1_results[[#This Row], [Lap times '[sec']]])</f>
        <v>0</v>
      </c>
      <c r="F32" s="3">
        <v>54.49</v>
      </c>
      <c r="G32" s="3" t="s">
        <v>14</v>
      </c>
      <c r="H32" s="3">
        <f>AVERAGE(INDEX(team2_results[Lap times '[sec']], 1):team2_results[[#This Row], [Lap times '[sec']]])</f>
        <v>0</v>
      </c>
      <c r="I32" s="3">
        <f>SUM(INDEX(team2_results[Lap times '[sec']], 1):team2_results[[#This Row], [Lap times '[sec']]])</f>
        <v>0</v>
      </c>
      <c r="K32" s="3">
        <v>52.588</v>
      </c>
      <c r="L32" s="3" t="s">
        <v>16</v>
      </c>
      <c r="M32" s="3">
        <f>AVERAGE(INDEX(team3_results[Lap times '[sec']], 1):team3_results[[#This Row], [Lap times '[sec']]])</f>
        <v>0</v>
      </c>
      <c r="N32" s="3">
        <f>SUM(INDEX(team3_results[Lap times '[sec']], 1):team3_results[[#This Row], [Lap times '[sec']]])</f>
        <v>0</v>
      </c>
      <c r="P32" s="3">
        <v>53.882</v>
      </c>
      <c r="Q32" s="3" t="s">
        <v>18</v>
      </c>
      <c r="R32" s="3">
        <f>AVERAGE(INDEX(team4_results[Lap times '[sec']], 1):team4_results[[#This Row], [Lap times '[sec']]])</f>
        <v>0</v>
      </c>
      <c r="S32" s="3">
        <f>SUM(INDEX(team4_results[Lap times '[sec']], 1):team4_results[[#This Row], [Lap times '[sec']]])</f>
        <v>0</v>
      </c>
      <c r="U32" s="3">
        <v>56.305</v>
      </c>
      <c r="V32" s="3" t="s">
        <v>20</v>
      </c>
      <c r="W32" s="3">
        <f>AVERAGE(INDEX(team5_results[Lap times '[sec']], 1):team5_results[[#This Row], [Lap times '[sec']]])</f>
        <v>0</v>
      </c>
      <c r="X32" s="3">
        <f>SUM(INDEX(team5_results[Lap times '[sec']], 1):team5_results[[#This Row], [Lap times '[sec']]])</f>
        <v>0</v>
      </c>
      <c r="Z32" s="3">
        <v>53.971</v>
      </c>
      <c r="AA32" s="3" t="s">
        <v>21</v>
      </c>
      <c r="AB32" s="3">
        <f>AVERAGE(INDEX(team6_results[Lap times '[sec']], 1):team6_results[[#This Row], [Lap times '[sec']]])</f>
        <v>0</v>
      </c>
      <c r="AC32" s="3">
        <f>SUM(INDEX(team6_results[Lap times '[sec']], 1):team6_results[[#This Row], [Lap times '[sec']]])</f>
        <v>0</v>
      </c>
      <c r="AE32" s="3">
        <v>53.607</v>
      </c>
      <c r="AF32" s="3" t="s">
        <v>22</v>
      </c>
      <c r="AG32" s="3">
        <f>AVERAGE(INDEX(team7_results[Lap times '[sec']], 1):team7_results[[#This Row], [Lap times '[sec']]])</f>
        <v>0</v>
      </c>
      <c r="AH32" s="3">
        <f>SUM(INDEX(team7_results[Lap times '[sec']], 1):team7_results[[#This Row], [Lap times '[sec']]])</f>
        <v>0</v>
      </c>
      <c r="AJ32" s="3">
        <v>56</v>
      </c>
      <c r="AK32" s="3" t="s">
        <v>23</v>
      </c>
      <c r="AL32" s="3">
        <f>AVERAGE(INDEX(team8_results[Lap times '[sec']], 1):team8_results[[#This Row], [Lap times '[sec']]])</f>
        <v>0</v>
      </c>
      <c r="AM32" s="3">
        <f>SUM(INDEX(team8_results[Lap times '[sec']], 1):team8_results[[#This Row], [Lap times '[sec']]])</f>
        <v>0</v>
      </c>
      <c r="AO32" s="3">
        <v>57.643</v>
      </c>
      <c r="AP32" s="3" t="s">
        <v>25</v>
      </c>
      <c r="AQ32" s="3">
        <f>AVERAGE(INDEX(team9_results[Lap times '[sec']], 1):team9_results[[#This Row], [Lap times '[sec']]])</f>
        <v>0</v>
      </c>
      <c r="AR32" s="3">
        <f>SUM(INDEX(team9_results[Lap times '[sec']], 1):team9_results[[#This Row], [Lap times '[sec']]])</f>
        <v>0</v>
      </c>
    </row>
    <row r="33" spans="1:44">
      <c r="A33" s="3">
        <v>51.88</v>
      </c>
      <c r="B33" s="3" t="s">
        <v>12</v>
      </c>
      <c r="C33" s="3">
        <f>AVERAGE(INDEX(team1_results[Lap times '[sec']], 1):team1_results[[#This Row], [Lap times '[sec']]])</f>
        <v>0</v>
      </c>
      <c r="D33" s="3">
        <f>SUM(INDEX(team1_results[Lap times '[sec']], 1):team1_results[[#This Row], [Lap times '[sec']]])</f>
        <v>0</v>
      </c>
      <c r="F33" s="3">
        <v>54.186</v>
      </c>
      <c r="G33" s="3" t="s">
        <v>14</v>
      </c>
      <c r="H33" s="3">
        <f>AVERAGE(INDEX(team2_results[Lap times '[sec']], 1):team2_results[[#This Row], [Lap times '[sec']]])</f>
        <v>0</v>
      </c>
      <c r="I33" s="3">
        <f>SUM(INDEX(team2_results[Lap times '[sec']], 1):team2_results[[#This Row], [Lap times '[sec']]])</f>
        <v>0</v>
      </c>
      <c r="K33" s="3">
        <v>52.709</v>
      </c>
      <c r="L33" s="3" t="s">
        <v>16</v>
      </c>
      <c r="M33" s="3">
        <f>AVERAGE(INDEX(team3_results[Lap times '[sec']], 1):team3_results[[#This Row], [Lap times '[sec']]])</f>
        <v>0</v>
      </c>
      <c r="N33" s="3">
        <f>SUM(INDEX(team3_results[Lap times '[sec']], 1):team3_results[[#This Row], [Lap times '[sec']]])</f>
        <v>0</v>
      </c>
      <c r="P33" s="3">
        <v>52.604</v>
      </c>
      <c r="Q33" s="3" t="s">
        <v>18</v>
      </c>
      <c r="R33" s="3">
        <f>AVERAGE(INDEX(team4_results[Lap times '[sec']], 1):team4_results[[#This Row], [Lap times '[sec']]])</f>
        <v>0</v>
      </c>
      <c r="S33" s="3">
        <f>SUM(INDEX(team4_results[Lap times '[sec']], 1):team4_results[[#This Row], [Lap times '[sec']]])</f>
        <v>0</v>
      </c>
      <c r="U33" s="3">
        <v>54.191</v>
      </c>
      <c r="V33" s="3" t="s">
        <v>20</v>
      </c>
      <c r="W33" s="3">
        <f>AVERAGE(INDEX(team5_results[Lap times '[sec']], 1):team5_results[[#This Row], [Lap times '[sec']]])</f>
        <v>0</v>
      </c>
      <c r="X33" s="3">
        <f>SUM(INDEX(team5_results[Lap times '[sec']], 1):team5_results[[#This Row], [Lap times '[sec']]])</f>
        <v>0</v>
      </c>
      <c r="Z33" s="3">
        <v>54.413</v>
      </c>
      <c r="AA33" s="3" t="s">
        <v>21</v>
      </c>
      <c r="AB33" s="3">
        <f>AVERAGE(INDEX(team6_results[Lap times '[sec']], 1):team6_results[[#This Row], [Lap times '[sec']]])</f>
        <v>0</v>
      </c>
      <c r="AC33" s="3">
        <f>SUM(INDEX(team6_results[Lap times '[sec']], 1):team6_results[[#This Row], [Lap times '[sec']]])</f>
        <v>0</v>
      </c>
      <c r="AE33" s="3">
        <v>53.211</v>
      </c>
      <c r="AF33" s="3" t="s">
        <v>22</v>
      </c>
      <c r="AG33" s="3">
        <f>AVERAGE(INDEX(team7_results[Lap times '[sec']], 1):team7_results[[#This Row], [Lap times '[sec']]])</f>
        <v>0</v>
      </c>
      <c r="AH33" s="3">
        <f>SUM(INDEX(team7_results[Lap times '[sec']], 1):team7_results[[#This Row], [Lap times '[sec']]])</f>
        <v>0</v>
      </c>
      <c r="AJ33" s="3">
        <v>55.227</v>
      </c>
      <c r="AK33" s="3" t="s">
        <v>23</v>
      </c>
      <c r="AL33" s="3">
        <f>AVERAGE(INDEX(team8_results[Lap times '[sec']], 1):team8_results[[#This Row], [Lap times '[sec']]])</f>
        <v>0</v>
      </c>
      <c r="AM33" s="3">
        <f>SUM(INDEX(team8_results[Lap times '[sec']], 1):team8_results[[#This Row], [Lap times '[sec']]])</f>
        <v>0</v>
      </c>
      <c r="AO33" s="3">
        <v>56.379</v>
      </c>
      <c r="AP33" s="3" t="s">
        <v>25</v>
      </c>
      <c r="AQ33" s="3">
        <f>AVERAGE(INDEX(team9_results[Lap times '[sec']], 1):team9_results[[#This Row], [Lap times '[sec']]])</f>
        <v>0</v>
      </c>
      <c r="AR33" s="3">
        <f>SUM(INDEX(team9_results[Lap times '[sec']], 1):team9_results[[#This Row], [Lap times '[sec']]])</f>
        <v>0</v>
      </c>
    </row>
    <row r="34" spans="1:44">
      <c r="A34" s="3">
        <v>52.155</v>
      </c>
      <c r="B34" s="3" t="s">
        <v>12</v>
      </c>
      <c r="C34" s="3">
        <f>AVERAGE(INDEX(team1_results[Lap times '[sec']], 1):team1_results[[#This Row], [Lap times '[sec']]])</f>
        <v>0</v>
      </c>
      <c r="D34" s="3">
        <f>SUM(INDEX(team1_results[Lap times '[sec']], 1):team1_results[[#This Row], [Lap times '[sec']]])</f>
        <v>0</v>
      </c>
      <c r="F34" s="3">
        <v>52.853</v>
      </c>
      <c r="G34" s="3" t="s">
        <v>14</v>
      </c>
      <c r="H34" s="3">
        <f>AVERAGE(INDEX(team2_results[Lap times '[sec']], 1):team2_results[[#This Row], [Lap times '[sec']]])</f>
        <v>0</v>
      </c>
      <c r="I34" s="3">
        <f>SUM(INDEX(team2_results[Lap times '[sec']], 1):team2_results[[#This Row], [Lap times '[sec']]])</f>
        <v>0</v>
      </c>
      <c r="K34" s="3">
        <v>52.68</v>
      </c>
      <c r="L34" s="3" t="s">
        <v>16</v>
      </c>
      <c r="M34" s="3">
        <f>AVERAGE(INDEX(team3_results[Lap times '[sec']], 1):team3_results[[#This Row], [Lap times '[sec']]])</f>
        <v>0</v>
      </c>
      <c r="N34" s="3">
        <f>SUM(INDEX(team3_results[Lap times '[sec']], 1):team3_results[[#This Row], [Lap times '[sec']]])</f>
        <v>0</v>
      </c>
      <c r="P34" s="3">
        <v>53.617</v>
      </c>
      <c r="Q34" s="3" t="s">
        <v>18</v>
      </c>
      <c r="R34" s="3">
        <f>AVERAGE(INDEX(team4_results[Lap times '[sec']], 1):team4_results[[#This Row], [Lap times '[sec']]])</f>
        <v>0</v>
      </c>
      <c r="S34" s="3">
        <f>SUM(INDEX(team4_results[Lap times '[sec']], 1):team4_results[[#This Row], [Lap times '[sec']]])</f>
        <v>0</v>
      </c>
      <c r="U34" s="3">
        <v>54.102</v>
      </c>
      <c r="V34" s="3" t="s">
        <v>20</v>
      </c>
      <c r="W34" s="3">
        <f>AVERAGE(INDEX(team5_results[Lap times '[sec']], 1):team5_results[[#This Row], [Lap times '[sec']]])</f>
        <v>0</v>
      </c>
      <c r="X34" s="3">
        <f>SUM(INDEX(team5_results[Lap times '[sec']], 1):team5_results[[#This Row], [Lap times '[sec']]])</f>
        <v>0</v>
      </c>
      <c r="Z34" s="3">
        <v>53.969</v>
      </c>
      <c r="AA34" s="3" t="s">
        <v>21</v>
      </c>
      <c r="AB34" s="3">
        <f>AVERAGE(INDEX(team6_results[Lap times '[sec']], 1):team6_results[[#This Row], [Lap times '[sec']]])</f>
        <v>0</v>
      </c>
      <c r="AC34" s="3">
        <f>SUM(INDEX(team6_results[Lap times '[sec']], 1):team6_results[[#This Row], [Lap times '[sec']]])</f>
        <v>0</v>
      </c>
      <c r="AE34" s="3">
        <v>53.769</v>
      </c>
      <c r="AF34" s="3" t="s">
        <v>22</v>
      </c>
      <c r="AG34" s="3">
        <f>AVERAGE(INDEX(team7_results[Lap times '[sec']], 1):team7_results[[#This Row], [Lap times '[sec']]])</f>
        <v>0</v>
      </c>
      <c r="AH34" s="3">
        <f>SUM(INDEX(team7_results[Lap times '[sec']], 1):team7_results[[#This Row], [Lap times '[sec']]])</f>
        <v>0</v>
      </c>
      <c r="AJ34" s="3">
        <v>57.004</v>
      </c>
      <c r="AK34" s="3" t="s">
        <v>23</v>
      </c>
      <c r="AL34" s="3">
        <f>AVERAGE(INDEX(team8_results[Lap times '[sec']], 1):team8_results[[#This Row], [Lap times '[sec']]])</f>
        <v>0</v>
      </c>
      <c r="AM34" s="3">
        <f>SUM(INDEX(team8_results[Lap times '[sec']], 1):team8_results[[#This Row], [Lap times '[sec']]])</f>
        <v>0</v>
      </c>
      <c r="AO34" s="3">
        <v>56.545</v>
      </c>
      <c r="AP34" s="3" t="s">
        <v>25</v>
      </c>
      <c r="AQ34" s="3">
        <f>AVERAGE(INDEX(team9_results[Lap times '[sec']], 1):team9_results[[#This Row], [Lap times '[sec']]])</f>
        <v>0</v>
      </c>
      <c r="AR34" s="3">
        <f>SUM(INDEX(team9_results[Lap times '[sec']], 1):team9_results[[#This Row], [Lap times '[sec']]])</f>
        <v>0</v>
      </c>
    </row>
    <row r="35" spans="1:44">
      <c r="A35" s="3">
        <v>52.271</v>
      </c>
      <c r="B35" s="3" t="s">
        <v>12</v>
      </c>
      <c r="C35" s="3">
        <f>AVERAGE(INDEX(team1_results[Lap times '[sec']], 1):team1_results[[#This Row], [Lap times '[sec']]])</f>
        <v>0</v>
      </c>
      <c r="D35" s="3">
        <f>SUM(INDEX(team1_results[Lap times '[sec']], 1):team1_results[[#This Row], [Lap times '[sec']]])</f>
        <v>0</v>
      </c>
      <c r="F35" s="3">
        <v>54.262</v>
      </c>
      <c r="G35" s="3" t="s">
        <v>14</v>
      </c>
      <c r="H35" s="3">
        <f>AVERAGE(INDEX(team2_results[Lap times '[sec']], 1):team2_results[[#This Row], [Lap times '[sec']]])</f>
        <v>0</v>
      </c>
      <c r="I35" s="3">
        <f>SUM(INDEX(team2_results[Lap times '[sec']], 1):team2_results[[#This Row], [Lap times '[sec']]])</f>
        <v>0</v>
      </c>
      <c r="K35" s="3">
        <v>52.533</v>
      </c>
      <c r="L35" s="3" t="s">
        <v>16</v>
      </c>
      <c r="M35" s="3">
        <f>AVERAGE(INDEX(team3_results[Lap times '[sec']], 1):team3_results[[#This Row], [Lap times '[sec']]])</f>
        <v>0</v>
      </c>
      <c r="N35" s="3">
        <f>SUM(INDEX(team3_results[Lap times '[sec']], 1):team3_results[[#This Row], [Lap times '[sec']]])</f>
        <v>0</v>
      </c>
      <c r="P35" s="3">
        <v>52.991</v>
      </c>
      <c r="Q35" s="3" t="s">
        <v>18</v>
      </c>
      <c r="R35" s="3">
        <f>AVERAGE(INDEX(team4_results[Lap times '[sec']], 1):team4_results[[#This Row], [Lap times '[sec']]])</f>
        <v>0</v>
      </c>
      <c r="S35" s="3">
        <f>SUM(INDEX(team4_results[Lap times '[sec']], 1):team4_results[[#This Row], [Lap times '[sec']]])</f>
        <v>0</v>
      </c>
      <c r="U35" s="3">
        <v>54.212</v>
      </c>
      <c r="V35" s="3" t="s">
        <v>20</v>
      </c>
      <c r="W35" s="3">
        <f>AVERAGE(INDEX(team5_results[Lap times '[sec']], 1):team5_results[[#This Row], [Lap times '[sec']]])</f>
        <v>0</v>
      </c>
      <c r="X35" s="3">
        <f>SUM(INDEX(team5_results[Lap times '[sec']], 1):team5_results[[#This Row], [Lap times '[sec']]])</f>
        <v>0</v>
      </c>
      <c r="Z35" s="3">
        <v>54.803</v>
      </c>
      <c r="AA35" s="3" t="s">
        <v>21</v>
      </c>
      <c r="AB35" s="3">
        <f>AVERAGE(INDEX(team6_results[Lap times '[sec']], 1):team6_results[[#This Row], [Lap times '[sec']]])</f>
        <v>0</v>
      </c>
      <c r="AC35" s="3">
        <f>SUM(INDEX(team6_results[Lap times '[sec']], 1):team6_results[[#This Row], [Lap times '[sec']]])</f>
        <v>0</v>
      </c>
      <c r="AE35" s="3">
        <v>54.721</v>
      </c>
      <c r="AF35" s="3" t="s">
        <v>22</v>
      </c>
      <c r="AG35" s="3">
        <f>AVERAGE(INDEX(team7_results[Lap times '[sec']], 1):team7_results[[#This Row], [Lap times '[sec']]])</f>
        <v>0</v>
      </c>
      <c r="AH35" s="3">
        <f>SUM(INDEX(team7_results[Lap times '[sec']], 1):team7_results[[#This Row], [Lap times '[sec']]])</f>
        <v>0</v>
      </c>
    </row>
    <row r="36" spans="1:44">
      <c r="A36" s="3">
        <v>52.401</v>
      </c>
      <c r="B36" s="3" t="s">
        <v>12</v>
      </c>
      <c r="C36" s="3">
        <f>AVERAGE(INDEX(team1_results[Lap times '[sec']], 1):team1_results[[#This Row], [Lap times '[sec']]])</f>
        <v>0</v>
      </c>
      <c r="D36" s="3">
        <f>SUM(INDEX(team1_results[Lap times '[sec']], 1):team1_results[[#This Row], [Lap times '[sec']]])</f>
        <v>0</v>
      </c>
      <c r="F36" s="3">
        <v>53.339</v>
      </c>
      <c r="G36" s="3" t="s">
        <v>14</v>
      </c>
      <c r="H36" s="3">
        <f>AVERAGE(INDEX(team2_results[Lap times '[sec']], 1):team2_results[[#This Row], [Lap times '[sec']]])</f>
        <v>0</v>
      </c>
      <c r="I36" s="3">
        <f>SUM(INDEX(team2_results[Lap times '[sec']], 1):team2_results[[#This Row], [Lap times '[sec']]])</f>
        <v>0</v>
      </c>
      <c r="K36" s="3">
        <v>53.752</v>
      </c>
      <c r="L36" s="3" t="s">
        <v>16</v>
      </c>
      <c r="M36" s="3">
        <f>AVERAGE(INDEX(team3_results[Lap times '[sec']], 1):team3_results[[#This Row], [Lap times '[sec']]])</f>
        <v>0</v>
      </c>
      <c r="N36" s="3">
        <f>SUM(INDEX(team3_results[Lap times '[sec']], 1):team3_results[[#This Row], [Lap times '[sec']]])</f>
        <v>0</v>
      </c>
    </row>
  </sheetData>
  <mergeCells count="9">
    <mergeCell ref="A1:D1"/>
    <mergeCell ref="F1:I1"/>
    <mergeCell ref="K1:N1"/>
    <mergeCell ref="P1:S1"/>
    <mergeCell ref="U1:X1"/>
    <mergeCell ref="Z1:AC1"/>
    <mergeCell ref="AE1:AH1"/>
    <mergeCell ref="AJ1:AM1"/>
    <mergeCell ref="AO1:AR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L299"/>
  <sheetViews>
    <sheetView workbookViewId="0"/>
  </sheetViews>
  <sheetFormatPr defaultRowHeight="15"/>
  <cols>
    <col min="1" max="38" width="40.7109375" customWidth="1"/>
  </cols>
  <sheetData>
    <row r="1" spans="1:38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</row>
    <row r="2" spans="1:38">
      <c r="A2" s="3">
        <v>53.684</v>
      </c>
      <c r="B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" s="3">
        <f>intermediate_results[[#This Row], [Team1 laps '[laps']]] - intermediate_results[[#This Row], [Team1 laps '[laps']]]</f>
        <v>0</v>
      </c>
      <c r="L2" s="3">
        <f>intermediate_results[[#This Row], [Team1 laps '[laps']]] - intermediate_results[[#This Row], [Team2 laps '[laps']]]</f>
        <v>0</v>
      </c>
      <c r="M2" s="3">
        <f>intermediate_results[[#This Row], [Team1 laps '[laps']]] - intermediate_results[[#This Row], [Team3 laps '[laps']]]</f>
        <v>0</v>
      </c>
      <c r="N2" s="3">
        <f>intermediate_results[[#This Row], [Team1 laps '[laps']]] - intermediate_results[[#This Row], [Team4 laps '[laps']]]</f>
        <v>0</v>
      </c>
      <c r="O2" s="3">
        <f>intermediate_results[[#This Row], [Team1 laps '[laps']]] - intermediate_results[[#This Row], [Team5 laps '[laps']]]</f>
        <v>0</v>
      </c>
      <c r="P2" s="3">
        <f>intermediate_results[[#This Row], [Team1 laps '[laps']]] - intermediate_results[[#This Row], [Team6 laps '[laps']]]</f>
        <v>0</v>
      </c>
      <c r="Q2" s="3">
        <f>intermediate_results[[#This Row], [Team1 laps '[laps']]] - intermediate_results[[#This Row], [Team7 laps '[laps']]]</f>
        <v>0</v>
      </c>
      <c r="R2" s="3">
        <f>intermediate_results[[#This Row], [Team1 laps '[laps']]] - intermediate_results[[#This Row], [Team8 laps '[laps']]]</f>
        <v>0</v>
      </c>
      <c r="S2" s="3">
        <f>intermediate_results[[#This Row], [Team1 laps '[laps']]] - intermediate_results[[#This Row], [Team9 laps '[laps']]]</f>
        <v>0</v>
      </c>
      <c r="T2" s="3">
        <f>MAX(intermediate_results[[#This Row], [Team1 laps '[laps']]:[Team9 laps '[laps']]]) - intermediate_results[[#This Row], [Team1 laps '[laps']]]</f>
        <v>0</v>
      </c>
      <c r="U2" s="3">
        <f>MAX(intermediate_results[[#This Row], [Team1 laps '[laps']]:[Team9 laps '[laps']]]) - intermediate_results[[#This Row], [Team2 laps '[laps']]]</f>
        <v>0</v>
      </c>
      <c r="V2" s="3">
        <f>MAX(intermediate_results[[#This Row], [Team1 laps '[laps']]:[Team9 laps '[laps']]]) - intermediate_results[[#This Row], [Team3 laps '[laps']]]</f>
        <v>0</v>
      </c>
      <c r="W2" s="3">
        <f>MAX(intermediate_results[[#This Row], [Team1 laps '[laps']]:[Team9 laps '[laps']]]) - intermediate_results[[#This Row], [Team4 laps '[laps']]]</f>
        <v>0</v>
      </c>
      <c r="X2" s="3">
        <f>MAX(intermediate_results[[#This Row], [Team1 laps '[laps']]:[Team9 laps '[laps']]]) - intermediate_results[[#This Row], [Team5 laps '[laps']]]</f>
        <v>0</v>
      </c>
      <c r="Y2" s="3">
        <f>MAX(intermediate_results[[#This Row], [Team1 laps '[laps']]:[Team9 laps '[laps']]]) - intermediate_results[[#This Row], [Team6 laps '[laps']]]</f>
        <v>0</v>
      </c>
      <c r="Z2" s="3">
        <f>MAX(intermediate_results[[#This Row], [Team1 laps '[laps']]:[Team9 laps '[laps']]]) - intermediate_results[[#This Row], [Team7 laps '[laps']]]</f>
        <v>0</v>
      </c>
      <c r="AA2" s="3">
        <f>MAX(intermediate_results[[#This Row], [Team1 laps '[laps']]:[Team9 laps '[laps']]]) - intermediate_results[[#This Row], [Team8 laps '[laps']]]</f>
        <v>0</v>
      </c>
      <c r="AB2" s="3">
        <f>MAX(intermediate_results[[#This Row], [Team1 laps '[laps']]:[Team9 laps '[laps']]]) - intermediate_results[[#This Row], [Team9 laps '[laps']]]</f>
        <v>0</v>
      </c>
      <c r="AC2" s="3">
        <f>9 * intermediate_results[[#This Row], [All cumulative times '[sec']]] / SUM(intermediate_results[[#This Row], [Team1 laps '[laps']]:[Team9 laps '[laps']]])</f>
        <v>0</v>
      </c>
      <c r="AD2" s="3">
        <f>intermediate_results[[#This Row], [All cumulative times '[sec']]] / intermediate_results[[#This Row], [Team1 laps '[laps']]] - intermediate_results[[#This Row], [Total running average '[sec']]]</f>
        <v>0</v>
      </c>
      <c r="AE2" s="3">
        <f>intermediate_results[[#This Row], [All cumulative times '[sec']]] / intermediate_results[[#This Row], [Team2 laps '[laps']]] - intermediate_results[[#This Row], [Total running average '[sec']]]</f>
        <v>0</v>
      </c>
      <c r="AF2" s="3">
        <f>intermediate_results[[#This Row], [All cumulative times '[sec']]] / intermediate_results[[#This Row], [Team3 laps '[laps']]] - intermediate_results[[#This Row], [Total running average '[sec']]]</f>
        <v>0</v>
      </c>
      <c r="AG2" s="3">
        <f>intermediate_results[[#This Row], [All cumulative times '[sec']]] / intermediate_results[[#This Row], [Team4 laps '[laps']]] - intermediate_results[[#This Row], [Total running average '[sec']]]</f>
        <v>0</v>
      </c>
      <c r="AH2" s="3">
        <f>intermediate_results[[#This Row], [All cumulative times '[sec']]] / intermediate_results[[#This Row], [Team5 laps '[laps']]] - intermediate_results[[#This Row], [Total running average '[sec']]]</f>
        <v>0</v>
      </c>
      <c r="AI2" s="3">
        <f>intermediate_results[[#This Row], [All cumulative times '[sec']]] / intermediate_results[[#This Row], [Team6 laps '[laps']]] - intermediate_results[[#This Row], [Total running average '[sec']]]</f>
        <v>0</v>
      </c>
      <c r="AJ2" s="3">
        <f>intermediate_results[[#This Row], [All cumulative times '[sec']]] / intermediate_results[[#This Row], [Team7 laps '[laps']]] - intermediate_results[[#This Row], [Total running average '[sec']]]</f>
        <v>0</v>
      </c>
      <c r="AK2" s="3">
        <f>intermediate_results[[#This Row], [All cumulative times '[sec']]] / intermediate_results[[#This Row], [Team8 laps '[laps']]] - intermediate_results[[#This Row], [Total running average '[sec']]]</f>
        <v>0</v>
      </c>
      <c r="AL2" s="3">
        <f>intermediate_results[[#This Row], [All cumulative times '[sec']]] / intermediate_results[[#This Row], [Team9 laps '[laps']]] - intermediate_results[[#This Row], [Total running average '[sec']]]</f>
        <v>0</v>
      </c>
    </row>
    <row r="3" spans="1:38">
      <c r="A3" s="3">
        <v>53.756</v>
      </c>
      <c r="B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" s="3">
        <f>intermediate_results[[#This Row], [Team1 laps '[laps']]] - intermediate_results[[#This Row], [Team1 laps '[laps']]]</f>
        <v>0</v>
      </c>
      <c r="L3" s="3">
        <f>intermediate_results[[#This Row], [Team1 laps '[laps']]] - intermediate_results[[#This Row], [Team2 laps '[laps']]]</f>
        <v>0</v>
      </c>
      <c r="M3" s="3">
        <f>intermediate_results[[#This Row], [Team1 laps '[laps']]] - intermediate_results[[#This Row], [Team3 laps '[laps']]]</f>
        <v>0</v>
      </c>
      <c r="N3" s="3">
        <f>intermediate_results[[#This Row], [Team1 laps '[laps']]] - intermediate_results[[#This Row], [Team4 laps '[laps']]]</f>
        <v>0</v>
      </c>
      <c r="O3" s="3">
        <f>intermediate_results[[#This Row], [Team1 laps '[laps']]] - intermediate_results[[#This Row], [Team5 laps '[laps']]]</f>
        <v>0</v>
      </c>
      <c r="P3" s="3">
        <f>intermediate_results[[#This Row], [Team1 laps '[laps']]] - intermediate_results[[#This Row], [Team6 laps '[laps']]]</f>
        <v>0</v>
      </c>
      <c r="Q3" s="3">
        <f>intermediate_results[[#This Row], [Team1 laps '[laps']]] - intermediate_results[[#This Row], [Team7 laps '[laps']]]</f>
        <v>0</v>
      </c>
      <c r="R3" s="3">
        <f>intermediate_results[[#This Row], [Team1 laps '[laps']]] - intermediate_results[[#This Row], [Team8 laps '[laps']]]</f>
        <v>0</v>
      </c>
      <c r="S3" s="3">
        <f>intermediate_results[[#This Row], [Team1 laps '[laps']]] - intermediate_results[[#This Row], [Team9 laps '[laps']]]</f>
        <v>0</v>
      </c>
      <c r="T3" s="3">
        <f>MAX(intermediate_results[[#This Row], [Team1 laps '[laps']]:[Team9 laps '[laps']]]) - intermediate_results[[#This Row], [Team1 laps '[laps']]]</f>
        <v>0</v>
      </c>
      <c r="U3" s="3">
        <f>MAX(intermediate_results[[#This Row], [Team1 laps '[laps']]:[Team9 laps '[laps']]]) - intermediate_results[[#This Row], [Team2 laps '[laps']]]</f>
        <v>0</v>
      </c>
      <c r="V3" s="3">
        <f>MAX(intermediate_results[[#This Row], [Team1 laps '[laps']]:[Team9 laps '[laps']]]) - intermediate_results[[#This Row], [Team3 laps '[laps']]]</f>
        <v>0</v>
      </c>
      <c r="W3" s="3">
        <f>MAX(intermediate_results[[#This Row], [Team1 laps '[laps']]:[Team9 laps '[laps']]]) - intermediate_results[[#This Row], [Team4 laps '[laps']]]</f>
        <v>0</v>
      </c>
      <c r="X3" s="3">
        <f>MAX(intermediate_results[[#This Row], [Team1 laps '[laps']]:[Team9 laps '[laps']]]) - intermediate_results[[#This Row], [Team5 laps '[laps']]]</f>
        <v>0</v>
      </c>
      <c r="Y3" s="3">
        <f>MAX(intermediate_results[[#This Row], [Team1 laps '[laps']]:[Team9 laps '[laps']]]) - intermediate_results[[#This Row], [Team6 laps '[laps']]]</f>
        <v>0</v>
      </c>
      <c r="Z3" s="3">
        <f>MAX(intermediate_results[[#This Row], [Team1 laps '[laps']]:[Team9 laps '[laps']]]) - intermediate_results[[#This Row], [Team7 laps '[laps']]]</f>
        <v>0</v>
      </c>
      <c r="AA3" s="3">
        <f>MAX(intermediate_results[[#This Row], [Team1 laps '[laps']]:[Team9 laps '[laps']]]) - intermediate_results[[#This Row], [Team8 laps '[laps']]]</f>
        <v>0</v>
      </c>
      <c r="AB3" s="3">
        <f>MAX(intermediate_results[[#This Row], [Team1 laps '[laps']]:[Team9 laps '[laps']]]) - intermediate_results[[#This Row], [Team9 laps '[laps']]]</f>
        <v>0</v>
      </c>
      <c r="AC3" s="3">
        <f>9 * intermediate_results[[#This Row], [All cumulative times '[sec']]] / SUM(intermediate_results[[#This Row], [Team1 laps '[laps']]:[Team9 laps '[laps']]])</f>
        <v>0</v>
      </c>
      <c r="AD3" s="3">
        <f>intermediate_results[[#This Row], [All cumulative times '[sec']]] / intermediate_results[[#This Row], [Team1 laps '[laps']]] - intermediate_results[[#This Row], [Total running average '[sec']]]</f>
        <v>0</v>
      </c>
      <c r="AE3" s="3">
        <f>intermediate_results[[#This Row], [All cumulative times '[sec']]] / intermediate_results[[#This Row], [Team2 laps '[laps']]] - intermediate_results[[#This Row], [Total running average '[sec']]]</f>
        <v>0</v>
      </c>
      <c r="AF3" s="3">
        <f>intermediate_results[[#This Row], [All cumulative times '[sec']]] / intermediate_results[[#This Row], [Team3 laps '[laps']]] - intermediate_results[[#This Row], [Total running average '[sec']]]</f>
        <v>0</v>
      </c>
      <c r="AG3" s="3">
        <f>intermediate_results[[#This Row], [All cumulative times '[sec']]] / intermediate_results[[#This Row], [Team4 laps '[laps']]] - intermediate_results[[#This Row], [Total running average '[sec']]]</f>
        <v>0</v>
      </c>
      <c r="AH3" s="3">
        <f>intermediate_results[[#This Row], [All cumulative times '[sec']]] / intermediate_results[[#This Row], [Team5 laps '[laps']]] - intermediate_results[[#This Row], [Total running average '[sec']]]</f>
        <v>0</v>
      </c>
      <c r="AI3" s="3">
        <f>intermediate_results[[#This Row], [All cumulative times '[sec']]] / intermediate_results[[#This Row], [Team6 laps '[laps']]] - intermediate_results[[#This Row], [Total running average '[sec']]]</f>
        <v>0</v>
      </c>
      <c r="AJ3" s="3">
        <f>intermediate_results[[#This Row], [All cumulative times '[sec']]] / intermediate_results[[#This Row], [Team7 laps '[laps']]] - intermediate_results[[#This Row], [Total running average '[sec']]]</f>
        <v>0</v>
      </c>
      <c r="AK3" s="3">
        <f>intermediate_results[[#This Row], [All cumulative times '[sec']]] / intermediate_results[[#This Row], [Team8 laps '[laps']]] - intermediate_results[[#This Row], [Total running average '[sec']]]</f>
        <v>0</v>
      </c>
      <c r="AL3" s="3">
        <f>intermediate_results[[#This Row], [All cumulative times '[sec']]] / intermediate_results[[#This Row], [Team9 laps '[laps']]] - intermediate_results[[#This Row], [Total running average '[sec']]]</f>
        <v>0</v>
      </c>
    </row>
    <row r="4" spans="1:38">
      <c r="A4" s="3">
        <v>54.529</v>
      </c>
      <c r="B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" s="3">
        <f>intermediate_results[[#This Row], [Team1 laps '[laps']]] - intermediate_results[[#This Row], [Team1 laps '[laps']]]</f>
        <v>0</v>
      </c>
      <c r="L4" s="3">
        <f>intermediate_results[[#This Row], [Team1 laps '[laps']]] - intermediate_results[[#This Row], [Team2 laps '[laps']]]</f>
        <v>0</v>
      </c>
      <c r="M4" s="3">
        <f>intermediate_results[[#This Row], [Team1 laps '[laps']]] - intermediate_results[[#This Row], [Team3 laps '[laps']]]</f>
        <v>0</v>
      </c>
      <c r="N4" s="3">
        <f>intermediate_results[[#This Row], [Team1 laps '[laps']]] - intermediate_results[[#This Row], [Team4 laps '[laps']]]</f>
        <v>0</v>
      </c>
      <c r="O4" s="3">
        <f>intermediate_results[[#This Row], [Team1 laps '[laps']]] - intermediate_results[[#This Row], [Team5 laps '[laps']]]</f>
        <v>0</v>
      </c>
      <c r="P4" s="3">
        <f>intermediate_results[[#This Row], [Team1 laps '[laps']]] - intermediate_results[[#This Row], [Team6 laps '[laps']]]</f>
        <v>0</v>
      </c>
      <c r="Q4" s="3">
        <f>intermediate_results[[#This Row], [Team1 laps '[laps']]] - intermediate_results[[#This Row], [Team7 laps '[laps']]]</f>
        <v>0</v>
      </c>
      <c r="R4" s="3">
        <f>intermediate_results[[#This Row], [Team1 laps '[laps']]] - intermediate_results[[#This Row], [Team8 laps '[laps']]]</f>
        <v>0</v>
      </c>
      <c r="S4" s="3">
        <f>intermediate_results[[#This Row], [Team1 laps '[laps']]] - intermediate_results[[#This Row], [Team9 laps '[laps']]]</f>
        <v>0</v>
      </c>
      <c r="T4" s="3">
        <f>MAX(intermediate_results[[#This Row], [Team1 laps '[laps']]:[Team9 laps '[laps']]]) - intermediate_results[[#This Row], [Team1 laps '[laps']]]</f>
        <v>0</v>
      </c>
      <c r="U4" s="3">
        <f>MAX(intermediate_results[[#This Row], [Team1 laps '[laps']]:[Team9 laps '[laps']]]) - intermediate_results[[#This Row], [Team2 laps '[laps']]]</f>
        <v>0</v>
      </c>
      <c r="V4" s="3">
        <f>MAX(intermediate_results[[#This Row], [Team1 laps '[laps']]:[Team9 laps '[laps']]]) - intermediate_results[[#This Row], [Team3 laps '[laps']]]</f>
        <v>0</v>
      </c>
      <c r="W4" s="3">
        <f>MAX(intermediate_results[[#This Row], [Team1 laps '[laps']]:[Team9 laps '[laps']]]) - intermediate_results[[#This Row], [Team4 laps '[laps']]]</f>
        <v>0</v>
      </c>
      <c r="X4" s="3">
        <f>MAX(intermediate_results[[#This Row], [Team1 laps '[laps']]:[Team9 laps '[laps']]]) - intermediate_results[[#This Row], [Team5 laps '[laps']]]</f>
        <v>0</v>
      </c>
      <c r="Y4" s="3">
        <f>MAX(intermediate_results[[#This Row], [Team1 laps '[laps']]:[Team9 laps '[laps']]]) - intermediate_results[[#This Row], [Team6 laps '[laps']]]</f>
        <v>0</v>
      </c>
      <c r="Z4" s="3">
        <f>MAX(intermediate_results[[#This Row], [Team1 laps '[laps']]:[Team9 laps '[laps']]]) - intermediate_results[[#This Row], [Team7 laps '[laps']]]</f>
        <v>0</v>
      </c>
      <c r="AA4" s="3">
        <f>MAX(intermediate_results[[#This Row], [Team1 laps '[laps']]:[Team9 laps '[laps']]]) - intermediate_results[[#This Row], [Team8 laps '[laps']]]</f>
        <v>0</v>
      </c>
      <c r="AB4" s="3">
        <f>MAX(intermediate_results[[#This Row], [Team1 laps '[laps']]:[Team9 laps '[laps']]]) - intermediate_results[[#This Row], [Team9 laps '[laps']]]</f>
        <v>0</v>
      </c>
      <c r="AC4" s="3">
        <f>9 * intermediate_results[[#This Row], [All cumulative times '[sec']]] / SUM(intermediate_results[[#This Row], [Team1 laps '[laps']]:[Team9 laps '[laps']]])</f>
        <v>0</v>
      </c>
      <c r="AD4" s="3">
        <f>intermediate_results[[#This Row], [All cumulative times '[sec']]] / intermediate_results[[#This Row], [Team1 laps '[laps']]] - intermediate_results[[#This Row], [Total running average '[sec']]]</f>
        <v>0</v>
      </c>
      <c r="AE4" s="3">
        <f>intermediate_results[[#This Row], [All cumulative times '[sec']]] / intermediate_results[[#This Row], [Team2 laps '[laps']]] - intermediate_results[[#This Row], [Total running average '[sec']]]</f>
        <v>0</v>
      </c>
      <c r="AF4" s="3">
        <f>intermediate_results[[#This Row], [All cumulative times '[sec']]] / intermediate_results[[#This Row], [Team3 laps '[laps']]] - intermediate_results[[#This Row], [Total running average '[sec']]]</f>
        <v>0</v>
      </c>
      <c r="AG4" s="3">
        <f>intermediate_results[[#This Row], [All cumulative times '[sec']]] / intermediate_results[[#This Row], [Team4 laps '[laps']]] - intermediate_results[[#This Row], [Total running average '[sec']]]</f>
        <v>0</v>
      </c>
      <c r="AH4" s="3">
        <f>intermediate_results[[#This Row], [All cumulative times '[sec']]] / intermediate_results[[#This Row], [Team5 laps '[laps']]] - intermediate_results[[#This Row], [Total running average '[sec']]]</f>
        <v>0</v>
      </c>
      <c r="AI4" s="3">
        <f>intermediate_results[[#This Row], [All cumulative times '[sec']]] / intermediate_results[[#This Row], [Team6 laps '[laps']]] - intermediate_results[[#This Row], [Total running average '[sec']]]</f>
        <v>0</v>
      </c>
      <c r="AJ4" s="3">
        <f>intermediate_results[[#This Row], [All cumulative times '[sec']]] / intermediate_results[[#This Row], [Team7 laps '[laps']]] - intermediate_results[[#This Row], [Total running average '[sec']]]</f>
        <v>0</v>
      </c>
      <c r="AK4" s="3">
        <f>intermediate_results[[#This Row], [All cumulative times '[sec']]] / intermediate_results[[#This Row], [Team8 laps '[laps']]] - intermediate_results[[#This Row], [Total running average '[sec']]]</f>
        <v>0</v>
      </c>
      <c r="AL4" s="3">
        <f>intermediate_results[[#This Row], [All cumulative times '[sec']]] / intermediate_results[[#This Row], [Team9 laps '[laps']]] - intermediate_results[[#This Row], [Total running average '[sec']]]</f>
        <v>0</v>
      </c>
    </row>
    <row r="5" spans="1:38">
      <c r="A5" s="3">
        <v>55.473</v>
      </c>
      <c r="B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" s="3">
        <f>intermediate_results[[#This Row], [Team1 laps '[laps']]] - intermediate_results[[#This Row], [Team1 laps '[laps']]]</f>
        <v>0</v>
      </c>
      <c r="L5" s="3">
        <f>intermediate_results[[#This Row], [Team1 laps '[laps']]] - intermediate_results[[#This Row], [Team2 laps '[laps']]]</f>
        <v>0</v>
      </c>
      <c r="M5" s="3">
        <f>intermediate_results[[#This Row], [Team1 laps '[laps']]] - intermediate_results[[#This Row], [Team3 laps '[laps']]]</f>
        <v>0</v>
      </c>
      <c r="N5" s="3">
        <f>intermediate_results[[#This Row], [Team1 laps '[laps']]] - intermediate_results[[#This Row], [Team4 laps '[laps']]]</f>
        <v>0</v>
      </c>
      <c r="O5" s="3">
        <f>intermediate_results[[#This Row], [Team1 laps '[laps']]] - intermediate_results[[#This Row], [Team5 laps '[laps']]]</f>
        <v>0</v>
      </c>
      <c r="P5" s="3">
        <f>intermediate_results[[#This Row], [Team1 laps '[laps']]] - intermediate_results[[#This Row], [Team6 laps '[laps']]]</f>
        <v>0</v>
      </c>
      <c r="Q5" s="3">
        <f>intermediate_results[[#This Row], [Team1 laps '[laps']]] - intermediate_results[[#This Row], [Team7 laps '[laps']]]</f>
        <v>0</v>
      </c>
      <c r="R5" s="3">
        <f>intermediate_results[[#This Row], [Team1 laps '[laps']]] - intermediate_results[[#This Row], [Team8 laps '[laps']]]</f>
        <v>0</v>
      </c>
      <c r="S5" s="3">
        <f>intermediate_results[[#This Row], [Team1 laps '[laps']]] - intermediate_results[[#This Row], [Team9 laps '[laps']]]</f>
        <v>0</v>
      </c>
      <c r="T5" s="3">
        <f>MAX(intermediate_results[[#This Row], [Team1 laps '[laps']]:[Team9 laps '[laps']]]) - intermediate_results[[#This Row], [Team1 laps '[laps']]]</f>
        <v>0</v>
      </c>
      <c r="U5" s="3">
        <f>MAX(intermediate_results[[#This Row], [Team1 laps '[laps']]:[Team9 laps '[laps']]]) - intermediate_results[[#This Row], [Team2 laps '[laps']]]</f>
        <v>0</v>
      </c>
      <c r="V5" s="3">
        <f>MAX(intermediate_results[[#This Row], [Team1 laps '[laps']]:[Team9 laps '[laps']]]) - intermediate_results[[#This Row], [Team3 laps '[laps']]]</f>
        <v>0</v>
      </c>
      <c r="W5" s="3">
        <f>MAX(intermediate_results[[#This Row], [Team1 laps '[laps']]:[Team9 laps '[laps']]]) - intermediate_results[[#This Row], [Team4 laps '[laps']]]</f>
        <v>0</v>
      </c>
      <c r="X5" s="3">
        <f>MAX(intermediate_results[[#This Row], [Team1 laps '[laps']]:[Team9 laps '[laps']]]) - intermediate_results[[#This Row], [Team5 laps '[laps']]]</f>
        <v>0</v>
      </c>
      <c r="Y5" s="3">
        <f>MAX(intermediate_results[[#This Row], [Team1 laps '[laps']]:[Team9 laps '[laps']]]) - intermediate_results[[#This Row], [Team6 laps '[laps']]]</f>
        <v>0</v>
      </c>
      <c r="Z5" s="3">
        <f>MAX(intermediate_results[[#This Row], [Team1 laps '[laps']]:[Team9 laps '[laps']]]) - intermediate_results[[#This Row], [Team7 laps '[laps']]]</f>
        <v>0</v>
      </c>
      <c r="AA5" s="3">
        <f>MAX(intermediate_results[[#This Row], [Team1 laps '[laps']]:[Team9 laps '[laps']]]) - intermediate_results[[#This Row], [Team8 laps '[laps']]]</f>
        <v>0</v>
      </c>
      <c r="AB5" s="3">
        <f>MAX(intermediate_results[[#This Row], [Team1 laps '[laps']]:[Team9 laps '[laps']]]) - intermediate_results[[#This Row], [Team9 laps '[laps']]]</f>
        <v>0</v>
      </c>
      <c r="AC5" s="3">
        <f>9 * intermediate_results[[#This Row], [All cumulative times '[sec']]] / SUM(intermediate_results[[#This Row], [Team1 laps '[laps']]:[Team9 laps '[laps']]])</f>
        <v>0</v>
      </c>
      <c r="AD5" s="3">
        <f>intermediate_results[[#This Row], [All cumulative times '[sec']]] / intermediate_results[[#This Row], [Team1 laps '[laps']]] - intermediate_results[[#This Row], [Total running average '[sec']]]</f>
        <v>0</v>
      </c>
      <c r="AE5" s="3">
        <f>intermediate_results[[#This Row], [All cumulative times '[sec']]] / intermediate_results[[#This Row], [Team2 laps '[laps']]] - intermediate_results[[#This Row], [Total running average '[sec']]]</f>
        <v>0</v>
      </c>
      <c r="AF5" s="3">
        <f>intermediate_results[[#This Row], [All cumulative times '[sec']]] / intermediate_results[[#This Row], [Team3 laps '[laps']]] - intermediate_results[[#This Row], [Total running average '[sec']]]</f>
        <v>0</v>
      </c>
      <c r="AG5" s="3">
        <f>intermediate_results[[#This Row], [All cumulative times '[sec']]] / intermediate_results[[#This Row], [Team4 laps '[laps']]] - intermediate_results[[#This Row], [Total running average '[sec']]]</f>
        <v>0</v>
      </c>
      <c r="AH5" s="3">
        <f>intermediate_results[[#This Row], [All cumulative times '[sec']]] / intermediate_results[[#This Row], [Team5 laps '[laps']]] - intermediate_results[[#This Row], [Total running average '[sec']]]</f>
        <v>0</v>
      </c>
      <c r="AI5" s="3">
        <f>intermediate_results[[#This Row], [All cumulative times '[sec']]] / intermediate_results[[#This Row], [Team6 laps '[laps']]] - intermediate_results[[#This Row], [Total running average '[sec']]]</f>
        <v>0</v>
      </c>
      <c r="AJ5" s="3">
        <f>intermediate_results[[#This Row], [All cumulative times '[sec']]] / intermediate_results[[#This Row], [Team7 laps '[laps']]] - intermediate_results[[#This Row], [Total running average '[sec']]]</f>
        <v>0</v>
      </c>
      <c r="AK5" s="3">
        <f>intermediate_results[[#This Row], [All cumulative times '[sec']]] / intermediate_results[[#This Row], [Team8 laps '[laps']]] - intermediate_results[[#This Row], [Total running average '[sec']]]</f>
        <v>0</v>
      </c>
      <c r="AL5" s="3">
        <f>intermediate_results[[#This Row], [All cumulative times '[sec']]] / intermediate_results[[#This Row], [Team9 laps '[laps']]] - intermediate_results[[#This Row], [Total running average '[sec']]]</f>
        <v>0</v>
      </c>
    </row>
    <row r="6" spans="1:38">
      <c r="A6" s="3">
        <v>55.91</v>
      </c>
      <c r="B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" s="3">
        <f>intermediate_results[[#This Row], [Team1 laps '[laps']]] - intermediate_results[[#This Row], [Team1 laps '[laps']]]</f>
        <v>0</v>
      </c>
      <c r="L6" s="3">
        <f>intermediate_results[[#This Row], [Team1 laps '[laps']]] - intermediate_results[[#This Row], [Team2 laps '[laps']]]</f>
        <v>0</v>
      </c>
      <c r="M6" s="3">
        <f>intermediate_results[[#This Row], [Team1 laps '[laps']]] - intermediate_results[[#This Row], [Team3 laps '[laps']]]</f>
        <v>0</v>
      </c>
      <c r="N6" s="3">
        <f>intermediate_results[[#This Row], [Team1 laps '[laps']]] - intermediate_results[[#This Row], [Team4 laps '[laps']]]</f>
        <v>0</v>
      </c>
      <c r="O6" s="3">
        <f>intermediate_results[[#This Row], [Team1 laps '[laps']]] - intermediate_results[[#This Row], [Team5 laps '[laps']]]</f>
        <v>0</v>
      </c>
      <c r="P6" s="3">
        <f>intermediate_results[[#This Row], [Team1 laps '[laps']]] - intermediate_results[[#This Row], [Team6 laps '[laps']]]</f>
        <v>0</v>
      </c>
      <c r="Q6" s="3">
        <f>intermediate_results[[#This Row], [Team1 laps '[laps']]] - intermediate_results[[#This Row], [Team7 laps '[laps']]]</f>
        <v>0</v>
      </c>
      <c r="R6" s="3">
        <f>intermediate_results[[#This Row], [Team1 laps '[laps']]] - intermediate_results[[#This Row], [Team8 laps '[laps']]]</f>
        <v>0</v>
      </c>
      <c r="S6" s="3">
        <f>intermediate_results[[#This Row], [Team1 laps '[laps']]] - intermediate_results[[#This Row], [Team9 laps '[laps']]]</f>
        <v>0</v>
      </c>
      <c r="T6" s="3">
        <f>MAX(intermediate_results[[#This Row], [Team1 laps '[laps']]:[Team9 laps '[laps']]]) - intermediate_results[[#This Row], [Team1 laps '[laps']]]</f>
        <v>0</v>
      </c>
      <c r="U6" s="3">
        <f>MAX(intermediate_results[[#This Row], [Team1 laps '[laps']]:[Team9 laps '[laps']]]) - intermediate_results[[#This Row], [Team2 laps '[laps']]]</f>
        <v>0</v>
      </c>
      <c r="V6" s="3">
        <f>MAX(intermediate_results[[#This Row], [Team1 laps '[laps']]:[Team9 laps '[laps']]]) - intermediate_results[[#This Row], [Team3 laps '[laps']]]</f>
        <v>0</v>
      </c>
      <c r="W6" s="3">
        <f>MAX(intermediate_results[[#This Row], [Team1 laps '[laps']]:[Team9 laps '[laps']]]) - intermediate_results[[#This Row], [Team4 laps '[laps']]]</f>
        <v>0</v>
      </c>
      <c r="X6" s="3">
        <f>MAX(intermediate_results[[#This Row], [Team1 laps '[laps']]:[Team9 laps '[laps']]]) - intermediate_results[[#This Row], [Team5 laps '[laps']]]</f>
        <v>0</v>
      </c>
      <c r="Y6" s="3">
        <f>MAX(intermediate_results[[#This Row], [Team1 laps '[laps']]:[Team9 laps '[laps']]]) - intermediate_results[[#This Row], [Team6 laps '[laps']]]</f>
        <v>0</v>
      </c>
      <c r="Z6" s="3">
        <f>MAX(intermediate_results[[#This Row], [Team1 laps '[laps']]:[Team9 laps '[laps']]]) - intermediate_results[[#This Row], [Team7 laps '[laps']]]</f>
        <v>0</v>
      </c>
      <c r="AA6" s="3">
        <f>MAX(intermediate_results[[#This Row], [Team1 laps '[laps']]:[Team9 laps '[laps']]]) - intermediate_results[[#This Row], [Team8 laps '[laps']]]</f>
        <v>0</v>
      </c>
      <c r="AB6" s="3">
        <f>MAX(intermediate_results[[#This Row], [Team1 laps '[laps']]:[Team9 laps '[laps']]]) - intermediate_results[[#This Row], [Team9 laps '[laps']]]</f>
        <v>0</v>
      </c>
      <c r="AC6" s="3">
        <f>9 * intermediate_results[[#This Row], [All cumulative times '[sec']]] / SUM(intermediate_results[[#This Row], [Team1 laps '[laps']]:[Team9 laps '[laps']]])</f>
        <v>0</v>
      </c>
      <c r="AD6" s="3">
        <f>intermediate_results[[#This Row], [All cumulative times '[sec']]] / intermediate_results[[#This Row], [Team1 laps '[laps']]] - intermediate_results[[#This Row], [Total running average '[sec']]]</f>
        <v>0</v>
      </c>
      <c r="AE6" s="3">
        <f>intermediate_results[[#This Row], [All cumulative times '[sec']]] / intermediate_results[[#This Row], [Team2 laps '[laps']]] - intermediate_results[[#This Row], [Total running average '[sec']]]</f>
        <v>0</v>
      </c>
      <c r="AF6" s="3">
        <f>intermediate_results[[#This Row], [All cumulative times '[sec']]] / intermediate_results[[#This Row], [Team3 laps '[laps']]] - intermediate_results[[#This Row], [Total running average '[sec']]]</f>
        <v>0</v>
      </c>
      <c r="AG6" s="3">
        <f>intermediate_results[[#This Row], [All cumulative times '[sec']]] / intermediate_results[[#This Row], [Team4 laps '[laps']]] - intermediate_results[[#This Row], [Total running average '[sec']]]</f>
        <v>0</v>
      </c>
      <c r="AH6" s="3">
        <f>intermediate_results[[#This Row], [All cumulative times '[sec']]] / intermediate_results[[#This Row], [Team5 laps '[laps']]] - intermediate_results[[#This Row], [Total running average '[sec']]]</f>
        <v>0</v>
      </c>
      <c r="AI6" s="3">
        <f>intermediate_results[[#This Row], [All cumulative times '[sec']]] / intermediate_results[[#This Row], [Team6 laps '[laps']]] - intermediate_results[[#This Row], [Total running average '[sec']]]</f>
        <v>0</v>
      </c>
      <c r="AJ6" s="3">
        <f>intermediate_results[[#This Row], [All cumulative times '[sec']]] / intermediate_results[[#This Row], [Team7 laps '[laps']]] - intermediate_results[[#This Row], [Total running average '[sec']]]</f>
        <v>0</v>
      </c>
      <c r="AK6" s="3">
        <f>intermediate_results[[#This Row], [All cumulative times '[sec']]] / intermediate_results[[#This Row], [Team8 laps '[laps']]] - intermediate_results[[#This Row], [Total running average '[sec']]]</f>
        <v>0</v>
      </c>
      <c r="AL6" s="3">
        <f>intermediate_results[[#This Row], [All cumulative times '[sec']]] / intermediate_results[[#This Row], [Team9 laps '[laps']]] - intermediate_results[[#This Row], [Total running average '[sec']]]</f>
        <v>0</v>
      </c>
    </row>
    <row r="7" spans="1:38">
      <c r="A7" s="3">
        <v>56.984</v>
      </c>
      <c r="B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" s="3">
        <f>intermediate_results[[#This Row], [Team1 laps '[laps']]] - intermediate_results[[#This Row], [Team1 laps '[laps']]]</f>
        <v>0</v>
      </c>
      <c r="L7" s="3">
        <f>intermediate_results[[#This Row], [Team1 laps '[laps']]] - intermediate_results[[#This Row], [Team2 laps '[laps']]]</f>
        <v>0</v>
      </c>
      <c r="M7" s="3">
        <f>intermediate_results[[#This Row], [Team1 laps '[laps']]] - intermediate_results[[#This Row], [Team3 laps '[laps']]]</f>
        <v>0</v>
      </c>
      <c r="N7" s="3">
        <f>intermediate_results[[#This Row], [Team1 laps '[laps']]] - intermediate_results[[#This Row], [Team4 laps '[laps']]]</f>
        <v>0</v>
      </c>
      <c r="O7" s="3">
        <f>intermediate_results[[#This Row], [Team1 laps '[laps']]] - intermediate_results[[#This Row], [Team5 laps '[laps']]]</f>
        <v>0</v>
      </c>
      <c r="P7" s="3">
        <f>intermediate_results[[#This Row], [Team1 laps '[laps']]] - intermediate_results[[#This Row], [Team6 laps '[laps']]]</f>
        <v>0</v>
      </c>
      <c r="Q7" s="3">
        <f>intermediate_results[[#This Row], [Team1 laps '[laps']]] - intermediate_results[[#This Row], [Team7 laps '[laps']]]</f>
        <v>0</v>
      </c>
      <c r="R7" s="3">
        <f>intermediate_results[[#This Row], [Team1 laps '[laps']]] - intermediate_results[[#This Row], [Team8 laps '[laps']]]</f>
        <v>0</v>
      </c>
      <c r="S7" s="3">
        <f>intermediate_results[[#This Row], [Team1 laps '[laps']]] - intermediate_results[[#This Row], [Team9 laps '[laps']]]</f>
        <v>0</v>
      </c>
      <c r="T7" s="3">
        <f>MAX(intermediate_results[[#This Row], [Team1 laps '[laps']]:[Team9 laps '[laps']]]) - intermediate_results[[#This Row], [Team1 laps '[laps']]]</f>
        <v>0</v>
      </c>
      <c r="U7" s="3">
        <f>MAX(intermediate_results[[#This Row], [Team1 laps '[laps']]:[Team9 laps '[laps']]]) - intermediate_results[[#This Row], [Team2 laps '[laps']]]</f>
        <v>0</v>
      </c>
      <c r="V7" s="3">
        <f>MAX(intermediate_results[[#This Row], [Team1 laps '[laps']]:[Team9 laps '[laps']]]) - intermediate_results[[#This Row], [Team3 laps '[laps']]]</f>
        <v>0</v>
      </c>
      <c r="W7" s="3">
        <f>MAX(intermediate_results[[#This Row], [Team1 laps '[laps']]:[Team9 laps '[laps']]]) - intermediate_results[[#This Row], [Team4 laps '[laps']]]</f>
        <v>0</v>
      </c>
      <c r="X7" s="3">
        <f>MAX(intermediate_results[[#This Row], [Team1 laps '[laps']]:[Team9 laps '[laps']]]) - intermediate_results[[#This Row], [Team5 laps '[laps']]]</f>
        <v>0</v>
      </c>
      <c r="Y7" s="3">
        <f>MAX(intermediate_results[[#This Row], [Team1 laps '[laps']]:[Team9 laps '[laps']]]) - intermediate_results[[#This Row], [Team6 laps '[laps']]]</f>
        <v>0</v>
      </c>
      <c r="Z7" s="3">
        <f>MAX(intermediate_results[[#This Row], [Team1 laps '[laps']]:[Team9 laps '[laps']]]) - intermediate_results[[#This Row], [Team7 laps '[laps']]]</f>
        <v>0</v>
      </c>
      <c r="AA7" s="3">
        <f>MAX(intermediate_results[[#This Row], [Team1 laps '[laps']]:[Team9 laps '[laps']]]) - intermediate_results[[#This Row], [Team8 laps '[laps']]]</f>
        <v>0</v>
      </c>
      <c r="AB7" s="3">
        <f>MAX(intermediate_results[[#This Row], [Team1 laps '[laps']]:[Team9 laps '[laps']]]) - intermediate_results[[#This Row], [Team9 laps '[laps']]]</f>
        <v>0</v>
      </c>
      <c r="AC7" s="3">
        <f>9 * intermediate_results[[#This Row], [All cumulative times '[sec']]] / SUM(intermediate_results[[#This Row], [Team1 laps '[laps']]:[Team9 laps '[laps']]])</f>
        <v>0</v>
      </c>
      <c r="AD7" s="3">
        <f>intermediate_results[[#This Row], [All cumulative times '[sec']]] / intermediate_results[[#This Row], [Team1 laps '[laps']]] - intermediate_results[[#This Row], [Total running average '[sec']]]</f>
        <v>0</v>
      </c>
      <c r="AE7" s="3">
        <f>intermediate_results[[#This Row], [All cumulative times '[sec']]] / intermediate_results[[#This Row], [Team2 laps '[laps']]] - intermediate_results[[#This Row], [Total running average '[sec']]]</f>
        <v>0</v>
      </c>
      <c r="AF7" s="3">
        <f>intermediate_results[[#This Row], [All cumulative times '[sec']]] / intermediate_results[[#This Row], [Team3 laps '[laps']]] - intermediate_results[[#This Row], [Total running average '[sec']]]</f>
        <v>0</v>
      </c>
      <c r="AG7" s="3">
        <f>intermediate_results[[#This Row], [All cumulative times '[sec']]] / intermediate_results[[#This Row], [Team4 laps '[laps']]] - intermediate_results[[#This Row], [Total running average '[sec']]]</f>
        <v>0</v>
      </c>
      <c r="AH7" s="3">
        <f>intermediate_results[[#This Row], [All cumulative times '[sec']]] / intermediate_results[[#This Row], [Team5 laps '[laps']]] - intermediate_results[[#This Row], [Total running average '[sec']]]</f>
        <v>0</v>
      </c>
      <c r="AI7" s="3">
        <f>intermediate_results[[#This Row], [All cumulative times '[sec']]] / intermediate_results[[#This Row], [Team6 laps '[laps']]] - intermediate_results[[#This Row], [Total running average '[sec']]]</f>
        <v>0</v>
      </c>
      <c r="AJ7" s="3">
        <f>intermediate_results[[#This Row], [All cumulative times '[sec']]] / intermediate_results[[#This Row], [Team7 laps '[laps']]] - intermediate_results[[#This Row], [Total running average '[sec']]]</f>
        <v>0</v>
      </c>
      <c r="AK7" s="3">
        <f>intermediate_results[[#This Row], [All cumulative times '[sec']]] / intermediate_results[[#This Row], [Team8 laps '[laps']]] - intermediate_results[[#This Row], [Total running average '[sec']]]</f>
        <v>0</v>
      </c>
      <c r="AL7" s="3">
        <f>intermediate_results[[#This Row], [All cumulative times '[sec']]] / intermediate_results[[#This Row], [Team9 laps '[laps']]] - intermediate_results[[#This Row], [Total running average '[sec']]]</f>
        <v>0</v>
      </c>
    </row>
    <row r="8" spans="1:38">
      <c r="A8" s="3">
        <v>57.092</v>
      </c>
      <c r="B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" s="3">
        <f>intermediate_results[[#This Row], [Team1 laps '[laps']]] - intermediate_results[[#This Row], [Team1 laps '[laps']]]</f>
        <v>0</v>
      </c>
      <c r="L8" s="3">
        <f>intermediate_results[[#This Row], [Team1 laps '[laps']]] - intermediate_results[[#This Row], [Team2 laps '[laps']]]</f>
        <v>0</v>
      </c>
      <c r="M8" s="3">
        <f>intermediate_results[[#This Row], [Team1 laps '[laps']]] - intermediate_results[[#This Row], [Team3 laps '[laps']]]</f>
        <v>0</v>
      </c>
      <c r="N8" s="3">
        <f>intermediate_results[[#This Row], [Team1 laps '[laps']]] - intermediate_results[[#This Row], [Team4 laps '[laps']]]</f>
        <v>0</v>
      </c>
      <c r="O8" s="3">
        <f>intermediate_results[[#This Row], [Team1 laps '[laps']]] - intermediate_results[[#This Row], [Team5 laps '[laps']]]</f>
        <v>0</v>
      </c>
      <c r="P8" s="3">
        <f>intermediate_results[[#This Row], [Team1 laps '[laps']]] - intermediate_results[[#This Row], [Team6 laps '[laps']]]</f>
        <v>0</v>
      </c>
      <c r="Q8" s="3">
        <f>intermediate_results[[#This Row], [Team1 laps '[laps']]] - intermediate_results[[#This Row], [Team7 laps '[laps']]]</f>
        <v>0</v>
      </c>
      <c r="R8" s="3">
        <f>intermediate_results[[#This Row], [Team1 laps '[laps']]] - intermediate_results[[#This Row], [Team8 laps '[laps']]]</f>
        <v>0</v>
      </c>
      <c r="S8" s="3">
        <f>intermediate_results[[#This Row], [Team1 laps '[laps']]] - intermediate_results[[#This Row], [Team9 laps '[laps']]]</f>
        <v>0</v>
      </c>
      <c r="T8" s="3">
        <f>MAX(intermediate_results[[#This Row], [Team1 laps '[laps']]:[Team9 laps '[laps']]]) - intermediate_results[[#This Row], [Team1 laps '[laps']]]</f>
        <v>0</v>
      </c>
      <c r="U8" s="3">
        <f>MAX(intermediate_results[[#This Row], [Team1 laps '[laps']]:[Team9 laps '[laps']]]) - intermediate_results[[#This Row], [Team2 laps '[laps']]]</f>
        <v>0</v>
      </c>
      <c r="V8" s="3">
        <f>MAX(intermediate_results[[#This Row], [Team1 laps '[laps']]:[Team9 laps '[laps']]]) - intermediate_results[[#This Row], [Team3 laps '[laps']]]</f>
        <v>0</v>
      </c>
      <c r="W8" s="3">
        <f>MAX(intermediate_results[[#This Row], [Team1 laps '[laps']]:[Team9 laps '[laps']]]) - intermediate_results[[#This Row], [Team4 laps '[laps']]]</f>
        <v>0</v>
      </c>
      <c r="X8" s="3">
        <f>MAX(intermediate_results[[#This Row], [Team1 laps '[laps']]:[Team9 laps '[laps']]]) - intermediate_results[[#This Row], [Team5 laps '[laps']]]</f>
        <v>0</v>
      </c>
      <c r="Y8" s="3">
        <f>MAX(intermediate_results[[#This Row], [Team1 laps '[laps']]:[Team9 laps '[laps']]]) - intermediate_results[[#This Row], [Team6 laps '[laps']]]</f>
        <v>0</v>
      </c>
      <c r="Z8" s="3">
        <f>MAX(intermediate_results[[#This Row], [Team1 laps '[laps']]:[Team9 laps '[laps']]]) - intermediate_results[[#This Row], [Team7 laps '[laps']]]</f>
        <v>0</v>
      </c>
      <c r="AA8" s="3">
        <f>MAX(intermediate_results[[#This Row], [Team1 laps '[laps']]:[Team9 laps '[laps']]]) - intermediate_results[[#This Row], [Team8 laps '[laps']]]</f>
        <v>0</v>
      </c>
      <c r="AB8" s="3">
        <f>MAX(intermediate_results[[#This Row], [Team1 laps '[laps']]:[Team9 laps '[laps']]]) - intermediate_results[[#This Row], [Team9 laps '[laps']]]</f>
        <v>0</v>
      </c>
      <c r="AC8" s="3">
        <f>9 * intermediate_results[[#This Row], [All cumulative times '[sec']]] / SUM(intermediate_results[[#This Row], [Team1 laps '[laps']]:[Team9 laps '[laps']]])</f>
        <v>0</v>
      </c>
      <c r="AD8" s="3">
        <f>intermediate_results[[#This Row], [All cumulative times '[sec']]] / intermediate_results[[#This Row], [Team1 laps '[laps']]] - intermediate_results[[#This Row], [Total running average '[sec']]]</f>
        <v>0</v>
      </c>
      <c r="AE8" s="3">
        <f>intermediate_results[[#This Row], [All cumulative times '[sec']]] / intermediate_results[[#This Row], [Team2 laps '[laps']]] - intermediate_results[[#This Row], [Total running average '[sec']]]</f>
        <v>0</v>
      </c>
      <c r="AF8" s="3">
        <f>intermediate_results[[#This Row], [All cumulative times '[sec']]] / intermediate_results[[#This Row], [Team3 laps '[laps']]] - intermediate_results[[#This Row], [Total running average '[sec']]]</f>
        <v>0</v>
      </c>
      <c r="AG8" s="3">
        <f>intermediate_results[[#This Row], [All cumulative times '[sec']]] / intermediate_results[[#This Row], [Team4 laps '[laps']]] - intermediate_results[[#This Row], [Total running average '[sec']]]</f>
        <v>0</v>
      </c>
      <c r="AH8" s="3">
        <f>intermediate_results[[#This Row], [All cumulative times '[sec']]] / intermediate_results[[#This Row], [Team5 laps '[laps']]] - intermediate_results[[#This Row], [Total running average '[sec']]]</f>
        <v>0</v>
      </c>
      <c r="AI8" s="3">
        <f>intermediate_results[[#This Row], [All cumulative times '[sec']]] / intermediate_results[[#This Row], [Team6 laps '[laps']]] - intermediate_results[[#This Row], [Total running average '[sec']]]</f>
        <v>0</v>
      </c>
      <c r="AJ8" s="3">
        <f>intermediate_results[[#This Row], [All cumulative times '[sec']]] / intermediate_results[[#This Row], [Team7 laps '[laps']]] - intermediate_results[[#This Row], [Total running average '[sec']]]</f>
        <v>0</v>
      </c>
      <c r="AK8" s="3">
        <f>intermediate_results[[#This Row], [All cumulative times '[sec']]] / intermediate_results[[#This Row], [Team8 laps '[laps']]] - intermediate_results[[#This Row], [Total running average '[sec']]]</f>
        <v>0</v>
      </c>
      <c r="AL8" s="3">
        <f>intermediate_results[[#This Row], [All cumulative times '[sec']]] / intermediate_results[[#This Row], [Team9 laps '[laps']]] - intermediate_results[[#This Row], [Total running average '[sec']]]</f>
        <v>0</v>
      </c>
    </row>
    <row r="9" spans="1:38">
      <c r="A9" s="3">
        <v>57.483</v>
      </c>
      <c r="B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" s="3">
        <f>intermediate_results[[#This Row], [Team1 laps '[laps']]] - intermediate_results[[#This Row], [Team1 laps '[laps']]]</f>
        <v>0</v>
      </c>
      <c r="L9" s="3">
        <f>intermediate_results[[#This Row], [Team1 laps '[laps']]] - intermediate_results[[#This Row], [Team2 laps '[laps']]]</f>
        <v>0</v>
      </c>
      <c r="M9" s="3">
        <f>intermediate_results[[#This Row], [Team1 laps '[laps']]] - intermediate_results[[#This Row], [Team3 laps '[laps']]]</f>
        <v>0</v>
      </c>
      <c r="N9" s="3">
        <f>intermediate_results[[#This Row], [Team1 laps '[laps']]] - intermediate_results[[#This Row], [Team4 laps '[laps']]]</f>
        <v>0</v>
      </c>
      <c r="O9" s="3">
        <f>intermediate_results[[#This Row], [Team1 laps '[laps']]] - intermediate_results[[#This Row], [Team5 laps '[laps']]]</f>
        <v>0</v>
      </c>
      <c r="P9" s="3">
        <f>intermediate_results[[#This Row], [Team1 laps '[laps']]] - intermediate_results[[#This Row], [Team6 laps '[laps']]]</f>
        <v>0</v>
      </c>
      <c r="Q9" s="3">
        <f>intermediate_results[[#This Row], [Team1 laps '[laps']]] - intermediate_results[[#This Row], [Team7 laps '[laps']]]</f>
        <v>0</v>
      </c>
      <c r="R9" s="3">
        <f>intermediate_results[[#This Row], [Team1 laps '[laps']]] - intermediate_results[[#This Row], [Team8 laps '[laps']]]</f>
        <v>0</v>
      </c>
      <c r="S9" s="3">
        <f>intermediate_results[[#This Row], [Team1 laps '[laps']]] - intermediate_results[[#This Row], [Team9 laps '[laps']]]</f>
        <v>0</v>
      </c>
      <c r="T9" s="3">
        <f>MAX(intermediate_results[[#This Row], [Team1 laps '[laps']]:[Team9 laps '[laps']]]) - intermediate_results[[#This Row], [Team1 laps '[laps']]]</f>
        <v>0</v>
      </c>
      <c r="U9" s="3">
        <f>MAX(intermediate_results[[#This Row], [Team1 laps '[laps']]:[Team9 laps '[laps']]]) - intermediate_results[[#This Row], [Team2 laps '[laps']]]</f>
        <v>0</v>
      </c>
      <c r="V9" s="3">
        <f>MAX(intermediate_results[[#This Row], [Team1 laps '[laps']]:[Team9 laps '[laps']]]) - intermediate_results[[#This Row], [Team3 laps '[laps']]]</f>
        <v>0</v>
      </c>
      <c r="W9" s="3">
        <f>MAX(intermediate_results[[#This Row], [Team1 laps '[laps']]:[Team9 laps '[laps']]]) - intermediate_results[[#This Row], [Team4 laps '[laps']]]</f>
        <v>0</v>
      </c>
      <c r="X9" s="3">
        <f>MAX(intermediate_results[[#This Row], [Team1 laps '[laps']]:[Team9 laps '[laps']]]) - intermediate_results[[#This Row], [Team5 laps '[laps']]]</f>
        <v>0</v>
      </c>
      <c r="Y9" s="3">
        <f>MAX(intermediate_results[[#This Row], [Team1 laps '[laps']]:[Team9 laps '[laps']]]) - intermediate_results[[#This Row], [Team6 laps '[laps']]]</f>
        <v>0</v>
      </c>
      <c r="Z9" s="3">
        <f>MAX(intermediate_results[[#This Row], [Team1 laps '[laps']]:[Team9 laps '[laps']]]) - intermediate_results[[#This Row], [Team7 laps '[laps']]]</f>
        <v>0</v>
      </c>
      <c r="AA9" s="3">
        <f>MAX(intermediate_results[[#This Row], [Team1 laps '[laps']]:[Team9 laps '[laps']]]) - intermediate_results[[#This Row], [Team8 laps '[laps']]]</f>
        <v>0</v>
      </c>
      <c r="AB9" s="3">
        <f>MAX(intermediate_results[[#This Row], [Team1 laps '[laps']]:[Team9 laps '[laps']]]) - intermediate_results[[#This Row], [Team9 laps '[laps']]]</f>
        <v>0</v>
      </c>
      <c r="AC9" s="3">
        <f>9 * intermediate_results[[#This Row], [All cumulative times '[sec']]] / SUM(intermediate_results[[#This Row], [Team1 laps '[laps']]:[Team9 laps '[laps']]])</f>
        <v>0</v>
      </c>
      <c r="AD9" s="3">
        <f>intermediate_results[[#This Row], [All cumulative times '[sec']]] / intermediate_results[[#This Row], [Team1 laps '[laps']]] - intermediate_results[[#This Row], [Total running average '[sec']]]</f>
        <v>0</v>
      </c>
      <c r="AE9" s="3">
        <f>intermediate_results[[#This Row], [All cumulative times '[sec']]] / intermediate_results[[#This Row], [Team2 laps '[laps']]] - intermediate_results[[#This Row], [Total running average '[sec']]]</f>
        <v>0</v>
      </c>
      <c r="AF9" s="3">
        <f>intermediate_results[[#This Row], [All cumulative times '[sec']]] / intermediate_results[[#This Row], [Team3 laps '[laps']]] - intermediate_results[[#This Row], [Total running average '[sec']]]</f>
        <v>0</v>
      </c>
      <c r="AG9" s="3">
        <f>intermediate_results[[#This Row], [All cumulative times '[sec']]] / intermediate_results[[#This Row], [Team4 laps '[laps']]] - intermediate_results[[#This Row], [Total running average '[sec']]]</f>
        <v>0</v>
      </c>
      <c r="AH9" s="3">
        <f>intermediate_results[[#This Row], [All cumulative times '[sec']]] / intermediate_results[[#This Row], [Team5 laps '[laps']]] - intermediate_results[[#This Row], [Total running average '[sec']]]</f>
        <v>0</v>
      </c>
      <c r="AI9" s="3">
        <f>intermediate_results[[#This Row], [All cumulative times '[sec']]] / intermediate_results[[#This Row], [Team6 laps '[laps']]] - intermediate_results[[#This Row], [Total running average '[sec']]]</f>
        <v>0</v>
      </c>
      <c r="AJ9" s="3">
        <f>intermediate_results[[#This Row], [All cumulative times '[sec']]] / intermediate_results[[#This Row], [Team7 laps '[laps']]] - intermediate_results[[#This Row], [Total running average '[sec']]]</f>
        <v>0</v>
      </c>
      <c r="AK9" s="3">
        <f>intermediate_results[[#This Row], [All cumulative times '[sec']]] / intermediate_results[[#This Row], [Team8 laps '[laps']]] - intermediate_results[[#This Row], [Total running average '[sec']]]</f>
        <v>0</v>
      </c>
      <c r="AL9" s="3">
        <f>intermediate_results[[#This Row], [All cumulative times '[sec']]] / intermediate_results[[#This Row], [Team9 laps '[laps']]] - intermediate_results[[#This Row], [Total running average '[sec']]]</f>
        <v>0</v>
      </c>
    </row>
    <row r="10" spans="1:38">
      <c r="A10" s="3">
        <v>58.719</v>
      </c>
      <c r="B1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" s="3">
        <f>intermediate_results[[#This Row], [Team1 laps '[laps']]] - intermediate_results[[#This Row], [Team1 laps '[laps']]]</f>
        <v>0</v>
      </c>
      <c r="L10" s="3">
        <f>intermediate_results[[#This Row], [Team1 laps '[laps']]] - intermediate_results[[#This Row], [Team2 laps '[laps']]]</f>
        <v>0</v>
      </c>
      <c r="M10" s="3">
        <f>intermediate_results[[#This Row], [Team1 laps '[laps']]] - intermediate_results[[#This Row], [Team3 laps '[laps']]]</f>
        <v>0</v>
      </c>
      <c r="N10" s="3">
        <f>intermediate_results[[#This Row], [Team1 laps '[laps']]] - intermediate_results[[#This Row], [Team4 laps '[laps']]]</f>
        <v>0</v>
      </c>
      <c r="O10" s="3">
        <f>intermediate_results[[#This Row], [Team1 laps '[laps']]] - intermediate_results[[#This Row], [Team5 laps '[laps']]]</f>
        <v>0</v>
      </c>
      <c r="P10" s="3">
        <f>intermediate_results[[#This Row], [Team1 laps '[laps']]] - intermediate_results[[#This Row], [Team6 laps '[laps']]]</f>
        <v>0</v>
      </c>
      <c r="Q10" s="3">
        <f>intermediate_results[[#This Row], [Team1 laps '[laps']]] - intermediate_results[[#This Row], [Team7 laps '[laps']]]</f>
        <v>0</v>
      </c>
      <c r="R10" s="3">
        <f>intermediate_results[[#This Row], [Team1 laps '[laps']]] - intermediate_results[[#This Row], [Team8 laps '[laps']]]</f>
        <v>0</v>
      </c>
      <c r="S10" s="3">
        <f>intermediate_results[[#This Row], [Team1 laps '[laps']]] - intermediate_results[[#This Row], [Team9 laps '[laps']]]</f>
        <v>0</v>
      </c>
      <c r="T10" s="3">
        <f>MAX(intermediate_results[[#This Row], [Team1 laps '[laps']]:[Team9 laps '[laps']]]) - intermediate_results[[#This Row], [Team1 laps '[laps']]]</f>
        <v>0</v>
      </c>
      <c r="U10" s="3">
        <f>MAX(intermediate_results[[#This Row], [Team1 laps '[laps']]:[Team9 laps '[laps']]]) - intermediate_results[[#This Row], [Team2 laps '[laps']]]</f>
        <v>0</v>
      </c>
      <c r="V10" s="3">
        <f>MAX(intermediate_results[[#This Row], [Team1 laps '[laps']]:[Team9 laps '[laps']]]) - intermediate_results[[#This Row], [Team3 laps '[laps']]]</f>
        <v>0</v>
      </c>
      <c r="W10" s="3">
        <f>MAX(intermediate_results[[#This Row], [Team1 laps '[laps']]:[Team9 laps '[laps']]]) - intermediate_results[[#This Row], [Team4 laps '[laps']]]</f>
        <v>0</v>
      </c>
      <c r="X10" s="3">
        <f>MAX(intermediate_results[[#This Row], [Team1 laps '[laps']]:[Team9 laps '[laps']]]) - intermediate_results[[#This Row], [Team5 laps '[laps']]]</f>
        <v>0</v>
      </c>
      <c r="Y10" s="3">
        <f>MAX(intermediate_results[[#This Row], [Team1 laps '[laps']]:[Team9 laps '[laps']]]) - intermediate_results[[#This Row], [Team6 laps '[laps']]]</f>
        <v>0</v>
      </c>
      <c r="Z10" s="3">
        <f>MAX(intermediate_results[[#This Row], [Team1 laps '[laps']]:[Team9 laps '[laps']]]) - intermediate_results[[#This Row], [Team7 laps '[laps']]]</f>
        <v>0</v>
      </c>
      <c r="AA10" s="3">
        <f>MAX(intermediate_results[[#This Row], [Team1 laps '[laps']]:[Team9 laps '[laps']]]) - intermediate_results[[#This Row], [Team8 laps '[laps']]]</f>
        <v>0</v>
      </c>
      <c r="AB10" s="3">
        <f>MAX(intermediate_results[[#This Row], [Team1 laps '[laps']]:[Team9 laps '[laps']]]) - intermediate_results[[#This Row], [Team9 laps '[laps']]]</f>
        <v>0</v>
      </c>
      <c r="AC10" s="3">
        <f>9 * intermediate_results[[#This Row], [All cumulative times '[sec']]] / SUM(intermediate_results[[#This Row], [Team1 laps '[laps']]:[Team9 laps '[laps']]])</f>
        <v>0</v>
      </c>
      <c r="AD10" s="3">
        <f>intermediate_results[[#This Row], [All cumulative times '[sec']]] / intermediate_results[[#This Row], [Team1 laps '[laps']]] - intermediate_results[[#This Row], [Total running average '[sec']]]</f>
        <v>0</v>
      </c>
      <c r="AE10" s="3">
        <f>intermediate_results[[#This Row], [All cumulative times '[sec']]] / intermediate_results[[#This Row], [Team2 laps '[laps']]] - intermediate_results[[#This Row], [Total running average '[sec']]]</f>
        <v>0</v>
      </c>
      <c r="AF10" s="3">
        <f>intermediate_results[[#This Row], [All cumulative times '[sec']]] / intermediate_results[[#This Row], [Team3 laps '[laps']]] - intermediate_results[[#This Row], [Total running average '[sec']]]</f>
        <v>0</v>
      </c>
      <c r="AG10" s="3">
        <f>intermediate_results[[#This Row], [All cumulative times '[sec']]] / intermediate_results[[#This Row], [Team4 laps '[laps']]] - intermediate_results[[#This Row], [Total running average '[sec']]]</f>
        <v>0</v>
      </c>
      <c r="AH10" s="3">
        <f>intermediate_results[[#This Row], [All cumulative times '[sec']]] / intermediate_results[[#This Row], [Team5 laps '[laps']]] - intermediate_results[[#This Row], [Total running average '[sec']]]</f>
        <v>0</v>
      </c>
      <c r="AI10" s="3">
        <f>intermediate_results[[#This Row], [All cumulative times '[sec']]] / intermediate_results[[#This Row], [Team6 laps '[laps']]] - intermediate_results[[#This Row], [Total running average '[sec']]]</f>
        <v>0</v>
      </c>
      <c r="AJ10" s="3">
        <f>intermediate_results[[#This Row], [All cumulative times '[sec']]] / intermediate_results[[#This Row], [Team7 laps '[laps']]] - intermediate_results[[#This Row], [Total running average '[sec']]]</f>
        <v>0</v>
      </c>
      <c r="AK10" s="3">
        <f>intermediate_results[[#This Row], [All cumulative times '[sec']]] / intermediate_results[[#This Row], [Team8 laps '[laps']]] - intermediate_results[[#This Row], [Total running average '[sec']]]</f>
        <v>0</v>
      </c>
      <c r="AL10" s="3">
        <f>intermediate_results[[#This Row], [All cumulative times '[sec']]] / intermediate_results[[#This Row], [Team9 laps '[laps']]] - intermediate_results[[#This Row], [Total running average '[sec']]]</f>
        <v>0</v>
      </c>
    </row>
    <row r="11" spans="1:38">
      <c r="A11" s="3">
        <v>107.248</v>
      </c>
      <c r="B1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" s="3">
        <f>intermediate_results[[#This Row], [Team1 laps '[laps']]] - intermediate_results[[#This Row], [Team1 laps '[laps']]]</f>
        <v>0</v>
      </c>
      <c r="L11" s="3">
        <f>intermediate_results[[#This Row], [Team1 laps '[laps']]] - intermediate_results[[#This Row], [Team2 laps '[laps']]]</f>
        <v>0</v>
      </c>
      <c r="M11" s="3">
        <f>intermediate_results[[#This Row], [Team1 laps '[laps']]] - intermediate_results[[#This Row], [Team3 laps '[laps']]]</f>
        <v>0</v>
      </c>
      <c r="N11" s="3">
        <f>intermediate_results[[#This Row], [Team1 laps '[laps']]] - intermediate_results[[#This Row], [Team4 laps '[laps']]]</f>
        <v>0</v>
      </c>
      <c r="O11" s="3">
        <f>intermediate_results[[#This Row], [Team1 laps '[laps']]] - intermediate_results[[#This Row], [Team5 laps '[laps']]]</f>
        <v>0</v>
      </c>
      <c r="P11" s="3">
        <f>intermediate_results[[#This Row], [Team1 laps '[laps']]] - intermediate_results[[#This Row], [Team6 laps '[laps']]]</f>
        <v>0</v>
      </c>
      <c r="Q11" s="3">
        <f>intermediate_results[[#This Row], [Team1 laps '[laps']]] - intermediate_results[[#This Row], [Team7 laps '[laps']]]</f>
        <v>0</v>
      </c>
      <c r="R11" s="3">
        <f>intermediate_results[[#This Row], [Team1 laps '[laps']]] - intermediate_results[[#This Row], [Team8 laps '[laps']]]</f>
        <v>0</v>
      </c>
      <c r="S11" s="3">
        <f>intermediate_results[[#This Row], [Team1 laps '[laps']]] - intermediate_results[[#This Row], [Team9 laps '[laps']]]</f>
        <v>0</v>
      </c>
      <c r="T11" s="3">
        <f>MAX(intermediate_results[[#This Row], [Team1 laps '[laps']]:[Team9 laps '[laps']]]) - intermediate_results[[#This Row], [Team1 laps '[laps']]]</f>
        <v>0</v>
      </c>
      <c r="U11" s="3">
        <f>MAX(intermediate_results[[#This Row], [Team1 laps '[laps']]:[Team9 laps '[laps']]]) - intermediate_results[[#This Row], [Team2 laps '[laps']]]</f>
        <v>0</v>
      </c>
      <c r="V11" s="3">
        <f>MAX(intermediate_results[[#This Row], [Team1 laps '[laps']]:[Team9 laps '[laps']]]) - intermediate_results[[#This Row], [Team3 laps '[laps']]]</f>
        <v>0</v>
      </c>
      <c r="W11" s="3">
        <f>MAX(intermediate_results[[#This Row], [Team1 laps '[laps']]:[Team9 laps '[laps']]]) - intermediate_results[[#This Row], [Team4 laps '[laps']]]</f>
        <v>0</v>
      </c>
      <c r="X11" s="3">
        <f>MAX(intermediate_results[[#This Row], [Team1 laps '[laps']]:[Team9 laps '[laps']]]) - intermediate_results[[#This Row], [Team5 laps '[laps']]]</f>
        <v>0</v>
      </c>
      <c r="Y11" s="3">
        <f>MAX(intermediate_results[[#This Row], [Team1 laps '[laps']]:[Team9 laps '[laps']]]) - intermediate_results[[#This Row], [Team6 laps '[laps']]]</f>
        <v>0</v>
      </c>
      <c r="Z11" s="3">
        <f>MAX(intermediate_results[[#This Row], [Team1 laps '[laps']]:[Team9 laps '[laps']]]) - intermediate_results[[#This Row], [Team7 laps '[laps']]]</f>
        <v>0</v>
      </c>
      <c r="AA11" s="3">
        <f>MAX(intermediate_results[[#This Row], [Team1 laps '[laps']]:[Team9 laps '[laps']]]) - intermediate_results[[#This Row], [Team8 laps '[laps']]]</f>
        <v>0</v>
      </c>
      <c r="AB11" s="3">
        <f>MAX(intermediate_results[[#This Row], [Team1 laps '[laps']]:[Team9 laps '[laps']]]) - intermediate_results[[#This Row], [Team9 laps '[laps']]]</f>
        <v>0</v>
      </c>
      <c r="AC11" s="3">
        <f>9 * intermediate_results[[#This Row], [All cumulative times '[sec']]] / SUM(intermediate_results[[#This Row], [Team1 laps '[laps']]:[Team9 laps '[laps']]])</f>
        <v>0</v>
      </c>
      <c r="AD11" s="3">
        <f>intermediate_results[[#This Row], [All cumulative times '[sec']]] / intermediate_results[[#This Row], [Team1 laps '[laps']]] - intermediate_results[[#This Row], [Total running average '[sec']]]</f>
        <v>0</v>
      </c>
      <c r="AE11" s="3">
        <f>intermediate_results[[#This Row], [All cumulative times '[sec']]] / intermediate_results[[#This Row], [Team2 laps '[laps']]] - intermediate_results[[#This Row], [Total running average '[sec']]]</f>
        <v>0</v>
      </c>
      <c r="AF11" s="3">
        <f>intermediate_results[[#This Row], [All cumulative times '[sec']]] / intermediate_results[[#This Row], [Team3 laps '[laps']]] - intermediate_results[[#This Row], [Total running average '[sec']]]</f>
        <v>0</v>
      </c>
      <c r="AG11" s="3">
        <f>intermediate_results[[#This Row], [All cumulative times '[sec']]] / intermediate_results[[#This Row], [Team4 laps '[laps']]] - intermediate_results[[#This Row], [Total running average '[sec']]]</f>
        <v>0</v>
      </c>
      <c r="AH11" s="3">
        <f>intermediate_results[[#This Row], [All cumulative times '[sec']]] / intermediate_results[[#This Row], [Team5 laps '[laps']]] - intermediate_results[[#This Row], [Total running average '[sec']]]</f>
        <v>0</v>
      </c>
      <c r="AI11" s="3">
        <f>intermediate_results[[#This Row], [All cumulative times '[sec']]] / intermediate_results[[#This Row], [Team6 laps '[laps']]] - intermediate_results[[#This Row], [Total running average '[sec']]]</f>
        <v>0</v>
      </c>
      <c r="AJ11" s="3">
        <f>intermediate_results[[#This Row], [All cumulative times '[sec']]] / intermediate_results[[#This Row], [Team7 laps '[laps']]] - intermediate_results[[#This Row], [Total running average '[sec']]]</f>
        <v>0</v>
      </c>
      <c r="AK11" s="3">
        <f>intermediate_results[[#This Row], [All cumulative times '[sec']]] / intermediate_results[[#This Row], [Team8 laps '[laps']]] - intermediate_results[[#This Row], [Total running average '[sec']]]</f>
        <v>0</v>
      </c>
      <c r="AL11" s="3">
        <f>intermediate_results[[#This Row], [All cumulative times '[sec']]] / intermediate_results[[#This Row], [Team9 laps '[laps']]] - intermediate_results[[#This Row], [Total running average '[sec']]]</f>
        <v>0</v>
      </c>
    </row>
    <row r="12" spans="1:38">
      <c r="A12" s="3">
        <v>107.484</v>
      </c>
      <c r="B1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" s="3">
        <f>intermediate_results[[#This Row], [Team1 laps '[laps']]] - intermediate_results[[#This Row], [Team1 laps '[laps']]]</f>
        <v>0</v>
      </c>
      <c r="L12" s="3">
        <f>intermediate_results[[#This Row], [Team1 laps '[laps']]] - intermediate_results[[#This Row], [Team2 laps '[laps']]]</f>
        <v>0</v>
      </c>
      <c r="M12" s="3">
        <f>intermediate_results[[#This Row], [Team1 laps '[laps']]] - intermediate_results[[#This Row], [Team3 laps '[laps']]]</f>
        <v>0</v>
      </c>
      <c r="N12" s="3">
        <f>intermediate_results[[#This Row], [Team1 laps '[laps']]] - intermediate_results[[#This Row], [Team4 laps '[laps']]]</f>
        <v>0</v>
      </c>
      <c r="O12" s="3">
        <f>intermediate_results[[#This Row], [Team1 laps '[laps']]] - intermediate_results[[#This Row], [Team5 laps '[laps']]]</f>
        <v>0</v>
      </c>
      <c r="P12" s="3">
        <f>intermediate_results[[#This Row], [Team1 laps '[laps']]] - intermediate_results[[#This Row], [Team6 laps '[laps']]]</f>
        <v>0</v>
      </c>
      <c r="Q12" s="3">
        <f>intermediate_results[[#This Row], [Team1 laps '[laps']]] - intermediate_results[[#This Row], [Team7 laps '[laps']]]</f>
        <v>0</v>
      </c>
      <c r="R12" s="3">
        <f>intermediate_results[[#This Row], [Team1 laps '[laps']]] - intermediate_results[[#This Row], [Team8 laps '[laps']]]</f>
        <v>0</v>
      </c>
      <c r="S12" s="3">
        <f>intermediate_results[[#This Row], [Team1 laps '[laps']]] - intermediate_results[[#This Row], [Team9 laps '[laps']]]</f>
        <v>0</v>
      </c>
      <c r="T12" s="3">
        <f>MAX(intermediate_results[[#This Row], [Team1 laps '[laps']]:[Team9 laps '[laps']]]) - intermediate_results[[#This Row], [Team1 laps '[laps']]]</f>
        <v>0</v>
      </c>
      <c r="U12" s="3">
        <f>MAX(intermediate_results[[#This Row], [Team1 laps '[laps']]:[Team9 laps '[laps']]]) - intermediate_results[[#This Row], [Team2 laps '[laps']]]</f>
        <v>0</v>
      </c>
      <c r="V12" s="3">
        <f>MAX(intermediate_results[[#This Row], [Team1 laps '[laps']]:[Team9 laps '[laps']]]) - intermediate_results[[#This Row], [Team3 laps '[laps']]]</f>
        <v>0</v>
      </c>
      <c r="W12" s="3">
        <f>MAX(intermediate_results[[#This Row], [Team1 laps '[laps']]:[Team9 laps '[laps']]]) - intermediate_results[[#This Row], [Team4 laps '[laps']]]</f>
        <v>0</v>
      </c>
      <c r="X12" s="3">
        <f>MAX(intermediate_results[[#This Row], [Team1 laps '[laps']]:[Team9 laps '[laps']]]) - intermediate_results[[#This Row], [Team5 laps '[laps']]]</f>
        <v>0</v>
      </c>
      <c r="Y12" s="3">
        <f>MAX(intermediate_results[[#This Row], [Team1 laps '[laps']]:[Team9 laps '[laps']]]) - intermediate_results[[#This Row], [Team6 laps '[laps']]]</f>
        <v>0</v>
      </c>
      <c r="Z12" s="3">
        <f>MAX(intermediate_results[[#This Row], [Team1 laps '[laps']]:[Team9 laps '[laps']]]) - intermediate_results[[#This Row], [Team7 laps '[laps']]]</f>
        <v>0</v>
      </c>
      <c r="AA12" s="3">
        <f>MAX(intermediate_results[[#This Row], [Team1 laps '[laps']]:[Team9 laps '[laps']]]) - intermediate_results[[#This Row], [Team8 laps '[laps']]]</f>
        <v>0</v>
      </c>
      <c r="AB12" s="3">
        <f>MAX(intermediate_results[[#This Row], [Team1 laps '[laps']]:[Team9 laps '[laps']]]) - intermediate_results[[#This Row], [Team9 laps '[laps']]]</f>
        <v>0</v>
      </c>
      <c r="AC12" s="3">
        <f>9 * intermediate_results[[#This Row], [All cumulative times '[sec']]] / SUM(intermediate_results[[#This Row], [Team1 laps '[laps']]:[Team9 laps '[laps']]])</f>
        <v>0</v>
      </c>
      <c r="AD12" s="3">
        <f>intermediate_results[[#This Row], [All cumulative times '[sec']]] / intermediate_results[[#This Row], [Team1 laps '[laps']]] - intermediate_results[[#This Row], [Total running average '[sec']]]</f>
        <v>0</v>
      </c>
      <c r="AE12" s="3">
        <f>intermediate_results[[#This Row], [All cumulative times '[sec']]] / intermediate_results[[#This Row], [Team2 laps '[laps']]] - intermediate_results[[#This Row], [Total running average '[sec']]]</f>
        <v>0</v>
      </c>
      <c r="AF12" s="3">
        <f>intermediate_results[[#This Row], [All cumulative times '[sec']]] / intermediate_results[[#This Row], [Team3 laps '[laps']]] - intermediate_results[[#This Row], [Total running average '[sec']]]</f>
        <v>0</v>
      </c>
      <c r="AG12" s="3">
        <f>intermediate_results[[#This Row], [All cumulative times '[sec']]] / intermediate_results[[#This Row], [Team4 laps '[laps']]] - intermediate_results[[#This Row], [Total running average '[sec']]]</f>
        <v>0</v>
      </c>
      <c r="AH12" s="3">
        <f>intermediate_results[[#This Row], [All cumulative times '[sec']]] / intermediate_results[[#This Row], [Team5 laps '[laps']]] - intermediate_results[[#This Row], [Total running average '[sec']]]</f>
        <v>0</v>
      </c>
      <c r="AI12" s="3">
        <f>intermediate_results[[#This Row], [All cumulative times '[sec']]] / intermediate_results[[#This Row], [Team6 laps '[laps']]] - intermediate_results[[#This Row], [Total running average '[sec']]]</f>
        <v>0</v>
      </c>
      <c r="AJ12" s="3">
        <f>intermediate_results[[#This Row], [All cumulative times '[sec']]] / intermediate_results[[#This Row], [Team7 laps '[laps']]] - intermediate_results[[#This Row], [Total running average '[sec']]]</f>
        <v>0</v>
      </c>
      <c r="AK12" s="3">
        <f>intermediate_results[[#This Row], [All cumulative times '[sec']]] / intermediate_results[[#This Row], [Team8 laps '[laps']]] - intermediate_results[[#This Row], [Total running average '[sec']]]</f>
        <v>0</v>
      </c>
      <c r="AL12" s="3">
        <f>intermediate_results[[#This Row], [All cumulative times '[sec']]] / intermediate_results[[#This Row], [Team9 laps '[laps']]] - intermediate_results[[#This Row], [Total running average '[sec']]]</f>
        <v>0</v>
      </c>
    </row>
    <row r="13" spans="1:38">
      <c r="A13" s="3">
        <v>109.506</v>
      </c>
      <c r="B1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" s="3">
        <f>intermediate_results[[#This Row], [Team1 laps '[laps']]] - intermediate_results[[#This Row], [Team1 laps '[laps']]]</f>
        <v>0</v>
      </c>
      <c r="L13" s="3">
        <f>intermediate_results[[#This Row], [Team1 laps '[laps']]] - intermediate_results[[#This Row], [Team2 laps '[laps']]]</f>
        <v>0</v>
      </c>
      <c r="M13" s="3">
        <f>intermediate_results[[#This Row], [Team1 laps '[laps']]] - intermediate_results[[#This Row], [Team3 laps '[laps']]]</f>
        <v>0</v>
      </c>
      <c r="N13" s="3">
        <f>intermediate_results[[#This Row], [Team1 laps '[laps']]] - intermediate_results[[#This Row], [Team4 laps '[laps']]]</f>
        <v>0</v>
      </c>
      <c r="O13" s="3">
        <f>intermediate_results[[#This Row], [Team1 laps '[laps']]] - intermediate_results[[#This Row], [Team5 laps '[laps']]]</f>
        <v>0</v>
      </c>
      <c r="P13" s="3">
        <f>intermediate_results[[#This Row], [Team1 laps '[laps']]] - intermediate_results[[#This Row], [Team6 laps '[laps']]]</f>
        <v>0</v>
      </c>
      <c r="Q13" s="3">
        <f>intermediate_results[[#This Row], [Team1 laps '[laps']]] - intermediate_results[[#This Row], [Team7 laps '[laps']]]</f>
        <v>0</v>
      </c>
      <c r="R13" s="3">
        <f>intermediate_results[[#This Row], [Team1 laps '[laps']]] - intermediate_results[[#This Row], [Team8 laps '[laps']]]</f>
        <v>0</v>
      </c>
      <c r="S13" s="3">
        <f>intermediate_results[[#This Row], [Team1 laps '[laps']]] - intermediate_results[[#This Row], [Team9 laps '[laps']]]</f>
        <v>0</v>
      </c>
      <c r="T13" s="3">
        <f>MAX(intermediate_results[[#This Row], [Team1 laps '[laps']]:[Team9 laps '[laps']]]) - intermediate_results[[#This Row], [Team1 laps '[laps']]]</f>
        <v>0</v>
      </c>
      <c r="U13" s="3">
        <f>MAX(intermediate_results[[#This Row], [Team1 laps '[laps']]:[Team9 laps '[laps']]]) - intermediate_results[[#This Row], [Team2 laps '[laps']]]</f>
        <v>0</v>
      </c>
      <c r="V13" s="3">
        <f>MAX(intermediate_results[[#This Row], [Team1 laps '[laps']]:[Team9 laps '[laps']]]) - intermediate_results[[#This Row], [Team3 laps '[laps']]]</f>
        <v>0</v>
      </c>
      <c r="W13" s="3">
        <f>MAX(intermediate_results[[#This Row], [Team1 laps '[laps']]:[Team9 laps '[laps']]]) - intermediate_results[[#This Row], [Team4 laps '[laps']]]</f>
        <v>0</v>
      </c>
      <c r="X13" s="3">
        <f>MAX(intermediate_results[[#This Row], [Team1 laps '[laps']]:[Team9 laps '[laps']]]) - intermediate_results[[#This Row], [Team5 laps '[laps']]]</f>
        <v>0</v>
      </c>
      <c r="Y13" s="3">
        <f>MAX(intermediate_results[[#This Row], [Team1 laps '[laps']]:[Team9 laps '[laps']]]) - intermediate_results[[#This Row], [Team6 laps '[laps']]]</f>
        <v>0</v>
      </c>
      <c r="Z13" s="3">
        <f>MAX(intermediate_results[[#This Row], [Team1 laps '[laps']]:[Team9 laps '[laps']]]) - intermediate_results[[#This Row], [Team7 laps '[laps']]]</f>
        <v>0</v>
      </c>
      <c r="AA13" s="3">
        <f>MAX(intermediate_results[[#This Row], [Team1 laps '[laps']]:[Team9 laps '[laps']]]) - intermediate_results[[#This Row], [Team8 laps '[laps']]]</f>
        <v>0</v>
      </c>
      <c r="AB13" s="3">
        <f>MAX(intermediate_results[[#This Row], [Team1 laps '[laps']]:[Team9 laps '[laps']]]) - intermediate_results[[#This Row], [Team9 laps '[laps']]]</f>
        <v>0</v>
      </c>
      <c r="AC13" s="3">
        <f>9 * intermediate_results[[#This Row], [All cumulative times '[sec']]] / SUM(intermediate_results[[#This Row], [Team1 laps '[laps']]:[Team9 laps '[laps']]])</f>
        <v>0</v>
      </c>
      <c r="AD13" s="3">
        <f>intermediate_results[[#This Row], [All cumulative times '[sec']]] / intermediate_results[[#This Row], [Team1 laps '[laps']]] - intermediate_results[[#This Row], [Total running average '[sec']]]</f>
        <v>0</v>
      </c>
      <c r="AE13" s="3">
        <f>intermediate_results[[#This Row], [All cumulative times '[sec']]] / intermediate_results[[#This Row], [Team2 laps '[laps']]] - intermediate_results[[#This Row], [Total running average '[sec']]]</f>
        <v>0</v>
      </c>
      <c r="AF13" s="3">
        <f>intermediate_results[[#This Row], [All cumulative times '[sec']]] / intermediate_results[[#This Row], [Team3 laps '[laps']]] - intermediate_results[[#This Row], [Total running average '[sec']]]</f>
        <v>0</v>
      </c>
      <c r="AG13" s="3">
        <f>intermediate_results[[#This Row], [All cumulative times '[sec']]] / intermediate_results[[#This Row], [Team4 laps '[laps']]] - intermediate_results[[#This Row], [Total running average '[sec']]]</f>
        <v>0</v>
      </c>
      <c r="AH13" s="3">
        <f>intermediate_results[[#This Row], [All cumulative times '[sec']]] / intermediate_results[[#This Row], [Team5 laps '[laps']]] - intermediate_results[[#This Row], [Total running average '[sec']]]</f>
        <v>0</v>
      </c>
      <c r="AI13" s="3">
        <f>intermediate_results[[#This Row], [All cumulative times '[sec']]] / intermediate_results[[#This Row], [Team6 laps '[laps']]] - intermediate_results[[#This Row], [Total running average '[sec']]]</f>
        <v>0</v>
      </c>
      <c r="AJ13" s="3">
        <f>intermediate_results[[#This Row], [All cumulative times '[sec']]] / intermediate_results[[#This Row], [Team7 laps '[laps']]] - intermediate_results[[#This Row], [Total running average '[sec']]]</f>
        <v>0</v>
      </c>
      <c r="AK13" s="3">
        <f>intermediate_results[[#This Row], [All cumulative times '[sec']]] / intermediate_results[[#This Row], [Team8 laps '[laps']]] - intermediate_results[[#This Row], [Total running average '[sec']]]</f>
        <v>0</v>
      </c>
      <c r="AL13" s="3">
        <f>intermediate_results[[#This Row], [All cumulative times '[sec']]] / intermediate_results[[#This Row], [Team9 laps '[laps']]] - intermediate_results[[#This Row], [Total running average '[sec']]]</f>
        <v>0</v>
      </c>
    </row>
    <row r="14" spans="1:38">
      <c r="A14" s="3">
        <v>111.094</v>
      </c>
      <c r="B1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" s="3">
        <f>intermediate_results[[#This Row], [Team1 laps '[laps']]] - intermediate_results[[#This Row], [Team1 laps '[laps']]]</f>
        <v>0</v>
      </c>
      <c r="L14" s="3">
        <f>intermediate_results[[#This Row], [Team1 laps '[laps']]] - intermediate_results[[#This Row], [Team2 laps '[laps']]]</f>
        <v>0</v>
      </c>
      <c r="M14" s="3">
        <f>intermediate_results[[#This Row], [Team1 laps '[laps']]] - intermediate_results[[#This Row], [Team3 laps '[laps']]]</f>
        <v>0</v>
      </c>
      <c r="N14" s="3">
        <f>intermediate_results[[#This Row], [Team1 laps '[laps']]] - intermediate_results[[#This Row], [Team4 laps '[laps']]]</f>
        <v>0</v>
      </c>
      <c r="O14" s="3">
        <f>intermediate_results[[#This Row], [Team1 laps '[laps']]] - intermediate_results[[#This Row], [Team5 laps '[laps']]]</f>
        <v>0</v>
      </c>
      <c r="P14" s="3">
        <f>intermediate_results[[#This Row], [Team1 laps '[laps']]] - intermediate_results[[#This Row], [Team6 laps '[laps']]]</f>
        <v>0</v>
      </c>
      <c r="Q14" s="3">
        <f>intermediate_results[[#This Row], [Team1 laps '[laps']]] - intermediate_results[[#This Row], [Team7 laps '[laps']]]</f>
        <v>0</v>
      </c>
      <c r="R14" s="3">
        <f>intermediate_results[[#This Row], [Team1 laps '[laps']]] - intermediate_results[[#This Row], [Team8 laps '[laps']]]</f>
        <v>0</v>
      </c>
      <c r="S14" s="3">
        <f>intermediate_results[[#This Row], [Team1 laps '[laps']]] - intermediate_results[[#This Row], [Team9 laps '[laps']]]</f>
        <v>0</v>
      </c>
      <c r="T14" s="3">
        <f>MAX(intermediate_results[[#This Row], [Team1 laps '[laps']]:[Team9 laps '[laps']]]) - intermediate_results[[#This Row], [Team1 laps '[laps']]]</f>
        <v>0</v>
      </c>
      <c r="U14" s="3">
        <f>MAX(intermediate_results[[#This Row], [Team1 laps '[laps']]:[Team9 laps '[laps']]]) - intermediate_results[[#This Row], [Team2 laps '[laps']]]</f>
        <v>0</v>
      </c>
      <c r="V14" s="3">
        <f>MAX(intermediate_results[[#This Row], [Team1 laps '[laps']]:[Team9 laps '[laps']]]) - intermediate_results[[#This Row], [Team3 laps '[laps']]]</f>
        <v>0</v>
      </c>
      <c r="W14" s="3">
        <f>MAX(intermediate_results[[#This Row], [Team1 laps '[laps']]:[Team9 laps '[laps']]]) - intermediate_results[[#This Row], [Team4 laps '[laps']]]</f>
        <v>0</v>
      </c>
      <c r="X14" s="3">
        <f>MAX(intermediate_results[[#This Row], [Team1 laps '[laps']]:[Team9 laps '[laps']]]) - intermediate_results[[#This Row], [Team5 laps '[laps']]]</f>
        <v>0</v>
      </c>
      <c r="Y14" s="3">
        <f>MAX(intermediate_results[[#This Row], [Team1 laps '[laps']]:[Team9 laps '[laps']]]) - intermediate_results[[#This Row], [Team6 laps '[laps']]]</f>
        <v>0</v>
      </c>
      <c r="Z14" s="3">
        <f>MAX(intermediate_results[[#This Row], [Team1 laps '[laps']]:[Team9 laps '[laps']]]) - intermediate_results[[#This Row], [Team7 laps '[laps']]]</f>
        <v>0</v>
      </c>
      <c r="AA14" s="3">
        <f>MAX(intermediate_results[[#This Row], [Team1 laps '[laps']]:[Team9 laps '[laps']]]) - intermediate_results[[#This Row], [Team8 laps '[laps']]]</f>
        <v>0</v>
      </c>
      <c r="AB14" s="3">
        <f>MAX(intermediate_results[[#This Row], [Team1 laps '[laps']]:[Team9 laps '[laps']]]) - intermediate_results[[#This Row], [Team9 laps '[laps']]]</f>
        <v>0</v>
      </c>
      <c r="AC14" s="3">
        <f>9 * intermediate_results[[#This Row], [All cumulative times '[sec']]] / SUM(intermediate_results[[#This Row], [Team1 laps '[laps']]:[Team9 laps '[laps']]])</f>
        <v>0</v>
      </c>
      <c r="AD14" s="3">
        <f>intermediate_results[[#This Row], [All cumulative times '[sec']]] / intermediate_results[[#This Row], [Team1 laps '[laps']]] - intermediate_results[[#This Row], [Total running average '[sec']]]</f>
        <v>0</v>
      </c>
      <c r="AE14" s="3">
        <f>intermediate_results[[#This Row], [All cumulative times '[sec']]] / intermediate_results[[#This Row], [Team2 laps '[laps']]] - intermediate_results[[#This Row], [Total running average '[sec']]]</f>
        <v>0</v>
      </c>
      <c r="AF14" s="3">
        <f>intermediate_results[[#This Row], [All cumulative times '[sec']]] / intermediate_results[[#This Row], [Team3 laps '[laps']]] - intermediate_results[[#This Row], [Total running average '[sec']]]</f>
        <v>0</v>
      </c>
      <c r="AG14" s="3">
        <f>intermediate_results[[#This Row], [All cumulative times '[sec']]] / intermediate_results[[#This Row], [Team4 laps '[laps']]] - intermediate_results[[#This Row], [Total running average '[sec']]]</f>
        <v>0</v>
      </c>
      <c r="AH14" s="3">
        <f>intermediate_results[[#This Row], [All cumulative times '[sec']]] / intermediate_results[[#This Row], [Team5 laps '[laps']]] - intermediate_results[[#This Row], [Total running average '[sec']]]</f>
        <v>0</v>
      </c>
      <c r="AI14" s="3">
        <f>intermediate_results[[#This Row], [All cumulative times '[sec']]] / intermediate_results[[#This Row], [Team6 laps '[laps']]] - intermediate_results[[#This Row], [Total running average '[sec']]]</f>
        <v>0</v>
      </c>
      <c r="AJ14" s="3">
        <f>intermediate_results[[#This Row], [All cumulative times '[sec']]] / intermediate_results[[#This Row], [Team7 laps '[laps']]] - intermediate_results[[#This Row], [Total running average '[sec']]]</f>
        <v>0</v>
      </c>
      <c r="AK14" s="3">
        <f>intermediate_results[[#This Row], [All cumulative times '[sec']]] / intermediate_results[[#This Row], [Team8 laps '[laps']]] - intermediate_results[[#This Row], [Total running average '[sec']]]</f>
        <v>0</v>
      </c>
      <c r="AL14" s="3">
        <f>intermediate_results[[#This Row], [All cumulative times '[sec']]] / intermediate_results[[#This Row], [Team9 laps '[laps']]] - intermediate_results[[#This Row], [Total running average '[sec']]]</f>
        <v>0</v>
      </c>
    </row>
    <row r="15" spans="1:38">
      <c r="A15" s="3">
        <v>111.527</v>
      </c>
      <c r="B1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" s="3">
        <f>intermediate_results[[#This Row], [Team1 laps '[laps']]] - intermediate_results[[#This Row], [Team1 laps '[laps']]]</f>
        <v>0</v>
      </c>
      <c r="L15" s="3">
        <f>intermediate_results[[#This Row], [Team1 laps '[laps']]] - intermediate_results[[#This Row], [Team2 laps '[laps']]]</f>
        <v>0</v>
      </c>
      <c r="M15" s="3">
        <f>intermediate_results[[#This Row], [Team1 laps '[laps']]] - intermediate_results[[#This Row], [Team3 laps '[laps']]]</f>
        <v>0</v>
      </c>
      <c r="N15" s="3">
        <f>intermediate_results[[#This Row], [Team1 laps '[laps']]] - intermediate_results[[#This Row], [Team4 laps '[laps']]]</f>
        <v>0</v>
      </c>
      <c r="O15" s="3">
        <f>intermediate_results[[#This Row], [Team1 laps '[laps']]] - intermediate_results[[#This Row], [Team5 laps '[laps']]]</f>
        <v>0</v>
      </c>
      <c r="P15" s="3">
        <f>intermediate_results[[#This Row], [Team1 laps '[laps']]] - intermediate_results[[#This Row], [Team6 laps '[laps']]]</f>
        <v>0</v>
      </c>
      <c r="Q15" s="3">
        <f>intermediate_results[[#This Row], [Team1 laps '[laps']]] - intermediate_results[[#This Row], [Team7 laps '[laps']]]</f>
        <v>0</v>
      </c>
      <c r="R15" s="3">
        <f>intermediate_results[[#This Row], [Team1 laps '[laps']]] - intermediate_results[[#This Row], [Team8 laps '[laps']]]</f>
        <v>0</v>
      </c>
      <c r="S15" s="3">
        <f>intermediate_results[[#This Row], [Team1 laps '[laps']]] - intermediate_results[[#This Row], [Team9 laps '[laps']]]</f>
        <v>0</v>
      </c>
      <c r="T15" s="3">
        <f>MAX(intermediate_results[[#This Row], [Team1 laps '[laps']]:[Team9 laps '[laps']]]) - intermediate_results[[#This Row], [Team1 laps '[laps']]]</f>
        <v>0</v>
      </c>
      <c r="U15" s="3">
        <f>MAX(intermediate_results[[#This Row], [Team1 laps '[laps']]:[Team9 laps '[laps']]]) - intermediate_results[[#This Row], [Team2 laps '[laps']]]</f>
        <v>0</v>
      </c>
      <c r="V15" s="3">
        <f>MAX(intermediate_results[[#This Row], [Team1 laps '[laps']]:[Team9 laps '[laps']]]) - intermediate_results[[#This Row], [Team3 laps '[laps']]]</f>
        <v>0</v>
      </c>
      <c r="W15" s="3">
        <f>MAX(intermediate_results[[#This Row], [Team1 laps '[laps']]:[Team9 laps '[laps']]]) - intermediate_results[[#This Row], [Team4 laps '[laps']]]</f>
        <v>0</v>
      </c>
      <c r="X15" s="3">
        <f>MAX(intermediate_results[[#This Row], [Team1 laps '[laps']]:[Team9 laps '[laps']]]) - intermediate_results[[#This Row], [Team5 laps '[laps']]]</f>
        <v>0</v>
      </c>
      <c r="Y15" s="3">
        <f>MAX(intermediate_results[[#This Row], [Team1 laps '[laps']]:[Team9 laps '[laps']]]) - intermediate_results[[#This Row], [Team6 laps '[laps']]]</f>
        <v>0</v>
      </c>
      <c r="Z15" s="3">
        <f>MAX(intermediate_results[[#This Row], [Team1 laps '[laps']]:[Team9 laps '[laps']]]) - intermediate_results[[#This Row], [Team7 laps '[laps']]]</f>
        <v>0</v>
      </c>
      <c r="AA15" s="3">
        <f>MAX(intermediate_results[[#This Row], [Team1 laps '[laps']]:[Team9 laps '[laps']]]) - intermediate_results[[#This Row], [Team8 laps '[laps']]]</f>
        <v>0</v>
      </c>
      <c r="AB15" s="3">
        <f>MAX(intermediate_results[[#This Row], [Team1 laps '[laps']]:[Team9 laps '[laps']]]) - intermediate_results[[#This Row], [Team9 laps '[laps']]]</f>
        <v>0</v>
      </c>
      <c r="AC15" s="3">
        <f>9 * intermediate_results[[#This Row], [All cumulative times '[sec']]] / SUM(intermediate_results[[#This Row], [Team1 laps '[laps']]:[Team9 laps '[laps']]])</f>
        <v>0</v>
      </c>
      <c r="AD15" s="3">
        <f>intermediate_results[[#This Row], [All cumulative times '[sec']]] / intermediate_results[[#This Row], [Team1 laps '[laps']]] - intermediate_results[[#This Row], [Total running average '[sec']]]</f>
        <v>0</v>
      </c>
      <c r="AE15" s="3">
        <f>intermediate_results[[#This Row], [All cumulative times '[sec']]] / intermediate_results[[#This Row], [Team2 laps '[laps']]] - intermediate_results[[#This Row], [Total running average '[sec']]]</f>
        <v>0</v>
      </c>
      <c r="AF15" s="3">
        <f>intermediate_results[[#This Row], [All cumulative times '[sec']]] / intermediate_results[[#This Row], [Team3 laps '[laps']]] - intermediate_results[[#This Row], [Total running average '[sec']]]</f>
        <v>0</v>
      </c>
      <c r="AG15" s="3">
        <f>intermediate_results[[#This Row], [All cumulative times '[sec']]] / intermediate_results[[#This Row], [Team4 laps '[laps']]] - intermediate_results[[#This Row], [Total running average '[sec']]]</f>
        <v>0</v>
      </c>
      <c r="AH15" s="3">
        <f>intermediate_results[[#This Row], [All cumulative times '[sec']]] / intermediate_results[[#This Row], [Team5 laps '[laps']]] - intermediate_results[[#This Row], [Total running average '[sec']]]</f>
        <v>0</v>
      </c>
      <c r="AI15" s="3">
        <f>intermediate_results[[#This Row], [All cumulative times '[sec']]] / intermediate_results[[#This Row], [Team6 laps '[laps']]] - intermediate_results[[#This Row], [Total running average '[sec']]]</f>
        <v>0</v>
      </c>
      <c r="AJ15" s="3">
        <f>intermediate_results[[#This Row], [All cumulative times '[sec']]] / intermediate_results[[#This Row], [Team7 laps '[laps']]] - intermediate_results[[#This Row], [Total running average '[sec']]]</f>
        <v>0</v>
      </c>
      <c r="AK15" s="3">
        <f>intermediate_results[[#This Row], [All cumulative times '[sec']]] / intermediate_results[[#This Row], [Team8 laps '[laps']]] - intermediate_results[[#This Row], [Total running average '[sec']]]</f>
        <v>0</v>
      </c>
      <c r="AL15" s="3">
        <f>intermediate_results[[#This Row], [All cumulative times '[sec']]] / intermediate_results[[#This Row], [Team9 laps '[laps']]] - intermediate_results[[#This Row], [Total running average '[sec']]]</f>
        <v>0</v>
      </c>
    </row>
    <row r="16" spans="1:38">
      <c r="A16" s="3">
        <v>112.53</v>
      </c>
      <c r="B1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" s="3">
        <f>intermediate_results[[#This Row], [Team1 laps '[laps']]] - intermediate_results[[#This Row], [Team1 laps '[laps']]]</f>
        <v>0</v>
      </c>
      <c r="L16" s="3">
        <f>intermediate_results[[#This Row], [Team1 laps '[laps']]] - intermediate_results[[#This Row], [Team2 laps '[laps']]]</f>
        <v>0</v>
      </c>
      <c r="M16" s="3">
        <f>intermediate_results[[#This Row], [Team1 laps '[laps']]] - intermediate_results[[#This Row], [Team3 laps '[laps']]]</f>
        <v>0</v>
      </c>
      <c r="N16" s="3">
        <f>intermediate_results[[#This Row], [Team1 laps '[laps']]] - intermediate_results[[#This Row], [Team4 laps '[laps']]]</f>
        <v>0</v>
      </c>
      <c r="O16" s="3">
        <f>intermediate_results[[#This Row], [Team1 laps '[laps']]] - intermediate_results[[#This Row], [Team5 laps '[laps']]]</f>
        <v>0</v>
      </c>
      <c r="P16" s="3">
        <f>intermediate_results[[#This Row], [Team1 laps '[laps']]] - intermediate_results[[#This Row], [Team6 laps '[laps']]]</f>
        <v>0</v>
      </c>
      <c r="Q16" s="3">
        <f>intermediate_results[[#This Row], [Team1 laps '[laps']]] - intermediate_results[[#This Row], [Team7 laps '[laps']]]</f>
        <v>0</v>
      </c>
      <c r="R16" s="3">
        <f>intermediate_results[[#This Row], [Team1 laps '[laps']]] - intermediate_results[[#This Row], [Team8 laps '[laps']]]</f>
        <v>0</v>
      </c>
      <c r="S16" s="3">
        <f>intermediate_results[[#This Row], [Team1 laps '[laps']]] - intermediate_results[[#This Row], [Team9 laps '[laps']]]</f>
        <v>0</v>
      </c>
      <c r="T16" s="3">
        <f>MAX(intermediate_results[[#This Row], [Team1 laps '[laps']]:[Team9 laps '[laps']]]) - intermediate_results[[#This Row], [Team1 laps '[laps']]]</f>
        <v>0</v>
      </c>
      <c r="U16" s="3">
        <f>MAX(intermediate_results[[#This Row], [Team1 laps '[laps']]:[Team9 laps '[laps']]]) - intermediate_results[[#This Row], [Team2 laps '[laps']]]</f>
        <v>0</v>
      </c>
      <c r="V16" s="3">
        <f>MAX(intermediate_results[[#This Row], [Team1 laps '[laps']]:[Team9 laps '[laps']]]) - intermediate_results[[#This Row], [Team3 laps '[laps']]]</f>
        <v>0</v>
      </c>
      <c r="W16" s="3">
        <f>MAX(intermediate_results[[#This Row], [Team1 laps '[laps']]:[Team9 laps '[laps']]]) - intermediate_results[[#This Row], [Team4 laps '[laps']]]</f>
        <v>0</v>
      </c>
      <c r="X16" s="3">
        <f>MAX(intermediate_results[[#This Row], [Team1 laps '[laps']]:[Team9 laps '[laps']]]) - intermediate_results[[#This Row], [Team5 laps '[laps']]]</f>
        <v>0</v>
      </c>
      <c r="Y16" s="3">
        <f>MAX(intermediate_results[[#This Row], [Team1 laps '[laps']]:[Team9 laps '[laps']]]) - intermediate_results[[#This Row], [Team6 laps '[laps']]]</f>
        <v>0</v>
      </c>
      <c r="Z16" s="3">
        <f>MAX(intermediate_results[[#This Row], [Team1 laps '[laps']]:[Team9 laps '[laps']]]) - intermediate_results[[#This Row], [Team7 laps '[laps']]]</f>
        <v>0</v>
      </c>
      <c r="AA16" s="3">
        <f>MAX(intermediate_results[[#This Row], [Team1 laps '[laps']]:[Team9 laps '[laps']]]) - intermediate_results[[#This Row], [Team8 laps '[laps']]]</f>
        <v>0</v>
      </c>
      <c r="AB16" s="3">
        <f>MAX(intermediate_results[[#This Row], [Team1 laps '[laps']]:[Team9 laps '[laps']]]) - intermediate_results[[#This Row], [Team9 laps '[laps']]]</f>
        <v>0</v>
      </c>
      <c r="AC16" s="3">
        <f>9 * intermediate_results[[#This Row], [All cumulative times '[sec']]] / SUM(intermediate_results[[#This Row], [Team1 laps '[laps']]:[Team9 laps '[laps']]])</f>
        <v>0</v>
      </c>
      <c r="AD16" s="3">
        <f>intermediate_results[[#This Row], [All cumulative times '[sec']]] / intermediate_results[[#This Row], [Team1 laps '[laps']]] - intermediate_results[[#This Row], [Total running average '[sec']]]</f>
        <v>0</v>
      </c>
      <c r="AE16" s="3">
        <f>intermediate_results[[#This Row], [All cumulative times '[sec']]] / intermediate_results[[#This Row], [Team2 laps '[laps']]] - intermediate_results[[#This Row], [Total running average '[sec']]]</f>
        <v>0</v>
      </c>
      <c r="AF16" s="3">
        <f>intermediate_results[[#This Row], [All cumulative times '[sec']]] / intermediate_results[[#This Row], [Team3 laps '[laps']]] - intermediate_results[[#This Row], [Total running average '[sec']]]</f>
        <v>0</v>
      </c>
      <c r="AG16" s="3">
        <f>intermediate_results[[#This Row], [All cumulative times '[sec']]] / intermediate_results[[#This Row], [Team4 laps '[laps']]] - intermediate_results[[#This Row], [Total running average '[sec']]]</f>
        <v>0</v>
      </c>
      <c r="AH16" s="3">
        <f>intermediate_results[[#This Row], [All cumulative times '[sec']]] / intermediate_results[[#This Row], [Team5 laps '[laps']]] - intermediate_results[[#This Row], [Total running average '[sec']]]</f>
        <v>0</v>
      </c>
      <c r="AI16" s="3">
        <f>intermediate_results[[#This Row], [All cumulative times '[sec']]] / intermediate_results[[#This Row], [Team6 laps '[laps']]] - intermediate_results[[#This Row], [Total running average '[sec']]]</f>
        <v>0</v>
      </c>
      <c r="AJ16" s="3">
        <f>intermediate_results[[#This Row], [All cumulative times '[sec']]] / intermediate_results[[#This Row], [Team7 laps '[laps']]] - intermediate_results[[#This Row], [Total running average '[sec']]]</f>
        <v>0</v>
      </c>
      <c r="AK16" s="3">
        <f>intermediate_results[[#This Row], [All cumulative times '[sec']]] / intermediate_results[[#This Row], [Team8 laps '[laps']]] - intermediate_results[[#This Row], [Total running average '[sec']]]</f>
        <v>0</v>
      </c>
      <c r="AL16" s="3">
        <f>intermediate_results[[#This Row], [All cumulative times '[sec']]] / intermediate_results[[#This Row], [Team9 laps '[laps']]] - intermediate_results[[#This Row], [Total running average '[sec']]]</f>
        <v>0</v>
      </c>
    </row>
    <row r="17" spans="1:38">
      <c r="A17" s="3">
        <v>113.362</v>
      </c>
      <c r="B1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" s="3">
        <f>intermediate_results[[#This Row], [Team1 laps '[laps']]] - intermediate_results[[#This Row], [Team1 laps '[laps']]]</f>
        <v>0</v>
      </c>
      <c r="L17" s="3">
        <f>intermediate_results[[#This Row], [Team1 laps '[laps']]] - intermediate_results[[#This Row], [Team2 laps '[laps']]]</f>
        <v>0</v>
      </c>
      <c r="M17" s="3">
        <f>intermediate_results[[#This Row], [Team1 laps '[laps']]] - intermediate_results[[#This Row], [Team3 laps '[laps']]]</f>
        <v>0</v>
      </c>
      <c r="N17" s="3">
        <f>intermediate_results[[#This Row], [Team1 laps '[laps']]] - intermediate_results[[#This Row], [Team4 laps '[laps']]]</f>
        <v>0</v>
      </c>
      <c r="O17" s="3">
        <f>intermediate_results[[#This Row], [Team1 laps '[laps']]] - intermediate_results[[#This Row], [Team5 laps '[laps']]]</f>
        <v>0</v>
      </c>
      <c r="P17" s="3">
        <f>intermediate_results[[#This Row], [Team1 laps '[laps']]] - intermediate_results[[#This Row], [Team6 laps '[laps']]]</f>
        <v>0</v>
      </c>
      <c r="Q17" s="3">
        <f>intermediate_results[[#This Row], [Team1 laps '[laps']]] - intermediate_results[[#This Row], [Team7 laps '[laps']]]</f>
        <v>0</v>
      </c>
      <c r="R17" s="3">
        <f>intermediate_results[[#This Row], [Team1 laps '[laps']]] - intermediate_results[[#This Row], [Team8 laps '[laps']]]</f>
        <v>0</v>
      </c>
      <c r="S17" s="3">
        <f>intermediate_results[[#This Row], [Team1 laps '[laps']]] - intermediate_results[[#This Row], [Team9 laps '[laps']]]</f>
        <v>0</v>
      </c>
      <c r="T17" s="3">
        <f>MAX(intermediate_results[[#This Row], [Team1 laps '[laps']]:[Team9 laps '[laps']]]) - intermediate_results[[#This Row], [Team1 laps '[laps']]]</f>
        <v>0</v>
      </c>
      <c r="U17" s="3">
        <f>MAX(intermediate_results[[#This Row], [Team1 laps '[laps']]:[Team9 laps '[laps']]]) - intermediate_results[[#This Row], [Team2 laps '[laps']]]</f>
        <v>0</v>
      </c>
      <c r="V17" s="3">
        <f>MAX(intermediate_results[[#This Row], [Team1 laps '[laps']]:[Team9 laps '[laps']]]) - intermediate_results[[#This Row], [Team3 laps '[laps']]]</f>
        <v>0</v>
      </c>
      <c r="W17" s="3">
        <f>MAX(intermediate_results[[#This Row], [Team1 laps '[laps']]:[Team9 laps '[laps']]]) - intermediate_results[[#This Row], [Team4 laps '[laps']]]</f>
        <v>0</v>
      </c>
      <c r="X17" s="3">
        <f>MAX(intermediate_results[[#This Row], [Team1 laps '[laps']]:[Team9 laps '[laps']]]) - intermediate_results[[#This Row], [Team5 laps '[laps']]]</f>
        <v>0</v>
      </c>
      <c r="Y17" s="3">
        <f>MAX(intermediate_results[[#This Row], [Team1 laps '[laps']]:[Team9 laps '[laps']]]) - intermediate_results[[#This Row], [Team6 laps '[laps']]]</f>
        <v>0</v>
      </c>
      <c r="Z17" s="3">
        <f>MAX(intermediate_results[[#This Row], [Team1 laps '[laps']]:[Team9 laps '[laps']]]) - intermediate_results[[#This Row], [Team7 laps '[laps']]]</f>
        <v>0</v>
      </c>
      <c r="AA17" s="3">
        <f>MAX(intermediate_results[[#This Row], [Team1 laps '[laps']]:[Team9 laps '[laps']]]) - intermediate_results[[#This Row], [Team8 laps '[laps']]]</f>
        <v>0</v>
      </c>
      <c r="AB17" s="3">
        <f>MAX(intermediate_results[[#This Row], [Team1 laps '[laps']]:[Team9 laps '[laps']]]) - intermediate_results[[#This Row], [Team9 laps '[laps']]]</f>
        <v>0</v>
      </c>
      <c r="AC17" s="3">
        <f>9 * intermediate_results[[#This Row], [All cumulative times '[sec']]] / SUM(intermediate_results[[#This Row], [Team1 laps '[laps']]:[Team9 laps '[laps']]])</f>
        <v>0</v>
      </c>
      <c r="AD17" s="3">
        <f>intermediate_results[[#This Row], [All cumulative times '[sec']]] / intermediate_results[[#This Row], [Team1 laps '[laps']]] - intermediate_results[[#This Row], [Total running average '[sec']]]</f>
        <v>0</v>
      </c>
      <c r="AE17" s="3">
        <f>intermediate_results[[#This Row], [All cumulative times '[sec']]] / intermediate_results[[#This Row], [Team2 laps '[laps']]] - intermediate_results[[#This Row], [Total running average '[sec']]]</f>
        <v>0</v>
      </c>
      <c r="AF17" s="3">
        <f>intermediate_results[[#This Row], [All cumulative times '[sec']]] / intermediate_results[[#This Row], [Team3 laps '[laps']]] - intermediate_results[[#This Row], [Total running average '[sec']]]</f>
        <v>0</v>
      </c>
      <c r="AG17" s="3">
        <f>intermediate_results[[#This Row], [All cumulative times '[sec']]] / intermediate_results[[#This Row], [Team4 laps '[laps']]] - intermediate_results[[#This Row], [Total running average '[sec']]]</f>
        <v>0</v>
      </c>
      <c r="AH17" s="3">
        <f>intermediate_results[[#This Row], [All cumulative times '[sec']]] / intermediate_results[[#This Row], [Team5 laps '[laps']]] - intermediate_results[[#This Row], [Total running average '[sec']]]</f>
        <v>0</v>
      </c>
      <c r="AI17" s="3">
        <f>intermediate_results[[#This Row], [All cumulative times '[sec']]] / intermediate_results[[#This Row], [Team6 laps '[laps']]] - intermediate_results[[#This Row], [Total running average '[sec']]]</f>
        <v>0</v>
      </c>
      <c r="AJ17" s="3">
        <f>intermediate_results[[#This Row], [All cumulative times '[sec']]] / intermediate_results[[#This Row], [Team7 laps '[laps']]] - intermediate_results[[#This Row], [Total running average '[sec']]]</f>
        <v>0</v>
      </c>
      <c r="AK17" s="3">
        <f>intermediate_results[[#This Row], [All cumulative times '[sec']]] / intermediate_results[[#This Row], [Team8 laps '[laps']]] - intermediate_results[[#This Row], [Total running average '[sec']]]</f>
        <v>0</v>
      </c>
      <c r="AL17" s="3">
        <f>intermediate_results[[#This Row], [All cumulative times '[sec']]] / intermediate_results[[#This Row], [Team9 laps '[laps']]] - intermediate_results[[#This Row], [Total running average '[sec']]]</f>
        <v>0</v>
      </c>
    </row>
    <row r="18" spans="1:38">
      <c r="A18" s="3">
        <v>113.758</v>
      </c>
      <c r="B1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" s="3">
        <f>intermediate_results[[#This Row], [Team1 laps '[laps']]] - intermediate_results[[#This Row], [Team1 laps '[laps']]]</f>
        <v>0</v>
      </c>
      <c r="L18" s="3">
        <f>intermediate_results[[#This Row], [Team1 laps '[laps']]] - intermediate_results[[#This Row], [Team2 laps '[laps']]]</f>
        <v>0</v>
      </c>
      <c r="M18" s="3">
        <f>intermediate_results[[#This Row], [Team1 laps '[laps']]] - intermediate_results[[#This Row], [Team3 laps '[laps']]]</f>
        <v>0</v>
      </c>
      <c r="N18" s="3">
        <f>intermediate_results[[#This Row], [Team1 laps '[laps']]] - intermediate_results[[#This Row], [Team4 laps '[laps']]]</f>
        <v>0</v>
      </c>
      <c r="O18" s="3">
        <f>intermediate_results[[#This Row], [Team1 laps '[laps']]] - intermediate_results[[#This Row], [Team5 laps '[laps']]]</f>
        <v>0</v>
      </c>
      <c r="P18" s="3">
        <f>intermediate_results[[#This Row], [Team1 laps '[laps']]] - intermediate_results[[#This Row], [Team6 laps '[laps']]]</f>
        <v>0</v>
      </c>
      <c r="Q18" s="3">
        <f>intermediate_results[[#This Row], [Team1 laps '[laps']]] - intermediate_results[[#This Row], [Team7 laps '[laps']]]</f>
        <v>0</v>
      </c>
      <c r="R18" s="3">
        <f>intermediate_results[[#This Row], [Team1 laps '[laps']]] - intermediate_results[[#This Row], [Team8 laps '[laps']]]</f>
        <v>0</v>
      </c>
      <c r="S18" s="3">
        <f>intermediate_results[[#This Row], [Team1 laps '[laps']]] - intermediate_results[[#This Row], [Team9 laps '[laps']]]</f>
        <v>0</v>
      </c>
      <c r="T18" s="3">
        <f>MAX(intermediate_results[[#This Row], [Team1 laps '[laps']]:[Team9 laps '[laps']]]) - intermediate_results[[#This Row], [Team1 laps '[laps']]]</f>
        <v>0</v>
      </c>
      <c r="U18" s="3">
        <f>MAX(intermediate_results[[#This Row], [Team1 laps '[laps']]:[Team9 laps '[laps']]]) - intermediate_results[[#This Row], [Team2 laps '[laps']]]</f>
        <v>0</v>
      </c>
      <c r="V18" s="3">
        <f>MAX(intermediate_results[[#This Row], [Team1 laps '[laps']]:[Team9 laps '[laps']]]) - intermediate_results[[#This Row], [Team3 laps '[laps']]]</f>
        <v>0</v>
      </c>
      <c r="W18" s="3">
        <f>MAX(intermediate_results[[#This Row], [Team1 laps '[laps']]:[Team9 laps '[laps']]]) - intermediate_results[[#This Row], [Team4 laps '[laps']]]</f>
        <v>0</v>
      </c>
      <c r="X18" s="3">
        <f>MAX(intermediate_results[[#This Row], [Team1 laps '[laps']]:[Team9 laps '[laps']]]) - intermediate_results[[#This Row], [Team5 laps '[laps']]]</f>
        <v>0</v>
      </c>
      <c r="Y18" s="3">
        <f>MAX(intermediate_results[[#This Row], [Team1 laps '[laps']]:[Team9 laps '[laps']]]) - intermediate_results[[#This Row], [Team6 laps '[laps']]]</f>
        <v>0</v>
      </c>
      <c r="Z18" s="3">
        <f>MAX(intermediate_results[[#This Row], [Team1 laps '[laps']]:[Team9 laps '[laps']]]) - intermediate_results[[#This Row], [Team7 laps '[laps']]]</f>
        <v>0</v>
      </c>
      <c r="AA18" s="3">
        <f>MAX(intermediate_results[[#This Row], [Team1 laps '[laps']]:[Team9 laps '[laps']]]) - intermediate_results[[#This Row], [Team8 laps '[laps']]]</f>
        <v>0</v>
      </c>
      <c r="AB18" s="3">
        <f>MAX(intermediate_results[[#This Row], [Team1 laps '[laps']]:[Team9 laps '[laps']]]) - intermediate_results[[#This Row], [Team9 laps '[laps']]]</f>
        <v>0</v>
      </c>
      <c r="AC18" s="3">
        <f>9 * intermediate_results[[#This Row], [All cumulative times '[sec']]] / SUM(intermediate_results[[#This Row], [Team1 laps '[laps']]:[Team9 laps '[laps']]])</f>
        <v>0</v>
      </c>
      <c r="AD18" s="3">
        <f>intermediate_results[[#This Row], [All cumulative times '[sec']]] / intermediate_results[[#This Row], [Team1 laps '[laps']]] - intermediate_results[[#This Row], [Total running average '[sec']]]</f>
        <v>0</v>
      </c>
      <c r="AE18" s="3">
        <f>intermediate_results[[#This Row], [All cumulative times '[sec']]] / intermediate_results[[#This Row], [Team2 laps '[laps']]] - intermediate_results[[#This Row], [Total running average '[sec']]]</f>
        <v>0</v>
      </c>
      <c r="AF18" s="3">
        <f>intermediate_results[[#This Row], [All cumulative times '[sec']]] / intermediate_results[[#This Row], [Team3 laps '[laps']]] - intermediate_results[[#This Row], [Total running average '[sec']]]</f>
        <v>0</v>
      </c>
      <c r="AG18" s="3">
        <f>intermediate_results[[#This Row], [All cumulative times '[sec']]] / intermediate_results[[#This Row], [Team4 laps '[laps']]] - intermediate_results[[#This Row], [Total running average '[sec']]]</f>
        <v>0</v>
      </c>
      <c r="AH18" s="3">
        <f>intermediate_results[[#This Row], [All cumulative times '[sec']]] / intermediate_results[[#This Row], [Team5 laps '[laps']]] - intermediate_results[[#This Row], [Total running average '[sec']]]</f>
        <v>0</v>
      </c>
      <c r="AI18" s="3">
        <f>intermediate_results[[#This Row], [All cumulative times '[sec']]] / intermediate_results[[#This Row], [Team6 laps '[laps']]] - intermediate_results[[#This Row], [Total running average '[sec']]]</f>
        <v>0</v>
      </c>
      <c r="AJ18" s="3">
        <f>intermediate_results[[#This Row], [All cumulative times '[sec']]] / intermediate_results[[#This Row], [Team7 laps '[laps']]] - intermediate_results[[#This Row], [Total running average '[sec']]]</f>
        <v>0</v>
      </c>
      <c r="AK18" s="3">
        <f>intermediate_results[[#This Row], [All cumulative times '[sec']]] / intermediate_results[[#This Row], [Team8 laps '[laps']]] - intermediate_results[[#This Row], [Total running average '[sec']]]</f>
        <v>0</v>
      </c>
      <c r="AL18" s="3">
        <f>intermediate_results[[#This Row], [All cumulative times '[sec']]] / intermediate_results[[#This Row], [Team9 laps '[laps']]] - intermediate_results[[#This Row], [Total running average '[sec']]]</f>
        <v>0</v>
      </c>
    </row>
    <row r="19" spans="1:38">
      <c r="A19" s="3">
        <v>115.387</v>
      </c>
      <c r="B1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" s="3">
        <f>intermediate_results[[#This Row], [Team1 laps '[laps']]] - intermediate_results[[#This Row], [Team1 laps '[laps']]]</f>
        <v>0</v>
      </c>
      <c r="L19" s="3">
        <f>intermediate_results[[#This Row], [Team1 laps '[laps']]] - intermediate_results[[#This Row], [Team2 laps '[laps']]]</f>
        <v>0</v>
      </c>
      <c r="M19" s="3">
        <f>intermediate_results[[#This Row], [Team1 laps '[laps']]] - intermediate_results[[#This Row], [Team3 laps '[laps']]]</f>
        <v>0</v>
      </c>
      <c r="N19" s="3">
        <f>intermediate_results[[#This Row], [Team1 laps '[laps']]] - intermediate_results[[#This Row], [Team4 laps '[laps']]]</f>
        <v>0</v>
      </c>
      <c r="O19" s="3">
        <f>intermediate_results[[#This Row], [Team1 laps '[laps']]] - intermediate_results[[#This Row], [Team5 laps '[laps']]]</f>
        <v>0</v>
      </c>
      <c r="P19" s="3">
        <f>intermediate_results[[#This Row], [Team1 laps '[laps']]] - intermediate_results[[#This Row], [Team6 laps '[laps']]]</f>
        <v>0</v>
      </c>
      <c r="Q19" s="3">
        <f>intermediate_results[[#This Row], [Team1 laps '[laps']]] - intermediate_results[[#This Row], [Team7 laps '[laps']]]</f>
        <v>0</v>
      </c>
      <c r="R19" s="3">
        <f>intermediate_results[[#This Row], [Team1 laps '[laps']]] - intermediate_results[[#This Row], [Team8 laps '[laps']]]</f>
        <v>0</v>
      </c>
      <c r="S19" s="3">
        <f>intermediate_results[[#This Row], [Team1 laps '[laps']]] - intermediate_results[[#This Row], [Team9 laps '[laps']]]</f>
        <v>0</v>
      </c>
      <c r="T19" s="3">
        <f>MAX(intermediate_results[[#This Row], [Team1 laps '[laps']]:[Team9 laps '[laps']]]) - intermediate_results[[#This Row], [Team1 laps '[laps']]]</f>
        <v>0</v>
      </c>
      <c r="U19" s="3">
        <f>MAX(intermediate_results[[#This Row], [Team1 laps '[laps']]:[Team9 laps '[laps']]]) - intermediate_results[[#This Row], [Team2 laps '[laps']]]</f>
        <v>0</v>
      </c>
      <c r="V19" s="3">
        <f>MAX(intermediate_results[[#This Row], [Team1 laps '[laps']]:[Team9 laps '[laps']]]) - intermediate_results[[#This Row], [Team3 laps '[laps']]]</f>
        <v>0</v>
      </c>
      <c r="W19" s="3">
        <f>MAX(intermediate_results[[#This Row], [Team1 laps '[laps']]:[Team9 laps '[laps']]]) - intermediate_results[[#This Row], [Team4 laps '[laps']]]</f>
        <v>0</v>
      </c>
      <c r="X19" s="3">
        <f>MAX(intermediate_results[[#This Row], [Team1 laps '[laps']]:[Team9 laps '[laps']]]) - intermediate_results[[#This Row], [Team5 laps '[laps']]]</f>
        <v>0</v>
      </c>
      <c r="Y19" s="3">
        <f>MAX(intermediate_results[[#This Row], [Team1 laps '[laps']]:[Team9 laps '[laps']]]) - intermediate_results[[#This Row], [Team6 laps '[laps']]]</f>
        <v>0</v>
      </c>
      <c r="Z19" s="3">
        <f>MAX(intermediate_results[[#This Row], [Team1 laps '[laps']]:[Team9 laps '[laps']]]) - intermediate_results[[#This Row], [Team7 laps '[laps']]]</f>
        <v>0</v>
      </c>
      <c r="AA19" s="3">
        <f>MAX(intermediate_results[[#This Row], [Team1 laps '[laps']]:[Team9 laps '[laps']]]) - intermediate_results[[#This Row], [Team8 laps '[laps']]]</f>
        <v>0</v>
      </c>
      <c r="AB19" s="3">
        <f>MAX(intermediate_results[[#This Row], [Team1 laps '[laps']]:[Team9 laps '[laps']]]) - intermediate_results[[#This Row], [Team9 laps '[laps']]]</f>
        <v>0</v>
      </c>
      <c r="AC19" s="3">
        <f>9 * intermediate_results[[#This Row], [All cumulative times '[sec']]] / SUM(intermediate_results[[#This Row], [Team1 laps '[laps']]:[Team9 laps '[laps']]])</f>
        <v>0</v>
      </c>
      <c r="AD19" s="3">
        <f>intermediate_results[[#This Row], [All cumulative times '[sec']]] / intermediate_results[[#This Row], [Team1 laps '[laps']]] - intermediate_results[[#This Row], [Total running average '[sec']]]</f>
        <v>0</v>
      </c>
      <c r="AE19" s="3">
        <f>intermediate_results[[#This Row], [All cumulative times '[sec']]] / intermediate_results[[#This Row], [Team2 laps '[laps']]] - intermediate_results[[#This Row], [Total running average '[sec']]]</f>
        <v>0</v>
      </c>
      <c r="AF19" s="3">
        <f>intermediate_results[[#This Row], [All cumulative times '[sec']]] / intermediate_results[[#This Row], [Team3 laps '[laps']]] - intermediate_results[[#This Row], [Total running average '[sec']]]</f>
        <v>0</v>
      </c>
      <c r="AG19" s="3">
        <f>intermediate_results[[#This Row], [All cumulative times '[sec']]] / intermediate_results[[#This Row], [Team4 laps '[laps']]] - intermediate_results[[#This Row], [Total running average '[sec']]]</f>
        <v>0</v>
      </c>
      <c r="AH19" s="3">
        <f>intermediate_results[[#This Row], [All cumulative times '[sec']]] / intermediate_results[[#This Row], [Team5 laps '[laps']]] - intermediate_results[[#This Row], [Total running average '[sec']]]</f>
        <v>0</v>
      </c>
      <c r="AI19" s="3">
        <f>intermediate_results[[#This Row], [All cumulative times '[sec']]] / intermediate_results[[#This Row], [Team6 laps '[laps']]] - intermediate_results[[#This Row], [Total running average '[sec']]]</f>
        <v>0</v>
      </c>
      <c r="AJ19" s="3">
        <f>intermediate_results[[#This Row], [All cumulative times '[sec']]] / intermediate_results[[#This Row], [Team7 laps '[laps']]] - intermediate_results[[#This Row], [Total running average '[sec']]]</f>
        <v>0</v>
      </c>
      <c r="AK19" s="3">
        <f>intermediate_results[[#This Row], [All cumulative times '[sec']]] / intermediate_results[[#This Row], [Team8 laps '[laps']]] - intermediate_results[[#This Row], [Total running average '[sec']]]</f>
        <v>0</v>
      </c>
      <c r="AL19" s="3">
        <f>intermediate_results[[#This Row], [All cumulative times '[sec']]] / intermediate_results[[#This Row], [Team9 laps '[laps']]] - intermediate_results[[#This Row], [Total running average '[sec']]]</f>
        <v>0</v>
      </c>
    </row>
    <row r="20" spans="1:38">
      <c r="A20" s="3">
        <v>160.595</v>
      </c>
      <c r="B2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" s="3">
        <f>intermediate_results[[#This Row], [Team1 laps '[laps']]] - intermediate_results[[#This Row], [Team1 laps '[laps']]]</f>
        <v>0</v>
      </c>
      <c r="L20" s="3">
        <f>intermediate_results[[#This Row], [Team1 laps '[laps']]] - intermediate_results[[#This Row], [Team2 laps '[laps']]]</f>
        <v>0</v>
      </c>
      <c r="M20" s="3">
        <f>intermediate_results[[#This Row], [Team1 laps '[laps']]] - intermediate_results[[#This Row], [Team3 laps '[laps']]]</f>
        <v>0</v>
      </c>
      <c r="N20" s="3">
        <f>intermediate_results[[#This Row], [Team1 laps '[laps']]] - intermediate_results[[#This Row], [Team4 laps '[laps']]]</f>
        <v>0</v>
      </c>
      <c r="O20" s="3">
        <f>intermediate_results[[#This Row], [Team1 laps '[laps']]] - intermediate_results[[#This Row], [Team5 laps '[laps']]]</f>
        <v>0</v>
      </c>
      <c r="P20" s="3">
        <f>intermediate_results[[#This Row], [Team1 laps '[laps']]] - intermediate_results[[#This Row], [Team6 laps '[laps']]]</f>
        <v>0</v>
      </c>
      <c r="Q20" s="3">
        <f>intermediate_results[[#This Row], [Team1 laps '[laps']]] - intermediate_results[[#This Row], [Team7 laps '[laps']]]</f>
        <v>0</v>
      </c>
      <c r="R20" s="3">
        <f>intermediate_results[[#This Row], [Team1 laps '[laps']]] - intermediate_results[[#This Row], [Team8 laps '[laps']]]</f>
        <v>0</v>
      </c>
      <c r="S20" s="3">
        <f>intermediate_results[[#This Row], [Team1 laps '[laps']]] - intermediate_results[[#This Row], [Team9 laps '[laps']]]</f>
        <v>0</v>
      </c>
      <c r="T20" s="3">
        <f>MAX(intermediate_results[[#This Row], [Team1 laps '[laps']]:[Team9 laps '[laps']]]) - intermediate_results[[#This Row], [Team1 laps '[laps']]]</f>
        <v>0</v>
      </c>
      <c r="U20" s="3">
        <f>MAX(intermediate_results[[#This Row], [Team1 laps '[laps']]:[Team9 laps '[laps']]]) - intermediate_results[[#This Row], [Team2 laps '[laps']]]</f>
        <v>0</v>
      </c>
      <c r="V20" s="3">
        <f>MAX(intermediate_results[[#This Row], [Team1 laps '[laps']]:[Team9 laps '[laps']]]) - intermediate_results[[#This Row], [Team3 laps '[laps']]]</f>
        <v>0</v>
      </c>
      <c r="W20" s="3">
        <f>MAX(intermediate_results[[#This Row], [Team1 laps '[laps']]:[Team9 laps '[laps']]]) - intermediate_results[[#This Row], [Team4 laps '[laps']]]</f>
        <v>0</v>
      </c>
      <c r="X20" s="3">
        <f>MAX(intermediate_results[[#This Row], [Team1 laps '[laps']]:[Team9 laps '[laps']]]) - intermediate_results[[#This Row], [Team5 laps '[laps']]]</f>
        <v>0</v>
      </c>
      <c r="Y20" s="3">
        <f>MAX(intermediate_results[[#This Row], [Team1 laps '[laps']]:[Team9 laps '[laps']]]) - intermediate_results[[#This Row], [Team6 laps '[laps']]]</f>
        <v>0</v>
      </c>
      <c r="Z20" s="3">
        <f>MAX(intermediate_results[[#This Row], [Team1 laps '[laps']]:[Team9 laps '[laps']]]) - intermediate_results[[#This Row], [Team7 laps '[laps']]]</f>
        <v>0</v>
      </c>
      <c r="AA20" s="3">
        <f>MAX(intermediate_results[[#This Row], [Team1 laps '[laps']]:[Team9 laps '[laps']]]) - intermediate_results[[#This Row], [Team8 laps '[laps']]]</f>
        <v>0</v>
      </c>
      <c r="AB20" s="3">
        <f>MAX(intermediate_results[[#This Row], [Team1 laps '[laps']]:[Team9 laps '[laps']]]) - intermediate_results[[#This Row], [Team9 laps '[laps']]]</f>
        <v>0</v>
      </c>
      <c r="AC20" s="3">
        <f>9 * intermediate_results[[#This Row], [All cumulative times '[sec']]] / SUM(intermediate_results[[#This Row], [Team1 laps '[laps']]:[Team9 laps '[laps']]])</f>
        <v>0</v>
      </c>
      <c r="AD20" s="3">
        <f>intermediate_results[[#This Row], [All cumulative times '[sec']]] / intermediate_results[[#This Row], [Team1 laps '[laps']]] - intermediate_results[[#This Row], [Total running average '[sec']]]</f>
        <v>0</v>
      </c>
      <c r="AE20" s="3">
        <f>intermediate_results[[#This Row], [All cumulative times '[sec']]] / intermediate_results[[#This Row], [Team2 laps '[laps']]] - intermediate_results[[#This Row], [Total running average '[sec']]]</f>
        <v>0</v>
      </c>
      <c r="AF20" s="3">
        <f>intermediate_results[[#This Row], [All cumulative times '[sec']]] / intermediate_results[[#This Row], [Team3 laps '[laps']]] - intermediate_results[[#This Row], [Total running average '[sec']]]</f>
        <v>0</v>
      </c>
      <c r="AG20" s="3">
        <f>intermediate_results[[#This Row], [All cumulative times '[sec']]] / intermediate_results[[#This Row], [Team4 laps '[laps']]] - intermediate_results[[#This Row], [Total running average '[sec']]]</f>
        <v>0</v>
      </c>
      <c r="AH20" s="3">
        <f>intermediate_results[[#This Row], [All cumulative times '[sec']]] / intermediate_results[[#This Row], [Team5 laps '[laps']]] - intermediate_results[[#This Row], [Total running average '[sec']]]</f>
        <v>0</v>
      </c>
      <c r="AI20" s="3">
        <f>intermediate_results[[#This Row], [All cumulative times '[sec']]] / intermediate_results[[#This Row], [Team6 laps '[laps']]] - intermediate_results[[#This Row], [Total running average '[sec']]]</f>
        <v>0</v>
      </c>
      <c r="AJ20" s="3">
        <f>intermediate_results[[#This Row], [All cumulative times '[sec']]] / intermediate_results[[#This Row], [Team7 laps '[laps']]] - intermediate_results[[#This Row], [Total running average '[sec']]]</f>
        <v>0</v>
      </c>
      <c r="AK20" s="3">
        <f>intermediate_results[[#This Row], [All cumulative times '[sec']]] / intermediate_results[[#This Row], [Team8 laps '[laps']]] - intermediate_results[[#This Row], [Total running average '[sec']]]</f>
        <v>0</v>
      </c>
      <c r="AL20" s="3">
        <f>intermediate_results[[#This Row], [All cumulative times '[sec']]] / intermediate_results[[#This Row], [Team9 laps '[laps']]] - intermediate_results[[#This Row], [Total running average '[sec']]]</f>
        <v>0</v>
      </c>
    </row>
    <row r="21" spans="1:38">
      <c r="A21" s="3">
        <v>160.697</v>
      </c>
      <c r="B2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" s="3">
        <f>intermediate_results[[#This Row], [Team1 laps '[laps']]] - intermediate_results[[#This Row], [Team1 laps '[laps']]]</f>
        <v>0</v>
      </c>
      <c r="L21" s="3">
        <f>intermediate_results[[#This Row], [Team1 laps '[laps']]] - intermediate_results[[#This Row], [Team2 laps '[laps']]]</f>
        <v>0</v>
      </c>
      <c r="M21" s="3">
        <f>intermediate_results[[#This Row], [Team1 laps '[laps']]] - intermediate_results[[#This Row], [Team3 laps '[laps']]]</f>
        <v>0</v>
      </c>
      <c r="N21" s="3">
        <f>intermediate_results[[#This Row], [Team1 laps '[laps']]] - intermediate_results[[#This Row], [Team4 laps '[laps']]]</f>
        <v>0</v>
      </c>
      <c r="O21" s="3">
        <f>intermediate_results[[#This Row], [Team1 laps '[laps']]] - intermediate_results[[#This Row], [Team5 laps '[laps']]]</f>
        <v>0</v>
      </c>
      <c r="P21" s="3">
        <f>intermediate_results[[#This Row], [Team1 laps '[laps']]] - intermediate_results[[#This Row], [Team6 laps '[laps']]]</f>
        <v>0</v>
      </c>
      <c r="Q21" s="3">
        <f>intermediate_results[[#This Row], [Team1 laps '[laps']]] - intermediate_results[[#This Row], [Team7 laps '[laps']]]</f>
        <v>0</v>
      </c>
      <c r="R21" s="3">
        <f>intermediate_results[[#This Row], [Team1 laps '[laps']]] - intermediate_results[[#This Row], [Team8 laps '[laps']]]</f>
        <v>0</v>
      </c>
      <c r="S21" s="3">
        <f>intermediate_results[[#This Row], [Team1 laps '[laps']]] - intermediate_results[[#This Row], [Team9 laps '[laps']]]</f>
        <v>0</v>
      </c>
      <c r="T21" s="3">
        <f>MAX(intermediate_results[[#This Row], [Team1 laps '[laps']]:[Team9 laps '[laps']]]) - intermediate_results[[#This Row], [Team1 laps '[laps']]]</f>
        <v>0</v>
      </c>
      <c r="U21" s="3">
        <f>MAX(intermediate_results[[#This Row], [Team1 laps '[laps']]:[Team9 laps '[laps']]]) - intermediate_results[[#This Row], [Team2 laps '[laps']]]</f>
        <v>0</v>
      </c>
      <c r="V21" s="3">
        <f>MAX(intermediate_results[[#This Row], [Team1 laps '[laps']]:[Team9 laps '[laps']]]) - intermediate_results[[#This Row], [Team3 laps '[laps']]]</f>
        <v>0</v>
      </c>
      <c r="W21" s="3">
        <f>MAX(intermediate_results[[#This Row], [Team1 laps '[laps']]:[Team9 laps '[laps']]]) - intermediate_results[[#This Row], [Team4 laps '[laps']]]</f>
        <v>0</v>
      </c>
      <c r="X21" s="3">
        <f>MAX(intermediate_results[[#This Row], [Team1 laps '[laps']]:[Team9 laps '[laps']]]) - intermediate_results[[#This Row], [Team5 laps '[laps']]]</f>
        <v>0</v>
      </c>
      <c r="Y21" s="3">
        <f>MAX(intermediate_results[[#This Row], [Team1 laps '[laps']]:[Team9 laps '[laps']]]) - intermediate_results[[#This Row], [Team6 laps '[laps']]]</f>
        <v>0</v>
      </c>
      <c r="Z21" s="3">
        <f>MAX(intermediate_results[[#This Row], [Team1 laps '[laps']]:[Team9 laps '[laps']]]) - intermediate_results[[#This Row], [Team7 laps '[laps']]]</f>
        <v>0</v>
      </c>
      <c r="AA21" s="3">
        <f>MAX(intermediate_results[[#This Row], [Team1 laps '[laps']]:[Team9 laps '[laps']]]) - intermediate_results[[#This Row], [Team8 laps '[laps']]]</f>
        <v>0</v>
      </c>
      <c r="AB21" s="3">
        <f>MAX(intermediate_results[[#This Row], [Team1 laps '[laps']]:[Team9 laps '[laps']]]) - intermediate_results[[#This Row], [Team9 laps '[laps']]]</f>
        <v>0</v>
      </c>
      <c r="AC21" s="3">
        <f>9 * intermediate_results[[#This Row], [All cumulative times '[sec']]] / SUM(intermediate_results[[#This Row], [Team1 laps '[laps']]:[Team9 laps '[laps']]])</f>
        <v>0</v>
      </c>
      <c r="AD21" s="3">
        <f>intermediate_results[[#This Row], [All cumulative times '[sec']]] / intermediate_results[[#This Row], [Team1 laps '[laps']]] - intermediate_results[[#This Row], [Total running average '[sec']]]</f>
        <v>0</v>
      </c>
      <c r="AE21" s="3">
        <f>intermediate_results[[#This Row], [All cumulative times '[sec']]] / intermediate_results[[#This Row], [Team2 laps '[laps']]] - intermediate_results[[#This Row], [Total running average '[sec']]]</f>
        <v>0</v>
      </c>
      <c r="AF21" s="3">
        <f>intermediate_results[[#This Row], [All cumulative times '[sec']]] / intermediate_results[[#This Row], [Team3 laps '[laps']]] - intermediate_results[[#This Row], [Total running average '[sec']]]</f>
        <v>0</v>
      </c>
      <c r="AG21" s="3">
        <f>intermediate_results[[#This Row], [All cumulative times '[sec']]] / intermediate_results[[#This Row], [Team4 laps '[laps']]] - intermediate_results[[#This Row], [Total running average '[sec']]]</f>
        <v>0</v>
      </c>
      <c r="AH21" s="3">
        <f>intermediate_results[[#This Row], [All cumulative times '[sec']]] / intermediate_results[[#This Row], [Team5 laps '[laps']]] - intermediate_results[[#This Row], [Total running average '[sec']]]</f>
        <v>0</v>
      </c>
      <c r="AI21" s="3">
        <f>intermediate_results[[#This Row], [All cumulative times '[sec']]] / intermediate_results[[#This Row], [Team6 laps '[laps']]] - intermediate_results[[#This Row], [Total running average '[sec']]]</f>
        <v>0</v>
      </c>
      <c r="AJ21" s="3">
        <f>intermediate_results[[#This Row], [All cumulative times '[sec']]] / intermediate_results[[#This Row], [Team7 laps '[laps']]] - intermediate_results[[#This Row], [Total running average '[sec']]]</f>
        <v>0</v>
      </c>
      <c r="AK21" s="3">
        <f>intermediate_results[[#This Row], [All cumulative times '[sec']]] / intermediate_results[[#This Row], [Team8 laps '[laps']]] - intermediate_results[[#This Row], [Total running average '[sec']]]</f>
        <v>0</v>
      </c>
      <c r="AL21" s="3">
        <f>intermediate_results[[#This Row], [All cumulative times '[sec']]] / intermediate_results[[#This Row], [Team9 laps '[laps']]] - intermediate_results[[#This Row], [Total running average '[sec']]]</f>
        <v>0</v>
      </c>
    </row>
    <row r="22" spans="1:38">
      <c r="A22" s="3">
        <v>163.79</v>
      </c>
      <c r="B2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" s="3">
        <f>intermediate_results[[#This Row], [Team1 laps '[laps']]] - intermediate_results[[#This Row], [Team1 laps '[laps']]]</f>
        <v>0</v>
      </c>
      <c r="L22" s="3">
        <f>intermediate_results[[#This Row], [Team1 laps '[laps']]] - intermediate_results[[#This Row], [Team2 laps '[laps']]]</f>
        <v>0</v>
      </c>
      <c r="M22" s="3">
        <f>intermediate_results[[#This Row], [Team1 laps '[laps']]] - intermediate_results[[#This Row], [Team3 laps '[laps']]]</f>
        <v>0</v>
      </c>
      <c r="N22" s="3">
        <f>intermediate_results[[#This Row], [Team1 laps '[laps']]] - intermediate_results[[#This Row], [Team4 laps '[laps']]]</f>
        <v>0</v>
      </c>
      <c r="O22" s="3">
        <f>intermediate_results[[#This Row], [Team1 laps '[laps']]] - intermediate_results[[#This Row], [Team5 laps '[laps']]]</f>
        <v>0</v>
      </c>
      <c r="P22" s="3">
        <f>intermediate_results[[#This Row], [Team1 laps '[laps']]] - intermediate_results[[#This Row], [Team6 laps '[laps']]]</f>
        <v>0</v>
      </c>
      <c r="Q22" s="3">
        <f>intermediate_results[[#This Row], [Team1 laps '[laps']]] - intermediate_results[[#This Row], [Team7 laps '[laps']]]</f>
        <v>0</v>
      </c>
      <c r="R22" s="3">
        <f>intermediate_results[[#This Row], [Team1 laps '[laps']]] - intermediate_results[[#This Row], [Team8 laps '[laps']]]</f>
        <v>0</v>
      </c>
      <c r="S22" s="3">
        <f>intermediate_results[[#This Row], [Team1 laps '[laps']]] - intermediate_results[[#This Row], [Team9 laps '[laps']]]</f>
        <v>0</v>
      </c>
      <c r="T22" s="3">
        <f>MAX(intermediate_results[[#This Row], [Team1 laps '[laps']]:[Team9 laps '[laps']]]) - intermediate_results[[#This Row], [Team1 laps '[laps']]]</f>
        <v>0</v>
      </c>
      <c r="U22" s="3">
        <f>MAX(intermediate_results[[#This Row], [Team1 laps '[laps']]:[Team9 laps '[laps']]]) - intermediate_results[[#This Row], [Team2 laps '[laps']]]</f>
        <v>0</v>
      </c>
      <c r="V22" s="3">
        <f>MAX(intermediate_results[[#This Row], [Team1 laps '[laps']]:[Team9 laps '[laps']]]) - intermediate_results[[#This Row], [Team3 laps '[laps']]]</f>
        <v>0</v>
      </c>
      <c r="W22" s="3">
        <f>MAX(intermediate_results[[#This Row], [Team1 laps '[laps']]:[Team9 laps '[laps']]]) - intermediate_results[[#This Row], [Team4 laps '[laps']]]</f>
        <v>0</v>
      </c>
      <c r="X22" s="3">
        <f>MAX(intermediate_results[[#This Row], [Team1 laps '[laps']]:[Team9 laps '[laps']]]) - intermediate_results[[#This Row], [Team5 laps '[laps']]]</f>
        <v>0</v>
      </c>
      <c r="Y22" s="3">
        <f>MAX(intermediate_results[[#This Row], [Team1 laps '[laps']]:[Team9 laps '[laps']]]) - intermediate_results[[#This Row], [Team6 laps '[laps']]]</f>
        <v>0</v>
      </c>
      <c r="Z22" s="3">
        <f>MAX(intermediate_results[[#This Row], [Team1 laps '[laps']]:[Team9 laps '[laps']]]) - intermediate_results[[#This Row], [Team7 laps '[laps']]]</f>
        <v>0</v>
      </c>
      <c r="AA22" s="3">
        <f>MAX(intermediate_results[[#This Row], [Team1 laps '[laps']]:[Team9 laps '[laps']]]) - intermediate_results[[#This Row], [Team8 laps '[laps']]]</f>
        <v>0</v>
      </c>
      <c r="AB22" s="3">
        <f>MAX(intermediate_results[[#This Row], [Team1 laps '[laps']]:[Team9 laps '[laps']]]) - intermediate_results[[#This Row], [Team9 laps '[laps']]]</f>
        <v>0</v>
      </c>
      <c r="AC22" s="3">
        <f>9 * intermediate_results[[#This Row], [All cumulative times '[sec']]] / SUM(intermediate_results[[#This Row], [Team1 laps '[laps']]:[Team9 laps '[laps']]])</f>
        <v>0</v>
      </c>
      <c r="AD22" s="3">
        <f>intermediate_results[[#This Row], [All cumulative times '[sec']]] / intermediate_results[[#This Row], [Team1 laps '[laps']]] - intermediate_results[[#This Row], [Total running average '[sec']]]</f>
        <v>0</v>
      </c>
      <c r="AE22" s="3">
        <f>intermediate_results[[#This Row], [All cumulative times '[sec']]] / intermediate_results[[#This Row], [Team2 laps '[laps']]] - intermediate_results[[#This Row], [Total running average '[sec']]]</f>
        <v>0</v>
      </c>
      <c r="AF22" s="3">
        <f>intermediate_results[[#This Row], [All cumulative times '[sec']]] / intermediate_results[[#This Row], [Team3 laps '[laps']]] - intermediate_results[[#This Row], [Total running average '[sec']]]</f>
        <v>0</v>
      </c>
      <c r="AG22" s="3">
        <f>intermediate_results[[#This Row], [All cumulative times '[sec']]] / intermediate_results[[#This Row], [Team4 laps '[laps']]] - intermediate_results[[#This Row], [Total running average '[sec']]]</f>
        <v>0</v>
      </c>
      <c r="AH22" s="3">
        <f>intermediate_results[[#This Row], [All cumulative times '[sec']]] / intermediate_results[[#This Row], [Team5 laps '[laps']]] - intermediate_results[[#This Row], [Total running average '[sec']]]</f>
        <v>0</v>
      </c>
      <c r="AI22" s="3">
        <f>intermediate_results[[#This Row], [All cumulative times '[sec']]] / intermediate_results[[#This Row], [Team6 laps '[laps']]] - intermediate_results[[#This Row], [Total running average '[sec']]]</f>
        <v>0</v>
      </c>
      <c r="AJ22" s="3">
        <f>intermediate_results[[#This Row], [All cumulative times '[sec']]] / intermediate_results[[#This Row], [Team7 laps '[laps']]] - intermediate_results[[#This Row], [Total running average '[sec']]]</f>
        <v>0</v>
      </c>
      <c r="AK22" s="3">
        <f>intermediate_results[[#This Row], [All cumulative times '[sec']]] / intermediate_results[[#This Row], [Team8 laps '[laps']]] - intermediate_results[[#This Row], [Total running average '[sec']]]</f>
        <v>0</v>
      </c>
      <c r="AL22" s="3">
        <f>intermediate_results[[#This Row], [All cumulative times '[sec']]] / intermediate_results[[#This Row], [Team9 laps '[laps']]] - intermediate_results[[#This Row], [Total running average '[sec']]]</f>
        <v>0</v>
      </c>
    </row>
    <row r="23" spans="1:38">
      <c r="A23" s="3">
        <v>166.34</v>
      </c>
      <c r="B2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" s="3">
        <f>intermediate_results[[#This Row], [Team1 laps '[laps']]] - intermediate_results[[#This Row], [Team1 laps '[laps']]]</f>
        <v>0</v>
      </c>
      <c r="L23" s="3">
        <f>intermediate_results[[#This Row], [Team1 laps '[laps']]] - intermediate_results[[#This Row], [Team2 laps '[laps']]]</f>
        <v>0</v>
      </c>
      <c r="M23" s="3">
        <f>intermediate_results[[#This Row], [Team1 laps '[laps']]] - intermediate_results[[#This Row], [Team3 laps '[laps']]]</f>
        <v>0</v>
      </c>
      <c r="N23" s="3">
        <f>intermediate_results[[#This Row], [Team1 laps '[laps']]] - intermediate_results[[#This Row], [Team4 laps '[laps']]]</f>
        <v>0</v>
      </c>
      <c r="O23" s="3">
        <f>intermediate_results[[#This Row], [Team1 laps '[laps']]] - intermediate_results[[#This Row], [Team5 laps '[laps']]]</f>
        <v>0</v>
      </c>
      <c r="P23" s="3">
        <f>intermediate_results[[#This Row], [Team1 laps '[laps']]] - intermediate_results[[#This Row], [Team6 laps '[laps']]]</f>
        <v>0</v>
      </c>
      <c r="Q23" s="3">
        <f>intermediate_results[[#This Row], [Team1 laps '[laps']]] - intermediate_results[[#This Row], [Team7 laps '[laps']]]</f>
        <v>0</v>
      </c>
      <c r="R23" s="3">
        <f>intermediate_results[[#This Row], [Team1 laps '[laps']]] - intermediate_results[[#This Row], [Team8 laps '[laps']]]</f>
        <v>0</v>
      </c>
      <c r="S23" s="3">
        <f>intermediate_results[[#This Row], [Team1 laps '[laps']]] - intermediate_results[[#This Row], [Team9 laps '[laps']]]</f>
        <v>0</v>
      </c>
      <c r="T23" s="3">
        <f>MAX(intermediate_results[[#This Row], [Team1 laps '[laps']]:[Team9 laps '[laps']]]) - intermediate_results[[#This Row], [Team1 laps '[laps']]]</f>
        <v>0</v>
      </c>
      <c r="U23" s="3">
        <f>MAX(intermediate_results[[#This Row], [Team1 laps '[laps']]:[Team9 laps '[laps']]]) - intermediate_results[[#This Row], [Team2 laps '[laps']]]</f>
        <v>0</v>
      </c>
      <c r="V23" s="3">
        <f>MAX(intermediate_results[[#This Row], [Team1 laps '[laps']]:[Team9 laps '[laps']]]) - intermediate_results[[#This Row], [Team3 laps '[laps']]]</f>
        <v>0</v>
      </c>
      <c r="W23" s="3">
        <f>MAX(intermediate_results[[#This Row], [Team1 laps '[laps']]:[Team9 laps '[laps']]]) - intermediate_results[[#This Row], [Team4 laps '[laps']]]</f>
        <v>0</v>
      </c>
      <c r="X23" s="3">
        <f>MAX(intermediate_results[[#This Row], [Team1 laps '[laps']]:[Team9 laps '[laps']]]) - intermediate_results[[#This Row], [Team5 laps '[laps']]]</f>
        <v>0</v>
      </c>
      <c r="Y23" s="3">
        <f>MAX(intermediate_results[[#This Row], [Team1 laps '[laps']]:[Team9 laps '[laps']]]) - intermediate_results[[#This Row], [Team6 laps '[laps']]]</f>
        <v>0</v>
      </c>
      <c r="Z23" s="3">
        <f>MAX(intermediate_results[[#This Row], [Team1 laps '[laps']]:[Team9 laps '[laps']]]) - intermediate_results[[#This Row], [Team7 laps '[laps']]]</f>
        <v>0</v>
      </c>
      <c r="AA23" s="3">
        <f>MAX(intermediate_results[[#This Row], [Team1 laps '[laps']]:[Team9 laps '[laps']]]) - intermediate_results[[#This Row], [Team8 laps '[laps']]]</f>
        <v>0</v>
      </c>
      <c r="AB23" s="3">
        <f>MAX(intermediate_results[[#This Row], [Team1 laps '[laps']]:[Team9 laps '[laps']]]) - intermediate_results[[#This Row], [Team9 laps '[laps']]]</f>
        <v>0</v>
      </c>
      <c r="AC23" s="3">
        <f>9 * intermediate_results[[#This Row], [All cumulative times '[sec']]] / SUM(intermediate_results[[#This Row], [Team1 laps '[laps']]:[Team9 laps '[laps']]])</f>
        <v>0</v>
      </c>
      <c r="AD23" s="3">
        <f>intermediate_results[[#This Row], [All cumulative times '[sec']]] / intermediate_results[[#This Row], [Team1 laps '[laps']]] - intermediate_results[[#This Row], [Total running average '[sec']]]</f>
        <v>0</v>
      </c>
      <c r="AE23" s="3">
        <f>intermediate_results[[#This Row], [All cumulative times '[sec']]] / intermediate_results[[#This Row], [Team2 laps '[laps']]] - intermediate_results[[#This Row], [Total running average '[sec']]]</f>
        <v>0</v>
      </c>
      <c r="AF23" s="3">
        <f>intermediate_results[[#This Row], [All cumulative times '[sec']]] / intermediate_results[[#This Row], [Team3 laps '[laps']]] - intermediate_results[[#This Row], [Total running average '[sec']]]</f>
        <v>0</v>
      </c>
      <c r="AG23" s="3">
        <f>intermediate_results[[#This Row], [All cumulative times '[sec']]] / intermediate_results[[#This Row], [Team4 laps '[laps']]] - intermediate_results[[#This Row], [Total running average '[sec']]]</f>
        <v>0</v>
      </c>
      <c r="AH23" s="3">
        <f>intermediate_results[[#This Row], [All cumulative times '[sec']]] / intermediate_results[[#This Row], [Team5 laps '[laps']]] - intermediate_results[[#This Row], [Total running average '[sec']]]</f>
        <v>0</v>
      </c>
      <c r="AI23" s="3">
        <f>intermediate_results[[#This Row], [All cumulative times '[sec']]] / intermediate_results[[#This Row], [Team6 laps '[laps']]] - intermediate_results[[#This Row], [Total running average '[sec']]]</f>
        <v>0</v>
      </c>
      <c r="AJ23" s="3">
        <f>intermediate_results[[#This Row], [All cumulative times '[sec']]] / intermediate_results[[#This Row], [Team7 laps '[laps']]] - intermediate_results[[#This Row], [Total running average '[sec']]]</f>
        <v>0</v>
      </c>
      <c r="AK23" s="3">
        <f>intermediate_results[[#This Row], [All cumulative times '[sec']]] / intermediate_results[[#This Row], [Team8 laps '[laps']]] - intermediate_results[[#This Row], [Total running average '[sec']]]</f>
        <v>0</v>
      </c>
      <c r="AL23" s="3">
        <f>intermediate_results[[#This Row], [All cumulative times '[sec']]] / intermediate_results[[#This Row], [Team9 laps '[laps']]] - intermediate_results[[#This Row], [Total running average '[sec']]]</f>
        <v>0</v>
      </c>
    </row>
    <row r="24" spans="1:38">
      <c r="A24" s="3">
        <v>166.872</v>
      </c>
      <c r="B2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" s="3">
        <f>intermediate_results[[#This Row], [Team1 laps '[laps']]] - intermediate_results[[#This Row], [Team1 laps '[laps']]]</f>
        <v>0</v>
      </c>
      <c r="L24" s="3">
        <f>intermediate_results[[#This Row], [Team1 laps '[laps']]] - intermediate_results[[#This Row], [Team2 laps '[laps']]]</f>
        <v>0</v>
      </c>
      <c r="M24" s="3">
        <f>intermediate_results[[#This Row], [Team1 laps '[laps']]] - intermediate_results[[#This Row], [Team3 laps '[laps']]]</f>
        <v>0</v>
      </c>
      <c r="N24" s="3">
        <f>intermediate_results[[#This Row], [Team1 laps '[laps']]] - intermediate_results[[#This Row], [Team4 laps '[laps']]]</f>
        <v>0</v>
      </c>
      <c r="O24" s="3">
        <f>intermediate_results[[#This Row], [Team1 laps '[laps']]] - intermediate_results[[#This Row], [Team5 laps '[laps']]]</f>
        <v>0</v>
      </c>
      <c r="P24" s="3">
        <f>intermediate_results[[#This Row], [Team1 laps '[laps']]] - intermediate_results[[#This Row], [Team6 laps '[laps']]]</f>
        <v>0</v>
      </c>
      <c r="Q24" s="3">
        <f>intermediate_results[[#This Row], [Team1 laps '[laps']]] - intermediate_results[[#This Row], [Team7 laps '[laps']]]</f>
        <v>0</v>
      </c>
      <c r="R24" s="3">
        <f>intermediate_results[[#This Row], [Team1 laps '[laps']]] - intermediate_results[[#This Row], [Team8 laps '[laps']]]</f>
        <v>0</v>
      </c>
      <c r="S24" s="3">
        <f>intermediate_results[[#This Row], [Team1 laps '[laps']]] - intermediate_results[[#This Row], [Team9 laps '[laps']]]</f>
        <v>0</v>
      </c>
      <c r="T24" s="3">
        <f>MAX(intermediate_results[[#This Row], [Team1 laps '[laps']]:[Team9 laps '[laps']]]) - intermediate_results[[#This Row], [Team1 laps '[laps']]]</f>
        <v>0</v>
      </c>
      <c r="U24" s="3">
        <f>MAX(intermediate_results[[#This Row], [Team1 laps '[laps']]:[Team9 laps '[laps']]]) - intermediate_results[[#This Row], [Team2 laps '[laps']]]</f>
        <v>0</v>
      </c>
      <c r="V24" s="3">
        <f>MAX(intermediate_results[[#This Row], [Team1 laps '[laps']]:[Team9 laps '[laps']]]) - intermediate_results[[#This Row], [Team3 laps '[laps']]]</f>
        <v>0</v>
      </c>
      <c r="W24" s="3">
        <f>MAX(intermediate_results[[#This Row], [Team1 laps '[laps']]:[Team9 laps '[laps']]]) - intermediate_results[[#This Row], [Team4 laps '[laps']]]</f>
        <v>0</v>
      </c>
      <c r="X24" s="3">
        <f>MAX(intermediate_results[[#This Row], [Team1 laps '[laps']]:[Team9 laps '[laps']]]) - intermediate_results[[#This Row], [Team5 laps '[laps']]]</f>
        <v>0</v>
      </c>
      <c r="Y24" s="3">
        <f>MAX(intermediate_results[[#This Row], [Team1 laps '[laps']]:[Team9 laps '[laps']]]) - intermediate_results[[#This Row], [Team6 laps '[laps']]]</f>
        <v>0</v>
      </c>
      <c r="Z24" s="3">
        <f>MAX(intermediate_results[[#This Row], [Team1 laps '[laps']]:[Team9 laps '[laps']]]) - intermediate_results[[#This Row], [Team7 laps '[laps']]]</f>
        <v>0</v>
      </c>
      <c r="AA24" s="3">
        <f>MAX(intermediate_results[[#This Row], [Team1 laps '[laps']]:[Team9 laps '[laps']]]) - intermediate_results[[#This Row], [Team8 laps '[laps']]]</f>
        <v>0</v>
      </c>
      <c r="AB24" s="3">
        <f>MAX(intermediate_results[[#This Row], [Team1 laps '[laps']]:[Team9 laps '[laps']]]) - intermediate_results[[#This Row], [Team9 laps '[laps']]]</f>
        <v>0</v>
      </c>
      <c r="AC24" s="3">
        <f>9 * intermediate_results[[#This Row], [All cumulative times '[sec']]] / SUM(intermediate_results[[#This Row], [Team1 laps '[laps']]:[Team9 laps '[laps']]])</f>
        <v>0</v>
      </c>
      <c r="AD24" s="3">
        <f>intermediate_results[[#This Row], [All cumulative times '[sec']]] / intermediate_results[[#This Row], [Team1 laps '[laps']]] - intermediate_results[[#This Row], [Total running average '[sec']]]</f>
        <v>0</v>
      </c>
      <c r="AE24" s="3">
        <f>intermediate_results[[#This Row], [All cumulative times '[sec']]] / intermediate_results[[#This Row], [Team2 laps '[laps']]] - intermediate_results[[#This Row], [Total running average '[sec']]]</f>
        <v>0</v>
      </c>
      <c r="AF24" s="3">
        <f>intermediate_results[[#This Row], [All cumulative times '[sec']]] / intermediate_results[[#This Row], [Team3 laps '[laps']]] - intermediate_results[[#This Row], [Total running average '[sec']]]</f>
        <v>0</v>
      </c>
      <c r="AG24" s="3">
        <f>intermediate_results[[#This Row], [All cumulative times '[sec']]] / intermediate_results[[#This Row], [Team4 laps '[laps']]] - intermediate_results[[#This Row], [Total running average '[sec']]]</f>
        <v>0</v>
      </c>
      <c r="AH24" s="3">
        <f>intermediate_results[[#This Row], [All cumulative times '[sec']]] / intermediate_results[[#This Row], [Team5 laps '[laps']]] - intermediate_results[[#This Row], [Total running average '[sec']]]</f>
        <v>0</v>
      </c>
      <c r="AI24" s="3">
        <f>intermediate_results[[#This Row], [All cumulative times '[sec']]] / intermediate_results[[#This Row], [Team6 laps '[laps']]] - intermediate_results[[#This Row], [Total running average '[sec']]]</f>
        <v>0</v>
      </c>
      <c r="AJ24" s="3">
        <f>intermediate_results[[#This Row], [All cumulative times '[sec']]] / intermediate_results[[#This Row], [Team7 laps '[laps']]] - intermediate_results[[#This Row], [Total running average '[sec']]]</f>
        <v>0</v>
      </c>
      <c r="AK24" s="3">
        <f>intermediate_results[[#This Row], [All cumulative times '[sec']]] / intermediate_results[[#This Row], [Team8 laps '[laps']]] - intermediate_results[[#This Row], [Total running average '[sec']]]</f>
        <v>0</v>
      </c>
      <c r="AL24" s="3">
        <f>intermediate_results[[#This Row], [All cumulative times '[sec']]] / intermediate_results[[#This Row], [Team9 laps '[laps']]] - intermediate_results[[#This Row], [Total running average '[sec']]]</f>
        <v>0</v>
      </c>
    </row>
    <row r="25" spans="1:38">
      <c r="A25" s="3">
        <v>167.848</v>
      </c>
      <c r="B2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" s="3">
        <f>intermediate_results[[#This Row], [Team1 laps '[laps']]] - intermediate_results[[#This Row], [Team1 laps '[laps']]]</f>
        <v>0</v>
      </c>
      <c r="L25" s="3">
        <f>intermediate_results[[#This Row], [Team1 laps '[laps']]] - intermediate_results[[#This Row], [Team2 laps '[laps']]]</f>
        <v>0</v>
      </c>
      <c r="M25" s="3">
        <f>intermediate_results[[#This Row], [Team1 laps '[laps']]] - intermediate_results[[#This Row], [Team3 laps '[laps']]]</f>
        <v>0</v>
      </c>
      <c r="N25" s="3">
        <f>intermediate_results[[#This Row], [Team1 laps '[laps']]] - intermediate_results[[#This Row], [Team4 laps '[laps']]]</f>
        <v>0</v>
      </c>
      <c r="O25" s="3">
        <f>intermediate_results[[#This Row], [Team1 laps '[laps']]] - intermediate_results[[#This Row], [Team5 laps '[laps']]]</f>
        <v>0</v>
      </c>
      <c r="P25" s="3">
        <f>intermediate_results[[#This Row], [Team1 laps '[laps']]] - intermediate_results[[#This Row], [Team6 laps '[laps']]]</f>
        <v>0</v>
      </c>
      <c r="Q25" s="3">
        <f>intermediate_results[[#This Row], [Team1 laps '[laps']]] - intermediate_results[[#This Row], [Team7 laps '[laps']]]</f>
        <v>0</v>
      </c>
      <c r="R25" s="3">
        <f>intermediate_results[[#This Row], [Team1 laps '[laps']]] - intermediate_results[[#This Row], [Team8 laps '[laps']]]</f>
        <v>0</v>
      </c>
      <c r="S25" s="3">
        <f>intermediate_results[[#This Row], [Team1 laps '[laps']]] - intermediate_results[[#This Row], [Team9 laps '[laps']]]</f>
        <v>0</v>
      </c>
      <c r="T25" s="3">
        <f>MAX(intermediate_results[[#This Row], [Team1 laps '[laps']]:[Team9 laps '[laps']]]) - intermediate_results[[#This Row], [Team1 laps '[laps']]]</f>
        <v>0</v>
      </c>
      <c r="U25" s="3">
        <f>MAX(intermediate_results[[#This Row], [Team1 laps '[laps']]:[Team9 laps '[laps']]]) - intermediate_results[[#This Row], [Team2 laps '[laps']]]</f>
        <v>0</v>
      </c>
      <c r="V25" s="3">
        <f>MAX(intermediate_results[[#This Row], [Team1 laps '[laps']]:[Team9 laps '[laps']]]) - intermediate_results[[#This Row], [Team3 laps '[laps']]]</f>
        <v>0</v>
      </c>
      <c r="W25" s="3">
        <f>MAX(intermediate_results[[#This Row], [Team1 laps '[laps']]:[Team9 laps '[laps']]]) - intermediate_results[[#This Row], [Team4 laps '[laps']]]</f>
        <v>0</v>
      </c>
      <c r="X25" s="3">
        <f>MAX(intermediate_results[[#This Row], [Team1 laps '[laps']]:[Team9 laps '[laps']]]) - intermediate_results[[#This Row], [Team5 laps '[laps']]]</f>
        <v>0</v>
      </c>
      <c r="Y25" s="3">
        <f>MAX(intermediate_results[[#This Row], [Team1 laps '[laps']]:[Team9 laps '[laps']]]) - intermediate_results[[#This Row], [Team6 laps '[laps']]]</f>
        <v>0</v>
      </c>
      <c r="Z25" s="3">
        <f>MAX(intermediate_results[[#This Row], [Team1 laps '[laps']]:[Team9 laps '[laps']]]) - intermediate_results[[#This Row], [Team7 laps '[laps']]]</f>
        <v>0</v>
      </c>
      <c r="AA25" s="3">
        <f>MAX(intermediate_results[[#This Row], [Team1 laps '[laps']]:[Team9 laps '[laps']]]) - intermediate_results[[#This Row], [Team8 laps '[laps']]]</f>
        <v>0</v>
      </c>
      <c r="AB25" s="3">
        <f>MAX(intermediate_results[[#This Row], [Team1 laps '[laps']]:[Team9 laps '[laps']]]) - intermediate_results[[#This Row], [Team9 laps '[laps']]]</f>
        <v>0</v>
      </c>
      <c r="AC25" s="3">
        <f>9 * intermediate_results[[#This Row], [All cumulative times '[sec']]] / SUM(intermediate_results[[#This Row], [Team1 laps '[laps']]:[Team9 laps '[laps']]])</f>
        <v>0</v>
      </c>
      <c r="AD25" s="3">
        <f>intermediate_results[[#This Row], [All cumulative times '[sec']]] / intermediate_results[[#This Row], [Team1 laps '[laps']]] - intermediate_results[[#This Row], [Total running average '[sec']]]</f>
        <v>0</v>
      </c>
      <c r="AE25" s="3">
        <f>intermediate_results[[#This Row], [All cumulative times '[sec']]] / intermediate_results[[#This Row], [Team2 laps '[laps']]] - intermediate_results[[#This Row], [Total running average '[sec']]]</f>
        <v>0</v>
      </c>
      <c r="AF25" s="3">
        <f>intermediate_results[[#This Row], [All cumulative times '[sec']]] / intermediate_results[[#This Row], [Team3 laps '[laps']]] - intermediate_results[[#This Row], [Total running average '[sec']]]</f>
        <v>0</v>
      </c>
      <c r="AG25" s="3">
        <f>intermediate_results[[#This Row], [All cumulative times '[sec']]] / intermediate_results[[#This Row], [Team4 laps '[laps']]] - intermediate_results[[#This Row], [Total running average '[sec']]]</f>
        <v>0</v>
      </c>
      <c r="AH25" s="3">
        <f>intermediate_results[[#This Row], [All cumulative times '[sec']]] / intermediate_results[[#This Row], [Team5 laps '[laps']]] - intermediate_results[[#This Row], [Total running average '[sec']]]</f>
        <v>0</v>
      </c>
      <c r="AI25" s="3">
        <f>intermediate_results[[#This Row], [All cumulative times '[sec']]] / intermediate_results[[#This Row], [Team6 laps '[laps']]] - intermediate_results[[#This Row], [Total running average '[sec']]]</f>
        <v>0</v>
      </c>
      <c r="AJ25" s="3">
        <f>intermediate_results[[#This Row], [All cumulative times '[sec']]] / intermediate_results[[#This Row], [Team7 laps '[laps']]] - intermediate_results[[#This Row], [Total running average '[sec']]]</f>
        <v>0</v>
      </c>
      <c r="AK25" s="3">
        <f>intermediate_results[[#This Row], [All cumulative times '[sec']]] / intermediate_results[[#This Row], [Team8 laps '[laps']]] - intermediate_results[[#This Row], [Total running average '[sec']]]</f>
        <v>0</v>
      </c>
      <c r="AL25" s="3">
        <f>intermediate_results[[#This Row], [All cumulative times '[sec']]] / intermediate_results[[#This Row], [Team9 laps '[laps']]] - intermediate_results[[#This Row], [Total running average '[sec']]]</f>
        <v>0</v>
      </c>
    </row>
    <row r="26" spans="1:38">
      <c r="A26" s="3">
        <v>169.199</v>
      </c>
      <c r="B2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" s="3">
        <f>intermediate_results[[#This Row], [Team1 laps '[laps']]] - intermediate_results[[#This Row], [Team1 laps '[laps']]]</f>
        <v>0</v>
      </c>
      <c r="L26" s="3">
        <f>intermediate_results[[#This Row], [Team1 laps '[laps']]] - intermediate_results[[#This Row], [Team2 laps '[laps']]]</f>
        <v>0</v>
      </c>
      <c r="M26" s="3">
        <f>intermediate_results[[#This Row], [Team1 laps '[laps']]] - intermediate_results[[#This Row], [Team3 laps '[laps']]]</f>
        <v>0</v>
      </c>
      <c r="N26" s="3">
        <f>intermediate_results[[#This Row], [Team1 laps '[laps']]] - intermediate_results[[#This Row], [Team4 laps '[laps']]]</f>
        <v>0</v>
      </c>
      <c r="O26" s="3">
        <f>intermediate_results[[#This Row], [Team1 laps '[laps']]] - intermediate_results[[#This Row], [Team5 laps '[laps']]]</f>
        <v>0</v>
      </c>
      <c r="P26" s="3">
        <f>intermediate_results[[#This Row], [Team1 laps '[laps']]] - intermediate_results[[#This Row], [Team6 laps '[laps']]]</f>
        <v>0</v>
      </c>
      <c r="Q26" s="3">
        <f>intermediate_results[[#This Row], [Team1 laps '[laps']]] - intermediate_results[[#This Row], [Team7 laps '[laps']]]</f>
        <v>0</v>
      </c>
      <c r="R26" s="3">
        <f>intermediate_results[[#This Row], [Team1 laps '[laps']]] - intermediate_results[[#This Row], [Team8 laps '[laps']]]</f>
        <v>0</v>
      </c>
      <c r="S26" s="3">
        <f>intermediate_results[[#This Row], [Team1 laps '[laps']]] - intermediate_results[[#This Row], [Team9 laps '[laps']]]</f>
        <v>0</v>
      </c>
      <c r="T26" s="3">
        <f>MAX(intermediate_results[[#This Row], [Team1 laps '[laps']]:[Team9 laps '[laps']]]) - intermediate_results[[#This Row], [Team1 laps '[laps']]]</f>
        <v>0</v>
      </c>
      <c r="U26" s="3">
        <f>MAX(intermediate_results[[#This Row], [Team1 laps '[laps']]:[Team9 laps '[laps']]]) - intermediate_results[[#This Row], [Team2 laps '[laps']]]</f>
        <v>0</v>
      </c>
      <c r="V26" s="3">
        <f>MAX(intermediate_results[[#This Row], [Team1 laps '[laps']]:[Team9 laps '[laps']]]) - intermediate_results[[#This Row], [Team3 laps '[laps']]]</f>
        <v>0</v>
      </c>
      <c r="W26" s="3">
        <f>MAX(intermediate_results[[#This Row], [Team1 laps '[laps']]:[Team9 laps '[laps']]]) - intermediate_results[[#This Row], [Team4 laps '[laps']]]</f>
        <v>0</v>
      </c>
      <c r="X26" s="3">
        <f>MAX(intermediate_results[[#This Row], [Team1 laps '[laps']]:[Team9 laps '[laps']]]) - intermediate_results[[#This Row], [Team5 laps '[laps']]]</f>
        <v>0</v>
      </c>
      <c r="Y26" s="3">
        <f>MAX(intermediate_results[[#This Row], [Team1 laps '[laps']]:[Team9 laps '[laps']]]) - intermediate_results[[#This Row], [Team6 laps '[laps']]]</f>
        <v>0</v>
      </c>
      <c r="Z26" s="3">
        <f>MAX(intermediate_results[[#This Row], [Team1 laps '[laps']]:[Team9 laps '[laps']]]) - intermediate_results[[#This Row], [Team7 laps '[laps']]]</f>
        <v>0</v>
      </c>
      <c r="AA26" s="3">
        <f>MAX(intermediate_results[[#This Row], [Team1 laps '[laps']]:[Team9 laps '[laps']]]) - intermediate_results[[#This Row], [Team8 laps '[laps']]]</f>
        <v>0</v>
      </c>
      <c r="AB26" s="3">
        <f>MAX(intermediate_results[[#This Row], [Team1 laps '[laps']]:[Team9 laps '[laps']]]) - intermediate_results[[#This Row], [Team9 laps '[laps']]]</f>
        <v>0</v>
      </c>
      <c r="AC26" s="3">
        <f>9 * intermediate_results[[#This Row], [All cumulative times '[sec']]] / SUM(intermediate_results[[#This Row], [Team1 laps '[laps']]:[Team9 laps '[laps']]])</f>
        <v>0</v>
      </c>
      <c r="AD26" s="3">
        <f>intermediate_results[[#This Row], [All cumulative times '[sec']]] / intermediate_results[[#This Row], [Team1 laps '[laps']]] - intermediate_results[[#This Row], [Total running average '[sec']]]</f>
        <v>0</v>
      </c>
      <c r="AE26" s="3">
        <f>intermediate_results[[#This Row], [All cumulative times '[sec']]] / intermediate_results[[#This Row], [Team2 laps '[laps']]] - intermediate_results[[#This Row], [Total running average '[sec']]]</f>
        <v>0</v>
      </c>
      <c r="AF26" s="3">
        <f>intermediate_results[[#This Row], [All cumulative times '[sec']]] / intermediate_results[[#This Row], [Team3 laps '[laps']]] - intermediate_results[[#This Row], [Total running average '[sec']]]</f>
        <v>0</v>
      </c>
      <c r="AG26" s="3">
        <f>intermediate_results[[#This Row], [All cumulative times '[sec']]] / intermediate_results[[#This Row], [Team4 laps '[laps']]] - intermediate_results[[#This Row], [Total running average '[sec']]]</f>
        <v>0</v>
      </c>
      <c r="AH26" s="3">
        <f>intermediate_results[[#This Row], [All cumulative times '[sec']]] / intermediate_results[[#This Row], [Team5 laps '[laps']]] - intermediate_results[[#This Row], [Total running average '[sec']]]</f>
        <v>0</v>
      </c>
      <c r="AI26" s="3">
        <f>intermediate_results[[#This Row], [All cumulative times '[sec']]] / intermediate_results[[#This Row], [Team6 laps '[laps']]] - intermediate_results[[#This Row], [Total running average '[sec']]]</f>
        <v>0</v>
      </c>
      <c r="AJ26" s="3">
        <f>intermediate_results[[#This Row], [All cumulative times '[sec']]] / intermediate_results[[#This Row], [Team7 laps '[laps']]] - intermediate_results[[#This Row], [Total running average '[sec']]]</f>
        <v>0</v>
      </c>
      <c r="AK26" s="3">
        <f>intermediate_results[[#This Row], [All cumulative times '[sec']]] / intermediate_results[[#This Row], [Team8 laps '[laps']]] - intermediate_results[[#This Row], [Total running average '[sec']]]</f>
        <v>0</v>
      </c>
      <c r="AL26" s="3">
        <f>intermediate_results[[#This Row], [All cumulative times '[sec']]] / intermediate_results[[#This Row], [Team9 laps '[laps']]] - intermediate_results[[#This Row], [Total running average '[sec']]]</f>
        <v>0</v>
      </c>
    </row>
    <row r="27" spans="1:38">
      <c r="A27" s="3">
        <v>170.291</v>
      </c>
      <c r="B2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" s="3">
        <f>intermediate_results[[#This Row], [Team1 laps '[laps']]] - intermediate_results[[#This Row], [Team1 laps '[laps']]]</f>
        <v>0</v>
      </c>
      <c r="L27" s="3">
        <f>intermediate_results[[#This Row], [Team1 laps '[laps']]] - intermediate_results[[#This Row], [Team2 laps '[laps']]]</f>
        <v>0</v>
      </c>
      <c r="M27" s="3">
        <f>intermediate_results[[#This Row], [Team1 laps '[laps']]] - intermediate_results[[#This Row], [Team3 laps '[laps']]]</f>
        <v>0</v>
      </c>
      <c r="N27" s="3">
        <f>intermediate_results[[#This Row], [Team1 laps '[laps']]] - intermediate_results[[#This Row], [Team4 laps '[laps']]]</f>
        <v>0</v>
      </c>
      <c r="O27" s="3">
        <f>intermediate_results[[#This Row], [Team1 laps '[laps']]] - intermediate_results[[#This Row], [Team5 laps '[laps']]]</f>
        <v>0</v>
      </c>
      <c r="P27" s="3">
        <f>intermediate_results[[#This Row], [Team1 laps '[laps']]] - intermediate_results[[#This Row], [Team6 laps '[laps']]]</f>
        <v>0</v>
      </c>
      <c r="Q27" s="3">
        <f>intermediate_results[[#This Row], [Team1 laps '[laps']]] - intermediate_results[[#This Row], [Team7 laps '[laps']]]</f>
        <v>0</v>
      </c>
      <c r="R27" s="3">
        <f>intermediate_results[[#This Row], [Team1 laps '[laps']]] - intermediate_results[[#This Row], [Team8 laps '[laps']]]</f>
        <v>0</v>
      </c>
      <c r="S27" s="3">
        <f>intermediate_results[[#This Row], [Team1 laps '[laps']]] - intermediate_results[[#This Row], [Team9 laps '[laps']]]</f>
        <v>0</v>
      </c>
      <c r="T27" s="3">
        <f>MAX(intermediate_results[[#This Row], [Team1 laps '[laps']]:[Team9 laps '[laps']]]) - intermediate_results[[#This Row], [Team1 laps '[laps']]]</f>
        <v>0</v>
      </c>
      <c r="U27" s="3">
        <f>MAX(intermediate_results[[#This Row], [Team1 laps '[laps']]:[Team9 laps '[laps']]]) - intermediate_results[[#This Row], [Team2 laps '[laps']]]</f>
        <v>0</v>
      </c>
      <c r="V27" s="3">
        <f>MAX(intermediate_results[[#This Row], [Team1 laps '[laps']]:[Team9 laps '[laps']]]) - intermediate_results[[#This Row], [Team3 laps '[laps']]]</f>
        <v>0</v>
      </c>
      <c r="W27" s="3">
        <f>MAX(intermediate_results[[#This Row], [Team1 laps '[laps']]:[Team9 laps '[laps']]]) - intermediate_results[[#This Row], [Team4 laps '[laps']]]</f>
        <v>0</v>
      </c>
      <c r="X27" s="3">
        <f>MAX(intermediate_results[[#This Row], [Team1 laps '[laps']]:[Team9 laps '[laps']]]) - intermediate_results[[#This Row], [Team5 laps '[laps']]]</f>
        <v>0</v>
      </c>
      <c r="Y27" s="3">
        <f>MAX(intermediate_results[[#This Row], [Team1 laps '[laps']]:[Team9 laps '[laps']]]) - intermediate_results[[#This Row], [Team6 laps '[laps']]]</f>
        <v>0</v>
      </c>
      <c r="Z27" s="3">
        <f>MAX(intermediate_results[[#This Row], [Team1 laps '[laps']]:[Team9 laps '[laps']]]) - intermediate_results[[#This Row], [Team7 laps '[laps']]]</f>
        <v>0</v>
      </c>
      <c r="AA27" s="3">
        <f>MAX(intermediate_results[[#This Row], [Team1 laps '[laps']]:[Team9 laps '[laps']]]) - intermediate_results[[#This Row], [Team8 laps '[laps']]]</f>
        <v>0</v>
      </c>
      <c r="AB27" s="3">
        <f>MAX(intermediate_results[[#This Row], [Team1 laps '[laps']]:[Team9 laps '[laps']]]) - intermediate_results[[#This Row], [Team9 laps '[laps']]]</f>
        <v>0</v>
      </c>
      <c r="AC27" s="3">
        <f>9 * intermediate_results[[#This Row], [All cumulative times '[sec']]] / SUM(intermediate_results[[#This Row], [Team1 laps '[laps']]:[Team9 laps '[laps']]])</f>
        <v>0</v>
      </c>
      <c r="AD27" s="3">
        <f>intermediate_results[[#This Row], [All cumulative times '[sec']]] / intermediate_results[[#This Row], [Team1 laps '[laps']]] - intermediate_results[[#This Row], [Total running average '[sec']]]</f>
        <v>0</v>
      </c>
      <c r="AE27" s="3">
        <f>intermediate_results[[#This Row], [All cumulative times '[sec']]] / intermediate_results[[#This Row], [Team2 laps '[laps']]] - intermediate_results[[#This Row], [Total running average '[sec']]]</f>
        <v>0</v>
      </c>
      <c r="AF27" s="3">
        <f>intermediate_results[[#This Row], [All cumulative times '[sec']]] / intermediate_results[[#This Row], [Team3 laps '[laps']]] - intermediate_results[[#This Row], [Total running average '[sec']]]</f>
        <v>0</v>
      </c>
      <c r="AG27" s="3">
        <f>intermediate_results[[#This Row], [All cumulative times '[sec']]] / intermediate_results[[#This Row], [Team4 laps '[laps']]] - intermediate_results[[#This Row], [Total running average '[sec']]]</f>
        <v>0</v>
      </c>
      <c r="AH27" s="3">
        <f>intermediate_results[[#This Row], [All cumulative times '[sec']]] / intermediate_results[[#This Row], [Team5 laps '[laps']]] - intermediate_results[[#This Row], [Total running average '[sec']]]</f>
        <v>0</v>
      </c>
      <c r="AI27" s="3">
        <f>intermediate_results[[#This Row], [All cumulative times '[sec']]] / intermediate_results[[#This Row], [Team6 laps '[laps']]] - intermediate_results[[#This Row], [Total running average '[sec']]]</f>
        <v>0</v>
      </c>
      <c r="AJ27" s="3">
        <f>intermediate_results[[#This Row], [All cumulative times '[sec']]] / intermediate_results[[#This Row], [Team7 laps '[laps']]] - intermediate_results[[#This Row], [Total running average '[sec']]]</f>
        <v>0</v>
      </c>
      <c r="AK27" s="3">
        <f>intermediate_results[[#This Row], [All cumulative times '[sec']]] / intermediate_results[[#This Row], [Team8 laps '[laps']]] - intermediate_results[[#This Row], [Total running average '[sec']]]</f>
        <v>0</v>
      </c>
      <c r="AL27" s="3">
        <f>intermediate_results[[#This Row], [All cumulative times '[sec']]] / intermediate_results[[#This Row], [Team9 laps '[laps']]] - intermediate_results[[#This Row], [Total running average '[sec']]]</f>
        <v>0</v>
      </c>
    </row>
    <row r="28" spans="1:38">
      <c r="A28" s="3">
        <v>171.417</v>
      </c>
      <c r="B2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" s="3">
        <f>intermediate_results[[#This Row], [Team1 laps '[laps']]] - intermediate_results[[#This Row], [Team1 laps '[laps']]]</f>
        <v>0</v>
      </c>
      <c r="L28" s="3">
        <f>intermediate_results[[#This Row], [Team1 laps '[laps']]] - intermediate_results[[#This Row], [Team2 laps '[laps']]]</f>
        <v>0</v>
      </c>
      <c r="M28" s="3">
        <f>intermediate_results[[#This Row], [Team1 laps '[laps']]] - intermediate_results[[#This Row], [Team3 laps '[laps']]]</f>
        <v>0</v>
      </c>
      <c r="N28" s="3">
        <f>intermediate_results[[#This Row], [Team1 laps '[laps']]] - intermediate_results[[#This Row], [Team4 laps '[laps']]]</f>
        <v>0</v>
      </c>
      <c r="O28" s="3">
        <f>intermediate_results[[#This Row], [Team1 laps '[laps']]] - intermediate_results[[#This Row], [Team5 laps '[laps']]]</f>
        <v>0</v>
      </c>
      <c r="P28" s="3">
        <f>intermediate_results[[#This Row], [Team1 laps '[laps']]] - intermediate_results[[#This Row], [Team6 laps '[laps']]]</f>
        <v>0</v>
      </c>
      <c r="Q28" s="3">
        <f>intermediate_results[[#This Row], [Team1 laps '[laps']]] - intermediate_results[[#This Row], [Team7 laps '[laps']]]</f>
        <v>0</v>
      </c>
      <c r="R28" s="3">
        <f>intermediate_results[[#This Row], [Team1 laps '[laps']]] - intermediate_results[[#This Row], [Team8 laps '[laps']]]</f>
        <v>0</v>
      </c>
      <c r="S28" s="3">
        <f>intermediate_results[[#This Row], [Team1 laps '[laps']]] - intermediate_results[[#This Row], [Team9 laps '[laps']]]</f>
        <v>0</v>
      </c>
      <c r="T28" s="3">
        <f>MAX(intermediate_results[[#This Row], [Team1 laps '[laps']]:[Team9 laps '[laps']]]) - intermediate_results[[#This Row], [Team1 laps '[laps']]]</f>
        <v>0</v>
      </c>
      <c r="U28" s="3">
        <f>MAX(intermediate_results[[#This Row], [Team1 laps '[laps']]:[Team9 laps '[laps']]]) - intermediate_results[[#This Row], [Team2 laps '[laps']]]</f>
        <v>0</v>
      </c>
      <c r="V28" s="3">
        <f>MAX(intermediate_results[[#This Row], [Team1 laps '[laps']]:[Team9 laps '[laps']]]) - intermediate_results[[#This Row], [Team3 laps '[laps']]]</f>
        <v>0</v>
      </c>
      <c r="W28" s="3">
        <f>MAX(intermediate_results[[#This Row], [Team1 laps '[laps']]:[Team9 laps '[laps']]]) - intermediate_results[[#This Row], [Team4 laps '[laps']]]</f>
        <v>0</v>
      </c>
      <c r="X28" s="3">
        <f>MAX(intermediate_results[[#This Row], [Team1 laps '[laps']]:[Team9 laps '[laps']]]) - intermediate_results[[#This Row], [Team5 laps '[laps']]]</f>
        <v>0</v>
      </c>
      <c r="Y28" s="3">
        <f>MAX(intermediate_results[[#This Row], [Team1 laps '[laps']]:[Team9 laps '[laps']]]) - intermediate_results[[#This Row], [Team6 laps '[laps']]]</f>
        <v>0</v>
      </c>
      <c r="Z28" s="3">
        <f>MAX(intermediate_results[[#This Row], [Team1 laps '[laps']]:[Team9 laps '[laps']]]) - intermediate_results[[#This Row], [Team7 laps '[laps']]]</f>
        <v>0</v>
      </c>
      <c r="AA28" s="3">
        <f>MAX(intermediate_results[[#This Row], [Team1 laps '[laps']]:[Team9 laps '[laps']]]) - intermediate_results[[#This Row], [Team8 laps '[laps']]]</f>
        <v>0</v>
      </c>
      <c r="AB28" s="3">
        <f>MAX(intermediate_results[[#This Row], [Team1 laps '[laps']]:[Team9 laps '[laps']]]) - intermediate_results[[#This Row], [Team9 laps '[laps']]]</f>
        <v>0</v>
      </c>
      <c r="AC28" s="3">
        <f>9 * intermediate_results[[#This Row], [All cumulative times '[sec']]] / SUM(intermediate_results[[#This Row], [Team1 laps '[laps']]:[Team9 laps '[laps']]])</f>
        <v>0</v>
      </c>
      <c r="AD28" s="3">
        <f>intermediate_results[[#This Row], [All cumulative times '[sec']]] / intermediate_results[[#This Row], [Team1 laps '[laps']]] - intermediate_results[[#This Row], [Total running average '[sec']]]</f>
        <v>0</v>
      </c>
      <c r="AE28" s="3">
        <f>intermediate_results[[#This Row], [All cumulative times '[sec']]] / intermediate_results[[#This Row], [Team2 laps '[laps']]] - intermediate_results[[#This Row], [Total running average '[sec']]]</f>
        <v>0</v>
      </c>
      <c r="AF28" s="3">
        <f>intermediate_results[[#This Row], [All cumulative times '[sec']]] / intermediate_results[[#This Row], [Team3 laps '[laps']]] - intermediate_results[[#This Row], [Total running average '[sec']]]</f>
        <v>0</v>
      </c>
      <c r="AG28" s="3">
        <f>intermediate_results[[#This Row], [All cumulative times '[sec']]] / intermediate_results[[#This Row], [Team4 laps '[laps']]] - intermediate_results[[#This Row], [Total running average '[sec']]]</f>
        <v>0</v>
      </c>
      <c r="AH28" s="3">
        <f>intermediate_results[[#This Row], [All cumulative times '[sec']]] / intermediate_results[[#This Row], [Team5 laps '[laps']]] - intermediate_results[[#This Row], [Total running average '[sec']]]</f>
        <v>0</v>
      </c>
      <c r="AI28" s="3">
        <f>intermediate_results[[#This Row], [All cumulative times '[sec']]] / intermediate_results[[#This Row], [Team6 laps '[laps']]] - intermediate_results[[#This Row], [Total running average '[sec']]]</f>
        <v>0</v>
      </c>
      <c r="AJ28" s="3">
        <f>intermediate_results[[#This Row], [All cumulative times '[sec']]] / intermediate_results[[#This Row], [Team7 laps '[laps']]] - intermediate_results[[#This Row], [Total running average '[sec']]]</f>
        <v>0</v>
      </c>
      <c r="AK28" s="3">
        <f>intermediate_results[[#This Row], [All cumulative times '[sec']]] / intermediate_results[[#This Row], [Team8 laps '[laps']]] - intermediate_results[[#This Row], [Total running average '[sec']]]</f>
        <v>0</v>
      </c>
      <c r="AL28" s="3">
        <f>intermediate_results[[#This Row], [All cumulative times '[sec']]] / intermediate_results[[#This Row], [Team9 laps '[laps']]] - intermediate_results[[#This Row], [Total running average '[sec']]]</f>
        <v>0</v>
      </c>
    </row>
    <row r="29" spans="1:38">
      <c r="A29" s="3">
        <v>214.058</v>
      </c>
      <c r="B2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" s="3">
        <f>intermediate_results[[#This Row], [Team1 laps '[laps']]] - intermediate_results[[#This Row], [Team1 laps '[laps']]]</f>
        <v>0</v>
      </c>
      <c r="L29" s="3">
        <f>intermediate_results[[#This Row], [Team1 laps '[laps']]] - intermediate_results[[#This Row], [Team2 laps '[laps']]]</f>
        <v>0</v>
      </c>
      <c r="M29" s="3">
        <f>intermediate_results[[#This Row], [Team1 laps '[laps']]] - intermediate_results[[#This Row], [Team3 laps '[laps']]]</f>
        <v>0</v>
      </c>
      <c r="N29" s="3">
        <f>intermediate_results[[#This Row], [Team1 laps '[laps']]] - intermediate_results[[#This Row], [Team4 laps '[laps']]]</f>
        <v>0</v>
      </c>
      <c r="O29" s="3">
        <f>intermediate_results[[#This Row], [Team1 laps '[laps']]] - intermediate_results[[#This Row], [Team5 laps '[laps']]]</f>
        <v>0</v>
      </c>
      <c r="P29" s="3">
        <f>intermediate_results[[#This Row], [Team1 laps '[laps']]] - intermediate_results[[#This Row], [Team6 laps '[laps']]]</f>
        <v>0</v>
      </c>
      <c r="Q29" s="3">
        <f>intermediate_results[[#This Row], [Team1 laps '[laps']]] - intermediate_results[[#This Row], [Team7 laps '[laps']]]</f>
        <v>0</v>
      </c>
      <c r="R29" s="3">
        <f>intermediate_results[[#This Row], [Team1 laps '[laps']]] - intermediate_results[[#This Row], [Team8 laps '[laps']]]</f>
        <v>0</v>
      </c>
      <c r="S29" s="3">
        <f>intermediate_results[[#This Row], [Team1 laps '[laps']]] - intermediate_results[[#This Row], [Team9 laps '[laps']]]</f>
        <v>0</v>
      </c>
      <c r="T29" s="3">
        <f>MAX(intermediate_results[[#This Row], [Team1 laps '[laps']]:[Team9 laps '[laps']]]) - intermediate_results[[#This Row], [Team1 laps '[laps']]]</f>
        <v>0</v>
      </c>
      <c r="U29" s="3">
        <f>MAX(intermediate_results[[#This Row], [Team1 laps '[laps']]:[Team9 laps '[laps']]]) - intermediate_results[[#This Row], [Team2 laps '[laps']]]</f>
        <v>0</v>
      </c>
      <c r="V29" s="3">
        <f>MAX(intermediate_results[[#This Row], [Team1 laps '[laps']]:[Team9 laps '[laps']]]) - intermediate_results[[#This Row], [Team3 laps '[laps']]]</f>
        <v>0</v>
      </c>
      <c r="W29" s="3">
        <f>MAX(intermediate_results[[#This Row], [Team1 laps '[laps']]:[Team9 laps '[laps']]]) - intermediate_results[[#This Row], [Team4 laps '[laps']]]</f>
        <v>0</v>
      </c>
      <c r="X29" s="3">
        <f>MAX(intermediate_results[[#This Row], [Team1 laps '[laps']]:[Team9 laps '[laps']]]) - intermediate_results[[#This Row], [Team5 laps '[laps']]]</f>
        <v>0</v>
      </c>
      <c r="Y29" s="3">
        <f>MAX(intermediate_results[[#This Row], [Team1 laps '[laps']]:[Team9 laps '[laps']]]) - intermediate_results[[#This Row], [Team6 laps '[laps']]]</f>
        <v>0</v>
      </c>
      <c r="Z29" s="3">
        <f>MAX(intermediate_results[[#This Row], [Team1 laps '[laps']]:[Team9 laps '[laps']]]) - intermediate_results[[#This Row], [Team7 laps '[laps']]]</f>
        <v>0</v>
      </c>
      <c r="AA29" s="3">
        <f>MAX(intermediate_results[[#This Row], [Team1 laps '[laps']]:[Team9 laps '[laps']]]) - intermediate_results[[#This Row], [Team8 laps '[laps']]]</f>
        <v>0</v>
      </c>
      <c r="AB29" s="3">
        <f>MAX(intermediate_results[[#This Row], [Team1 laps '[laps']]:[Team9 laps '[laps']]]) - intermediate_results[[#This Row], [Team9 laps '[laps']]]</f>
        <v>0</v>
      </c>
      <c r="AC29" s="3">
        <f>9 * intermediate_results[[#This Row], [All cumulative times '[sec']]] / SUM(intermediate_results[[#This Row], [Team1 laps '[laps']]:[Team9 laps '[laps']]])</f>
        <v>0</v>
      </c>
      <c r="AD29" s="3">
        <f>intermediate_results[[#This Row], [All cumulative times '[sec']]] / intermediate_results[[#This Row], [Team1 laps '[laps']]] - intermediate_results[[#This Row], [Total running average '[sec']]]</f>
        <v>0</v>
      </c>
      <c r="AE29" s="3">
        <f>intermediate_results[[#This Row], [All cumulative times '[sec']]] / intermediate_results[[#This Row], [Team2 laps '[laps']]] - intermediate_results[[#This Row], [Total running average '[sec']]]</f>
        <v>0</v>
      </c>
      <c r="AF29" s="3">
        <f>intermediate_results[[#This Row], [All cumulative times '[sec']]] / intermediate_results[[#This Row], [Team3 laps '[laps']]] - intermediate_results[[#This Row], [Total running average '[sec']]]</f>
        <v>0</v>
      </c>
      <c r="AG29" s="3">
        <f>intermediate_results[[#This Row], [All cumulative times '[sec']]] / intermediate_results[[#This Row], [Team4 laps '[laps']]] - intermediate_results[[#This Row], [Total running average '[sec']]]</f>
        <v>0</v>
      </c>
      <c r="AH29" s="3">
        <f>intermediate_results[[#This Row], [All cumulative times '[sec']]] / intermediate_results[[#This Row], [Team5 laps '[laps']]] - intermediate_results[[#This Row], [Total running average '[sec']]]</f>
        <v>0</v>
      </c>
      <c r="AI29" s="3">
        <f>intermediate_results[[#This Row], [All cumulative times '[sec']]] / intermediate_results[[#This Row], [Team6 laps '[laps']]] - intermediate_results[[#This Row], [Total running average '[sec']]]</f>
        <v>0</v>
      </c>
      <c r="AJ29" s="3">
        <f>intermediate_results[[#This Row], [All cumulative times '[sec']]] / intermediate_results[[#This Row], [Team7 laps '[laps']]] - intermediate_results[[#This Row], [Total running average '[sec']]]</f>
        <v>0</v>
      </c>
      <c r="AK29" s="3">
        <f>intermediate_results[[#This Row], [All cumulative times '[sec']]] / intermediate_results[[#This Row], [Team8 laps '[laps']]] - intermediate_results[[#This Row], [Total running average '[sec']]]</f>
        <v>0</v>
      </c>
      <c r="AL29" s="3">
        <f>intermediate_results[[#This Row], [All cumulative times '[sec']]] / intermediate_results[[#This Row], [Team9 laps '[laps']]] - intermediate_results[[#This Row], [Total running average '[sec']]]</f>
        <v>0</v>
      </c>
    </row>
    <row r="30" spans="1:38">
      <c r="A30" s="3">
        <v>214.311</v>
      </c>
      <c r="B3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0" s="3">
        <f>intermediate_results[[#This Row], [Team1 laps '[laps']]] - intermediate_results[[#This Row], [Team1 laps '[laps']]]</f>
        <v>0</v>
      </c>
      <c r="L30" s="3">
        <f>intermediate_results[[#This Row], [Team1 laps '[laps']]] - intermediate_results[[#This Row], [Team2 laps '[laps']]]</f>
        <v>0</v>
      </c>
      <c r="M30" s="3">
        <f>intermediate_results[[#This Row], [Team1 laps '[laps']]] - intermediate_results[[#This Row], [Team3 laps '[laps']]]</f>
        <v>0</v>
      </c>
      <c r="N30" s="3">
        <f>intermediate_results[[#This Row], [Team1 laps '[laps']]] - intermediate_results[[#This Row], [Team4 laps '[laps']]]</f>
        <v>0</v>
      </c>
      <c r="O30" s="3">
        <f>intermediate_results[[#This Row], [Team1 laps '[laps']]] - intermediate_results[[#This Row], [Team5 laps '[laps']]]</f>
        <v>0</v>
      </c>
      <c r="P30" s="3">
        <f>intermediate_results[[#This Row], [Team1 laps '[laps']]] - intermediate_results[[#This Row], [Team6 laps '[laps']]]</f>
        <v>0</v>
      </c>
      <c r="Q30" s="3">
        <f>intermediate_results[[#This Row], [Team1 laps '[laps']]] - intermediate_results[[#This Row], [Team7 laps '[laps']]]</f>
        <v>0</v>
      </c>
      <c r="R30" s="3">
        <f>intermediate_results[[#This Row], [Team1 laps '[laps']]] - intermediate_results[[#This Row], [Team8 laps '[laps']]]</f>
        <v>0</v>
      </c>
      <c r="S30" s="3">
        <f>intermediate_results[[#This Row], [Team1 laps '[laps']]] - intermediate_results[[#This Row], [Team9 laps '[laps']]]</f>
        <v>0</v>
      </c>
      <c r="T30" s="3">
        <f>MAX(intermediate_results[[#This Row], [Team1 laps '[laps']]:[Team9 laps '[laps']]]) - intermediate_results[[#This Row], [Team1 laps '[laps']]]</f>
        <v>0</v>
      </c>
      <c r="U30" s="3">
        <f>MAX(intermediate_results[[#This Row], [Team1 laps '[laps']]:[Team9 laps '[laps']]]) - intermediate_results[[#This Row], [Team2 laps '[laps']]]</f>
        <v>0</v>
      </c>
      <c r="V30" s="3">
        <f>MAX(intermediate_results[[#This Row], [Team1 laps '[laps']]:[Team9 laps '[laps']]]) - intermediate_results[[#This Row], [Team3 laps '[laps']]]</f>
        <v>0</v>
      </c>
      <c r="W30" s="3">
        <f>MAX(intermediate_results[[#This Row], [Team1 laps '[laps']]:[Team9 laps '[laps']]]) - intermediate_results[[#This Row], [Team4 laps '[laps']]]</f>
        <v>0</v>
      </c>
      <c r="X30" s="3">
        <f>MAX(intermediate_results[[#This Row], [Team1 laps '[laps']]:[Team9 laps '[laps']]]) - intermediate_results[[#This Row], [Team5 laps '[laps']]]</f>
        <v>0</v>
      </c>
      <c r="Y30" s="3">
        <f>MAX(intermediate_results[[#This Row], [Team1 laps '[laps']]:[Team9 laps '[laps']]]) - intermediate_results[[#This Row], [Team6 laps '[laps']]]</f>
        <v>0</v>
      </c>
      <c r="Z30" s="3">
        <f>MAX(intermediate_results[[#This Row], [Team1 laps '[laps']]:[Team9 laps '[laps']]]) - intermediate_results[[#This Row], [Team7 laps '[laps']]]</f>
        <v>0</v>
      </c>
      <c r="AA30" s="3">
        <f>MAX(intermediate_results[[#This Row], [Team1 laps '[laps']]:[Team9 laps '[laps']]]) - intermediate_results[[#This Row], [Team8 laps '[laps']]]</f>
        <v>0</v>
      </c>
      <c r="AB30" s="3">
        <f>MAX(intermediate_results[[#This Row], [Team1 laps '[laps']]:[Team9 laps '[laps']]]) - intermediate_results[[#This Row], [Team9 laps '[laps']]]</f>
        <v>0</v>
      </c>
      <c r="AC30" s="3">
        <f>9 * intermediate_results[[#This Row], [All cumulative times '[sec']]] / SUM(intermediate_results[[#This Row], [Team1 laps '[laps']]:[Team9 laps '[laps']]])</f>
        <v>0</v>
      </c>
      <c r="AD30" s="3">
        <f>intermediate_results[[#This Row], [All cumulative times '[sec']]] / intermediate_results[[#This Row], [Team1 laps '[laps']]] - intermediate_results[[#This Row], [Total running average '[sec']]]</f>
        <v>0</v>
      </c>
      <c r="AE30" s="3">
        <f>intermediate_results[[#This Row], [All cumulative times '[sec']]] / intermediate_results[[#This Row], [Team2 laps '[laps']]] - intermediate_results[[#This Row], [Total running average '[sec']]]</f>
        <v>0</v>
      </c>
      <c r="AF30" s="3">
        <f>intermediate_results[[#This Row], [All cumulative times '[sec']]] / intermediate_results[[#This Row], [Team3 laps '[laps']]] - intermediate_results[[#This Row], [Total running average '[sec']]]</f>
        <v>0</v>
      </c>
      <c r="AG30" s="3">
        <f>intermediate_results[[#This Row], [All cumulative times '[sec']]] / intermediate_results[[#This Row], [Team4 laps '[laps']]] - intermediate_results[[#This Row], [Total running average '[sec']]]</f>
        <v>0</v>
      </c>
      <c r="AH30" s="3">
        <f>intermediate_results[[#This Row], [All cumulative times '[sec']]] / intermediate_results[[#This Row], [Team5 laps '[laps']]] - intermediate_results[[#This Row], [Total running average '[sec']]]</f>
        <v>0</v>
      </c>
      <c r="AI30" s="3">
        <f>intermediate_results[[#This Row], [All cumulative times '[sec']]] / intermediate_results[[#This Row], [Team6 laps '[laps']]] - intermediate_results[[#This Row], [Total running average '[sec']]]</f>
        <v>0</v>
      </c>
      <c r="AJ30" s="3">
        <f>intermediate_results[[#This Row], [All cumulative times '[sec']]] / intermediate_results[[#This Row], [Team7 laps '[laps']]] - intermediate_results[[#This Row], [Total running average '[sec']]]</f>
        <v>0</v>
      </c>
      <c r="AK30" s="3">
        <f>intermediate_results[[#This Row], [All cumulative times '[sec']]] / intermediate_results[[#This Row], [Team8 laps '[laps']]] - intermediate_results[[#This Row], [Total running average '[sec']]]</f>
        <v>0</v>
      </c>
      <c r="AL30" s="3">
        <f>intermediate_results[[#This Row], [All cumulative times '[sec']]] / intermediate_results[[#This Row], [Team9 laps '[laps']]] - intermediate_results[[#This Row], [Total running average '[sec']]]</f>
        <v>0</v>
      </c>
    </row>
    <row r="31" spans="1:38">
      <c r="A31" s="3">
        <v>217.576</v>
      </c>
      <c r="B3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1" s="3">
        <f>intermediate_results[[#This Row], [Team1 laps '[laps']]] - intermediate_results[[#This Row], [Team1 laps '[laps']]]</f>
        <v>0</v>
      </c>
      <c r="L31" s="3">
        <f>intermediate_results[[#This Row], [Team1 laps '[laps']]] - intermediate_results[[#This Row], [Team2 laps '[laps']]]</f>
        <v>0</v>
      </c>
      <c r="M31" s="3">
        <f>intermediate_results[[#This Row], [Team1 laps '[laps']]] - intermediate_results[[#This Row], [Team3 laps '[laps']]]</f>
        <v>0</v>
      </c>
      <c r="N31" s="3">
        <f>intermediate_results[[#This Row], [Team1 laps '[laps']]] - intermediate_results[[#This Row], [Team4 laps '[laps']]]</f>
        <v>0</v>
      </c>
      <c r="O31" s="3">
        <f>intermediate_results[[#This Row], [Team1 laps '[laps']]] - intermediate_results[[#This Row], [Team5 laps '[laps']]]</f>
        <v>0</v>
      </c>
      <c r="P31" s="3">
        <f>intermediate_results[[#This Row], [Team1 laps '[laps']]] - intermediate_results[[#This Row], [Team6 laps '[laps']]]</f>
        <v>0</v>
      </c>
      <c r="Q31" s="3">
        <f>intermediate_results[[#This Row], [Team1 laps '[laps']]] - intermediate_results[[#This Row], [Team7 laps '[laps']]]</f>
        <v>0</v>
      </c>
      <c r="R31" s="3">
        <f>intermediate_results[[#This Row], [Team1 laps '[laps']]] - intermediate_results[[#This Row], [Team8 laps '[laps']]]</f>
        <v>0</v>
      </c>
      <c r="S31" s="3">
        <f>intermediate_results[[#This Row], [Team1 laps '[laps']]] - intermediate_results[[#This Row], [Team9 laps '[laps']]]</f>
        <v>0</v>
      </c>
      <c r="T31" s="3">
        <f>MAX(intermediate_results[[#This Row], [Team1 laps '[laps']]:[Team9 laps '[laps']]]) - intermediate_results[[#This Row], [Team1 laps '[laps']]]</f>
        <v>0</v>
      </c>
      <c r="U31" s="3">
        <f>MAX(intermediate_results[[#This Row], [Team1 laps '[laps']]:[Team9 laps '[laps']]]) - intermediate_results[[#This Row], [Team2 laps '[laps']]]</f>
        <v>0</v>
      </c>
      <c r="V31" s="3">
        <f>MAX(intermediate_results[[#This Row], [Team1 laps '[laps']]:[Team9 laps '[laps']]]) - intermediate_results[[#This Row], [Team3 laps '[laps']]]</f>
        <v>0</v>
      </c>
      <c r="W31" s="3">
        <f>MAX(intermediate_results[[#This Row], [Team1 laps '[laps']]:[Team9 laps '[laps']]]) - intermediate_results[[#This Row], [Team4 laps '[laps']]]</f>
        <v>0</v>
      </c>
      <c r="X31" s="3">
        <f>MAX(intermediate_results[[#This Row], [Team1 laps '[laps']]:[Team9 laps '[laps']]]) - intermediate_results[[#This Row], [Team5 laps '[laps']]]</f>
        <v>0</v>
      </c>
      <c r="Y31" s="3">
        <f>MAX(intermediate_results[[#This Row], [Team1 laps '[laps']]:[Team9 laps '[laps']]]) - intermediate_results[[#This Row], [Team6 laps '[laps']]]</f>
        <v>0</v>
      </c>
      <c r="Z31" s="3">
        <f>MAX(intermediate_results[[#This Row], [Team1 laps '[laps']]:[Team9 laps '[laps']]]) - intermediate_results[[#This Row], [Team7 laps '[laps']]]</f>
        <v>0</v>
      </c>
      <c r="AA31" s="3">
        <f>MAX(intermediate_results[[#This Row], [Team1 laps '[laps']]:[Team9 laps '[laps']]]) - intermediate_results[[#This Row], [Team8 laps '[laps']]]</f>
        <v>0</v>
      </c>
      <c r="AB31" s="3">
        <f>MAX(intermediate_results[[#This Row], [Team1 laps '[laps']]:[Team9 laps '[laps']]]) - intermediate_results[[#This Row], [Team9 laps '[laps']]]</f>
        <v>0</v>
      </c>
      <c r="AC31" s="3">
        <f>9 * intermediate_results[[#This Row], [All cumulative times '[sec']]] / SUM(intermediate_results[[#This Row], [Team1 laps '[laps']]:[Team9 laps '[laps']]])</f>
        <v>0</v>
      </c>
      <c r="AD31" s="3">
        <f>intermediate_results[[#This Row], [All cumulative times '[sec']]] / intermediate_results[[#This Row], [Team1 laps '[laps']]] - intermediate_results[[#This Row], [Total running average '[sec']]]</f>
        <v>0</v>
      </c>
      <c r="AE31" s="3">
        <f>intermediate_results[[#This Row], [All cumulative times '[sec']]] / intermediate_results[[#This Row], [Team2 laps '[laps']]] - intermediate_results[[#This Row], [Total running average '[sec']]]</f>
        <v>0</v>
      </c>
      <c r="AF31" s="3">
        <f>intermediate_results[[#This Row], [All cumulative times '[sec']]] / intermediate_results[[#This Row], [Team3 laps '[laps']]] - intermediate_results[[#This Row], [Total running average '[sec']]]</f>
        <v>0</v>
      </c>
      <c r="AG31" s="3">
        <f>intermediate_results[[#This Row], [All cumulative times '[sec']]] / intermediate_results[[#This Row], [Team4 laps '[laps']]] - intermediate_results[[#This Row], [Total running average '[sec']]]</f>
        <v>0</v>
      </c>
      <c r="AH31" s="3">
        <f>intermediate_results[[#This Row], [All cumulative times '[sec']]] / intermediate_results[[#This Row], [Team5 laps '[laps']]] - intermediate_results[[#This Row], [Total running average '[sec']]]</f>
        <v>0</v>
      </c>
      <c r="AI31" s="3">
        <f>intermediate_results[[#This Row], [All cumulative times '[sec']]] / intermediate_results[[#This Row], [Team6 laps '[laps']]] - intermediate_results[[#This Row], [Total running average '[sec']]]</f>
        <v>0</v>
      </c>
      <c r="AJ31" s="3">
        <f>intermediate_results[[#This Row], [All cumulative times '[sec']]] / intermediate_results[[#This Row], [Team7 laps '[laps']]] - intermediate_results[[#This Row], [Total running average '[sec']]]</f>
        <v>0</v>
      </c>
      <c r="AK31" s="3">
        <f>intermediate_results[[#This Row], [All cumulative times '[sec']]] / intermediate_results[[#This Row], [Team8 laps '[laps']]] - intermediate_results[[#This Row], [Total running average '[sec']]]</f>
        <v>0</v>
      </c>
      <c r="AL31" s="3">
        <f>intermediate_results[[#This Row], [All cumulative times '[sec']]] / intermediate_results[[#This Row], [Team9 laps '[laps']]] - intermediate_results[[#This Row], [Total running average '[sec']]]</f>
        <v>0</v>
      </c>
    </row>
    <row r="32" spans="1:38">
      <c r="A32" s="3">
        <v>221.208</v>
      </c>
      <c r="B3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2" s="3">
        <f>intermediate_results[[#This Row], [Team1 laps '[laps']]] - intermediate_results[[#This Row], [Team1 laps '[laps']]]</f>
        <v>0</v>
      </c>
      <c r="L32" s="3">
        <f>intermediate_results[[#This Row], [Team1 laps '[laps']]] - intermediate_results[[#This Row], [Team2 laps '[laps']]]</f>
        <v>0</v>
      </c>
      <c r="M32" s="3">
        <f>intermediate_results[[#This Row], [Team1 laps '[laps']]] - intermediate_results[[#This Row], [Team3 laps '[laps']]]</f>
        <v>0</v>
      </c>
      <c r="N32" s="3">
        <f>intermediate_results[[#This Row], [Team1 laps '[laps']]] - intermediate_results[[#This Row], [Team4 laps '[laps']]]</f>
        <v>0</v>
      </c>
      <c r="O32" s="3">
        <f>intermediate_results[[#This Row], [Team1 laps '[laps']]] - intermediate_results[[#This Row], [Team5 laps '[laps']]]</f>
        <v>0</v>
      </c>
      <c r="P32" s="3">
        <f>intermediate_results[[#This Row], [Team1 laps '[laps']]] - intermediate_results[[#This Row], [Team6 laps '[laps']]]</f>
        <v>0</v>
      </c>
      <c r="Q32" s="3">
        <f>intermediate_results[[#This Row], [Team1 laps '[laps']]] - intermediate_results[[#This Row], [Team7 laps '[laps']]]</f>
        <v>0</v>
      </c>
      <c r="R32" s="3">
        <f>intermediate_results[[#This Row], [Team1 laps '[laps']]] - intermediate_results[[#This Row], [Team8 laps '[laps']]]</f>
        <v>0</v>
      </c>
      <c r="S32" s="3">
        <f>intermediate_results[[#This Row], [Team1 laps '[laps']]] - intermediate_results[[#This Row], [Team9 laps '[laps']]]</f>
        <v>0</v>
      </c>
      <c r="T32" s="3">
        <f>MAX(intermediate_results[[#This Row], [Team1 laps '[laps']]:[Team9 laps '[laps']]]) - intermediate_results[[#This Row], [Team1 laps '[laps']]]</f>
        <v>0</v>
      </c>
      <c r="U32" s="3">
        <f>MAX(intermediate_results[[#This Row], [Team1 laps '[laps']]:[Team9 laps '[laps']]]) - intermediate_results[[#This Row], [Team2 laps '[laps']]]</f>
        <v>0</v>
      </c>
      <c r="V32" s="3">
        <f>MAX(intermediate_results[[#This Row], [Team1 laps '[laps']]:[Team9 laps '[laps']]]) - intermediate_results[[#This Row], [Team3 laps '[laps']]]</f>
        <v>0</v>
      </c>
      <c r="W32" s="3">
        <f>MAX(intermediate_results[[#This Row], [Team1 laps '[laps']]:[Team9 laps '[laps']]]) - intermediate_results[[#This Row], [Team4 laps '[laps']]]</f>
        <v>0</v>
      </c>
      <c r="X32" s="3">
        <f>MAX(intermediate_results[[#This Row], [Team1 laps '[laps']]:[Team9 laps '[laps']]]) - intermediate_results[[#This Row], [Team5 laps '[laps']]]</f>
        <v>0</v>
      </c>
      <c r="Y32" s="3">
        <f>MAX(intermediate_results[[#This Row], [Team1 laps '[laps']]:[Team9 laps '[laps']]]) - intermediate_results[[#This Row], [Team6 laps '[laps']]]</f>
        <v>0</v>
      </c>
      <c r="Z32" s="3">
        <f>MAX(intermediate_results[[#This Row], [Team1 laps '[laps']]:[Team9 laps '[laps']]]) - intermediate_results[[#This Row], [Team7 laps '[laps']]]</f>
        <v>0</v>
      </c>
      <c r="AA32" s="3">
        <f>MAX(intermediate_results[[#This Row], [Team1 laps '[laps']]:[Team9 laps '[laps']]]) - intermediate_results[[#This Row], [Team8 laps '[laps']]]</f>
        <v>0</v>
      </c>
      <c r="AB32" s="3">
        <f>MAX(intermediate_results[[#This Row], [Team1 laps '[laps']]:[Team9 laps '[laps']]]) - intermediate_results[[#This Row], [Team9 laps '[laps']]]</f>
        <v>0</v>
      </c>
      <c r="AC32" s="3">
        <f>9 * intermediate_results[[#This Row], [All cumulative times '[sec']]] / SUM(intermediate_results[[#This Row], [Team1 laps '[laps']]:[Team9 laps '[laps']]])</f>
        <v>0</v>
      </c>
      <c r="AD32" s="3">
        <f>intermediate_results[[#This Row], [All cumulative times '[sec']]] / intermediate_results[[#This Row], [Team1 laps '[laps']]] - intermediate_results[[#This Row], [Total running average '[sec']]]</f>
        <v>0</v>
      </c>
      <c r="AE32" s="3">
        <f>intermediate_results[[#This Row], [All cumulative times '[sec']]] / intermediate_results[[#This Row], [Team2 laps '[laps']]] - intermediate_results[[#This Row], [Total running average '[sec']]]</f>
        <v>0</v>
      </c>
      <c r="AF32" s="3">
        <f>intermediate_results[[#This Row], [All cumulative times '[sec']]] / intermediate_results[[#This Row], [Team3 laps '[laps']]] - intermediate_results[[#This Row], [Total running average '[sec']]]</f>
        <v>0</v>
      </c>
      <c r="AG32" s="3">
        <f>intermediate_results[[#This Row], [All cumulative times '[sec']]] / intermediate_results[[#This Row], [Team4 laps '[laps']]] - intermediate_results[[#This Row], [Total running average '[sec']]]</f>
        <v>0</v>
      </c>
      <c r="AH32" s="3">
        <f>intermediate_results[[#This Row], [All cumulative times '[sec']]] / intermediate_results[[#This Row], [Team5 laps '[laps']]] - intermediate_results[[#This Row], [Total running average '[sec']]]</f>
        <v>0</v>
      </c>
      <c r="AI32" s="3">
        <f>intermediate_results[[#This Row], [All cumulative times '[sec']]] / intermediate_results[[#This Row], [Team6 laps '[laps']]] - intermediate_results[[#This Row], [Total running average '[sec']]]</f>
        <v>0</v>
      </c>
      <c r="AJ32" s="3">
        <f>intermediate_results[[#This Row], [All cumulative times '[sec']]] / intermediate_results[[#This Row], [Team7 laps '[laps']]] - intermediate_results[[#This Row], [Total running average '[sec']]]</f>
        <v>0</v>
      </c>
      <c r="AK32" s="3">
        <f>intermediate_results[[#This Row], [All cumulative times '[sec']]] / intermediate_results[[#This Row], [Team8 laps '[laps']]] - intermediate_results[[#This Row], [Total running average '[sec']]]</f>
        <v>0</v>
      </c>
      <c r="AL32" s="3">
        <f>intermediate_results[[#This Row], [All cumulative times '[sec']]] / intermediate_results[[#This Row], [Team9 laps '[laps']]] - intermediate_results[[#This Row], [Total running average '[sec']]]</f>
        <v>0</v>
      </c>
    </row>
    <row r="33" spans="1:38">
      <c r="A33" s="3">
        <v>222.996</v>
      </c>
      <c r="B3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3" s="3">
        <f>intermediate_results[[#This Row], [Team1 laps '[laps']]] - intermediate_results[[#This Row], [Team1 laps '[laps']]]</f>
        <v>0</v>
      </c>
      <c r="L33" s="3">
        <f>intermediate_results[[#This Row], [Team1 laps '[laps']]] - intermediate_results[[#This Row], [Team2 laps '[laps']]]</f>
        <v>0</v>
      </c>
      <c r="M33" s="3">
        <f>intermediate_results[[#This Row], [Team1 laps '[laps']]] - intermediate_results[[#This Row], [Team3 laps '[laps']]]</f>
        <v>0</v>
      </c>
      <c r="N33" s="3">
        <f>intermediate_results[[#This Row], [Team1 laps '[laps']]] - intermediate_results[[#This Row], [Team4 laps '[laps']]]</f>
        <v>0</v>
      </c>
      <c r="O33" s="3">
        <f>intermediate_results[[#This Row], [Team1 laps '[laps']]] - intermediate_results[[#This Row], [Team5 laps '[laps']]]</f>
        <v>0</v>
      </c>
      <c r="P33" s="3">
        <f>intermediate_results[[#This Row], [Team1 laps '[laps']]] - intermediate_results[[#This Row], [Team6 laps '[laps']]]</f>
        <v>0</v>
      </c>
      <c r="Q33" s="3">
        <f>intermediate_results[[#This Row], [Team1 laps '[laps']]] - intermediate_results[[#This Row], [Team7 laps '[laps']]]</f>
        <v>0</v>
      </c>
      <c r="R33" s="3">
        <f>intermediate_results[[#This Row], [Team1 laps '[laps']]] - intermediate_results[[#This Row], [Team8 laps '[laps']]]</f>
        <v>0</v>
      </c>
      <c r="S33" s="3">
        <f>intermediate_results[[#This Row], [Team1 laps '[laps']]] - intermediate_results[[#This Row], [Team9 laps '[laps']]]</f>
        <v>0</v>
      </c>
      <c r="T33" s="3">
        <f>MAX(intermediate_results[[#This Row], [Team1 laps '[laps']]:[Team9 laps '[laps']]]) - intermediate_results[[#This Row], [Team1 laps '[laps']]]</f>
        <v>0</v>
      </c>
      <c r="U33" s="3">
        <f>MAX(intermediate_results[[#This Row], [Team1 laps '[laps']]:[Team9 laps '[laps']]]) - intermediate_results[[#This Row], [Team2 laps '[laps']]]</f>
        <v>0</v>
      </c>
      <c r="V33" s="3">
        <f>MAX(intermediate_results[[#This Row], [Team1 laps '[laps']]:[Team9 laps '[laps']]]) - intermediate_results[[#This Row], [Team3 laps '[laps']]]</f>
        <v>0</v>
      </c>
      <c r="W33" s="3">
        <f>MAX(intermediate_results[[#This Row], [Team1 laps '[laps']]:[Team9 laps '[laps']]]) - intermediate_results[[#This Row], [Team4 laps '[laps']]]</f>
        <v>0</v>
      </c>
      <c r="X33" s="3">
        <f>MAX(intermediate_results[[#This Row], [Team1 laps '[laps']]:[Team9 laps '[laps']]]) - intermediate_results[[#This Row], [Team5 laps '[laps']]]</f>
        <v>0</v>
      </c>
      <c r="Y33" s="3">
        <f>MAX(intermediate_results[[#This Row], [Team1 laps '[laps']]:[Team9 laps '[laps']]]) - intermediate_results[[#This Row], [Team6 laps '[laps']]]</f>
        <v>0</v>
      </c>
      <c r="Z33" s="3">
        <f>MAX(intermediate_results[[#This Row], [Team1 laps '[laps']]:[Team9 laps '[laps']]]) - intermediate_results[[#This Row], [Team7 laps '[laps']]]</f>
        <v>0</v>
      </c>
      <c r="AA33" s="3">
        <f>MAX(intermediate_results[[#This Row], [Team1 laps '[laps']]:[Team9 laps '[laps']]]) - intermediate_results[[#This Row], [Team8 laps '[laps']]]</f>
        <v>0</v>
      </c>
      <c r="AB33" s="3">
        <f>MAX(intermediate_results[[#This Row], [Team1 laps '[laps']]:[Team9 laps '[laps']]]) - intermediate_results[[#This Row], [Team9 laps '[laps']]]</f>
        <v>0</v>
      </c>
      <c r="AC33" s="3">
        <f>9 * intermediate_results[[#This Row], [All cumulative times '[sec']]] / SUM(intermediate_results[[#This Row], [Team1 laps '[laps']]:[Team9 laps '[laps']]])</f>
        <v>0</v>
      </c>
      <c r="AD33" s="3">
        <f>intermediate_results[[#This Row], [All cumulative times '[sec']]] / intermediate_results[[#This Row], [Team1 laps '[laps']]] - intermediate_results[[#This Row], [Total running average '[sec']]]</f>
        <v>0</v>
      </c>
      <c r="AE33" s="3">
        <f>intermediate_results[[#This Row], [All cumulative times '[sec']]] / intermediate_results[[#This Row], [Team2 laps '[laps']]] - intermediate_results[[#This Row], [Total running average '[sec']]]</f>
        <v>0</v>
      </c>
      <c r="AF33" s="3">
        <f>intermediate_results[[#This Row], [All cumulative times '[sec']]] / intermediate_results[[#This Row], [Team3 laps '[laps']]] - intermediate_results[[#This Row], [Total running average '[sec']]]</f>
        <v>0</v>
      </c>
      <c r="AG33" s="3">
        <f>intermediate_results[[#This Row], [All cumulative times '[sec']]] / intermediate_results[[#This Row], [Team4 laps '[laps']]] - intermediate_results[[#This Row], [Total running average '[sec']]]</f>
        <v>0</v>
      </c>
      <c r="AH33" s="3">
        <f>intermediate_results[[#This Row], [All cumulative times '[sec']]] / intermediate_results[[#This Row], [Team5 laps '[laps']]] - intermediate_results[[#This Row], [Total running average '[sec']]]</f>
        <v>0</v>
      </c>
      <c r="AI33" s="3">
        <f>intermediate_results[[#This Row], [All cumulative times '[sec']]] / intermediate_results[[#This Row], [Team6 laps '[laps']]] - intermediate_results[[#This Row], [Total running average '[sec']]]</f>
        <v>0</v>
      </c>
      <c r="AJ33" s="3">
        <f>intermediate_results[[#This Row], [All cumulative times '[sec']]] / intermediate_results[[#This Row], [Team7 laps '[laps']]] - intermediate_results[[#This Row], [Total running average '[sec']]]</f>
        <v>0</v>
      </c>
      <c r="AK33" s="3">
        <f>intermediate_results[[#This Row], [All cumulative times '[sec']]] / intermediate_results[[#This Row], [Team8 laps '[laps']]] - intermediate_results[[#This Row], [Total running average '[sec']]]</f>
        <v>0</v>
      </c>
      <c r="AL33" s="3">
        <f>intermediate_results[[#This Row], [All cumulative times '[sec']]] / intermediate_results[[#This Row], [Team9 laps '[laps']]] - intermediate_results[[#This Row], [Total running average '[sec']]]</f>
        <v>0</v>
      </c>
    </row>
    <row r="34" spans="1:38">
      <c r="A34" s="3">
        <v>223.346</v>
      </c>
      <c r="B3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4" s="3">
        <f>intermediate_results[[#This Row], [Team1 laps '[laps']]] - intermediate_results[[#This Row], [Team1 laps '[laps']]]</f>
        <v>0</v>
      </c>
      <c r="L34" s="3">
        <f>intermediate_results[[#This Row], [Team1 laps '[laps']]] - intermediate_results[[#This Row], [Team2 laps '[laps']]]</f>
        <v>0</v>
      </c>
      <c r="M34" s="3">
        <f>intermediate_results[[#This Row], [Team1 laps '[laps']]] - intermediate_results[[#This Row], [Team3 laps '[laps']]]</f>
        <v>0</v>
      </c>
      <c r="N34" s="3">
        <f>intermediate_results[[#This Row], [Team1 laps '[laps']]] - intermediate_results[[#This Row], [Team4 laps '[laps']]]</f>
        <v>0</v>
      </c>
      <c r="O34" s="3">
        <f>intermediate_results[[#This Row], [Team1 laps '[laps']]] - intermediate_results[[#This Row], [Team5 laps '[laps']]]</f>
        <v>0</v>
      </c>
      <c r="P34" s="3">
        <f>intermediate_results[[#This Row], [Team1 laps '[laps']]] - intermediate_results[[#This Row], [Team6 laps '[laps']]]</f>
        <v>0</v>
      </c>
      <c r="Q34" s="3">
        <f>intermediate_results[[#This Row], [Team1 laps '[laps']]] - intermediate_results[[#This Row], [Team7 laps '[laps']]]</f>
        <v>0</v>
      </c>
      <c r="R34" s="3">
        <f>intermediate_results[[#This Row], [Team1 laps '[laps']]] - intermediate_results[[#This Row], [Team8 laps '[laps']]]</f>
        <v>0</v>
      </c>
      <c r="S34" s="3">
        <f>intermediate_results[[#This Row], [Team1 laps '[laps']]] - intermediate_results[[#This Row], [Team9 laps '[laps']]]</f>
        <v>0</v>
      </c>
      <c r="T34" s="3">
        <f>MAX(intermediate_results[[#This Row], [Team1 laps '[laps']]:[Team9 laps '[laps']]]) - intermediate_results[[#This Row], [Team1 laps '[laps']]]</f>
        <v>0</v>
      </c>
      <c r="U34" s="3">
        <f>MAX(intermediate_results[[#This Row], [Team1 laps '[laps']]:[Team9 laps '[laps']]]) - intermediate_results[[#This Row], [Team2 laps '[laps']]]</f>
        <v>0</v>
      </c>
      <c r="V34" s="3">
        <f>MAX(intermediate_results[[#This Row], [Team1 laps '[laps']]:[Team9 laps '[laps']]]) - intermediate_results[[#This Row], [Team3 laps '[laps']]]</f>
        <v>0</v>
      </c>
      <c r="W34" s="3">
        <f>MAX(intermediate_results[[#This Row], [Team1 laps '[laps']]:[Team9 laps '[laps']]]) - intermediate_results[[#This Row], [Team4 laps '[laps']]]</f>
        <v>0</v>
      </c>
      <c r="X34" s="3">
        <f>MAX(intermediate_results[[#This Row], [Team1 laps '[laps']]:[Team9 laps '[laps']]]) - intermediate_results[[#This Row], [Team5 laps '[laps']]]</f>
        <v>0</v>
      </c>
      <c r="Y34" s="3">
        <f>MAX(intermediate_results[[#This Row], [Team1 laps '[laps']]:[Team9 laps '[laps']]]) - intermediate_results[[#This Row], [Team6 laps '[laps']]]</f>
        <v>0</v>
      </c>
      <c r="Z34" s="3">
        <f>MAX(intermediate_results[[#This Row], [Team1 laps '[laps']]:[Team9 laps '[laps']]]) - intermediate_results[[#This Row], [Team7 laps '[laps']]]</f>
        <v>0</v>
      </c>
      <c r="AA34" s="3">
        <f>MAX(intermediate_results[[#This Row], [Team1 laps '[laps']]:[Team9 laps '[laps']]]) - intermediate_results[[#This Row], [Team8 laps '[laps']]]</f>
        <v>0</v>
      </c>
      <c r="AB34" s="3">
        <f>MAX(intermediate_results[[#This Row], [Team1 laps '[laps']]:[Team9 laps '[laps']]]) - intermediate_results[[#This Row], [Team9 laps '[laps']]]</f>
        <v>0</v>
      </c>
      <c r="AC34" s="3">
        <f>9 * intermediate_results[[#This Row], [All cumulative times '[sec']]] / SUM(intermediate_results[[#This Row], [Team1 laps '[laps']]:[Team9 laps '[laps']]])</f>
        <v>0</v>
      </c>
      <c r="AD34" s="3">
        <f>intermediate_results[[#This Row], [All cumulative times '[sec']]] / intermediate_results[[#This Row], [Team1 laps '[laps']]] - intermediate_results[[#This Row], [Total running average '[sec']]]</f>
        <v>0</v>
      </c>
      <c r="AE34" s="3">
        <f>intermediate_results[[#This Row], [All cumulative times '[sec']]] / intermediate_results[[#This Row], [Team2 laps '[laps']]] - intermediate_results[[#This Row], [Total running average '[sec']]]</f>
        <v>0</v>
      </c>
      <c r="AF34" s="3">
        <f>intermediate_results[[#This Row], [All cumulative times '[sec']]] / intermediate_results[[#This Row], [Team3 laps '[laps']]] - intermediate_results[[#This Row], [Total running average '[sec']]]</f>
        <v>0</v>
      </c>
      <c r="AG34" s="3">
        <f>intermediate_results[[#This Row], [All cumulative times '[sec']]] / intermediate_results[[#This Row], [Team4 laps '[laps']]] - intermediate_results[[#This Row], [Total running average '[sec']]]</f>
        <v>0</v>
      </c>
      <c r="AH34" s="3">
        <f>intermediate_results[[#This Row], [All cumulative times '[sec']]] / intermediate_results[[#This Row], [Team5 laps '[laps']]] - intermediate_results[[#This Row], [Total running average '[sec']]]</f>
        <v>0</v>
      </c>
      <c r="AI34" s="3">
        <f>intermediate_results[[#This Row], [All cumulative times '[sec']]] / intermediate_results[[#This Row], [Team6 laps '[laps']]] - intermediate_results[[#This Row], [Total running average '[sec']]]</f>
        <v>0</v>
      </c>
      <c r="AJ34" s="3">
        <f>intermediate_results[[#This Row], [All cumulative times '[sec']]] / intermediate_results[[#This Row], [Team7 laps '[laps']]] - intermediate_results[[#This Row], [Total running average '[sec']]]</f>
        <v>0</v>
      </c>
      <c r="AK34" s="3">
        <f>intermediate_results[[#This Row], [All cumulative times '[sec']]] / intermediate_results[[#This Row], [Team8 laps '[laps']]] - intermediate_results[[#This Row], [Total running average '[sec']]]</f>
        <v>0</v>
      </c>
      <c r="AL34" s="3">
        <f>intermediate_results[[#This Row], [All cumulative times '[sec']]] / intermediate_results[[#This Row], [Team9 laps '[laps']]] - intermediate_results[[#This Row], [Total running average '[sec']]]</f>
        <v>0</v>
      </c>
    </row>
    <row r="35" spans="1:38">
      <c r="A35" s="3">
        <v>224.792</v>
      </c>
      <c r="B3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5" s="3">
        <f>intermediate_results[[#This Row], [Team1 laps '[laps']]] - intermediate_results[[#This Row], [Team1 laps '[laps']]]</f>
        <v>0</v>
      </c>
      <c r="L35" s="3">
        <f>intermediate_results[[#This Row], [Team1 laps '[laps']]] - intermediate_results[[#This Row], [Team2 laps '[laps']]]</f>
        <v>0</v>
      </c>
      <c r="M35" s="3">
        <f>intermediate_results[[#This Row], [Team1 laps '[laps']]] - intermediate_results[[#This Row], [Team3 laps '[laps']]]</f>
        <v>0</v>
      </c>
      <c r="N35" s="3">
        <f>intermediate_results[[#This Row], [Team1 laps '[laps']]] - intermediate_results[[#This Row], [Team4 laps '[laps']]]</f>
        <v>0</v>
      </c>
      <c r="O35" s="3">
        <f>intermediate_results[[#This Row], [Team1 laps '[laps']]] - intermediate_results[[#This Row], [Team5 laps '[laps']]]</f>
        <v>0</v>
      </c>
      <c r="P35" s="3">
        <f>intermediate_results[[#This Row], [Team1 laps '[laps']]] - intermediate_results[[#This Row], [Team6 laps '[laps']]]</f>
        <v>0</v>
      </c>
      <c r="Q35" s="3">
        <f>intermediate_results[[#This Row], [Team1 laps '[laps']]] - intermediate_results[[#This Row], [Team7 laps '[laps']]]</f>
        <v>0</v>
      </c>
      <c r="R35" s="3">
        <f>intermediate_results[[#This Row], [Team1 laps '[laps']]] - intermediate_results[[#This Row], [Team8 laps '[laps']]]</f>
        <v>0</v>
      </c>
      <c r="S35" s="3">
        <f>intermediate_results[[#This Row], [Team1 laps '[laps']]] - intermediate_results[[#This Row], [Team9 laps '[laps']]]</f>
        <v>0</v>
      </c>
      <c r="T35" s="3">
        <f>MAX(intermediate_results[[#This Row], [Team1 laps '[laps']]:[Team9 laps '[laps']]]) - intermediate_results[[#This Row], [Team1 laps '[laps']]]</f>
        <v>0</v>
      </c>
      <c r="U35" s="3">
        <f>MAX(intermediate_results[[#This Row], [Team1 laps '[laps']]:[Team9 laps '[laps']]]) - intermediate_results[[#This Row], [Team2 laps '[laps']]]</f>
        <v>0</v>
      </c>
      <c r="V35" s="3">
        <f>MAX(intermediate_results[[#This Row], [Team1 laps '[laps']]:[Team9 laps '[laps']]]) - intermediate_results[[#This Row], [Team3 laps '[laps']]]</f>
        <v>0</v>
      </c>
      <c r="W35" s="3">
        <f>MAX(intermediate_results[[#This Row], [Team1 laps '[laps']]:[Team9 laps '[laps']]]) - intermediate_results[[#This Row], [Team4 laps '[laps']]]</f>
        <v>0</v>
      </c>
      <c r="X35" s="3">
        <f>MAX(intermediate_results[[#This Row], [Team1 laps '[laps']]:[Team9 laps '[laps']]]) - intermediate_results[[#This Row], [Team5 laps '[laps']]]</f>
        <v>0</v>
      </c>
      <c r="Y35" s="3">
        <f>MAX(intermediate_results[[#This Row], [Team1 laps '[laps']]:[Team9 laps '[laps']]]) - intermediate_results[[#This Row], [Team6 laps '[laps']]]</f>
        <v>0</v>
      </c>
      <c r="Z35" s="3">
        <f>MAX(intermediate_results[[#This Row], [Team1 laps '[laps']]:[Team9 laps '[laps']]]) - intermediate_results[[#This Row], [Team7 laps '[laps']]]</f>
        <v>0</v>
      </c>
      <c r="AA35" s="3">
        <f>MAX(intermediate_results[[#This Row], [Team1 laps '[laps']]:[Team9 laps '[laps']]]) - intermediate_results[[#This Row], [Team8 laps '[laps']]]</f>
        <v>0</v>
      </c>
      <c r="AB35" s="3">
        <f>MAX(intermediate_results[[#This Row], [Team1 laps '[laps']]:[Team9 laps '[laps']]]) - intermediate_results[[#This Row], [Team9 laps '[laps']]]</f>
        <v>0</v>
      </c>
      <c r="AC35" s="3">
        <f>9 * intermediate_results[[#This Row], [All cumulative times '[sec']]] / SUM(intermediate_results[[#This Row], [Team1 laps '[laps']]:[Team9 laps '[laps']]])</f>
        <v>0</v>
      </c>
      <c r="AD35" s="3">
        <f>intermediate_results[[#This Row], [All cumulative times '[sec']]] / intermediate_results[[#This Row], [Team1 laps '[laps']]] - intermediate_results[[#This Row], [Total running average '[sec']]]</f>
        <v>0</v>
      </c>
      <c r="AE35" s="3">
        <f>intermediate_results[[#This Row], [All cumulative times '[sec']]] / intermediate_results[[#This Row], [Team2 laps '[laps']]] - intermediate_results[[#This Row], [Total running average '[sec']]]</f>
        <v>0</v>
      </c>
      <c r="AF35" s="3">
        <f>intermediate_results[[#This Row], [All cumulative times '[sec']]] / intermediate_results[[#This Row], [Team3 laps '[laps']]] - intermediate_results[[#This Row], [Total running average '[sec']]]</f>
        <v>0</v>
      </c>
      <c r="AG35" s="3">
        <f>intermediate_results[[#This Row], [All cumulative times '[sec']]] / intermediate_results[[#This Row], [Team4 laps '[laps']]] - intermediate_results[[#This Row], [Total running average '[sec']]]</f>
        <v>0</v>
      </c>
      <c r="AH35" s="3">
        <f>intermediate_results[[#This Row], [All cumulative times '[sec']]] / intermediate_results[[#This Row], [Team5 laps '[laps']]] - intermediate_results[[#This Row], [Total running average '[sec']]]</f>
        <v>0</v>
      </c>
      <c r="AI35" s="3">
        <f>intermediate_results[[#This Row], [All cumulative times '[sec']]] / intermediate_results[[#This Row], [Team6 laps '[laps']]] - intermediate_results[[#This Row], [Total running average '[sec']]]</f>
        <v>0</v>
      </c>
      <c r="AJ35" s="3">
        <f>intermediate_results[[#This Row], [All cumulative times '[sec']]] / intermediate_results[[#This Row], [Team7 laps '[laps']]] - intermediate_results[[#This Row], [Total running average '[sec']]]</f>
        <v>0</v>
      </c>
      <c r="AK35" s="3">
        <f>intermediate_results[[#This Row], [All cumulative times '[sec']]] / intermediate_results[[#This Row], [Team8 laps '[laps']]] - intermediate_results[[#This Row], [Total running average '[sec']]]</f>
        <v>0</v>
      </c>
      <c r="AL35" s="3">
        <f>intermediate_results[[#This Row], [All cumulative times '[sec']]] / intermediate_results[[#This Row], [Team9 laps '[laps']]] - intermediate_results[[#This Row], [Total running average '[sec']]]</f>
        <v>0</v>
      </c>
    </row>
    <row r="36" spans="1:38">
      <c r="A36" s="3">
        <v>227.237</v>
      </c>
      <c r="B3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6" s="3">
        <f>intermediate_results[[#This Row], [Team1 laps '[laps']]] - intermediate_results[[#This Row], [Team1 laps '[laps']]]</f>
        <v>0</v>
      </c>
      <c r="L36" s="3">
        <f>intermediate_results[[#This Row], [Team1 laps '[laps']]] - intermediate_results[[#This Row], [Team2 laps '[laps']]]</f>
        <v>0</v>
      </c>
      <c r="M36" s="3">
        <f>intermediate_results[[#This Row], [Team1 laps '[laps']]] - intermediate_results[[#This Row], [Team3 laps '[laps']]]</f>
        <v>0</v>
      </c>
      <c r="N36" s="3">
        <f>intermediate_results[[#This Row], [Team1 laps '[laps']]] - intermediate_results[[#This Row], [Team4 laps '[laps']]]</f>
        <v>0</v>
      </c>
      <c r="O36" s="3">
        <f>intermediate_results[[#This Row], [Team1 laps '[laps']]] - intermediate_results[[#This Row], [Team5 laps '[laps']]]</f>
        <v>0</v>
      </c>
      <c r="P36" s="3">
        <f>intermediate_results[[#This Row], [Team1 laps '[laps']]] - intermediate_results[[#This Row], [Team6 laps '[laps']]]</f>
        <v>0</v>
      </c>
      <c r="Q36" s="3">
        <f>intermediate_results[[#This Row], [Team1 laps '[laps']]] - intermediate_results[[#This Row], [Team7 laps '[laps']]]</f>
        <v>0</v>
      </c>
      <c r="R36" s="3">
        <f>intermediate_results[[#This Row], [Team1 laps '[laps']]] - intermediate_results[[#This Row], [Team8 laps '[laps']]]</f>
        <v>0</v>
      </c>
      <c r="S36" s="3">
        <f>intermediate_results[[#This Row], [Team1 laps '[laps']]] - intermediate_results[[#This Row], [Team9 laps '[laps']]]</f>
        <v>0</v>
      </c>
      <c r="T36" s="3">
        <f>MAX(intermediate_results[[#This Row], [Team1 laps '[laps']]:[Team9 laps '[laps']]]) - intermediate_results[[#This Row], [Team1 laps '[laps']]]</f>
        <v>0</v>
      </c>
      <c r="U36" s="3">
        <f>MAX(intermediate_results[[#This Row], [Team1 laps '[laps']]:[Team9 laps '[laps']]]) - intermediate_results[[#This Row], [Team2 laps '[laps']]]</f>
        <v>0</v>
      </c>
      <c r="V36" s="3">
        <f>MAX(intermediate_results[[#This Row], [Team1 laps '[laps']]:[Team9 laps '[laps']]]) - intermediate_results[[#This Row], [Team3 laps '[laps']]]</f>
        <v>0</v>
      </c>
      <c r="W36" s="3">
        <f>MAX(intermediate_results[[#This Row], [Team1 laps '[laps']]:[Team9 laps '[laps']]]) - intermediate_results[[#This Row], [Team4 laps '[laps']]]</f>
        <v>0</v>
      </c>
      <c r="X36" s="3">
        <f>MAX(intermediate_results[[#This Row], [Team1 laps '[laps']]:[Team9 laps '[laps']]]) - intermediate_results[[#This Row], [Team5 laps '[laps']]]</f>
        <v>0</v>
      </c>
      <c r="Y36" s="3">
        <f>MAX(intermediate_results[[#This Row], [Team1 laps '[laps']]:[Team9 laps '[laps']]]) - intermediate_results[[#This Row], [Team6 laps '[laps']]]</f>
        <v>0</v>
      </c>
      <c r="Z36" s="3">
        <f>MAX(intermediate_results[[#This Row], [Team1 laps '[laps']]:[Team9 laps '[laps']]]) - intermediate_results[[#This Row], [Team7 laps '[laps']]]</f>
        <v>0</v>
      </c>
      <c r="AA36" s="3">
        <f>MAX(intermediate_results[[#This Row], [Team1 laps '[laps']]:[Team9 laps '[laps']]]) - intermediate_results[[#This Row], [Team8 laps '[laps']]]</f>
        <v>0</v>
      </c>
      <c r="AB36" s="3">
        <f>MAX(intermediate_results[[#This Row], [Team1 laps '[laps']]:[Team9 laps '[laps']]]) - intermediate_results[[#This Row], [Team9 laps '[laps']]]</f>
        <v>0</v>
      </c>
      <c r="AC36" s="3">
        <f>9 * intermediate_results[[#This Row], [All cumulative times '[sec']]] / SUM(intermediate_results[[#This Row], [Team1 laps '[laps']]:[Team9 laps '[laps']]])</f>
        <v>0</v>
      </c>
      <c r="AD36" s="3">
        <f>intermediate_results[[#This Row], [All cumulative times '[sec']]] / intermediate_results[[#This Row], [Team1 laps '[laps']]] - intermediate_results[[#This Row], [Total running average '[sec']]]</f>
        <v>0</v>
      </c>
      <c r="AE36" s="3">
        <f>intermediate_results[[#This Row], [All cumulative times '[sec']]] / intermediate_results[[#This Row], [Team2 laps '[laps']]] - intermediate_results[[#This Row], [Total running average '[sec']]]</f>
        <v>0</v>
      </c>
      <c r="AF36" s="3">
        <f>intermediate_results[[#This Row], [All cumulative times '[sec']]] / intermediate_results[[#This Row], [Team3 laps '[laps']]] - intermediate_results[[#This Row], [Total running average '[sec']]]</f>
        <v>0</v>
      </c>
      <c r="AG36" s="3">
        <f>intermediate_results[[#This Row], [All cumulative times '[sec']]] / intermediate_results[[#This Row], [Team4 laps '[laps']]] - intermediate_results[[#This Row], [Total running average '[sec']]]</f>
        <v>0</v>
      </c>
      <c r="AH36" s="3">
        <f>intermediate_results[[#This Row], [All cumulative times '[sec']]] / intermediate_results[[#This Row], [Team5 laps '[laps']]] - intermediate_results[[#This Row], [Total running average '[sec']]]</f>
        <v>0</v>
      </c>
      <c r="AI36" s="3">
        <f>intermediate_results[[#This Row], [All cumulative times '[sec']]] / intermediate_results[[#This Row], [Team6 laps '[laps']]] - intermediate_results[[#This Row], [Total running average '[sec']]]</f>
        <v>0</v>
      </c>
      <c r="AJ36" s="3">
        <f>intermediate_results[[#This Row], [All cumulative times '[sec']]] / intermediate_results[[#This Row], [Team7 laps '[laps']]] - intermediate_results[[#This Row], [Total running average '[sec']]]</f>
        <v>0</v>
      </c>
      <c r="AK36" s="3">
        <f>intermediate_results[[#This Row], [All cumulative times '[sec']]] / intermediate_results[[#This Row], [Team8 laps '[laps']]] - intermediate_results[[#This Row], [Total running average '[sec']]]</f>
        <v>0</v>
      </c>
      <c r="AL36" s="3">
        <f>intermediate_results[[#This Row], [All cumulative times '[sec']]] / intermediate_results[[#This Row], [Team9 laps '[laps']]] - intermediate_results[[#This Row], [Total running average '[sec']]]</f>
        <v>0</v>
      </c>
    </row>
    <row r="37" spans="1:38">
      <c r="A37" s="3">
        <v>227.387</v>
      </c>
      <c r="B3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7" s="3">
        <f>intermediate_results[[#This Row], [Team1 laps '[laps']]] - intermediate_results[[#This Row], [Team1 laps '[laps']]]</f>
        <v>0</v>
      </c>
      <c r="L37" s="3">
        <f>intermediate_results[[#This Row], [Team1 laps '[laps']]] - intermediate_results[[#This Row], [Team2 laps '[laps']]]</f>
        <v>0</v>
      </c>
      <c r="M37" s="3">
        <f>intermediate_results[[#This Row], [Team1 laps '[laps']]] - intermediate_results[[#This Row], [Team3 laps '[laps']]]</f>
        <v>0</v>
      </c>
      <c r="N37" s="3">
        <f>intermediate_results[[#This Row], [Team1 laps '[laps']]] - intermediate_results[[#This Row], [Team4 laps '[laps']]]</f>
        <v>0</v>
      </c>
      <c r="O37" s="3">
        <f>intermediate_results[[#This Row], [Team1 laps '[laps']]] - intermediate_results[[#This Row], [Team5 laps '[laps']]]</f>
        <v>0</v>
      </c>
      <c r="P37" s="3">
        <f>intermediate_results[[#This Row], [Team1 laps '[laps']]] - intermediate_results[[#This Row], [Team6 laps '[laps']]]</f>
        <v>0</v>
      </c>
      <c r="Q37" s="3">
        <f>intermediate_results[[#This Row], [Team1 laps '[laps']]] - intermediate_results[[#This Row], [Team7 laps '[laps']]]</f>
        <v>0</v>
      </c>
      <c r="R37" s="3">
        <f>intermediate_results[[#This Row], [Team1 laps '[laps']]] - intermediate_results[[#This Row], [Team8 laps '[laps']]]</f>
        <v>0</v>
      </c>
      <c r="S37" s="3">
        <f>intermediate_results[[#This Row], [Team1 laps '[laps']]] - intermediate_results[[#This Row], [Team9 laps '[laps']]]</f>
        <v>0</v>
      </c>
      <c r="T37" s="3">
        <f>MAX(intermediate_results[[#This Row], [Team1 laps '[laps']]:[Team9 laps '[laps']]]) - intermediate_results[[#This Row], [Team1 laps '[laps']]]</f>
        <v>0</v>
      </c>
      <c r="U37" s="3">
        <f>MAX(intermediate_results[[#This Row], [Team1 laps '[laps']]:[Team9 laps '[laps']]]) - intermediate_results[[#This Row], [Team2 laps '[laps']]]</f>
        <v>0</v>
      </c>
      <c r="V37" s="3">
        <f>MAX(intermediate_results[[#This Row], [Team1 laps '[laps']]:[Team9 laps '[laps']]]) - intermediate_results[[#This Row], [Team3 laps '[laps']]]</f>
        <v>0</v>
      </c>
      <c r="W37" s="3">
        <f>MAX(intermediate_results[[#This Row], [Team1 laps '[laps']]:[Team9 laps '[laps']]]) - intermediate_results[[#This Row], [Team4 laps '[laps']]]</f>
        <v>0</v>
      </c>
      <c r="X37" s="3">
        <f>MAX(intermediate_results[[#This Row], [Team1 laps '[laps']]:[Team9 laps '[laps']]]) - intermediate_results[[#This Row], [Team5 laps '[laps']]]</f>
        <v>0</v>
      </c>
      <c r="Y37" s="3">
        <f>MAX(intermediate_results[[#This Row], [Team1 laps '[laps']]:[Team9 laps '[laps']]]) - intermediate_results[[#This Row], [Team6 laps '[laps']]]</f>
        <v>0</v>
      </c>
      <c r="Z37" s="3">
        <f>MAX(intermediate_results[[#This Row], [Team1 laps '[laps']]:[Team9 laps '[laps']]]) - intermediate_results[[#This Row], [Team7 laps '[laps']]]</f>
        <v>0</v>
      </c>
      <c r="AA37" s="3">
        <f>MAX(intermediate_results[[#This Row], [Team1 laps '[laps']]:[Team9 laps '[laps']]]) - intermediate_results[[#This Row], [Team8 laps '[laps']]]</f>
        <v>0</v>
      </c>
      <c r="AB37" s="3">
        <f>MAX(intermediate_results[[#This Row], [Team1 laps '[laps']]:[Team9 laps '[laps']]]) - intermediate_results[[#This Row], [Team9 laps '[laps']]]</f>
        <v>0</v>
      </c>
      <c r="AC37" s="3">
        <f>9 * intermediate_results[[#This Row], [All cumulative times '[sec']]] / SUM(intermediate_results[[#This Row], [Team1 laps '[laps']]:[Team9 laps '[laps']]])</f>
        <v>0</v>
      </c>
      <c r="AD37" s="3">
        <f>intermediate_results[[#This Row], [All cumulative times '[sec']]] / intermediate_results[[#This Row], [Team1 laps '[laps']]] - intermediate_results[[#This Row], [Total running average '[sec']]]</f>
        <v>0</v>
      </c>
      <c r="AE37" s="3">
        <f>intermediate_results[[#This Row], [All cumulative times '[sec']]] / intermediate_results[[#This Row], [Team2 laps '[laps']]] - intermediate_results[[#This Row], [Total running average '[sec']]]</f>
        <v>0</v>
      </c>
      <c r="AF37" s="3">
        <f>intermediate_results[[#This Row], [All cumulative times '[sec']]] / intermediate_results[[#This Row], [Team3 laps '[laps']]] - intermediate_results[[#This Row], [Total running average '[sec']]]</f>
        <v>0</v>
      </c>
      <c r="AG37" s="3">
        <f>intermediate_results[[#This Row], [All cumulative times '[sec']]] / intermediate_results[[#This Row], [Team4 laps '[laps']]] - intermediate_results[[#This Row], [Total running average '[sec']]]</f>
        <v>0</v>
      </c>
      <c r="AH37" s="3">
        <f>intermediate_results[[#This Row], [All cumulative times '[sec']]] / intermediate_results[[#This Row], [Team5 laps '[laps']]] - intermediate_results[[#This Row], [Total running average '[sec']]]</f>
        <v>0</v>
      </c>
      <c r="AI37" s="3">
        <f>intermediate_results[[#This Row], [All cumulative times '[sec']]] / intermediate_results[[#This Row], [Team6 laps '[laps']]] - intermediate_results[[#This Row], [Total running average '[sec']]]</f>
        <v>0</v>
      </c>
      <c r="AJ37" s="3">
        <f>intermediate_results[[#This Row], [All cumulative times '[sec']]] / intermediate_results[[#This Row], [Team7 laps '[laps']]] - intermediate_results[[#This Row], [Total running average '[sec']]]</f>
        <v>0</v>
      </c>
      <c r="AK37" s="3">
        <f>intermediate_results[[#This Row], [All cumulative times '[sec']]] / intermediate_results[[#This Row], [Team8 laps '[laps']]] - intermediate_results[[#This Row], [Total running average '[sec']]]</f>
        <v>0</v>
      </c>
      <c r="AL37" s="3">
        <f>intermediate_results[[#This Row], [All cumulative times '[sec']]] / intermediate_results[[#This Row], [Team9 laps '[laps']]] - intermediate_results[[#This Row], [Total running average '[sec']]]</f>
        <v>0</v>
      </c>
    </row>
    <row r="38" spans="1:38">
      <c r="A38" s="3">
        <v>267.203</v>
      </c>
      <c r="B3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8" s="3">
        <f>intermediate_results[[#This Row], [Team1 laps '[laps']]] - intermediate_results[[#This Row], [Team1 laps '[laps']]]</f>
        <v>0</v>
      </c>
      <c r="L38" s="3">
        <f>intermediate_results[[#This Row], [Team1 laps '[laps']]] - intermediate_results[[#This Row], [Team2 laps '[laps']]]</f>
        <v>0</v>
      </c>
      <c r="M38" s="3">
        <f>intermediate_results[[#This Row], [Team1 laps '[laps']]] - intermediate_results[[#This Row], [Team3 laps '[laps']]]</f>
        <v>0</v>
      </c>
      <c r="N38" s="3">
        <f>intermediate_results[[#This Row], [Team1 laps '[laps']]] - intermediate_results[[#This Row], [Team4 laps '[laps']]]</f>
        <v>0</v>
      </c>
      <c r="O38" s="3">
        <f>intermediate_results[[#This Row], [Team1 laps '[laps']]] - intermediate_results[[#This Row], [Team5 laps '[laps']]]</f>
        <v>0</v>
      </c>
      <c r="P38" s="3">
        <f>intermediate_results[[#This Row], [Team1 laps '[laps']]] - intermediate_results[[#This Row], [Team6 laps '[laps']]]</f>
        <v>0</v>
      </c>
      <c r="Q38" s="3">
        <f>intermediate_results[[#This Row], [Team1 laps '[laps']]] - intermediate_results[[#This Row], [Team7 laps '[laps']]]</f>
        <v>0</v>
      </c>
      <c r="R38" s="3">
        <f>intermediate_results[[#This Row], [Team1 laps '[laps']]] - intermediate_results[[#This Row], [Team8 laps '[laps']]]</f>
        <v>0</v>
      </c>
      <c r="S38" s="3">
        <f>intermediate_results[[#This Row], [Team1 laps '[laps']]] - intermediate_results[[#This Row], [Team9 laps '[laps']]]</f>
        <v>0</v>
      </c>
      <c r="T38" s="3">
        <f>MAX(intermediate_results[[#This Row], [Team1 laps '[laps']]:[Team9 laps '[laps']]]) - intermediate_results[[#This Row], [Team1 laps '[laps']]]</f>
        <v>0</v>
      </c>
      <c r="U38" s="3">
        <f>MAX(intermediate_results[[#This Row], [Team1 laps '[laps']]:[Team9 laps '[laps']]]) - intermediate_results[[#This Row], [Team2 laps '[laps']]]</f>
        <v>0</v>
      </c>
      <c r="V38" s="3">
        <f>MAX(intermediate_results[[#This Row], [Team1 laps '[laps']]:[Team9 laps '[laps']]]) - intermediate_results[[#This Row], [Team3 laps '[laps']]]</f>
        <v>0</v>
      </c>
      <c r="W38" s="3">
        <f>MAX(intermediate_results[[#This Row], [Team1 laps '[laps']]:[Team9 laps '[laps']]]) - intermediate_results[[#This Row], [Team4 laps '[laps']]]</f>
        <v>0</v>
      </c>
      <c r="X38" s="3">
        <f>MAX(intermediate_results[[#This Row], [Team1 laps '[laps']]:[Team9 laps '[laps']]]) - intermediate_results[[#This Row], [Team5 laps '[laps']]]</f>
        <v>0</v>
      </c>
      <c r="Y38" s="3">
        <f>MAX(intermediate_results[[#This Row], [Team1 laps '[laps']]:[Team9 laps '[laps']]]) - intermediate_results[[#This Row], [Team6 laps '[laps']]]</f>
        <v>0</v>
      </c>
      <c r="Z38" s="3">
        <f>MAX(intermediate_results[[#This Row], [Team1 laps '[laps']]:[Team9 laps '[laps']]]) - intermediate_results[[#This Row], [Team7 laps '[laps']]]</f>
        <v>0</v>
      </c>
      <c r="AA38" s="3">
        <f>MAX(intermediate_results[[#This Row], [Team1 laps '[laps']]:[Team9 laps '[laps']]]) - intermediate_results[[#This Row], [Team8 laps '[laps']]]</f>
        <v>0</v>
      </c>
      <c r="AB38" s="3">
        <f>MAX(intermediate_results[[#This Row], [Team1 laps '[laps']]:[Team9 laps '[laps']]]) - intermediate_results[[#This Row], [Team9 laps '[laps']]]</f>
        <v>0</v>
      </c>
      <c r="AC38" s="3">
        <f>9 * intermediate_results[[#This Row], [All cumulative times '[sec']]] / SUM(intermediate_results[[#This Row], [Team1 laps '[laps']]:[Team9 laps '[laps']]])</f>
        <v>0</v>
      </c>
      <c r="AD38" s="3">
        <f>intermediate_results[[#This Row], [All cumulative times '[sec']]] / intermediate_results[[#This Row], [Team1 laps '[laps']]] - intermediate_results[[#This Row], [Total running average '[sec']]]</f>
        <v>0</v>
      </c>
      <c r="AE38" s="3">
        <f>intermediate_results[[#This Row], [All cumulative times '[sec']]] / intermediate_results[[#This Row], [Team2 laps '[laps']]] - intermediate_results[[#This Row], [Total running average '[sec']]]</f>
        <v>0</v>
      </c>
      <c r="AF38" s="3">
        <f>intermediate_results[[#This Row], [All cumulative times '[sec']]] / intermediate_results[[#This Row], [Team3 laps '[laps']]] - intermediate_results[[#This Row], [Total running average '[sec']]]</f>
        <v>0</v>
      </c>
      <c r="AG38" s="3">
        <f>intermediate_results[[#This Row], [All cumulative times '[sec']]] / intermediate_results[[#This Row], [Team4 laps '[laps']]] - intermediate_results[[#This Row], [Total running average '[sec']]]</f>
        <v>0</v>
      </c>
      <c r="AH38" s="3">
        <f>intermediate_results[[#This Row], [All cumulative times '[sec']]] / intermediate_results[[#This Row], [Team5 laps '[laps']]] - intermediate_results[[#This Row], [Total running average '[sec']]]</f>
        <v>0</v>
      </c>
      <c r="AI38" s="3">
        <f>intermediate_results[[#This Row], [All cumulative times '[sec']]] / intermediate_results[[#This Row], [Team6 laps '[laps']]] - intermediate_results[[#This Row], [Total running average '[sec']]]</f>
        <v>0</v>
      </c>
      <c r="AJ38" s="3">
        <f>intermediate_results[[#This Row], [All cumulative times '[sec']]] / intermediate_results[[#This Row], [Team7 laps '[laps']]] - intermediate_results[[#This Row], [Total running average '[sec']]]</f>
        <v>0</v>
      </c>
      <c r="AK38" s="3">
        <f>intermediate_results[[#This Row], [All cumulative times '[sec']]] / intermediate_results[[#This Row], [Team8 laps '[laps']]] - intermediate_results[[#This Row], [Total running average '[sec']]]</f>
        <v>0</v>
      </c>
      <c r="AL38" s="3">
        <f>intermediate_results[[#This Row], [All cumulative times '[sec']]] / intermediate_results[[#This Row], [Team9 laps '[laps']]] - intermediate_results[[#This Row], [Total running average '[sec']]]</f>
        <v>0</v>
      </c>
    </row>
    <row r="39" spans="1:38">
      <c r="A39" s="3">
        <v>267.286</v>
      </c>
      <c r="B3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3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3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3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3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3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3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3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3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39" s="3">
        <f>intermediate_results[[#This Row], [Team1 laps '[laps']]] - intermediate_results[[#This Row], [Team1 laps '[laps']]]</f>
        <v>0</v>
      </c>
      <c r="L39" s="3">
        <f>intermediate_results[[#This Row], [Team1 laps '[laps']]] - intermediate_results[[#This Row], [Team2 laps '[laps']]]</f>
        <v>0</v>
      </c>
      <c r="M39" s="3">
        <f>intermediate_results[[#This Row], [Team1 laps '[laps']]] - intermediate_results[[#This Row], [Team3 laps '[laps']]]</f>
        <v>0</v>
      </c>
      <c r="N39" s="3">
        <f>intermediate_results[[#This Row], [Team1 laps '[laps']]] - intermediate_results[[#This Row], [Team4 laps '[laps']]]</f>
        <v>0</v>
      </c>
      <c r="O39" s="3">
        <f>intermediate_results[[#This Row], [Team1 laps '[laps']]] - intermediate_results[[#This Row], [Team5 laps '[laps']]]</f>
        <v>0</v>
      </c>
      <c r="P39" s="3">
        <f>intermediate_results[[#This Row], [Team1 laps '[laps']]] - intermediate_results[[#This Row], [Team6 laps '[laps']]]</f>
        <v>0</v>
      </c>
      <c r="Q39" s="3">
        <f>intermediate_results[[#This Row], [Team1 laps '[laps']]] - intermediate_results[[#This Row], [Team7 laps '[laps']]]</f>
        <v>0</v>
      </c>
      <c r="R39" s="3">
        <f>intermediate_results[[#This Row], [Team1 laps '[laps']]] - intermediate_results[[#This Row], [Team8 laps '[laps']]]</f>
        <v>0</v>
      </c>
      <c r="S39" s="3">
        <f>intermediate_results[[#This Row], [Team1 laps '[laps']]] - intermediate_results[[#This Row], [Team9 laps '[laps']]]</f>
        <v>0</v>
      </c>
      <c r="T39" s="3">
        <f>MAX(intermediate_results[[#This Row], [Team1 laps '[laps']]:[Team9 laps '[laps']]]) - intermediate_results[[#This Row], [Team1 laps '[laps']]]</f>
        <v>0</v>
      </c>
      <c r="U39" s="3">
        <f>MAX(intermediate_results[[#This Row], [Team1 laps '[laps']]:[Team9 laps '[laps']]]) - intermediate_results[[#This Row], [Team2 laps '[laps']]]</f>
        <v>0</v>
      </c>
      <c r="V39" s="3">
        <f>MAX(intermediate_results[[#This Row], [Team1 laps '[laps']]:[Team9 laps '[laps']]]) - intermediate_results[[#This Row], [Team3 laps '[laps']]]</f>
        <v>0</v>
      </c>
      <c r="W39" s="3">
        <f>MAX(intermediate_results[[#This Row], [Team1 laps '[laps']]:[Team9 laps '[laps']]]) - intermediate_results[[#This Row], [Team4 laps '[laps']]]</f>
        <v>0</v>
      </c>
      <c r="X39" s="3">
        <f>MAX(intermediate_results[[#This Row], [Team1 laps '[laps']]:[Team9 laps '[laps']]]) - intermediate_results[[#This Row], [Team5 laps '[laps']]]</f>
        <v>0</v>
      </c>
      <c r="Y39" s="3">
        <f>MAX(intermediate_results[[#This Row], [Team1 laps '[laps']]:[Team9 laps '[laps']]]) - intermediate_results[[#This Row], [Team6 laps '[laps']]]</f>
        <v>0</v>
      </c>
      <c r="Z39" s="3">
        <f>MAX(intermediate_results[[#This Row], [Team1 laps '[laps']]:[Team9 laps '[laps']]]) - intermediate_results[[#This Row], [Team7 laps '[laps']]]</f>
        <v>0</v>
      </c>
      <c r="AA39" s="3">
        <f>MAX(intermediate_results[[#This Row], [Team1 laps '[laps']]:[Team9 laps '[laps']]]) - intermediate_results[[#This Row], [Team8 laps '[laps']]]</f>
        <v>0</v>
      </c>
      <c r="AB39" s="3">
        <f>MAX(intermediate_results[[#This Row], [Team1 laps '[laps']]:[Team9 laps '[laps']]]) - intermediate_results[[#This Row], [Team9 laps '[laps']]]</f>
        <v>0</v>
      </c>
      <c r="AC39" s="3">
        <f>9 * intermediate_results[[#This Row], [All cumulative times '[sec']]] / SUM(intermediate_results[[#This Row], [Team1 laps '[laps']]:[Team9 laps '[laps']]])</f>
        <v>0</v>
      </c>
      <c r="AD39" s="3">
        <f>intermediate_results[[#This Row], [All cumulative times '[sec']]] / intermediate_results[[#This Row], [Team1 laps '[laps']]] - intermediate_results[[#This Row], [Total running average '[sec']]]</f>
        <v>0</v>
      </c>
      <c r="AE39" s="3">
        <f>intermediate_results[[#This Row], [All cumulative times '[sec']]] / intermediate_results[[#This Row], [Team2 laps '[laps']]] - intermediate_results[[#This Row], [Total running average '[sec']]]</f>
        <v>0</v>
      </c>
      <c r="AF39" s="3">
        <f>intermediate_results[[#This Row], [All cumulative times '[sec']]] / intermediate_results[[#This Row], [Team3 laps '[laps']]] - intermediate_results[[#This Row], [Total running average '[sec']]]</f>
        <v>0</v>
      </c>
      <c r="AG39" s="3">
        <f>intermediate_results[[#This Row], [All cumulative times '[sec']]] / intermediate_results[[#This Row], [Team4 laps '[laps']]] - intermediate_results[[#This Row], [Total running average '[sec']]]</f>
        <v>0</v>
      </c>
      <c r="AH39" s="3">
        <f>intermediate_results[[#This Row], [All cumulative times '[sec']]] / intermediate_results[[#This Row], [Team5 laps '[laps']]] - intermediate_results[[#This Row], [Total running average '[sec']]]</f>
        <v>0</v>
      </c>
      <c r="AI39" s="3">
        <f>intermediate_results[[#This Row], [All cumulative times '[sec']]] / intermediate_results[[#This Row], [Team6 laps '[laps']]] - intermediate_results[[#This Row], [Total running average '[sec']]]</f>
        <v>0</v>
      </c>
      <c r="AJ39" s="3">
        <f>intermediate_results[[#This Row], [All cumulative times '[sec']]] / intermediate_results[[#This Row], [Team7 laps '[laps']]] - intermediate_results[[#This Row], [Total running average '[sec']]]</f>
        <v>0</v>
      </c>
      <c r="AK39" s="3">
        <f>intermediate_results[[#This Row], [All cumulative times '[sec']]] / intermediate_results[[#This Row], [Team8 laps '[laps']]] - intermediate_results[[#This Row], [Total running average '[sec']]]</f>
        <v>0</v>
      </c>
      <c r="AL39" s="3">
        <f>intermediate_results[[#This Row], [All cumulative times '[sec']]] / intermediate_results[[#This Row], [Team9 laps '[laps']]] - intermediate_results[[#This Row], [Total running average '[sec']]]</f>
        <v>0</v>
      </c>
    </row>
    <row r="40" spans="1:38">
      <c r="A40" s="3">
        <v>271.62</v>
      </c>
      <c r="B4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0" s="3">
        <f>intermediate_results[[#This Row], [Team1 laps '[laps']]] - intermediate_results[[#This Row], [Team1 laps '[laps']]]</f>
        <v>0</v>
      </c>
      <c r="L40" s="3">
        <f>intermediate_results[[#This Row], [Team1 laps '[laps']]] - intermediate_results[[#This Row], [Team2 laps '[laps']]]</f>
        <v>0</v>
      </c>
      <c r="M40" s="3">
        <f>intermediate_results[[#This Row], [Team1 laps '[laps']]] - intermediate_results[[#This Row], [Team3 laps '[laps']]]</f>
        <v>0</v>
      </c>
      <c r="N40" s="3">
        <f>intermediate_results[[#This Row], [Team1 laps '[laps']]] - intermediate_results[[#This Row], [Team4 laps '[laps']]]</f>
        <v>0</v>
      </c>
      <c r="O40" s="3">
        <f>intermediate_results[[#This Row], [Team1 laps '[laps']]] - intermediate_results[[#This Row], [Team5 laps '[laps']]]</f>
        <v>0</v>
      </c>
      <c r="P40" s="3">
        <f>intermediate_results[[#This Row], [Team1 laps '[laps']]] - intermediate_results[[#This Row], [Team6 laps '[laps']]]</f>
        <v>0</v>
      </c>
      <c r="Q40" s="3">
        <f>intermediate_results[[#This Row], [Team1 laps '[laps']]] - intermediate_results[[#This Row], [Team7 laps '[laps']]]</f>
        <v>0</v>
      </c>
      <c r="R40" s="3">
        <f>intermediate_results[[#This Row], [Team1 laps '[laps']]] - intermediate_results[[#This Row], [Team8 laps '[laps']]]</f>
        <v>0</v>
      </c>
      <c r="S40" s="3">
        <f>intermediate_results[[#This Row], [Team1 laps '[laps']]] - intermediate_results[[#This Row], [Team9 laps '[laps']]]</f>
        <v>0</v>
      </c>
      <c r="T40" s="3">
        <f>MAX(intermediate_results[[#This Row], [Team1 laps '[laps']]:[Team9 laps '[laps']]]) - intermediate_results[[#This Row], [Team1 laps '[laps']]]</f>
        <v>0</v>
      </c>
      <c r="U40" s="3">
        <f>MAX(intermediate_results[[#This Row], [Team1 laps '[laps']]:[Team9 laps '[laps']]]) - intermediate_results[[#This Row], [Team2 laps '[laps']]]</f>
        <v>0</v>
      </c>
      <c r="V40" s="3">
        <f>MAX(intermediate_results[[#This Row], [Team1 laps '[laps']]:[Team9 laps '[laps']]]) - intermediate_results[[#This Row], [Team3 laps '[laps']]]</f>
        <v>0</v>
      </c>
      <c r="W40" s="3">
        <f>MAX(intermediate_results[[#This Row], [Team1 laps '[laps']]:[Team9 laps '[laps']]]) - intermediate_results[[#This Row], [Team4 laps '[laps']]]</f>
        <v>0</v>
      </c>
      <c r="X40" s="3">
        <f>MAX(intermediate_results[[#This Row], [Team1 laps '[laps']]:[Team9 laps '[laps']]]) - intermediate_results[[#This Row], [Team5 laps '[laps']]]</f>
        <v>0</v>
      </c>
      <c r="Y40" s="3">
        <f>MAX(intermediate_results[[#This Row], [Team1 laps '[laps']]:[Team9 laps '[laps']]]) - intermediate_results[[#This Row], [Team6 laps '[laps']]]</f>
        <v>0</v>
      </c>
      <c r="Z40" s="3">
        <f>MAX(intermediate_results[[#This Row], [Team1 laps '[laps']]:[Team9 laps '[laps']]]) - intermediate_results[[#This Row], [Team7 laps '[laps']]]</f>
        <v>0</v>
      </c>
      <c r="AA40" s="3">
        <f>MAX(intermediate_results[[#This Row], [Team1 laps '[laps']]:[Team9 laps '[laps']]]) - intermediate_results[[#This Row], [Team8 laps '[laps']]]</f>
        <v>0</v>
      </c>
      <c r="AB40" s="3">
        <f>MAX(intermediate_results[[#This Row], [Team1 laps '[laps']]:[Team9 laps '[laps']]]) - intermediate_results[[#This Row], [Team9 laps '[laps']]]</f>
        <v>0</v>
      </c>
      <c r="AC40" s="3">
        <f>9 * intermediate_results[[#This Row], [All cumulative times '[sec']]] / SUM(intermediate_results[[#This Row], [Team1 laps '[laps']]:[Team9 laps '[laps']]])</f>
        <v>0</v>
      </c>
      <c r="AD40" s="3">
        <f>intermediate_results[[#This Row], [All cumulative times '[sec']]] / intermediate_results[[#This Row], [Team1 laps '[laps']]] - intermediate_results[[#This Row], [Total running average '[sec']]]</f>
        <v>0</v>
      </c>
      <c r="AE40" s="3">
        <f>intermediate_results[[#This Row], [All cumulative times '[sec']]] / intermediate_results[[#This Row], [Team2 laps '[laps']]] - intermediate_results[[#This Row], [Total running average '[sec']]]</f>
        <v>0</v>
      </c>
      <c r="AF40" s="3">
        <f>intermediate_results[[#This Row], [All cumulative times '[sec']]] / intermediate_results[[#This Row], [Team3 laps '[laps']]] - intermediate_results[[#This Row], [Total running average '[sec']]]</f>
        <v>0</v>
      </c>
      <c r="AG40" s="3">
        <f>intermediate_results[[#This Row], [All cumulative times '[sec']]] / intermediate_results[[#This Row], [Team4 laps '[laps']]] - intermediate_results[[#This Row], [Total running average '[sec']]]</f>
        <v>0</v>
      </c>
      <c r="AH40" s="3">
        <f>intermediate_results[[#This Row], [All cumulative times '[sec']]] / intermediate_results[[#This Row], [Team5 laps '[laps']]] - intermediate_results[[#This Row], [Total running average '[sec']]]</f>
        <v>0</v>
      </c>
      <c r="AI40" s="3">
        <f>intermediate_results[[#This Row], [All cumulative times '[sec']]] / intermediate_results[[#This Row], [Team6 laps '[laps']]] - intermediate_results[[#This Row], [Total running average '[sec']]]</f>
        <v>0</v>
      </c>
      <c r="AJ40" s="3">
        <f>intermediate_results[[#This Row], [All cumulative times '[sec']]] / intermediate_results[[#This Row], [Team7 laps '[laps']]] - intermediate_results[[#This Row], [Total running average '[sec']]]</f>
        <v>0</v>
      </c>
      <c r="AK40" s="3">
        <f>intermediate_results[[#This Row], [All cumulative times '[sec']]] / intermediate_results[[#This Row], [Team8 laps '[laps']]] - intermediate_results[[#This Row], [Total running average '[sec']]]</f>
        <v>0</v>
      </c>
      <c r="AL40" s="3">
        <f>intermediate_results[[#This Row], [All cumulative times '[sec']]] / intermediate_results[[#This Row], [Team9 laps '[laps']]] - intermediate_results[[#This Row], [Total running average '[sec']]]</f>
        <v>0</v>
      </c>
    </row>
    <row r="41" spans="1:38">
      <c r="A41" s="3">
        <v>276.245</v>
      </c>
      <c r="B4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1" s="3">
        <f>intermediate_results[[#This Row], [Team1 laps '[laps']]] - intermediate_results[[#This Row], [Team1 laps '[laps']]]</f>
        <v>0</v>
      </c>
      <c r="L41" s="3">
        <f>intermediate_results[[#This Row], [Team1 laps '[laps']]] - intermediate_results[[#This Row], [Team2 laps '[laps']]]</f>
        <v>0</v>
      </c>
      <c r="M41" s="3">
        <f>intermediate_results[[#This Row], [Team1 laps '[laps']]] - intermediate_results[[#This Row], [Team3 laps '[laps']]]</f>
        <v>0</v>
      </c>
      <c r="N41" s="3">
        <f>intermediate_results[[#This Row], [Team1 laps '[laps']]] - intermediate_results[[#This Row], [Team4 laps '[laps']]]</f>
        <v>0</v>
      </c>
      <c r="O41" s="3">
        <f>intermediate_results[[#This Row], [Team1 laps '[laps']]] - intermediate_results[[#This Row], [Team5 laps '[laps']]]</f>
        <v>0</v>
      </c>
      <c r="P41" s="3">
        <f>intermediate_results[[#This Row], [Team1 laps '[laps']]] - intermediate_results[[#This Row], [Team6 laps '[laps']]]</f>
        <v>0</v>
      </c>
      <c r="Q41" s="3">
        <f>intermediate_results[[#This Row], [Team1 laps '[laps']]] - intermediate_results[[#This Row], [Team7 laps '[laps']]]</f>
        <v>0</v>
      </c>
      <c r="R41" s="3">
        <f>intermediate_results[[#This Row], [Team1 laps '[laps']]] - intermediate_results[[#This Row], [Team8 laps '[laps']]]</f>
        <v>0</v>
      </c>
      <c r="S41" s="3">
        <f>intermediate_results[[#This Row], [Team1 laps '[laps']]] - intermediate_results[[#This Row], [Team9 laps '[laps']]]</f>
        <v>0</v>
      </c>
      <c r="T41" s="3">
        <f>MAX(intermediate_results[[#This Row], [Team1 laps '[laps']]:[Team9 laps '[laps']]]) - intermediate_results[[#This Row], [Team1 laps '[laps']]]</f>
        <v>0</v>
      </c>
      <c r="U41" s="3">
        <f>MAX(intermediate_results[[#This Row], [Team1 laps '[laps']]:[Team9 laps '[laps']]]) - intermediate_results[[#This Row], [Team2 laps '[laps']]]</f>
        <v>0</v>
      </c>
      <c r="V41" s="3">
        <f>MAX(intermediate_results[[#This Row], [Team1 laps '[laps']]:[Team9 laps '[laps']]]) - intermediate_results[[#This Row], [Team3 laps '[laps']]]</f>
        <v>0</v>
      </c>
      <c r="W41" s="3">
        <f>MAX(intermediate_results[[#This Row], [Team1 laps '[laps']]:[Team9 laps '[laps']]]) - intermediate_results[[#This Row], [Team4 laps '[laps']]]</f>
        <v>0</v>
      </c>
      <c r="X41" s="3">
        <f>MAX(intermediate_results[[#This Row], [Team1 laps '[laps']]:[Team9 laps '[laps']]]) - intermediate_results[[#This Row], [Team5 laps '[laps']]]</f>
        <v>0</v>
      </c>
      <c r="Y41" s="3">
        <f>MAX(intermediate_results[[#This Row], [Team1 laps '[laps']]:[Team9 laps '[laps']]]) - intermediate_results[[#This Row], [Team6 laps '[laps']]]</f>
        <v>0</v>
      </c>
      <c r="Z41" s="3">
        <f>MAX(intermediate_results[[#This Row], [Team1 laps '[laps']]:[Team9 laps '[laps']]]) - intermediate_results[[#This Row], [Team7 laps '[laps']]]</f>
        <v>0</v>
      </c>
      <c r="AA41" s="3">
        <f>MAX(intermediate_results[[#This Row], [Team1 laps '[laps']]:[Team9 laps '[laps']]]) - intermediate_results[[#This Row], [Team8 laps '[laps']]]</f>
        <v>0</v>
      </c>
      <c r="AB41" s="3">
        <f>MAX(intermediate_results[[#This Row], [Team1 laps '[laps']]:[Team9 laps '[laps']]]) - intermediate_results[[#This Row], [Team9 laps '[laps']]]</f>
        <v>0</v>
      </c>
      <c r="AC41" s="3">
        <f>9 * intermediate_results[[#This Row], [All cumulative times '[sec']]] / SUM(intermediate_results[[#This Row], [Team1 laps '[laps']]:[Team9 laps '[laps']]])</f>
        <v>0</v>
      </c>
      <c r="AD41" s="3">
        <f>intermediate_results[[#This Row], [All cumulative times '[sec']]] / intermediate_results[[#This Row], [Team1 laps '[laps']]] - intermediate_results[[#This Row], [Total running average '[sec']]]</f>
        <v>0</v>
      </c>
      <c r="AE41" s="3">
        <f>intermediate_results[[#This Row], [All cumulative times '[sec']]] / intermediate_results[[#This Row], [Team2 laps '[laps']]] - intermediate_results[[#This Row], [Total running average '[sec']]]</f>
        <v>0</v>
      </c>
      <c r="AF41" s="3">
        <f>intermediate_results[[#This Row], [All cumulative times '[sec']]] / intermediate_results[[#This Row], [Team3 laps '[laps']]] - intermediate_results[[#This Row], [Total running average '[sec']]]</f>
        <v>0</v>
      </c>
      <c r="AG41" s="3">
        <f>intermediate_results[[#This Row], [All cumulative times '[sec']]] / intermediate_results[[#This Row], [Team4 laps '[laps']]] - intermediate_results[[#This Row], [Total running average '[sec']]]</f>
        <v>0</v>
      </c>
      <c r="AH41" s="3">
        <f>intermediate_results[[#This Row], [All cumulative times '[sec']]] / intermediate_results[[#This Row], [Team5 laps '[laps']]] - intermediate_results[[#This Row], [Total running average '[sec']]]</f>
        <v>0</v>
      </c>
      <c r="AI41" s="3">
        <f>intermediate_results[[#This Row], [All cumulative times '[sec']]] / intermediate_results[[#This Row], [Team6 laps '[laps']]] - intermediate_results[[#This Row], [Total running average '[sec']]]</f>
        <v>0</v>
      </c>
      <c r="AJ41" s="3">
        <f>intermediate_results[[#This Row], [All cumulative times '[sec']]] / intermediate_results[[#This Row], [Team7 laps '[laps']]] - intermediate_results[[#This Row], [Total running average '[sec']]]</f>
        <v>0</v>
      </c>
      <c r="AK41" s="3">
        <f>intermediate_results[[#This Row], [All cumulative times '[sec']]] / intermediate_results[[#This Row], [Team8 laps '[laps']]] - intermediate_results[[#This Row], [Total running average '[sec']]]</f>
        <v>0</v>
      </c>
      <c r="AL41" s="3">
        <f>intermediate_results[[#This Row], [All cumulative times '[sec']]] / intermediate_results[[#This Row], [Team9 laps '[laps']]] - intermediate_results[[#This Row], [Total running average '[sec']]]</f>
        <v>0</v>
      </c>
    </row>
    <row r="42" spans="1:38">
      <c r="A42" s="3">
        <v>278.115</v>
      </c>
      <c r="B4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2" s="3">
        <f>intermediate_results[[#This Row], [Team1 laps '[laps']]] - intermediate_results[[#This Row], [Team1 laps '[laps']]]</f>
        <v>0</v>
      </c>
      <c r="L42" s="3">
        <f>intermediate_results[[#This Row], [Team1 laps '[laps']]] - intermediate_results[[#This Row], [Team2 laps '[laps']]]</f>
        <v>0</v>
      </c>
      <c r="M42" s="3">
        <f>intermediate_results[[#This Row], [Team1 laps '[laps']]] - intermediate_results[[#This Row], [Team3 laps '[laps']]]</f>
        <v>0</v>
      </c>
      <c r="N42" s="3">
        <f>intermediate_results[[#This Row], [Team1 laps '[laps']]] - intermediate_results[[#This Row], [Team4 laps '[laps']]]</f>
        <v>0</v>
      </c>
      <c r="O42" s="3">
        <f>intermediate_results[[#This Row], [Team1 laps '[laps']]] - intermediate_results[[#This Row], [Team5 laps '[laps']]]</f>
        <v>0</v>
      </c>
      <c r="P42" s="3">
        <f>intermediate_results[[#This Row], [Team1 laps '[laps']]] - intermediate_results[[#This Row], [Team6 laps '[laps']]]</f>
        <v>0</v>
      </c>
      <c r="Q42" s="3">
        <f>intermediate_results[[#This Row], [Team1 laps '[laps']]] - intermediate_results[[#This Row], [Team7 laps '[laps']]]</f>
        <v>0</v>
      </c>
      <c r="R42" s="3">
        <f>intermediate_results[[#This Row], [Team1 laps '[laps']]] - intermediate_results[[#This Row], [Team8 laps '[laps']]]</f>
        <v>0</v>
      </c>
      <c r="S42" s="3">
        <f>intermediate_results[[#This Row], [Team1 laps '[laps']]] - intermediate_results[[#This Row], [Team9 laps '[laps']]]</f>
        <v>0</v>
      </c>
      <c r="T42" s="3">
        <f>MAX(intermediate_results[[#This Row], [Team1 laps '[laps']]:[Team9 laps '[laps']]]) - intermediate_results[[#This Row], [Team1 laps '[laps']]]</f>
        <v>0</v>
      </c>
      <c r="U42" s="3">
        <f>MAX(intermediate_results[[#This Row], [Team1 laps '[laps']]:[Team9 laps '[laps']]]) - intermediate_results[[#This Row], [Team2 laps '[laps']]]</f>
        <v>0</v>
      </c>
      <c r="V42" s="3">
        <f>MAX(intermediate_results[[#This Row], [Team1 laps '[laps']]:[Team9 laps '[laps']]]) - intermediate_results[[#This Row], [Team3 laps '[laps']]]</f>
        <v>0</v>
      </c>
      <c r="W42" s="3">
        <f>MAX(intermediate_results[[#This Row], [Team1 laps '[laps']]:[Team9 laps '[laps']]]) - intermediate_results[[#This Row], [Team4 laps '[laps']]]</f>
        <v>0</v>
      </c>
      <c r="X42" s="3">
        <f>MAX(intermediate_results[[#This Row], [Team1 laps '[laps']]:[Team9 laps '[laps']]]) - intermediate_results[[#This Row], [Team5 laps '[laps']]]</f>
        <v>0</v>
      </c>
      <c r="Y42" s="3">
        <f>MAX(intermediate_results[[#This Row], [Team1 laps '[laps']]:[Team9 laps '[laps']]]) - intermediate_results[[#This Row], [Team6 laps '[laps']]]</f>
        <v>0</v>
      </c>
      <c r="Z42" s="3">
        <f>MAX(intermediate_results[[#This Row], [Team1 laps '[laps']]:[Team9 laps '[laps']]]) - intermediate_results[[#This Row], [Team7 laps '[laps']]]</f>
        <v>0</v>
      </c>
      <c r="AA42" s="3">
        <f>MAX(intermediate_results[[#This Row], [Team1 laps '[laps']]:[Team9 laps '[laps']]]) - intermediate_results[[#This Row], [Team8 laps '[laps']]]</f>
        <v>0</v>
      </c>
      <c r="AB42" s="3">
        <f>MAX(intermediate_results[[#This Row], [Team1 laps '[laps']]:[Team9 laps '[laps']]]) - intermediate_results[[#This Row], [Team9 laps '[laps']]]</f>
        <v>0</v>
      </c>
      <c r="AC42" s="3">
        <f>9 * intermediate_results[[#This Row], [All cumulative times '[sec']]] / SUM(intermediate_results[[#This Row], [Team1 laps '[laps']]:[Team9 laps '[laps']]])</f>
        <v>0</v>
      </c>
      <c r="AD42" s="3">
        <f>intermediate_results[[#This Row], [All cumulative times '[sec']]] / intermediate_results[[#This Row], [Team1 laps '[laps']]] - intermediate_results[[#This Row], [Total running average '[sec']]]</f>
        <v>0</v>
      </c>
      <c r="AE42" s="3">
        <f>intermediate_results[[#This Row], [All cumulative times '[sec']]] / intermediate_results[[#This Row], [Team2 laps '[laps']]] - intermediate_results[[#This Row], [Total running average '[sec']]]</f>
        <v>0</v>
      </c>
      <c r="AF42" s="3">
        <f>intermediate_results[[#This Row], [All cumulative times '[sec']]] / intermediate_results[[#This Row], [Team3 laps '[laps']]] - intermediate_results[[#This Row], [Total running average '[sec']]]</f>
        <v>0</v>
      </c>
      <c r="AG42" s="3">
        <f>intermediate_results[[#This Row], [All cumulative times '[sec']]] / intermediate_results[[#This Row], [Team4 laps '[laps']]] - intermediate_results[[#This Row], [Total running average '[sec']]]</f>
        <v>0</v>
      </c>
      <c r="AH42" s="3">
        <f>intermediate_results[[#This Row], [All cumulative times '[sec']]] / intermediate_results[[#This Row], [Team5 laps '[laps']]] - intermediate_results[[#This Row], [Total running average '[sec']]]</f>
        <v>0</v>
      </c>
      <c r="AI42" s="3">
        <f>intermediate_results[[#This Row], [All cumulative times '[sec']]] / intermediate_results[[#This Row], [Team6 laps '[laps']]] - intermediate_results[[#This Row], [Total running average '[sec']]]</f>
        <v>0</v>
      </c>
      <c r="AJ42" s="3">
        <f>intermediate_results[[#This Row], [All cumulative times '[sec']]] / intermediate_results[[#This Row], [Team7 laps '[laps']]] - intermediate_results[[#This Row], [Total running average '[sec']]]</f>
        <v>0</v>
      </c>
      <c r="AK42" s="3">
        <f>intermediate_results[[#This Row], [All cumulative times '[sec']]] / intermediate_results[[#This Row], [Team8 laps '[laps']]] - intermediate_results[[#This Row], [Total running average '[sec']]]</f>
        <v>0</v>
      </c>
      <c r="AL42" s="3">
        <f>intermediate_results[[#This Row], [All cumulative times '[sec']]] / intermediate_results[[#This Row], [Team9 laps '[laps']]] - intermediate_results[[#This Row], [Total running average '[sec']]]</f>
        <v>0</v>
      </c>
    </row>
    <row r="43" spans="1:38">
      <c r="A43" s="3">
        <v>278.771</v>
      </c>
      <c r="B4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3" s="3">
        <f>intermediate_results[[#This Row], [Team1 laps '[laps']]] - intermediate_results[[#This Row], [Team1 laps '[laps']]]</f>
        <v>0</v>
      </c>
      <c r="L43" s="3">
        <f>intermediate_results[[#This Row], [Team1 laps '[laps']]] - intermediate_results[[#This Row], [Team2 laps '[laps']]]</f>
        <v>0</v>
      </c>
      <c r="M43" s="3">
        <f>intermediate_results[[#This Row], [Team1 laps '[laps']]] - intermediate_results[[#This Row], [Team3 laps '[laps']]]</f>
        <v>0</v>
      </c>
      <c r="N43" s="3">
        <f>intermediate_results[[#This Row], [Team1 laps '[laps']]] - intermediate_results[[#This Row], [Team4 laps '[laps']]]</f>
        <v>0</v>
      </c>
      <c r="O43" s="3">
        <f>intermediate_results[[#This Row], [Team1 laps '[laps']]] - intermediate_results[[#This Row], [Team5 laps '[laps']]]</f>
        <v>0</v>
      </c>
      <c r="P43" s="3">
        <f>intermediate_results[[#This Row], [Team1 laps '[laps']]] - intermediate_results[[#This Row], [Team6 laps '[laps']]]</f>
        <v>0</v>
      </c>
      <c r="Q43" s="3">
        <f>intermediate_results[[#This Row], [Team1 laps '[laps']]] - intermediate_results[[#This Row], [Team7 laps '[laps']]]</f>
        <v>0</v>
      </c>
      <c r="R43" s="3">
        <f>intermediate_results[[#This Row], [Team1 laps '[laps']]] - intermediate_results[[#This Row], [Team8 laps '[laps']]]</f>
        <v>0</v>
      </c>
      <c r="S43" s="3">
        <f>intermediate_results[[#This Row], [Team1 laps '[laps']]] - intermediate_results[[#This Row], [Team9 laps '[laps']]]</f>
        <v>0</v>
      </c>
      <c r="T43" s="3">
        <f>MAX(intermediate_results[[#This Row], [Team1 laps '[laps']]:[Team9 laps '[laps']]]) - intermediate_results[[#This Row], [Team1 laps '[laps']]]</f>
        <v>0</v>
      </c>
      <c r="U43" s="3">
        <f>MAX(intermediate_results[[#This Row], [Team1 laps '[laps']]:[Team9 laps '[laps']]]) - intermediate_results[[#This Row], [Team2 laps '[laps']]]</f>
        <v>0</v>
      </c>
      <c r="V43" s="3">
        <f>MAX(intermediate_results[[#This Row], [Team1 laps '[laps']]:[Team9 laps '[laps']]]) - intermediate_results[[#This Row], [Team3 laps '[laps']]]</f>
        <v>0</v>
      </c>
      <c r="W43" s="3">
        <f>MAX(intermediate_results[[#This Row], [Team1 laps '[laps']]:[Team9 laps '[laps']]]) - intermediate_results[[#This Row], [Team4 laps '[laps']]]</f>
        <v>0</v>
      </c>
      <c r="X43" s="3">
        <f>MAX(intermediate_results[[#This Row], [Team1 laps '[laps']]:[Team9 laps '[laps']]]) - intermediate_results[[#This Row], [Team5 laps '[laps']]]</f>
        <v>0</v>
      </c>
      <c r="Y43" s="3">
        <f>MAX(intermediate_results[[#This Row], [Team1 laps '[laps']]:[Team9 laps '[laps']]]) - intermediate_results[[#This Row], [Team6 laps '[laps']]]</f>
        <v>0</v>
      </c>
      <c r="Z43" s="3">
        <f>MAX(intermediate_results[[#This Row], [Team1 laps '[laps']]:[Team9 laps '[laps']]]) - intermediate_results[[#This Row], [Team7 laps '[laps']]]</f>
        <v>0</v>
      </c>
      <c r="AA43" s="3">
        <f>MAX(intermediate_results[[#This Row], [Team1 laps '[laps']]:[Team9 laps '[laps']]]) - intermediate_results[[#This Row], [Team8 laps '[laps']]]</f>
        <v>0</v>
      </c>
      <c r="AB43" s="3">
        <f>MAX(intermediate_results[[#This Row], [Team1 laps '[laps']]:[Team9 laps '[laps']]]) - intermediate_results[[#This Row], [Team9 laps '[laps']]]</f>
        <v>0</v>
      </c>
      <c r="AC43" s="3">
        <f>9 * intermediate_results[[#This Row], [All cumulative times '[sec']]] / SUM(intermediate_results[[#This Row], [Team1 laps '[laps']]:[Team9 laps '[laps']]])</f>
        <v>0</v>
      </c>
      <c r="AD43" s="3">
        <f>intermediate_results[[#This Row], [All cumulative times '[sec']]] / intermediate_results[[#This Row], [Team1 laps '[laps']]] - intermediate_results[[#This Row], [Total running average '[sec']]]</f>
        <v>0</v>
      </c>
      <c r="AE43" s="3">
        <f>intermediate_results[[#This Row], [All cumulative times '[sec']]] / intermediate_results[[#This Row], [Team2 laps '[laps']]] - intermediate_results[[#This Row], [Total running average '[sec']]]</f>
        <v>0</v>
      </c>
      <c r="AF43" s="3">
        <f>intermediate_results[[#This Row], [All cumulative times '[sec']]] / intermediate_results[[#This Row], [Team3 laps '[laps']]] - intermediate_results[[#This Row], [Total running average '[sec']]]</f>
        <v>0</v>
      </c>
      <c r="AG43" s="3">
        <f>intermediate_results[[#This Row], [All cumulative times '[sec']]] / intermediate_results[[#This Row], [Team4 laps '[laps']]] - intermediate_results[[#This Row], [Total running average '[sec']]]</f>
        <v>0</v>
      </c>
      <c r="AH43" s="3">
        <f>intermediate_results[[#This Row], [All cumulative times '[sec']]] / intermediate_results[[#This Row], [Team5 laps '[laps']]] - intermediate_results[[#This Row], [Total running average '[sec']]]</f>
        <v>0</v>
      </c>
      <c r="AI43" s="3">
        <f>intermediate_results[[#This Row], [All cumulative times '[sec']]] / intermediate_results[[#This Row], [Team6 laps '[laps']]] - intermediate_results[[#This Row], [Total running average '[sec']]]</f>
        <v>0</v>
      </c>
      <c r="AJ43" s="3">
        <f>intermediate_results[[#This Row], [All cumulative times '[sec']]] / intermediate_results[[#This Row], [Team7 laps '[laps']]] - intermediate_results[[#This Row], [Total running average '[sec']]]</f>
        <v>0</v>
      </c>
      <c r="AK43" s="3">
        <f>intermediate_results[[#This Row], [All cumulative times '[sec']]] / intermediate_results[[#This Row], [Team8 laps '[laps']]] - intermediate_results[[#This Row], [Total running average '[sec']]]</f>
        <v>0</v>
      </c>
      <c r="AL43" s="3">
        <f>intermediate_results[[#This Row], [All cumulative times '[sec']]] / intermediate_results[[#This Row], [Team9 laps '[laps']]] - intermediate_results[[#This Row], [Total running average '[sec']]]</f>
        <v>0</v>
      </c>
    </row>
    <row r="44" spans="1:38">
      <c r="A44" s="3">
        <v>280.431</v>
      </c>
      <c r="B4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4" s="3">
        <f>intermediate_results[[#This Row], [Team1 laps '[laps']]] - intermediate_results[[#This Row], [Team1 laps '[laps']]]</f>
        <v>0</v>
      </c>
      <c r="L44" s="3">
        <f>intermediate_results[[#This Row], [Team1 laps '[laps']]] - intermediate_results[[#This Row], [Team2 laps '[laps']]]</f>
        <v>0</v>
      </c>
      <c r="M44" s="3">
        <f>intermediate_results[[#This Row], [Team1 laps '[laps']]] - intermediate_results[[#This Row], [Team3 laps '[laps']]]</f>
        <v>0</v>
      </c>
      <c r="N44" s="3">
        <f>intermediate_results[[#This Row], [Team1 laps '[laps']]] - intermediate_results[[#This Row], [Team4 laps '[laps']]]</f>
        <v>0</v>
      </c>
      <c r="O44" s="3">
        <f>intermediate_results[[#This Row], [Team1 laps '[laps']]] - intermediate_results[[#This Row], [Team5 laps '[laps']]]</f>
        <v>0</v>
      </c>
      <c r="P44" s="3">
        <f>intermediate_results[[#This Row], [Team1 laps '[laps']]] - intermediate_results[[#This Row], [Team6 laps '[laps']]]</f>
        <v>0</v>
      </c>
      <c r="Q44" s="3">
        <f>intermediate_results[[#This Row], [Team1 laps '[laps']]] - intermediate_results[[#This Row], [Team7 laps '[laps']]]</f>
        <v>0</v>
      </c>
      <c r="R44" s="3">
        <f>intermediate_results[[#This Row], [Team1 laps '[laps']]] - intermediate_results[[#This Row], [Team8 laps '[laps']]]</f>
        <v>0</v>
      </c>
      <c r="S44" s="3">
        <f>intermediate_results[[#This Row], [Team1 laps '[laps']]] - intermediate_results[[#This Row], [Team9 laps '[laps']]]</f>
        <v>0</v>
      </c>
      <c r="T44" s="3">
        <f>MAX(intermediate_results[[#This Row], [Team1 laps '[laps']]:[Team9 laps '[laps']]]) - intermediate_results[[#This Row], [Team1 laps '[laps']]]</f>
        <v>0</v>
      </c>
      <c r="U44" s="3">
        <f>MAX(intermediate_results[[#This Row], [Team1 laps '[laps']]:[Team9 laps '[laps']]]) - intermediate_results[[#This Row], [Team2 laps '[laps']]]</f>
        <v>0</v>
      </c>
      <c r="V44" s="3">
        <f>MAX(intermediate_results[[#This Row], [Team1 laps '[laps']]:[Team9 laps '[laps']]]) - intermediate_results[[#This Row], [Team3 laps '[laps']]]</f>
        <v>0</v>
      </c>
      <c r="W44" s="3">
        <f>MAX(intermediate_results[[#This Row], [Team1 laps '[laps']]:[Team9 laps '[laps']]]) - intermediate_results[[#This Row], [Team4 laps '[laps']]]</f>
        <v>0</v>
      </c>
      <c r="X44" s="3">
        <f>MAX(intermediate_results[[#This Row], [Team1 laps '[laps']]:[Team9 laps '[laps']]]) - intermediate_results[[#This Row], [Team5 laps '[laps']]]</f>
        <v>0</v>
      </c>
      <c r="Y44" s="3">
        <f>MAX(intermediate_results[[#This Row], [Team1 laps '[laps']]:[Team9 laps '[laps']]]) - intermediate_results[[#This Row], [Team6 laps '[laps']]]</f>
        <v>0</v>
      </c>
      <c r="Z44" s="3">
        <f>MAX(intermediate_results[[#This Row], [Team1 laps '[laps']]:[Team9 laps '[laps']]]) - intermediate_results[[#This Row], [Team7 laps '[laps']]]</f>
        <v>0</v>
      </c>
      <c r="AA44" s="3">
        <f>MAX(intermediate_results[[#This Row], [Team1 laps '[laps']]:[Team9 laps '[laps']]]) - intermediate_results[[#This Row], [Team8 laps '[laps']]]</f>
        <v>0</v>
      </c>
      <c r="AB44" s="3">
        <f>MAX(intermediate_results[[#This Row], [Team1 laps '[laps']]:[Team9 laps '[laps']]]) - intermediate_results[[#This Row], [Team9 laps '[laps']]]</f>
        <v>0</v>
      </c>
      <c r="AC44" s="3">
        <f>9 * intermediate_results[[#This Row], [All cumulative times '[sec']]] / SUM(intermediate_results[[#This Row], [Team1 laps '[laps']]:[Team9 laps '[laps']]])</f>
        <v>0</v>
      </c>
      <c r="AD44" s="3">
        <f>intermediate_results[[#This Row], [All cumulative times '[sec']]] / intermediate_results[[#This Row], [Team1 laps '[laps']]] - intermediate_results[[#This Row], [Total running average '[sec']]]</f>
        <v>0</v>
      </c>
      <c r="AE44" s="3">
        <f>intermediate_results[[#This Row], [All cumulative times '[sec']]] / intermediate_results[[#This Row], [Team2 laps '[laps']]] - intermediate_results[[#This Row], [Total running average '[sec']]]</f>
        <v>0</v>
      </c>
      <c r="AF44" s="3">
        <f>intermediate_results[[#This Row], [All cumulative times '[sec']]] / intermediate_results[[#This Row], [Team3 laps '[laps']]] - intermediate_results[[#This Row], [Total running average '[sec']]]</f>
        <v>0</v>
      </c>
      <c r="AG44" s="3">
        <f>intermediate_results[[#This Row], [All cumulative times '[sec']]] / intermediate_results[[#This Row], [Team4 laps '[laps']]] - intermediate_results[[#This Row], [Total running average '[sec']]]</f>
        <v>0</v>
      </c>
      <c r="AH44" s="3">
        <f>intermediate_results[[#This Row], [All cumulative times '[sec']]] / intermediate_results[[#This Row], [Team5 laps '[laps']]] - intermediate_results[[#This Row], [Total running average '[sec']]]</f>
        <v>0</v>
      </c>
      <c r="AI44" s="3">
        <f>intermediate_results[[#This Row], [All cumulative times '[sec']]] / intermediate_results[[#This Row], [Team6 laps '[laps']]] - intermediate_results[[#This Row], [Total running average '[sec']]]</f>
        <v>0</v>
      </c>
      <c r="AJ44" s="3">
        <f>intermediate_results[[#This Row], [All cumulative times '[sec']]] / intermediate_results[[#This Row], [Team7 laps '[laps']]] - intermediate_results[[#This Row], [Total running average '[sec']]]</f>
        <v>0</v>
      </c>
      <c r="AK44" s="3">
        <f>intermediate_results[[#This Row], [All cumulative times '[sec']]] / intermediate_results[[#This Row], [Team8 laps '[laps']]] - intermediate_results[[#This Row], [Total running average '[sec']]]</f>
        <v>0</v>
      </c>
      <c r="AL44" s="3">
        <f>intermediate_results[[#This Row], [All cumulative times '[sec']]] / intermediate_results[[#This Row], [Team9 laps '[laps']]] - intermediate_results[[#This Row], [Total running average '[sec']]]</f>
        <v>0</v>
      </c>
    </row>
    <row r="45" spans="1:38">
      <c r="A45" s="3">
        <v>283.977</v>
      </c>
      <c r="B4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5" s="3">
        <f>intermediate_results[[#This Row], [Team1 laps '[laps']]] - intermediate_results[[#This Row], [Team1 laps '[laps']]]</f>
        <v>0</v>
      </c>
      <c r="L45" s="3">
        <f>intermediate_results[[#This Row], [Team1 laps '[laps']]] - intermediate_results[[#This Row], [Team2 laps '[laps']]]</f>
        <v>0</v>
      </c>
      <c r="M45" s="3">
        <f>intermediate_results[[#This Row], [Team1 laps '[laps']]] - intermediate_results[[#This Row], [Team3 laps '[laps']]]</f>
        <v>0</v>
      </c>
      <c r="N45" s="3">
        <f>intermediate_results[[#This Row], [Team1 laps '[laps']]] - intermediate_results[[#This Row], [Team4 laps '[laps']]]</f>
        <v>0</v>
      </c>
      <c r="O45" s="3">
        <f>intermediate_results[[#This Row], [Team1 laps '[laps']]] - intermediate_results[[#This Row], [Team5 laps '[laps']]]</f>
        <v>0</v>
      </c>
      <c r="P45" s="3">
        <f>intermediate_results[[#This Row], [Team1 laps '[laps']]] - intermediate_results[[#This Row], [Team6 laps '[laps']]]</f>
        <v>0</v>
      </c>
      <c r="Q45" s="3">
        <f>intermediate_results[[#This Row], [Team1 laps '[laps']]] - intermediate_results[[#This Row], [Team7 laps '[laps']]]</f>
        <v>0</v>
      </c>
      <c r="R45" s="3">
        <f>intermediate_results[[#This Row], [Team1 laps '[laps']]] - intermediate_results[[#This Row], [Team8 laps '[laps']]]</f>
        <v>0</v>
      </c>
      <c r="S45" s="3">
        <f>intermediate_results[[#This Row], [Team1 laps '[laps']]] - intermediate_results[[#This Row], [Team9 laps '[laps']]]</f>
        <v>0</v>
      </c>
      <c r="T45" s="3">
        <f>MAX(intermediate_results[[#This Row], [Team1 laps '[laps']]:[Team9 laps '[laps']]]) - intermediate_results[[#This Row], [Team1 laps '[laps']]]</f>
        <v>0</v>
      </c>
      <c r="U45" s="3">
        <f>MAX(intermediate_results[[#This Row], [Team1 laps '[laps']]:[Team9 laps '[laps']]]) - intermediate_results[[#This Row], [Team2 laps '[laps']]]</f>
        <v>0</v>
      </c>
      <c r="V45" s="3">
        <f>MAX(intermediate_results[[#This Row], [Team1 laps '[laps']]:[Team9 laps '[laps']]]) - intermediate_results[[#This Row], [Team3 laps '[laps']]]</f>
        <v>0</v>
      </c>
      <c r="W45" s="3">
        <f>MAX(intermediate_results[[#This Row], [Team1 laps '[laps']]:[Team9 laps '[laps']]]) - intermediate_results[[#This Row], [Team4 laps '[laps']]]</f>
        <v>0</v>
      </c>
      <c r="X45" s="3">
        <f>MAX(intermediate_results[[#This Row], [Team1 laps '[laps']]:[Team9 laps '[laps']]]) - intermediate_results[[#This Row], [Team5 laps '[laps']]]</f>
        <v>0</v>
      </c>
      <c r="Y45" s="3">
        <f>MAX(intermediate_results[[#This Row], [Team1 laps '[laps']]:[Team9 laps '[laps']]]) - intermediate_results[[#This Row], [Team6 laps '[laps']]]</f>
        <v>0</v>
      </c>
      <c r="Z45" s="3">
        <f>MAX(intermediate_results[[#This Row], [Team1 laps '[laps']]:[Team9 laps '[laps']]]) - intermediate_results[[#This Row], [Team7 laps '[laps']]]</f>
        <v>0</v>
      </c>
      <c r="AA45" s="3">
        <f>MAX(intermediate_results[[#This Row], [Team1 laps '[laps']]:[Team9 laps '[laps']]]) - intermediate_results[[#This Row], [Team8 laps '[laps']]]</f>
        <v>0</v>
      </c>
      <c r="AB45" s="3">
        <f>MAX(intermediate_results[[#This Row], [Team1 laps '[laps']]:[Team9 laps '[laps']]]) - intermediate_results[[#This Row], [Team9 laps '[laps']]]</f>
        <v>0</v>
      </c>
      <c r="AC45" s="3">
        <f>9 * intermediate_results[[#This Row], [All cumulative times '[sec']]] / SUM(intermediate_results[[#This Row], [Team1 laps '[laps']]:[Team9 laps '[laps']]])</f>
        <v>0</v>
      </c>
      <c r="AD45" s="3">
        <f>intermediate_results[[#This Row], [All cumulative times '[sec']]] / intermediate_results[[#This Row], [Team1 laps '[laps']]] - intermediate_results[[#This Row], [Total running average '[sec']]]</f>
        <v>0</v>
      </c>
      <c r="AE45" s="3">
        <f>intermediate_results[[#This Row], [All cumulative times '[sec']]] / intermediate_results[[#This Row], [Team2 laps '[laps']]] - intermediate_results[[#This Row], [Total running average '[sec']]]</f>
        <v>0</v>
      </c>
      <c r="AF45" s="3">
        <f>intermediate_results[[#This Row], [All cumulative times '[sec']]] / intermediate_results[[#This Row], [Team3 laps '[laps']]] - intermediate_results[[#This Row], [Total running average '[sec']]]</f>
        <v>0</v>
      </c>
      <c r="AG45" s="3">
        <f>intermediate_results[[#This Row], [All cumulative times '[sec']]] / intermediate_results[[#This Row], [Team4 laps '[laps']]] - intermediate_results[[#This Row], [Total running average '[sec']]]</f>
        <v>0</v>
      </c>
      <c r="AH45" s="3">
        <f>intermediate_results[[#This Row], [All cumulative times '[sec']]] / intermediate_results[[#This Row], [Team5 laps '[laps']]] - intermediate_results[[#This Row], [Total running average '[sec']]]</f>
        <v>0</v>
      </c>
      <c r="AI45" s="3">
        <f>intermediate_results[[#This Row], [All cumulative times '[sec']]] / intermediate_results[[#This Row], [Team6 laps '[laps']]] - intermediate_results[[#This Row], [Total running average '[sec']]]</f>
        <v>0</v>
      </c>
      <c r="AJ45" s="3">
        <f>intermediate_results[[#This Row], [All cumulative times '[sec']]] / intermediate_results[[#This Row], [Team7 laps '[laps']]] - intermediate_results[[#This Row], [Total running average '[sec']]]</f>
        <v>0</v>
      </c>
      <c r="AK45" s="3">
        <f>intermediate_results[[#This Row], [All cumulative times '[sec']]] / intermediate_results[[#This Row], [Team8 laps '[laps']]] - intermediate_results[[#This Row], [Total running average '[sec']]]</f>
        <v>0</v>
      </c>
      <c r="AL45" s="3">
        <f>intermediate_results[[#This Row], [All cumulative times '[sec']]] / intermediate_results[[#This Row], [Team9 laps '[laps']]] - intermediate_results[[#This Row], [Total running average '[sec']]]</f>
        <v>0</v>
      </c>
    </row>
    <row r="46" spans="1:38">
      <c r="A46" s="3">
        <v>284.369</v>
      </c>
      <c r="B4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6" s="3">
        <f>intermediate_results[[#This Row], [Team1 laps '[laps']]] - intermediate_results[[#This Row], [Team1 laps '[laps']]]</f>
        <v>0</v>
      </c>
      <c r="L46" s="3">
        <f>intermediate_results[[#This Row], [Team1 laps '[laps']]] - intermediate_results[[#This Row], [Team2 laps '[laps']]]</f>
        <v>0</v>
      </c>
      <c r="M46" s="3">
        <f>intermediate_results[[#This Row], [Team1 laps '[laps']]] - intermediate_results[[#This Row], [Team3 laps '[laps']]]</f>
        <v>0</v>
      </c>
      <c r="N46" s="3">
        <f>intermediate_results[[#This Row], [Team1 laps '[laps']]] - intermediate_results[[#This Row], [Team4 laps '[laps']]]</f>
        <v>0</v>
      </c>
      <c r="O46" s="3">
        <f>intermediate_results[[#This Row], [Team1 laps '[laps']]] - intermediate_results[[#This Row], [Team5 laps '[laps']]]</f>
        <v>0</v>
      </c>
      <c r="P46" s="3">
        <f>intermediate_results[[#This Row], [Team1 laps '[laps']]] - intermediate_results[[#This Row], [Team6 laps '[laps']]]</f>
        <v>0</v>
      </c>
      <c r="Q46" s="3">
        <f>intermediate_results[[#This Row], [Team1 laps '[laps']]] - intermediate_results[[#This Row], [Team7 laps '[laps']]]</f>
        <v>0</v>
      </c>
      <c r="R46" s="3">
        <f>intermediate_results[[#This Row], [Team1 laps '[laps']]] - intermediate_results[[#This Row], [Team8 laps '[laps']]]</f>
        <v>0</v>
      </c>
      <c r="S46" s="3">
        <f>intermediate_results[[#This Row], [Team1 laps '[laps']]] - intermediate_results[[#This Row], [Team9 laps '[laps']]]</f>
        <v>0</v>
      </c>
      <c r="T46" s="3">
        <f>MAX(intermediate_results[[#This Row], [Team1 laps '[laps']]:[Team9 laps '[laps']]]) - intermediate_results[[#This Row], [Team1 laps '[laps']]]</f>
        <v>0</v>
      </c>
      <c r="U46" s="3">
        <f>MAX(intermediate_results[[#This Row], [Team1 laps '[laps']]:[Team9 laps '[laps']]]) - intermediate_results[[#This Row], [Team2 laps '[laps']]]</f>
        <v>0</v>
      </c>
      <c r="V46" s="3">
        <f>MAX(intermediate_results[[#This Row], [Team1 laps '[laps']]:[Team9 laps '[laps']]]) - intermediate_results[[#This Row], [Team3 laps '[laps']]]</f>
        <v>0</v>
      </c>
      <c r="W46" s="3">
        <f>MAX(intermediate_results[[#This Row], [Team1 laps '[laps']]:[Team9 laps '[laps']]]) - intermediate_results[[#This Row], [Team4 laps '[laps']]]</f>
        <v>0</v>
      </c>
      <c r="X46" s="3">
        <f>MAX(intermediate_results[[#This Row], [Team1 laps '[laps']]:[Team9 laps '[laps']]]) - intermediate_results[[#This Row], [Team5 laps '[laps']]]</f>
        <v>0</v>
      </c>
      <c r="Y46" s="3">
        <f>MAX(intermediate_results[[#This Row], [Team1 laps '[laps']]:[Team9 laps '[laps']]]) - intermediate_results[[#This Row], [Team6 laps '[laps']]]</f>
        <v>0</v>
      </c>
      <c r="Z46" s="3">
        <f>MAX(intermediate_results[[#This Row], [Team1 laps '[laps']]:[Team9 laps '[laps']]]) - intermediate_results[[#This Row], [Team7 laps '[laps']]]</f>
        <v>0</v>
      </c>
      <c r="AA46" s="3">
        <f>MAX(intermediate_results[[#This Row], [Team1 laps '[laps']]:[Team9 laps '[laps']]]) - intermediate_results[[#This Row], [Team8 laps '[laps']]]</f>
        <v>0</v>
      </c>
      <c r="AB46" s="3">
        <f>MAX(intermediate_results[[#This Row], [Team1 laps '[laps']]:[Team9 laps '[laps']]]) - intermediate_results[[#This Row], [Team9 laps '[laps']]]</f>
        <v>0</v>
      </c>
      <c r="AC46" s="3">
        <f>9 * intermediate_results[[#This Row], [All cumulative times '[sec']]] / SUM(intermediate_results[[#This Row], [Team1 laps '[laps']]:[Team9 laps '[laps']]])</f>
        <v>0</v>
      </c>
      <c r="AD46" s="3">
        <f>intermediate_results[[#This Row], [All cumulative times '[sec']]] / intermediate_results[[#This Row], [Team1 laps '[laps']]] - intermediate_results[[#This Row], [Total running average '[sec']]]</f>
        <v>0</v>
      </c>
      <c r="AE46" s="3">
        <f>intermediate_results[[#This Row], [All cumulative times '[sec']]] / intermediate_results[[#This Row], [Team2 laps '[laps']]] - intermediate_results[[#This Row], [Total running average '[sec']]]</f>
        <v>0</v>
      </c>
      <c r="AF46" s="3">
        <f>intermediate_results[[#This Row], [All cumulative times '[sec']]] / intermediate_results[[#This Row], [Team3 laps '[laps']]] - intermediate_results[[#This Row], [Total running average '[sec']]]</f>
        <v>0</v>
      </c>
      <c r="AG46" s="3">
        <f>intermediate_results[[#This Row], [All cumulative times '[sec']]] / intermediate_results[[#This Row], [Team4 laps '[laps']]] - intermediate_results[[#This Row], [Total running average '[sec']]]</f>
        <v>0</v>
      </c>
      <c r="AH46" s="3">
        <f>intermediate_results[[#This Row], [All cumulative times '[sec']]] / intermediate_results[[#This Row], [Team5 laps '[laps']]] - intermediate_results[[#This Row], [Total running average '[sec']]]</f>
        <v>0</v>
      </c>
      <c r="AI46" s="3">
        <f>intermediate_results[[#This Row], [All cumulative times '[sec']]] / intermediate_results[[#This Row], [Team6 laps '[laps']]] - intermediate_results[[#This Row], [Total running average '[sec']]]</f>
        <v>0</v>
      </c>
      <c r="AJ46" s="3">
        <f>intermediate_results[[#This Row], [All cumulative times '[sec']]] / intermediate_results[[#This Row], [Team7 laps '[laps']]] - intermediate_results[[#This Row], [Total running average '[sec']]]</f>
        <v>0</v>
      </c>
      <c r="AK46" s="3">
        <f>intermediate_results[[#This Row], [All cumulative times '[sec']]] / intermediate_results[[#This Row], [Team8 laps '[laps']]] - intermediate_results[[#This Row], [Total running average '[sec']]]</f>
        <v>0</v>
      </c>
      <c r="AL46" s="3">
        <f>intermediate_results[[#This Row], [All cumulative times '[sec']]] / intermediate_results[[#This Row], [Team9 laps '[laps']]] - intermediate_results[[#This Row], [Total running average '[sec']]]</f>
        <v>0</v>
      </c>
    </row>
    <row r="47" spans="1:38">
      <c r="A47" s="3">
        <v>319.94</v>
      </c>
      <c r="B4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7" s="3">
        <f>intermediate_results[[#This Row], [Team1 laps '[laps']]] - intermediate_results[[#This Row], [Team1 laps '[laps']]]</f>
        <v>0</v>
      </c>
      <c r="L47" s="3">
        <f>intermediate_results[[#This Row], [Team1 laps '[laps']]] - intermediate_results[[#This Row], [Team2 laps '[laps']]]</f>
        <v>0</v>
      </c>
      <c r="M47" s="3">
        <f>intermediate_results[[#This Row], [Team1 laps '[laps']]] - intermediate_results[[#This Row], [Team3 laps '[laps']]]</f>
        <v>0</v>
      </c>
      <c r="N47" s="3">
        <f>intermediate_results[[#This Row], [Team1 laps '[laps']]] - intermediate_results[[#This Row], [Team4 laps '[laps']]]</f>
        <v>0</v>
      </c>
      <c r="O47" s="3">
        <f>intermediate_results[[#This Row], [Team1 laps '[laps']]] - intermediate_results[[#This Row], [Team5 laps '[laps']]]</f>
        <v>0</v>
      </c>
      <c r="P47" s="3">
        <f>intermediate_results[[#This Row], [Team1 laps '[laps']]] - intermediate_results[[#This Row], [Team6 laps '[laps']]]</f>
        <v>0</v>
      </c>
      <c r="Q47" s="3">
        <f>intermediate_results[[#This Row], [Team1 laps '[laps']]] - intermediate_results[[#This Row], [Team7 laps '[laps']]]</f>
        <v>0</v>
      </c>
      <c r="R47" s="3">
        <f>intermediate_results[[#This Row], [Team1 laps '[laps']]] - intermediate_results[[#This Row], [Team8 laps '[laps']]]</f>
        <v>0</v>
      </c>
      <c r="S47" s="3">
        <f>intermediate_results[[#This Row], [Team1 laps '[laps']]] - intermediate_results[[#This Row], [Team9 laps '[laps']]]</f>
        <v>0</v>
      </c>
      <c r="T47" s="3">
        <f>MAX(intermediate_results[[#This Row], [Team1 laps '[laps']]:[Team9 laps '[laps']]]) - intermediate_results[[#This Row], [Team1 laps '[laps']]]</f>
        <v>0</v>
      </c>
      <c r="U47" s="3">
        <f>MAX(intermediate_results[[#This Row], [Team1 laps '[laps']]:[Team9 laps '[laps']]]) - intermediate_results[[#This Row], [Team2 laps '[laps']]]</f>
        <v>0</v>
      </c>
      <c r="V47" s="3">
        <f>MAX(intermediate_results[[#This Row], [Team1 laps '[laps']]:[Team9 laps '[laps']]]) - intermediate_results[[#This Row], [Team3 laps '[laps']]]</f>
        <v>0</v>
      </c>
      <c r="W47" s="3">
        <f>MAX(intermediate_results[[#This Row], [Team1 laps '[laps']]:[Team9 laps '[laps']]]) - intermediate_results[[#This Row], [Team4 laps '[laps']]]</f>
        <v>0</v>
      </c>
      <c r="X47" s="3">
        <f>MAX(intermediate_results[[#This Row], [Team1 laps '[laps']]:[Team9 laps '[laps']]]) - intermediate_results[[#This Row], [Team5 laps '[laps']]]</f>
        <v>0</v>
      </c>
      <c r="Y47" s="3">
        <f>MAX(intermediate_results[[#This Row], [Team1 laps '[laps']]:[Team9 laps '[laps']]]) - intermediate_results[[#This Row], [Team6 laps '[laps']]]</f>
        <v>0</v>
      </c>
      <c r="Z47" s="3">
        <f>MAX(intermediate_results[[#This Row], [Team1 laps '[laps']]:[Team9 laps '[laps']]]) - intermediate_results[[#This Row], [Team7 laps '[laps']]]</f>
        <v>0</v>
      </c>
      <c r="AA47" s="3">
        <f>MAX(intermediate_results[[#This Row], [Team1 laps '[laps']]:[Team9 laps '[laps']]]) - intermediate_results[[#This Row], [Team8 laps '[laps']]]</f>
        <v>0</v>
      </c>
      <c r="AB47" s="3">
        <f>MAX(intermediate_results[[#This Row], [Team1 laps '[laps']]:[Team9 laps '[laps']]]) - intermediate_results[[#This Row], [Team9 laps '[laps']]]</f>
        <v>0</v>
      </c>
      <c r="AC47" s="3">
        <f>9 * intermediate_results[[#This Row], [All cumulative times '[sec']]] / SUM(intermediate_results[[#This Row], [Team1 laps '[laps']]:[Team9 laps '[laps']]])</f>
        <v>0</v>
      </c>
      <c r="AD47" s="3">
        <f>intermediate_results[[#This Row], [All cumulative times '[sec']]] / intermediate_results[[#This Row], [Team1 laps '[laps']]] - intermediate_results[[#This Row], [Total running average '[sec']]]</f>
        <v>0</v>
      </c>
      <c r="AE47" s="3">
        <f>intermediate_results[[#This Row], [All cumulative times '[sec']]] / intermediate_results[[#This Row], [Team2 laps '[laps']]] - intermediate_results[[#This Row], [Total running average '[sec']]]</f>
        <v>0</v>
      </c>
      <c r="AF47" s="3">
        <f>intermediate_results[[#This Row], [All cumulative times '[sec']]] / intermediate_results[[#This Row], [Team3 laps '[laps']]] - intermediate_results[[#This Row], [Total running average '[sec']]]</f>
        <v>0</v>
      </c>
      <c r="AG47" s="3">
        <f>intermediate_results[[#This Row], [All cumulative times '[sec']]] / intermediate_results[[#This Row], [Team4 laps '[laps']]] - intermediate_results[[#This Row], [Total running average '[sec']]]</f>
        <v>0</v>
      </c>
      <c r="AH47" s="3">
        <f>intermediate_results[[#This Row], [All cumulative times '[sec']]] / intermediate_results[[#This Row], [Team5 laps '[laps']]] - intermediate_results[[#This Row], [Total running average '[sec']]]</f>
        <v>0</v>
      </c>
      <c r="AI47" s="3">
        <f>intermediate_results[[#This Row], [All cumulative times '[sec']]] / intermediate_results[[#This Row], [Team6 laps '[laps']]] - intermediate_results[[#This Row], [Total running average '[sec']]]</f>
        <v>0</v>
      </c>
      <c r="AJ47" s="3">
        <f>intermediate_results[[#This Row], [All cumulative times '[sec']]] / intermediate_results[[#This Row], [Team7 laps '[laps']]] - intermediate_results[[#This Row], [Total running average '[sec']]]</f>
        <v>0</v>
      </c>
      <c r="AK47" s="3">
        <f>intermediate_results[[#This Row], [All cumulative times '[sec']]] / intermediate_results[[#This Row], [Team8 laps '[laps']]] - intermediate_results[[#This Row], [Total running average '[sec']]]</f>
        <v>0</v>
      </c>
      <c r="AL47" s="3">
        <f>intermediate_results[[#This Row], [All cumulative times '[sec']]] / intermediate_results[[#This Row], [Team9 laps '[laps']]] - intermediate_results[[#This Row], [Total running average '[sec']]]</f>
        <v>0</v>
      </c>
    </row>
    <row r="48" spans="1:38">
      <c r="A48" s="3">
        <v>320.417</v>
      </c>
      <c r="B4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8" s="3">
        <f>intermediate_results[[#This Row], [Team1 laps '[laps']]] - intermediate_results[[#This Row], [Team1 laps '[laps']]]</f>
        <v>0</v>
      </c>
      <c r="L48" s="3">
        <f>intermediate_results[[#This Row], [Team1 laps '[laps']]] - intermediate_results[[#This Row], [Team2 laps '[laps']]]</f>
        <v>0</v>
      </c>
      <c r="M48" s="3">
        <f>intermediate_results[[#This Row], [Team1 laps '[laps']]] - intermediate_results[[#This Row], [Team3 laps '[laps']]]</f>
        <v>0</v>
      </c>
      <c r="N48" s="3">
        <f>intermediate_results[[#This Row], [Team1 laps '[laps']]] - intermediate_results[[#This Row], [Team4 laps '[laps']]]</f>
        <v>0</v>
      </c>
      <c r="O48" s="3">
        <f>intermediate_results[[#This Row], [Team1 laps '[laps']]] - intermediate_results[[#This Row], [Team5 laps '[laps']]]</f>
        <v>0</v>
      </c>
      <c r="P48" s="3">
        <f>intermediate_results[[#This Row], [Team1 laps '[laps']]] - intermediate_results[[#This Row], [Team6 laps '[laps']]]</f>
        <v>0</v>
      </c>
      <c r="Q48" s="3">
        <f>intermediate_results[[#This Row], [Team1 laps '[laps']]] - intermediate_results[[#This Row], [Team7 laps '[laps']]]</f>
        <v>0</v>
      </c>
      <c r="R48" s="3">
        <f>intermediate_results[[#This Row], [Team1 laps '[laps']]] - intermediate_results[[#This Row], [Team8 laps '[laps']]]</f>
        <v>0</v>
      </c>
      <c r="S48" s="3">
        <f>intermediate_results[[#This Row], [Team1 laps '[laps']]] - intermediate_results[[#This Row], [Team9 laps '[laps']]]</f>
        <v>0</v>
      </c>
      <c r="T48" s="3">
        <f>MAX(intermediate_results[[#This Row], [Team1 laps '[laps']]:[Team9 laps '[laps']]]) - intermediate_results[[#This Row], [Team1 laps '[laps']]]</f>
        <v>0</v>
      </c>
      <c r="U48" s="3">
        <f>MAX(intermediate_results[[#This Row], [Team1 laps '[laps']]:[Team9 laps '[laps']]]) - intermediate_results[[#This Row], [Team2 laps '[laps']]]</f>
        <v>0</v>
      </c>
      <c r="V48" s="3">
        <f>MAX(intermediate_results[[#This Row], [Team1 laps '[laps']]:[Team9 laps '[laps']]]) - intermediate_results[[#This Row], [Team3 laps '[laps']]]</f>
        <v>0</v>
      </c>
      <c r="W48" s="3">
        <f>MAX(intermediate_results[[#This Row], [Team1 laps '[laps']]:[Team9 laps '[laps']]]) - intermediate_results[[#This Row], [Team4 laps '[laps']]]</f>
        <v>0</v>
      </c>
      <c r="X48" s="3">
        <f>MAX(intermediate_results[[#This Row], [Team1 laps '[laps']]:[Team9 laps '[laps']]]) - intermediate_results[[#This Row], [Team5 laps '[laps']]]</f>
        <v>0</v>
      </c>
      <c r="Y48" s="3">
        <f>MAX(intermediate_results[[#This Row], [Team1 laps '[laps']]:[Team9 laps '[laps']]]) - intermediate_results[[#This Row], [Team6 laps '[laps']]]</f>
        <v>0</v>
      </c>
      <c r="Z48" s="3">
        <f>MAX(intermediate_results[[#This Row], [Team1 laps '[laps']]:[Team9 laps '[laps']]]) - intermediate_results[[#This Row], [Team7 laps '[laps']]]</f>
        <v>0</v>
      </c>
      <c r="AA48" s="3">
        <f>MAX(intermediate_results[[#This Row], [Team1 laps '[laps']]:[Team9 laps '[laps']]]) - intermediate_results[[#This Row], [Team8 laps '[laps']]]</f>
        <v>0</v>
      </c>
      <c r="AB48" s="3">
        <f>MAX(intermediate_results[[#This Row], [Team1 laps '[laps']]:[Team9 laps '[laps']]]) - intermediate_results[[#This Row], [Team9 laps '[laps']]]</f>
        <v>0</v>
      </c>
      <c r="AC48" s="3">
        <f>9 * intermediate_results[[#This Row], [All cumulative times '[sec']]] / SUM(intermediate_results[[#This Row], [Team1 laps '[laps']]:[Team9 laps '[laps']]])</f>
        <v>0</v>
      </c>
      <c r="AD48" s="3">
        <f>intermediate_results[[#This Row], [All cumulative times '[sec']]] / intermediate_results[[#This Row], [Team1 laps '[laps']]] - intermediate_results[[#This Row], [Total running average '[sec']]]</f>
        <v>0</v>
      </c>
      <c r="AE48" s="3">
        <f>intermediate_results[[#This Row], [All cumulative times '[sec']]] / intermediate_results[[#This Row], [Team2 laps '[laps']]] - intermediate_results[[#This Row], [Total running average '[sec']]]</f>
        <v>0</v>
      </c>
      <c r="AF48" s="3">
        <f>intermediate_results[[#This Row], [All cumulative times '[sec']]] / intermediate_results[[#This Row], [Team3 laps '[laps']]] - intermediate_results[[#This Row], [Total running average '[sec']]]</f>
        <v>0</v>
      </c>
      <c r="AG48" s="3">
        <f>intermediate_results[[#This Row], [All cumulative times '[sec']]] / intermediate_results[[#This Row], [Team4 laps '[laps']]] - intermediate_results[[#This Row], [Total running average '[sec']]]</f>
        <v>0</v>
      </c>
      <c r="AH48" s="3">
        <f>intermediate_results[[#This Row], [All cumulative times '[sec']]] / intermediate_results[[#This Row], [Team5 laps '[laps']]] - intermediate_results[[#This Row], [Total running average '[sec']]]</f>
        <v>0</v>
      </c>
      <c r="AI48" s="3">
        <f>intermediate_results[[#This Row], [All cumulative times '[sec']]] / intermediate_results[[#This Row], [Team6 laps '[laps']]] - intermediate_results[[#This Row], [Total running average '[sec']]]</f>
        <v>0</v>
      </c>
      <c r="AJ48" s="3">
        <f>intermediate_results[[#This Row], [All cumulative times '[sec']]] / intermediate_results[[#This Row], [Team7 laps '[laps']]] - intermediate_results[[#This Row], [Total running average '[sec']]]</f>
        <v>0</v>
      </c>
      <c r="AK48" s="3">
        <f>intermediate_results[[#This Row], [All cumulative times '[sec']]] / intermediate_results[[#This Row], [Team8 laps '[laps']]] - intermediate_results[[#This Row], [Total running average '[sec']]]</f>
        <v>0</v>
      </c>
      <c r="AL48" s="3">
        <f>intermediate_results[[#This Row], [All cumulative times '[sec']]] / intermediate_results[[#This Row], [Team9 laps '[laps']]] - intermediate_results[[#This Row], [Total running average '[sec']]]</f>
        <v>0</v>
      </c>
    </row>
    <row r="49" spans="1:38">
      <c r="A49" s="3">
        <v>325.777</v>
      </c>
      <c r="B4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4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4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4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4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4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4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4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4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49" s="3">
        <f>intermediate_results[[#This Row], [Team1 laps '[laps']]] - intermediate_results[[#This Row], [Team1 laps '[laps']]]</f>
        <v>0</v>
      </c>
      <c r="L49" s="3">
        <f>intermediate_results[[#This Row], [Team1 laps '[laps']]] - intermediate_results[[#This Row], [Team2 laps '[laps']]]</f>
        <v>0</v>
      </c>
      <c r="M49" s="3">
        <f>intermediate_results[[#This Row], [Team1 laps '[laps']]] - intermediate_results[[#This Row], [Team3 laps '[laps']]]</f>
        <v>0</v>
      </c>
      <c r="N49" s="3">
        <f>intermediate_results[[#This Row], [Team1 laps '[laps']]] - intermediate_results[[#This Row], [Team4 laps '[laps']]]</f>
        <v>0</v>
      </c>
      <c r="O49" s="3">
        <f>intermediate_results[[#This Row], [Team1 laps '[laps']]] - intermediate_results[[#This Row], [Team5 laps '[laps']]]</f>
        <v>0</v>
      </c>
      <c r="P49" s="3">
        <f>intermediate_results[[#This Row], [Team1 laps '[laps']]] - intermediate_results[[#This Row], [Team6 laps '[laps']]]</f>
        <v>0</v>
      </c>
      <c r="Q49" s="3">
        <f>intermediate_results[[#This Row], [Team1 laps '[laps']]] - intermediate_results[[#This Row], [Team7 laps '[laps']]]</f>
        <v>0</v>
      </c>
      <c r="R49" s="3">
        <f>intermediate_results[[#This Row], [Team1 laps '[laps']]] - intermediate_results[[#This Row], [Team8 laps '[laps']]]</f>
        <v>0</v>
      </c>
      <c r="S49" s="3">
        <f>intermediate_results[[#This Row], [Team1 laps '[laps']]] - intermediate_results[[#This Row], [Team9 laps '[laps']]]</f>
        <v>0</v>
      </c>
      <c r="T49" s="3">
        <f>MAX(intermediate_results[[#This Row], [Team1 laps '[laps']]:[Team9 laps '[laps']]]) - intermediate_results[[#This Row], [Team1 laps '[laps']]]</f>
        <v>0</v>
      </c>
      <c r="U49" s="3">
        <f>MAX(intermediate_results[[#This Row], [Team1 laps '[laps']]:[Team9 laps '[laps']]]) - intermediate_results[[#This Row], [Team2 laps '[laps']]]</f>
        <v>0</v>
      </c>
      <c r="V49" s="3">
        <f>MAX(intermediate_results[[#This Row], [Team1 laps '[laps']]:[Team9 laps '[laps']]]) - intermediate_results[[#This Row], [Team3 laps '[laps']]]</f>
        <v>0</v>
      </c>
      <c r="W49" s="3">
        <f>MAX(intermediate_results[[#This Row], [Team1 laps '[laps']]:[Team9 laps '[laps']]]) - intermediate_results[[#This Row], [Team4 laps '[laps']]]</f>
        <v>0</v>
      </c>
      <c r="X49" s="3">
        <f>MAX(intermediate_results[[#This Row], [Team1 laps '[laps']]:[Team9 laps '[laps']]]) - intermediate_results[[#This Row], [Team5 laps '[laps']]]</f>
        <v>0</v>
      </c>
      <c r="Y49" s="3">
        <f>MAX(intermediate_results[[#This Row], [Team1 laps '[laps']]:[Team9 laps '[laps']]]) - intermediate_results[[#This Row], [Team6 laps '[laps']]]</f>
        <v>0</v>
      </c>
      <c r="Z49" s="3">
        <f>MAX(intermediate_results[[#This Row], [Team1 laps '[laps']]:[Team9 laps '[laps']]]) - intermediate_results[[#This Row], [Team7 laps '[laps']]]</f>
        <v>0</v>
      </c>
      <c r="AA49" s="3">
        <f>MAX(intermediate_results[[#This Row], [Team1 laps '[laps']]:[Team9 laps '[laps']]]) - intermediate_results[[#This Row], [Team8 laps '[laps']]]</f>
        <v>0</v>
      </c>
      <c r="AB49" s="3">
        <f>MAX(intermediate_results[[#This Row], [Team1 laps '[laps']]:[Team9 laps '[laps']]]) - intermediate_results[[#This Row], [Team9 laps '[laps']]]</f>
        <v>0</v>
      </c>
      <c r="AC49" s="3">
        <f>9 * intermediate_results[[#This Row], [All cumulative times '[sec']]] / SUM(intermediate_results[[#This Row], [Team1 laps '[laps']]:[Team9 laps '[laps']]])</f>
        <v>0</v>
      </c>
      <c r="AD49" s="3">
        <f>intermediate_results[[#This Row], [All cumulative times '[sec']]] / intermediate_results[[#This Row], [Team1 laps '[laps']]] - intermediate_results[[#This Row], [Total running average '[sec']]]</f>
        <v>0</v>
      </c>
      <c r="AE49" s="3">
        <f>intermediate_results[[#This Row], [All cumulative times '[sec']]] / intermediate_results[[#This Row], [Team2 laps '[laps']]] - intermediate_results[[#This Row], [Total running average '[sec']]]</f>
        <v>0</v>
      </c>
      <c r="AF49" s="3">
        <f>intermediate_results[[#This Row], [All cumulative times '[sec']]] / intermediate_results[[#This Row], [Team3 laps '[laps']]] - intermediate_results[[#This Row], [Total running average '[sec']]]</f>
        <v>0</v>
      </c>
      <c r="AG49" s="3">
        <f>intermediate_results[[#This Row], [All cumulative times '[sec']]] / intermediate_results[[#This Row], [Team4 laps '[laps']]] - intermediate_results[[#This Row], [Total running average '[sec']]]</f>
        <v>0</v>
      </c>
      <c r="AH49" s="3">
        <f>intermediate_results[[#This Row], [All cumulative times '[sec']]] / intermediate_results[[#This Row], [Team5 laps '[laps']]] - intermediate_results[[#This Row], [Total running average '[sec']]]</f>
        <v>0</v>
      </c>
      <c r="AI49" s="3">
        <f>intermediate_results[[#This Row], [All cumulative times '[sec']]] / intermediate_results[[#This Row], [Team6 laps '[laps']]] - intermediate_results[[#This Row], [Total running average '[sec']]]</f>
        <v>0</v>
      </c>
      <c r="AJ49" s="3">
        <f>intermediate_results[[#This Row], [All cumulative times '[sec']]] / intermediate_results[[#This Row], [Team7 laps '[laps']]] - intermediate_results[[#This Row], [Total running average '[sec']]]</f>
        <v>0</v>
      </c>
      <c r="AK49" s="3">
        <f>intermediate_results[[#This Row], [All cumulative times '[sec']]] / intermediate_results[[#This Row], [Team8 laps '[laps']]] - intermediate_results[[#This Row], [Total running average '[sec']]]</f>
        <v>0</v>
      </c>
      <c r="AL49" s="3">
        <f>intermediate_results[[#This Row], [All cumulative times '[sec']]] / intermediate_results[[#This Row], [Team9 laps '[laps']]] - intermediate_results[[#This Row], [Total running average '[sec']]]</f>
        <v>0</v>
      </c>
    </row>
    <row r="50" spans="1:38">
      <c r="A50" s="3">
        <v>331.447</v>
      </c>
      <c r="B5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0" s="3">
        <f>intermediate_results[[#This Row], [Team1 laps '[laps']]] - intermediate_results[[#This Row], [Team1 laps '[laps']]]</f>
        <v>0</v>
      </c>
      <c r="L50" s="3">
        <f>intermediate_results[[#This Row], [Team1 laps '[laps']]] - intermediate_results[[#This Row], [Team2 laps '[laps']]]</f>
        <v>0</v>
      </c>
      <c r="M50" s="3">
        <f>intermediate_results[[#This Row], [Team1 laps '[laps']]] - intermediate_results[[#This Row], [Team3 laps '[laps']]]</f>
        <v>0</v>
      </c>
      <c r="N50" s="3">
        <f>intermediate_results[[#This Row], [Team1 laps '[laps']]] - intermediate_results[[#This Row], [Team4 laps '[laps']]]</f>
        <v>0</v>
      </c>
      <c r="O50" s="3">
        <f>intermediate_results[[#This Row], [Team1 laps '[laps']]] - intermediate_results[[#This Row], [Team5 laps '[laps']]]</f>
        <v>0</v>
      </c>
      <c r="P50" s="3">
        <f>intermediate_results[[#This Row], [Team1 laps '[laps']]] - intermediate_results[[#This Row], [Team6 laps '[laps']]]</f>
        <v>0</v>
      </c>
      <c r="Q50" s="3">
        <f>intermediate_results[[#This Row], [Team1 laps '[laps']]] - intermediate_results[[#This Row], [Team7 laps '[laps']]]</f>
        <v>0</v>
      </c>
      <c r="R50" s="3">
        <f>intermediate_results[[#This Row], [Team1 laps '[laps']]] - intermediate_results[[#This Row], [Team8 laps '[laps']]]</f>
        <v>0</v>
      </c>
      <c r="S50" s="3">
        <f>intermediate_results[[#This Row], [Team1 laps '[laps']]] - intermediate_results[[#This Row], [Team9 laps '[laps']]]</f>
        <v>0</v>
      </c>
      <c r="T50" s="3">
        <f>MAX(intermediate_results[[#This Row], [Team1 laps '[laps']]:[Team9 laps '[laps']]]) - intermediate_results[[#This Row], [Team1 laps '[laps']]]</f>
        <v>0</v>
      </c>
      <c r="U50" s="3">
        <f>MAX(intermediate_results[[#This Row], [Team1 laps '[laps']]:[Team9 laps '[laps']]]) - intermediate_results[[#This Row], [Team2 laps '[laps']]]</f>
        <v>0</v>
      </c>
      <c r="V50" s="3">
        <f>MAX(intermediate_results[[#This Row], [Team1 laps '[laps']]:[Team9 laps '[laps']]]) - intermediate_results[[#This Row], [Team3 laps '[laps']]]</f>
        <v>0</v>
      </c>
      <c r="W50" s="3">
        <f>MAX(intermediate_results[[#This Row], [Team1 laps '[laps']]:[Team9 laps '[laps']]]) - intermediate_results[[#This Row], [Team4 laps '[laps']]]</f>
        <v>0</v>
      </c>
      <c r="X50" s="3">
        <f>MAX(intermediate_results[[#This Row], [Team1 laps '[laps']]:[Team9 laps '[laps']]]) - intermediate_results[[#This Row], [Team5 laps '[laps']]]</f>
        <v>0</v>
      </c>
      <c r="Y50" s="3">
        <f>MAX(intermediate_results[[#This Row], [Team1 laps '[laps']]:[Team9 laps '[laps']]]) - intermediate_results[[#This Row], [Team6 laps '[laps']]]</f>
        <v>0</v>
      </c>
      <c r="Z50" s="3">
        <f>MAX(intermediate_results[[#This Row], [Team1 laps '[laps']]:[Team9 laps '[laps']]]) - intermediate_results[[#This Row], [Team7 laps '[laps']]]</f>
        <v>0</v>
      </c>
      <c r="AA50" s="3">
        <f>MAX(intermediate_results[[#This Row], [Team1 laps '[laps']]:[Team9 laps '[laps']]]) - intermediate_results[[#This Row], [Team8 laps '[laps']]]</f>
        <v>0</v>
      </c>
      <c r="AB50" s="3">
        <f>MAX(intermediate_results[[#This Row], [Team1 laps '[laps']]:[Team9 laps '[laps']]]) - intermediate_results[[#This Row], [Team9 laps '[laps']]]</f>
        <v>0</v>
      </c>
      <c r="AC50" s="3">
        <f>9 * intermediate_results[[#This Row], [All cumulative times '[sec']]] / SUM(intermediate_results[[#This Row], [Team1 laps '[laps']]:[Team9 laps '[laps']]])</f>
        <v>0</v>
      </c>
      <c r="AD50" s="3">
        <f>intermediate_results[[#This Row], [All cumulative times '[sec']]] / intermediate_results[[#This Row], [Team1 laps '[laps']]] - intermediate_results[[#This Row], [Total running average '[sec']]]</f>
        <v>0</v>
      </c>
      <c r="AE50" s="3">
        <f>intermediate_results[[#This Row], [All cumulative times '[sec']]] / intermediate_results[[#This Row], [Team2 laps '[laps']]] - intermediate_results[[#This Row], [Total running average '[sec']]]</f>
        <v>0</v>
      </c>
      <c r="AF50" s="3">
        <f>intermediate_results[[#This Row], [All cumulative times '[sec']]] / intermediate_results[[#This Row], [Team3 laps '[laps']]] - intermediate_results[[#This Row], [Total running average '[sec']]]</f>
        <v>0</v>
      </c>
      <c r="AG50" s="3">
        <f>intermediate_results[[#This Row], [All cumulative times '[sec']]] / intermediate_results[[#This Row], [Team4 laps '[laps']]] - intermediate_results[[#This Row], [Total running average '[sec']]]</f>
        <v>0</v>
      </c>
      <c r="AH50" s="3">
        <f>intermediate_results[[#This Row], [All cumulative times '[sec']]] / intermediate_results[[#This Row], [Team5 laps '[laps']]] - intermediate_results[[#This Row], [Total running average '[sec']]]</f>
        <v>0</v>
      </c>
      <c r="AI50" s="3">
        <f>intermediate_results[[#This Row], [All cumulative times '[sec']]] / intermediate_results[[#This Row], [Team6 laps '[laps']]] - intermediate_results[[#This Row], [Total running average '[sec']]]</f>
        <v>0</v>
      </c>
      <c r="AJ50" s="3">
        <f>intermediate_results[[#This Row], [All cumulative times '[sec']]] / intermediate_results[[#This Row], [Team7 laps '[laps']]] - intermediate_results[[#This Row], [Total running average '[sec']]]</f>
        <v>0</v>
      </c>
      <c r="AK50" s="3">
        <f>intermediate_results[[#This Row], [All cumulative times '[sec']]] / intermediate_results[[#This Row], [Team8 laps '[laps']]] - intermediate_results[[#This Row], [Total running average '[sec']]]</f>
        <v>0</v>
      </c>
      <c r="AL50" s="3">
        <f>intermediate_results[[#This Row], [All cumulative times '[sec']]] / intermediate_results[[#This Row], [Team9 laps '[laps']]] - intermediate_results[[#This Row], [Total running average '[sec']]]</f>
        <v>0</v>
      </c>
    </row>
    <row r="51" spans="1:38">
      <c r="A51" s="3">
        <v>333.305</v>
      </c>
      <c r="B5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1" s="3">
        <f>intermediate_results[[#This Row], [Team1 laps '[laps']]] - intermediate_results[[#This Row], [Team1 laps '[laps']]]</f>
        <v>0</v>
      </c>
      <c r="L51" s="3">
        <f>intermediate_results[[#This Row], [Team1 laps '[laps']]] - intermediate_results[[#This Row], [Team2 laps '[laps']]]</f>
        <v>0</v>
      </c>
      <c r="M51" s="3">
        <f>intermediate_results[[#This Row], [Team1 laps '[laps']]] - intermediate_results[[#This Row], [Team3 laps '[laps']]]</f>
        <v>0</v>
      </c>
      <c r="N51" s="3">
        <f>intermediate_results[[#This Row], [Team1 laps '[laps']]] - intermediate_results[[#This Row], [Team4 laps '[laps']]]</f>
        <v>0</v>
      </c>
      <c r="O51" s="3">
        <f>intermediate_results[[#This Row], [Team1 laps '[laps']]] - intermediate_results[[#This Row], [Team5 laps '[laps']]]</f>
        <v>0</v>
      </c>
      <c r="P51" s="3">
        <f>intermediate_results[[#This Row], [Team1 laps '[laps']]] - intermediate_results[[#This Row], [Team6 laps '[laps']]]</f>
        <v>0</v>
      </c>
      <c r="Q51" s="3">
        <f>intermediate_results[[#This Row], [Team1 laps '[laps']]] - intermediate_results[[#This Row], [Team7 laps '[laps']]]</f>
        <v>0</v>
      </c>
      <c r="R51" s="3">
        <f>intermediate_results[[#This Row], [Team1 laps '[laps']]] - intermediate_results[[#This Row], [Team8 laps '[laps']]]</f>
        <v>0</v>
      </c>
      <c r="S51" s="3">
        <f>intermediate_results[[#This Row], [Team1 laps '[laps']]] - intermediate_results[[#This Row], [Team9 laps '[laps']]]</f>
        <v>0</v>
      </c>
      <c r="T51" s="3">
        <f>MAX(intermediate_results[[#This Row], [Team1 laps '[laps']]:[Team9 laps '[laps']]]) - intermediate_results[[#This Row], [Team1 laps '[laps']]]</f>
        <v>0</v>
      </c>
      <c r="U51" s="3">
        <f>MAX(intermediate_results[[#This Row], [Team1 laps '[laps']]:[Team9 laps '[laps']]]) - intermediate_results[[#This Row], [Team2 laps '[laps']]]</f>
        <v>0</v>
      </c>
      <c r="V51" s="3">
        <f>MAX(intermediate_results[[#This Row], [Team1 laps '[laps']]:[Team9 laps '[laps']]]) - intermediate_results[[#This Row], [Team3 laps '[laps']]]</f>
        <v>0</v>
      </c>
      <c r="W51" s="3">
        <f>MAX(intermediate_results[[#This Row], [Team1 laps '[laps']]:[Team9 laps '[laps']]]) - intermediate_results[[#This Row], [Team4 laps '[laps']]]</f>
        <v>0</v>
      </c>
      <c r="X51" s="3">
        <f>MAX(intermediate_results[[#This Row], [Team1 laps '[laps']]:[Team9 laps '[laps']]]) - intermediate_results[[#This Row], [Team5 laps '[laps']]]</f>
        <v>0</v>
      </c>
      <c r="Y51" s="3">
        <f>MAX(intermediate_results[[#This Row], [Team1 laps '[laps']]:[Team9 laps '[laps']]]) - intermediate_results[[#This Row], [Team6 laps '[laps']]]</f>
        <v>0</v>
      </c>
      <c r="Z51" s="3">
        <f>MAX(intermediate_results[[#This Row], [Team1 laps '[laps']]:[Team9 laps '[laps']]]) - intermediate_results[[#This Row], [Team7 laps '[laps']]]</f>
        <v>0</v>
      </c>
      <c r="AA51" s="3">
        <f>MAX(intermediate_results[[#This Row], [Team1 laps '[laps']]:[Team9 laps '[laps']]]) - intermediate_results[[#This Row], [Team8 laps '[laps']]]</f>
        <v>0</v>
      </c>
      <c r="AB51" s="3">
        <f>MAX(intermediate_results[[#This Row], [Team1 laps '[laps']]:[Team9 laps '[laps']]]) - intermediate_results[[#This Row], [Team9 laps '[laps']]]</f>
        <v>0</v>
      </c>
      <c r="AC51" s="3">
        <f>9 * intermediate_results[[#This Row], [All cumulative times '[sec']]] / SUM(intermediate_results[[#This Row], [Team1 laps '[laps']]:[Team9 laps '[laps']]])</f>
        <v>0</v>
      </c>
      <c r="AD51" s="3">
        <f>intermediate_results[[#This Row], [All cumulative times '[sec']]] / intermediate_results[[#This Row], [Team1 laps '[laps']]] - intermediate_results[[#This Row], [Total running average '[sec']]]</f>
        <v>0</v>
      </c>
      <c r="AE51" s="3">
        <f>intermediate_results[[#This Row], [All cumulative times '[sec']]] / intermediate_results[[#This Row], [Team2 laps '[laps']]] - intermediate_results[[#This Row], [Total running average '[sec']]]</f>
        <v>0</v>
      </c>
      <c r="AF51" s="3">
        <f>intermediate_results[[#This Row], [All cumulative times '[sec']]] / intermediate_results[[#This Row], [Team3 laps '[laps']]] - intermediate_results[[#This Row], [Total running average '[sec']]]</f>
        <v>0</v>
      </c>
      <c r="AG51" s="3">
        <f>intermediate_results[[#This Row], [All cumulative times '[sec']]] / intermediate_results[[#This Row], [Team4 laps '[laps']]] - intermediate_results[[#This Row], [Total running average '[sec']]]</f>
        <v>0</v>
      </c>
      <c r="AH51" s="3">
        <f>intermediate_results[[#This Row], [All cumulative times '[sec']]] / intermediate_results[[#This Row], [Team5 laps '[laps']]] - intermediate_results[[#This Row], [Total running average '[sec']]]</f>
        <v>0</v>
      </c>
      <c r="AI51" s="3">
        <f>intermediate_results[[#This Row], [All cumulative times '[sec']]] / intermediate_results[[#This Row], [Team6 laps '[laps']]] - intermediate_results[[#This Row], [Total running average '[sec']]]</f>
        <v>0</v>
      </c>
      <c r="AJ51" s="3">
        <f>intermediate_results[[#This Row], [All cumulative times '[sec']]] / intermediate_results[[#This Row], [Team7 laps '[laps']]] - intermediate_results[[#This Row], [Total running average '[sec']]]</f>
        <v>0</v>
      </c>
      <c r="AK51" s="3">
        <f>intermediate_results[[#This Row], [All cumulative times '[sec']]] / intermediate_results[[#This Row], [Team8 laps '[laps']]] - intermediate_results[[#This Row], [Total running average '[sec']]]</f>
        <v>0</v>
      </c>
      <c r="AL51" s="3">
        <f>intermediate_results[[#This Row], [All cumulative times '[sec']]] / intermediate_results[[#This Row], [Team9 laps '[laps']]] - intermediate_results[[#This Row], [Total running average '[sec']]]</f>
        <v>0</v>
      </c>
    </row>
    <row r="52" spans="1:38">
      <c r="A52" s="3">
        <v>333.831</v>
      </c>
      <c r="B5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2" s="3">
        <f>intermediate_results[[#This Row], [Team1 laps '[laps']]] - intermediate_results[[#This Row], [Team1 laps '[laps']]]</f>
        <v>0</v>
      </c>
      <c r="L52" s="3">
        <f>intermediate_results[[#This Row], [Team1 laps '[laps']]] - intermediate_results[[#This Row], [Team2 laps '[laps']]]</f>
        <v>0</v>
      </c>
      <c r="M52" s="3">
        <f>intermediate_results[[#This Row], [Team1 laps '[laps']]] - intermediate_results[[#This Row], [Team3 laps '[laps']]]</f>
        <v>0</v>
      </c>
      <c r="N52" s="3">
        <f>intermediate_results[[#This Row], [Team1 laps '[laps']]] - intermediate_results[[#This Row], [Team4 laps '[laps']]]</f>
        <v>0</v>
      </c>
      <c r="O52" s="3">
        <f>intermediate_results[[#This Row], [Team1 laps '[laps']]] - intermediate_results[[#This Row], [Team5 laps '[laps']]]</f>
        <v>0</v>
      </c>
      <c r="P52" s="3">
        <f>intermediate_results[[#This Row], [Team1 laps '[laps']]] - intermediate_results[[#This Row], [Team6 laps '[laps']]]</f>
        <v>0</v>
      </c>
      <c r="Q52" s="3">
        <f>intermediate_results[[#This Row], [Team1 laps '[laps']]] - intermediate_results[[#This Row], [Team7 laps '[laps']]]</f>
        <v>0</v>
      </c>
      <c r="R52" s="3">
        <f>intermediate_results[[#This Row], [Team1 laps '[laps']]] - intermediate_results[[#This Row], [Team8 laps '[laps']]]</f>
        <v>0</v>
      </c>
      <c r="S52" s="3">
        <f>intermediate_results[[#This Row], [Team1 laps '[laps']]] - intermediate_results[[#This Row], [Team9 laps '[laps']]]</f>
        <v>0</v>
      </c>
      <c r="T52" s="3">
        <f>MAX(intermediate_results[[#This Row], [Team1 laps '[laps']]:[Team9 laps '[laps']]]) - intermediate_results[[#This Row], [Team1 laps '[laps']]]</f>
        <v>0</v>
      </c>
      <c r="U52" s="3">
        <f>MAX(intermediate_results[[#This Row], [Team1 laps '[laps']]:[Team9 laps '[laps']]]) - intermediate_results[[#This Row], [Team2 laps '[laps']]]</f>
        <v>0</v>
      </c>
      <c r="V52" s="3">
        <f>MAX(intermediate_results[[#This Row], [Team1 laps '[laps']]:[Team9 laps '[laps']]]) - intermediate_results[[#This Row], [Team3 laps '[laps']]]</f>
        <v>0</v>
      </c>
      <c r="W52" s="3">
        <f>MAX(intermediate_results[[#This Row], [Team1 laps '[laps']]:[Team9 laps '[laps']]]) - intermediate_results[[#This Row], [Team4 laps '[laps']]]</f>
        <v>0</v>
      </c>
      <c r="X52" s="3">
        <f>MAX(intermediate_results[[#This Row], [Team1 laps '[laps']]:[Team9 laps '[laps']]]) - intermediate_results[[#This Row], [Team5 laps '[laps']]]</f>
        <v>0</v>
      </c>
      <c r="Y52" s="3">
        <f>MAX(intermediate_results[[#This Row], [Team1 laps '[laps']]:[Team9 laps '[laps']]]) - intermediate_results[[#This Row], [Team6 laps '[laps']]]</f>
        <v>0</v>
      </c>
      <c r="Z52" s="3">
        <f>MAX(intermediate_results[[#This Row], [Team1 laps '[laps']]:[Team9 laps '[laps']]]) - intermediate_results[[#This Row], [Team7 laps '[laps']]]</f>
        <v>0</v>
      </c>
      <c r="AA52" s="3">
        <f>MAX(intermediate_results[[#This Row], [Team1 laps '[laps']]:[Team9 laps '[laps']]]) - intermediate_results[[#This Row], [Team8 laps '[laps']]]</f>
        <v>0</v>
      </c>
      <c r="AB52" s="3">
        <f>MAX(intermediate_results[[#This Row], [Team1 laps '[laps']]:[Team9 laps '[laps']]]) - intermediate_results[[#This Row], [Team9 laps '[laps']]]</f>
        <v>0</v>
      </c>
      <c r="AC52" s="3">
        <f>9 * intermediate_results[[#This Row], [All cumulative times '[sec']]] / SUM(intermediate_results[[#This Row], [Team1 laps '[laps']]:[Team9 laps '[laps']]])</f>
        <v>0</v>
      </c>
      <c r="AD52" s="3">
        <f>intermediate_results[[#This Row], [All cumulative times '[sec']]] / intermediate_results[[#This Row], [Team1 laps '[laps']]] - intermediate_results[[#This Row], [Total running average '[sec']]]</f>
        <v>0</v>
      </c>
      <c r="AE52" s="3">
        <f>intermediate_results[[#This Row], [All cumulative times '[sec']]] / intermediate_results[[#This Row], [Team2 laps '[laps']]] - intermediate_results[[#This Row], [Total running average '[sec']]]</f>
        <v>0</v>
      </c>
      <c r="AF52" s="3">
        <f>intermediate_results[[#This Row], [All cumulative times '[sec']]] / intermediate_results[[#This Row], [Team3 laps '[laps']]] - intermediate_results[[#This Row], [Total running average '[sec']]]</f>
        <v>0</v>
      </c>
      <c r="AG52" s="3">
        <f>intermediate_results[[#This Row], [All cumulative times '[sec']]] / intermediate_results[[#This Row], [Team4 laps '[laps']]] - intermediate_results[[#This Row], [Total running average '[sec']]]</f>
        <v>0</v>
      </c>
      <c r="AH52" s="3">
        <f>intermediate_results[[#This Row], [All cumulative times '[sec']]] / intermediate_results[[#This Row], [Team5 laps '[laps']]] - intermediate_results[[#This Row], [Total running average '[sec']]]</f>
        <v>0</v>
      </c>
      <c r="AI52" s="3">
        <f>intermediate_results[[#This Row], [All cumulative times '[sec']]] / intermediate_results[[#This Row], [Team6 laps '[laps']]] - intermediate_results[[#This Row], [Total running average '[sec']]]</f>
        <v>0</v>
      </c>
      <c r="AJ52" s="3">
        <f>intermediate_results[[#This Row], [All cumulative times '[sec']]] / intermediate_results[[#This Row], [Team7 laps '[laps']]] - intermediate_results[[#This Row], [Total running average '[sec']]]</f>
        <v>0</v>
      </c>
      <c r="AK52" s="3">
        <f>intermediate_results[[#This Row], [All cumulative times '[sec']]] / intermediate_results[[#This Row], [Team8 laps '[laps']]] - intermediate_results[[#This Row], [Total running average '[sec']]]</f>
        <v>0</v>
      </c>
      <c r="AL52" s="3">
        <f>intermediate_results[[#This Row], [All cumulative times '[sec']]] / intermediate_results[[#This Row], [Team9 laps '[laps']]] - intermediate_results[[#This Row], [Total running average '[sec']]]</f>
        <v>0</v>
      </c>
    </row>
    <row r="53" spans="1:38">
      <c r="A53" s="3">
        <v>335.64</v>
      </c>
      <c r="B5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3" s="3">
        <f>intermediate_results[[#This Row], [Team1 laps '[laps']]] - intermediate_results[[#This Row], [Team1 laps '[laps']]]</f>
        <v>0</v>
      </c>
      <c r="L53" s="3">
        <f>intermediate_results[[#This Row], [Team1 laps '[laps']]] - intermediate_results[[#This Row], [Team2 laps '[laps']]]</f>
        <v>0</v>
      </c>
      <c r="M53" s="3">
        <f>intermediate_results[[#This Row], [Team1 laps '[laps']]] - intermediate_results[[#This Row], [Team3 laps '[laps']]]</f>
        <v>0</v>
      </c>
      <c r="N53" s="3">
        <f>intermediate_results[[#This Row], [Team1 laps '[laps']]] - intermediate_results[[#This Row], [Team4 laps '[laps']]]</f>
        <v>0</v>
      </c>
      <c r="O53" s="3">
        <f>intermediate_results[[#This Row], [Team1 laps '[laps']]] - intermediate_results[[#This Row], [Team5 laps '[laps']]]</f>
        <v>0</v>
      </c>
      <c r="P53" s="3">
        <f>intermediate_results[[#This Row], [Team1 laps '[laps']]] - intermediate_results[[#This Row], [Team6 laps '[laps']]]</f>
        <v>0</v>
      </c>
      <c r="Q53" s="3">
        <f>intermediate_results[[#This Row], [Team1 laps '[laps']]] - intermediate_results[[#This Row], [Team7 laps '[laps']]]</f>
        <v>0</v>
      </c>
      <c r="R53" s="3">
        <f>intermediate_results[[#This Row], [Team1 laps '[laps']]] - intermediate_results[[#This Row], [Team8 laps '[laps']]]</f>
        <v>0</v>
      </c>
      <c r="S53" s="3">
        <f>intermediate_results[[#This Row], [Team1 laps '[laps']]] - intermediate_results[[#This Row], [Team9 laps '[laps']]]</f>
        <v>0</v>
      </c>
      <c r="T53" s="3">
        <f>MAX(intermediate_results[[#This Row], [Team1 laps '[laps']]:[Team9 laps '[laps']]]) - intermediate_results[[#This Row], [Team1 laps '[laps']]]</f>
        <v>0</v>
      </c>
      <c r="U53" s="3">
        <f>MAX(intermediate_results[[#This Row], [Team1 laps '[laps']]:[Team9 laps '[laps']]]) - intermediate_results[[#This Row], [Team2 laps '[laps']]]</f>
        <v>0</v>
      </c>
      <c r="V53" s="3">
        <f>MAX(intermediate_results[[#This Row], [Team1 laps '[laps']]:[Team9 laps '[laps']]]) - intermediate_results[[#This Row], [Team3 laps '[laps']]]</f>
        <v>0</v>
      </c>
      <c r="W53" s="3">
        <f>MAX(intermediate_results[[#This Row], [Team1 laps '[laps']]:[Team9 laps '[laps']]]) - intermediate_results[[#This Row], [Team4 laps '[laps']]]</f>
        <v>0</v>
      </c>
      <c r="X53" s="3">
        <f>MAX(intermediate_results[[#This Row], [Team1 laps '[laps']]:[Team9 laps '[laps']]]) - intermediate_results[[#This Row], [Team5 laps '[laps']]]</f>
        <v>0</v>
      </c>
      <c r="Y53" s="3">
        <f>MAX(intermediate_results[[#This Row], [Team1 laps '[laps']]:[Team9 laps '[laps']]]) - intermediate_results[[#This Row], [Team6 laps '[laps']]]</f>
        <v>0</v>
      </c>
      <c r="Z53" s="3">
        <f>MAX(intermediate_results[[#This Row], [Team1 laps '[laps']]:[Team9 laps '[laps']]]) - intermediate_results[[#This Row], [Team7 laps '[laps']]]</f>
        <v>0</v>
      </c>
      <c r="AA53" s="3">
        <f>MAX(intermediate_results[[#This Row], [Team1 laps '[laps']]:[Team9 laps '[laps']]]) - intermediate_results[[#This Row], [Team8 laps '[laps']]]</f>
        <v>0</v>
      </c>
      <c r="AB53" s="3">
        <f>MAX(intermediate_results[[#This Row], [Team1 laps '[laps']]:[Team9 laps '[laps']]]) - intermediate_results[[#This Row], [Team9 laps '[laps']]]</f>
        <v>0</v>
      </c>
      <c r="AC53" s="3">
        <f>9 * intermediate_results[[#This Row], [All cumulative times '[sec']]] / SUM(intermediate_results[[#This Row], [Team1 laps '[laps']]:[Team9 laps '[laps']]])</f>
        <v>0</v>
      </c>
      <c r="AD53" s="3">
        <f>intermediate_results[[#This Row], [All cumulative times '[sec']]] / intermediate_results[[#This Row], [Team1 laps '[laps']]] - intermediate_results[[#This Row], [Total running average '[sec']]]</f>
        <v>0</v>
      </c>
      <c r="AE53" s="3">
        <f>intermediate_results[[#This Row], [All cumulative times '[sec']]] / intermediate_results[[#This Row], [Team2 laps '[laps']]] - intermediate_results[[#This Row], [Total running average '[sec']]]</f>
        <v>0</v>
      </c>
      <c r="AF53" s="3">
        <f>intermediate_results[[#This Row], [All cumulative times '[sec']]] / intermediate_results[[#This Row], [Team3 laps '[laps']]] - intermediate_results[[#This Row], [Total running average '[sec']]]</f>
        <v>0</v>
      </c>
      <c r="AG53" s="3">
        <f>intermediate_results[[#This Row], [All cumulative times '[sec']]] / intermediate_results[[#This Row], [Team4 laps '[laps']]] - intermediate_results[[#This Row], [Total running average '[sec']]]</f>
        <v>0</v>
      </c>
      <c r="AH53" s="3">
        <f>intermediate_results[[#This Row], [All cumulative times '[sec']]] / intermediate_results[[#This Row], [Team5 laps '[laps']]] - intermediate_results[[#This Row], [Total running average '[sec']]]</f>
        <v>0</v>
      </c>
      <c r="AI53" s="3">
        <f>intermediate_results[[#This Row], [All cumulative times '[sec']]] / intermediate_results[[#This Row], [Team6 laps '[laps']]] - intermediate_results[[#This Row], [Total running average '[sec']]]</f>
        <v>0</v>
      </c>
      <c r="AJ53" s="3">
        <f>intermediate_results[[#This Row], [All cumulative times '[sec']]] / intermediate_results[[#This Row], [Team7 laps '[laps']]] - intermediate_results[[#This Row], [Total running average '[sec']]]</f>
        <v>0</v>
      </c>
      <c r="AK53" s="3">
        <f>intermediate_results[[#This Row], [All cumulative times '[sec']]] / intermediate_results[[#This Row], [Team8 laps '[laps']]] - intermediate_results[[#This Row], [Total running average '[sec']]]</f>
        <v>0</v>
      </c>
      <c r="AL53" s="3">
        <f>intermediate_results[[#This Row], [All cumulative times '[sec']]] / intermediate_results[[#This Row], [Team9 laps '[laps']]] - intermediate_results[[#This Row], [Total running average '[sec']]]</f>
        <v>0</v>
      </c>
    </row>
    <row r="54" spans="1:38">
      <c r="A54" s="3">
        <v>340.833</v>
      </c>
      <c r="B5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4" s="3">
        <f>intermediate_results[[#This Row], [Team1 laps '[laps']]] - intermediate_results[[#This Row], [Team1 laps '[laps']]]</f>
        <v>0</v>
      </c>
      <c r="L54" s="3">
        <f>intermediate_results[[#This Row], [Team1 laps '[laps']]] - intermediate_results[[#This Row], [Team2 laps '[laps']]]</f>
        <v>0</v>
      </c>
      <c r="M54" s="3">
        <f>intermediate_results[[#This Row], [Team1 laps '[laps']]] - intermediate_results[[#This Row], [Team3 laps '[laps']]]</f>
        <v>0</v>
      </c>
      <c r="N54" s="3">
        <f>intermediate_results[[#This Row], [Team1 laps '[laps']]] - intermediate_results[[#This Row], [Team4 laps '[laps']]]</f>
        <v>0</v>
      </c>
      <c r="O54" s="3">
        <f>intermediate_results[[#This Row], [Team1 laps '[laps']]] - intermediate_results[[#This Row], [Team5 laps '[laps']]]</f>
        <v>0</v>
      </c>
      <c r="P54" s="3">
        <f>intermediate_results[[#This Row], [Team1 laps '[laps']]] - intermediate_results[[#This Row], [Team6 laps '[laps']]]</f>
        <v>0</v>
      </c>
      <c r="Q54" s="3">
        <f>intermediate_results[[#This Row], [Team1 laps '[laps']]] - intermediate_results[[#This Row], [Team7 laps '[laps']]]</f>
        <v>0</v>
      </c>
      <c r="R54" s="3">
        <f>intermediate_results[[#This Row], [Team1 laps '[laps']]] - intermediate_results[[#This Row], [Team8 laps '[laps']]]</f>
        <v>0</v>
      </c>
      <c r="S54" s="3">
        <f>intermediate_results[[#This Row], [Team1 laps '[laps']]] - intermediate_results[[#This Row], [Team9 laps '[laps']]]</f>
        <v>0</v>
      </c>
      <c r="T54" s="3">
        <f>MAX(intermediate_results[[#This Row], [Team1 laps '[laps']]:[Team9 laps '[laps']]]) - intermediate_results[[#This Row], [Team1 laps '[laps']]]</f>
        <v>0</v>
      </c>
      <c r="U54" s="3">
        <f>MAX(intermediate_results[[#This Row], [Team1 laps '[laps']]:[Team9 laps '[laps']]]) - intermediate_results[[#This Row], [Team2 laps '[laps']]]</f>
        <v>0</v>
      </c>
      <c r="V54" s="3">
        <f>MAX(intermediate_results[[#This Row], [Team1 laps '[laps']]:[Team9 laps '[laps']]]) - intermediate_results[[#This Row], [Team3 laps '[laps']]]</f>
        <v>0</v>
      </c>
      <c r="W54" s="3">
        <f>MAX(intermediate_results[[#This Row], [Team1 laps '[laps']]:[Team9 laps '[laps']]]) - intermediate_results[[#This Row], [Team4 laps '[laps']]]</f>
        <v>0</v>
      </c>
      <c r="X54" s="3">
        <f>MAX(intermediate_results[[#This Row], [Team1 laps '[laps']]:[Team9 laps '[laps']]]) - intermediate_results[[#This Row], [Team5 laps '[laps']]]</f>
        <v>0</v>
      </c>
      <c r="Y54" s="3">
        <f>MAX(intermediate_results[[#This Row], [Team1 laps '[laps']]:[Team9 laps '[laps']]]) - intermediate_results[[#This Row], [Team6 laps '[laps']]]</f>
        <v>0</v>
      </c>
      <c r="Z54" s="3">
        <f>MAX(intermediate_results[[#This Row], [Team1 laps '[laps']]:[Team9 laps '[laps']]]) - intermediate_results[[#This Row], [Team7 laps '[laps']]]</f>
        <v>0</v>
      </c>
      <c r="AA54" s="3">
        <f>MAX(intermediate_results[[#This Row], [Team1 laps '[laps']]:[Team9 laps '[laps']]]) - intermediate_results[[#This Row], [Team8 laps '[laps']]]</f>
        <v>0</v>
      </c>
      <c r="AB54" s="3">
        <f>MAX(intermediate_results[[#This Row], [Team1 laps '[laps']]:[Team9 laps '[laps']]]) - intermediate_results[[#This Row], [Team9 laps '[laps']]]</f>
        <v>0</v>
      </c>
      <c r="AC54" s="3">
        <f>9 * intermediate_results[[#This Row], [All cumulative times '[sec']]] / SUM(intermediate_results[[#This Row], [Team1 laps '[laps']]:[Team9 laps '[laps']]])</f>
        <v>0</v>
      </c>
      <c r="AD54" s="3">
        <f>intermediate_results[[#This Row], [All cumulative times '[sec']]] / intermediate_results[[#This Row], [Team1 laps '[laps']]] - intermediate_results[[#This Row], [Total running average '[sec']]]</f>
        <v>0</v>
      </c>
      <c r="AE54" s="3">
        <f>intermediate_results[[#This Row], [All cumulative times '[sec']]] / intermediate_results[[#This Row], [Team2 laps '[laps']]] - intermediate_results[[#This Row], [Total running average '[sec']]]</f>
        <v>0</v>
      </c>
      <c r="AF54" s="3">
        <f>intermediate_results[[#This Row], [All cumulative times '[sec']]] / intermediate_results[[#This Row], [Team3 laps '[laps']]] - intermediate_results[[#This Row], [Total running average '[sec']]]</f>
        <v>0</v>
      </c>
      <c r="AG54" s="3">
        <f>intermediate_results[[#This Row], [All cumulative times '[sec']]] / intermediate_results[[#This Row], [Team4 laps '[laps']]] - intermediate_results[[#This Row], [Total running average '[sec']]]</f>
        <v>0</v>
      </c>
      <c r="AH54" s="3">
        <f>intermediate_results[[#This Row], [All cumulative times '[sec']]] / intermediate_results[[#This Row], [Team5 laps '[laps']]] - intermediate_results[[#This Row], [Total running average '[sec']]]</f>
        <v>0</v>
      </c>
      <c r="AI54" s="3">
        <f>intermediate_results[[#This Row], [All cumulative times '[sec']]] / intermediate_results[[#This Row], [Team6 laps '[laps']]] - intermediate_results[[#This Row], [Total running average '[sec']]]</f>
        <v>0</v>
      </c>
      <c r="AJ54" s="3">
        <f>intermediate_results[[#This Row], [All cumulative times '[sec']]] / intermediate_results[[#This Row], [Team7 laps '[laps']]] - intermediate_results[[#This Row], [Total running average '[sec']]]</f>
        <v>0</v>
      </c>
      <c r="AK54" s="3">
        <f>intermediate_results[[#This Row], [All cumulative times '[sec']]] / intermediate_results[[#This Row], [Team8 laps '[laps']]] - intermediate_results[[#This Row], [Total running average '[sec']]]</f>
        <v>0</v>
      </c>
      <c r="AL54" s="3">
        <f>intermediate_results[[#This Row], [All cumulative times '[sec']]] / intermediate_results[[#This Row], [Team9 laps '[laps']]] - intermediate_results[[#This Row], [Total running average '[sec']]]</f>
        <v>0</v>
      </c>
    </row>
    <row r="55" spans="1:38">
      <c r="A55" s="3">
        <v>341.092</v>
      </c>
      <c r="B5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5" s="3">
        <f>intermediate_results[[#This Row], [Team1 laps '[laps']]] - intermediate_results[[#This Row], [Team1 laps '[laps']]]</f>
        <v>0</v>
      </c>
      <c r="L55" s="3">
        <f>intermediate_results[[#This Row], [Team1 laps '[laps']]] - intermediate_results[[#This Row], [Team2 laps '[laps']]]</f>
        <v>0</v>
      </c>
      <c r="M55" s="3">
        <f>intermediate_results[[#This Row], [Team1 laps '[laps']]] - intermediate_results[[#This Row], [Team3 laps '[laps']]]</f>
        <v>0</v>
      </c>
      <c r="N55" s="3">
        <f>intermediate_results[[#This Row], [Team1 laps '[laps']]] - intermediate_results[[#This Row], [Team4 laps '[laps']]]</f>
        <v>0</v>
      </c>
      <c r="O55" s="3">
        <f>intermediate_results[[#This Row], [Team1 laps '[laps']]] - intermediate_results[[#This Row], [Team5 laps '[laps']]]</f>
        <v>0</v>
      </c>
      <c r="P55" s="3">
        <f>intermediate_results[[#This Row], [Team1 laps '[laps']]] - intermediate_results[[#This Row], [Team6 laps '[laps']]]</f>
        <v>0</v>
      </c>
      <c r="Q55" s="3">
        <f>intermediate_results[[#This Row], [Team1 laps '[laps']]] - intermediate_results[[#This Row], [Team7 laps '[laps']]]</f>
        <v>0</v>
      </c>
      <c r="R55" s="3">
        <f>intermediate_results[[#This Row], [Team1 laps '[laps']]] - intermediate_results[[#This Row], [Team8 laps '[laps']]]</f>
        <v>0</v>
      </c>
      <c r="S55" s="3">
        <f>intermediate_results[[#This Row], [Team1 laps '[laps']]] - intermediate_results[[#This Row], [Team9 laps '[laps']]]</f>
        <v>0</v>
      </c>
      <c r="T55" s="3">
        <f>MAX(intermediate_results[[#This Row], [Team1 laps '[laps']]:[Team9 laps '[laps']]]) - intermediate_results[[#This Row], [Team1 laps '[laps']]]</f>
        <v>0</v>
      </c>
      <c r="U55" s="3">
        <f>MAX(intermediate_results[[#This Row], [Team1 laps '[laps']]:[Team9 laps '[laps']]]) - intermediate_results[[#This Row], [Team2 laps '[laps']]]</f>
        <v>0</v>
      </c>
      <c r="V55" s="3">
        <f>MAX(intermediate_results[[#This Row], [Team1 laps '[laps']]:[Team9 laps '[laps']]]) - intermediate_results[[#This Row], [Team3 laps '[laps']]]</f>
        <v>0</v>
      </c>
      <c r="W55" s="3">
        <f>MAX(intermediate_results[[#This Row], [Team1 laps '[laps']]:[Team9 laps '[laps']]]) - intermediate_results[[#This Row], [Team4 laps '[laps']]]</f>
        <v>0</v>
      </c>
      <c r="X55" s="3">
        <f>MAX(intermediate_results[[#This Row], [Team1 laps '[laps']]:[Team9 laps '[laps']]]) - intermediate_results[[#This Row], [Team5 laps '[laps']]]</f>
        <v>0</v>
      </c>
      <c r="Y55" s="3">
        <f>MAX(intermediate_results[[#This Row], [Team1 laps '[laps']]:[Team9 laps '[laps']]]) - intermediate_results[[#This Row], [Team6 laps '[laps']]]</f>
        <v>0</v>
      </c>
      <c r="Z55" s="3">
        <f>MAX(intermediate_results[[#This Row], [Team1 laps '[laps']]:[Team9 laps '[laps']]]) - intermediate_results[[#This Row], [Team7 laps '[laps']]]</f>
        <v>0</v>
      </c>
      <c r="AA55" s="3">
        <f>MAX(intermediate_results[[#This Row], [Team1 laps '[laps']]:[Team9 laps '[laps']]]) - intermediate_results[[#This Row], [Team8 laps '[laps']]]</f>
        <v>0</v>
      </c>
      <c r="AB55" s="3">
        <f>MAX(intermediate_results[[#This Row], [Team1 laps '[laps']]:[Team9 laps '[laps']]]) - intermediate_results[[#This Row], [Team9 laps '[laps']]]</f>
        <v>0</v>
      </c>
      <c r="AC55" s="3">
        <f>9 * intermediate_results[[#This Row], [All cumulative times '[sec']]] / SUM(intermediate_results[[#This Row], [Team1 laps '[laps']]:[Team9 laps '[laps']]])</f>
        <v>0</v>
      </c>
      <c r="AD55" s="3">
        <f>intermediate_results[[#This Row], [All cumulative times '[sec']]] / intermediate_results[[#This Row], [Team1 laps '[laps']]] - intermediate_results[[#This Row], [Total running average '[sec']]]</f>
        <v>0</v>
      </c>
      <c r="AE55" s="3">
        <f>intermediate_results[[#This Row], [All cumulative times '[sec']]] / intermediate_results[[#This Row], [Team2 laps '[laps']]] - intermediate_results[[#This Row], [Total running average '[sec']]]</f>
        <v>0</v>
      </c>
      <c r="AF55" s="3">
        <f>intermediate_results[[#This Row], [All cumulative times '[sec']]] / intermediate_results[[#This Row], [Team3 laps '[laps']]] - intermediate_results[[#This Row], [Total running average '[sec']]]</f>
        <v>0</v>
      </c>
      <c r="AG55" s="3">
        <f>intermediate_results[[#This Row], [All cumulative times '[sec']]] / intermediate_results[[#This Row], [Team4 laps '[laps']]] - intermediate_results[[#This Row], [Total running average '[sec']]]</f>
        <v>0</v>
      </c>
      <c r="AH55" s="3">
        <f>intermediate_results[[#This Row], [All cumulative times '[sec']]] / intermediate_results[[#This Row], [Team5 laps '[laps']]] - intermediate_results[[#This Row], [Total running average '[sec']]]</f>
        <v>0</v>
      </c>
      <c r="AI55" s="3">
        <f>intermediate_results[[#This Row], [All cumulative times '[sec']]] / intermediate_results[[#This Row], [Team6 laps '[laps']]] - intermediate_results[[#This Row], [Total running average '[sec']]]</f>
        <v>0</v>
      </c>
      <c r="AJ55" s="3">
        <f>intermediate_results[[#This Row], [All cumulative times '[sec']]] / intermediate_results[[#This Row], [Team7 laps '[laps']]] - intermediate_results[[#This Row], [Total running average '[sec']]]</f>
        <v>0</v>
      </c>
      <c r="AK55" s="3">
        <f>intermediate_results[[#This Row], [All cumulative times '[sec']]] / intermediate_results[[#This Row], [Team8 laps '[laps']]] - intermediate_results[[#This Row], [Total running average '[sec']]]</f>
        <v>0</v>
      </c>
      <c r="AL55" s="3">
        <f>intermediate_results[[#This Row], [All cumulative times '[sec']]] / intermediate_results[[#This Row], [Team9 laps '[laps']]] - intermediate_results[[#This Row], [Total running average '[sec']]]</f>
        <v>0</v>
      </c>
    </row>
    <row r="56" spans="1:38">
      <c r="A56" s="3">
        <v>372.535</v>
      </c>
      <c r="B5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6" s="3">
        <f>intermediate_results[[#This Row], [Team1 laps '[laps']]] - intermediate_results[[#This Row], [Team1 laps '[laps']]]</f>
        <v>0</v>
      </c>
      <c r="L56" s="3">
        <f>intermediate_results[[#This Row], [Team1 laps '[laps']]] - intermediate_results[[#This Row], [Team2 laps '[laps']]]</f>
        <v>0</v>
      </c>
      <c r="M56" s="3">
        <f>intermediate_results[[#This Row], [Team1 laps '[laps']]] - intermediate_results[[#This Row], [Team3 laps '[laps']]]</f>
        <v>0</v>
      </c>
      <c r="N56" s="3">
        <f>intermediate_results[[#This Row], [Team1 laps '[laps']]] - intermediate_results[[#This Row], [Team4 laps '[laps']]]</f>
        <v>0</v>
      </c>
      <c r="O56" s="3">
        <f>intermediate_results[[#This Row], [Team1 laps '[laps']]] - intermediate_results[[#This Row], [Team5 laps '[laps']]]</f>
        <v>0</v>
      </c>
      <c r="P56" s="3">
        <f>intermediate_results[[#This Row], [Team1 laps '[laps']]] - intermediate_results[[#This Row], [Team6 laps '[laps']]]</f>
        <v>0</v>
      </c>
      <c r="Q56" s="3">
        <f>intermediate_results[[#This Row], [Team1 laps '[laps']]] - intermediate_results[[#This Row], [Team7 laps '[laps']]]</f>
        <v>0</v>
      </c>
      <c r="R56" s="3">
        <f>intermediate_results[[#This Row], [Team1 laps '[laps']]] - intermediate_results[[#This Row], [Team8 laps '[laps']]]</f>
        <v>0</v>
      </c>
      <c r="S56" s="3">
        <f>intermediate_results[[#This Row], [Team1 laps '[laps']]] - intermediate_results[[#This Row], [Team9 laps '[laps']]]</f>
        <v>0</v>
      </c>
      <c r="T56" s="3">
        <f>MAX(intermediate_results[[#This Row], [Team1 laps '[laps']]:[Team9 laps '[laps']]]) - intermediate_results[[#This Row], [Team1 laps '[laps']]]</f>
        <v>0</v>
      </c>
      <c r="U56" s="3">
        <f>MAX(intermediate_results[[#This Row], [Team1 laps '[laps']]:[Team9 laps '[laps']]]) - intermediate_results[[#This Row], [Team2 laps '[laps']]]</f>
        <v>0</v>
      </c>
      <c r="V56" s="3">
        <f>MAX(intermediate_results[[#This Row], [Team1 laps '[laps']]:[Team9 laps '[laps']]]) - intermediate_results[[#This Row], [Team3 laps '[laps']]]</f>
        <v>0</v>
      </c>
      <c r="W56" s="3">
        <f>MAX(intermediate_results[[#This Row], [Team1 laps '[laps']]:[Team9 laps '[laps']]]) - intermediate_results[[#This Row], [Team4 laps '[laps']]]</f>
        <v>0</v>
      </c>
      <c r="X56" s="3">
        <f>MAX(intermediate_results[[#This Row], [Team1 laps '[laps']]:[Team9 laps '[laps']]]) - intermediate_results[[#This Row], [Team5 laps '[laps']]]</f>
        <v>0</v>
      </c>
      <c r="Y56" s="3">
        <f>MAX(intermediate_results[[#This Row], [Team1 laps '[laps']]:[Team9 laps '[laps']]]) - intermediate_results[[#This Row], [Team6 laps '[laps']]]</f>
        <v>0</v>
      </c>
      <c r="Z56" s="3">
        <f>MAX(intermediate_results[[#This Row], [Team1 laps '[laps']]:[Team9 laps '[laps']]]) - intermediate_results[[#This Row], [Team7 laps '[laps']]]</f>
        <v>0</v>
      </c>
      <c r="AA56" s="3">
        <f>MAX(intermediate_results[[#This Row], [Team1 laps '[laps']]:[Team9 laps '[laps']]]) - intermediate_results[[#This Row], [Team8 laps '[laps']]]</f>
        <v>0</v>
      </c>
      <c r="AB56" s="3">
        <f>MAX(intermediate_results[[#This Row], [Team1 laps '[laps']]:[Team9 laps '[laps']]]) - intermediate_results[[#This Row], [Team9 laps '[laps']]]</f>
        <v>0</v>
      </c>
      <c r="AC56" s="3">
        <f>9 * intermediate_results[[#This Row], [All cumulative times '[sec']]] / SUM(intermediate_results[[#This Row], [Team1 laps '[laps']]:[Team9 laps '[laps']]])</f>
        <v>0</v>
      </c>
      <c r="AD56" s="3">
        <f>intermediate_results[[#This Row], [All cumulative times '[sec']]] / intermediate_results[[#This Row], [Team1 laps '[laps']]] - intermediate_results[[#This Row], [Total running average '[sec']]]</f>
        <v>0</v>
      </c>
      <c r="AE56" s="3">
        <f>intermediate_results[[#This Row], [All cumulative times '[sec']]] / intermediate_results[[#This Row], [Team2 laps '[laps']]] - intermediate_results[[#This Row], [Total running average '[sec']]]</f>
        <v>0</v>
      </c>
      <c r="AF56" s="3">
        <f>intermediate_results[[#This Row], [All cumulative times '[sec']]] / intermediate_results[[#This Row], [Team3 laps '[laps']]] - intermediate_results[[#This Row], [Total running average '[sec']]]</f>
        <v>0</v>
      </c>
      <c r="AG56" s="3">
        <f>intermediate_results[[#This Row], [All cumulative times '[sec']]] / intermediate_results[[#This Row], [Team4 laps '[laps']]] - intermediate_results[[#This Row], [Total running average '[sec']]]</f>
        <v>0</v>
      </c>
      <c r="AH56" s="3">
        <f>intermediate_results[[#This Row], [All cumulative times '[sec']]] / intermediate_results[[#This Row], [Team5 laps '[laps']]] - intermediate_results[[#This Row], [Total running average '[sec']]]</f>
        <v>0</v>
      </c>
      <c r="AI56" s="3">
        <f>intermediate_results[[#This Row], [All cumulative times '[sec']]] / intermediate_results[[#This Row], [Team6 laps '[laps']]] - intermediate_results[[#This Row], [Total running average '[sec']]]</f>
        <v>0</v>
      </c>
      <c r="AJ56" s="3">
        <f>intermediate_results[[#This Row], [All cumulative times '[sec']]] / intermediate_results[[#This Row], [Team7 laps '[laps']]] - intermediate_results[[#This Row], [Total running average '[sec']]]</f>
        <v>0</v>
      </c>
      <c r="AK56" s="3">
        <f>intermediate_results[[#This Row], [All cumulative times '[sec']]] / intermediate_results[[#This Row], [Team8 laps '[laps']]] - intermediate_results[[#This Row], [Total running average '[sec']]]</f>
        <v>0</v>
      </c>
      <c r="AL56" s="3">
        <f>intermediate_results[[#This Row], [All cumulative times '[sec']]] / intermediate_results[[#This Row], [Team9 laps '[laps']]] - intermediate_results[[#This Row], [Total running average '[sec']]]</f>
        <v>0</v>
      </c>
    </row>
    <row r="57" spans="1:38">
      <c r="A57" s="3">
        <v>373.22</v>
      </c>
      <c r="B5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7" s="3">
        <f>intermediate_results[[#This Row], [Team1 laps '[laps']]] - intermediate_results[[#This Row], [Team1 laps '[laps']]]</f>
        <v>0</v>
      </c>
      <c r="L57" s="3">
        <f>intermediate_results[[#This Row], [Team1 laps '[laps']]] - intermediate_results[[#This Row], [Team2 laps '[laps']]]</f>
        <v>0</v>
      </c>
      <c r="M57" s="3">
        <f>intermediate_results[[#This Row], [Team1 laps '[laps']]] - intermediate_results[[#This Row], [Team3 laps '[laps']]]</f>
        <v>0</v>
      </c>
      <c r="N57" s="3">
        <f>intermediate_results[[#This Row], [Team1 laps '[laps']]] - intermediate_results[[#This Row], [Team4 laps '[laps']]]</f>
        <v>0</v>
      </c>
      <c r="O57" s="3">
        <f>intermediate_results[[#This Row], [Team1 laps '[laps']]] - intermediate_results[[#This Row], [Team5 laps '[laps']]]</f>
        <v>0</v>
      </c>
      <c r="P57" s="3">
        <f>intermediate_results[[#This Row], [Team1 laps '[laps']]] - intermediate_results[[#This Row], [Team6 laps '[laps']]]</f>
        <v>0</v>
      </c>
      <c r="Q57" s="3">
        <f>intermediate_results[[#This Row], [Team1 laps '[laps']]] - intermediate_results[[#This Row], [Team7 laps '[laps']]]</f>
        <v>0</v>
      </c>
      <c r="R57" s="3">
        <f>intermediate_results[[#This Row], [Team1 laps '[laps']]] - intermediate_results[[#This Row], [Team8 laps '[laps']]]</f>
        <v>0</v>
      </c>
      <c r="S57" s="3">
        <f>intermediate_results[[#This Row], [Team1 laps '[laps']]] - intermediate_results[[#This Row], [Team9 laps '[laps']]]</f>
        <v>0</v>
      </c>
      <c r="T57" s="3">
        <f>MAX(intermediate_results[[#This Row], [Team1 laps '[laps']]:[Team9 laps '[laps']]]) - intermediate_results[[#This Row], [Team1 laps '[laps']]]</f>
        <v>0</v>
      </c>
      <c r="U57" s="3">
        <f>MAX(intermediate_results[[#This Row], [Team1 laps '[laps']]:[Team9 laps '[laps']]]) - intermediate_results[[#This Row], [Team2 laps '[laps']]]</f>
        <v>0</v>
      </c>
      <c r="V57" s="3">
        <f>MAX(intermediate_results[[#This Row], [Team1 laps '[laps']]:[Team9 laps '[laps']]]) - intermediate_results[[#This Row], [Team3 laps '[laps']]]</f>
        <v>0</v>
      </c>
      <c r="W57" s="3">
        <f>MAX(intermediate_results[[#This Row], [Team1 laps '[laps']]:[Team9 laps '[laps']]]) - intermediate_results[[#This Row], [Team4 laps '[laps']]]</f>
        <v>0</v>
      </c>
      <c r="X57" s="3">
        <f>MAX(intermediate_results[[#This Row], [Team1 laps '[laps']]:[Team9 laps '[laps']]]) - intermediate_results[[#This Row], [Team5 laps '[laps']]]</f>
        <v>0</v>
      </c>
      <c r="Y57" s="3">
        <f>MAX(intermediate_results[[#This Row], [Team1 laps '[laps']]:[Team9 laps '[laps']]]) - intermediate_results[[#This Row], [Team6 laps '[laps']]]</f>
        <v>0</v>
      </c>
      <c r="Z57" s="3">
        <f>MAX(intermediate_results[[#This Row], [Team1 laps '[laps']]:[Team9 laps '[laps']]]) - intermediate_results[[#This Row], [Team7 laps '[laps']]]</f>
        <v>0</v>
      </c>
      <c r="AA57" s="3">
        <f>MAX(intermediate_results[[#This Row], [Team1 laps '[laps']]:[Team9 laps '[laps']]]) - intermediate_results[[#This Row], [Team8 laps '[laps']]]</f>
        <v>0</v>
      </c>
      <c r="AB57" s="3">
        <f>MAX(intermediate_results[[#This Row], [Team1 laps '[laps']]:[Team9 laps '[laps']]]) - intermediate_results[[#This Row], [Team9 laps '[laps']]]</f>
        <v>0</v>
      </c>
      <c r="AC57" s="3">
        <f>9 * intermediate_results[[#This Row], [All cumulative times '[sec']]] / SUM(intermediate_results[[#This Row], [Team1 laps '[laps']]:[Team9 laps '[laps']]])</f>
        <v>0</v>
      </c>
      <c r="AD57" s="3">
        <f>intermediate_results[[#This Row], [All cumulative times '[sec']]] / intermediate_results[[#This Row], [Team1 laps '[laps']]] - intermediate_results[[#This Row], [Total running average '[sec']]]</f>
        <v>0</v>
      </c>
      <c r="AE57" s="3">
        <f>intermediate_results[[#This Row], [All cumulative times '[sec']]] / intermediate_results[[#This Row], [Team2 laps '[laps']]] - intermediate_results[[#This Row], [Total running average '[sec']]]</f>
        <v>0</v>
      </c>
      <c r="AF57" s="3">
        <f>intermediate_results[[#This Row], [All cumulative times '[sec']]] / intermediate_results[[#This Row], [Team3 laps '[laps']]] - intermediate_results[[#This Row], [Total running average '[sec']]]</f>
        <v>0</v>
      </c>
      <c r="AG57" s="3">
        <f>intermediate_results[[#This Row], [All cumulative times '[sec']]] / intermediate_results[[#This Row], [Team4 laps '[laps']]] - intermediate_results[[#This Row], [Total running average '[sec']]]</f>
        <v>0</v>
      </c>
      <c r="AH57" s="3">
        <f>intermediate_results[[#This Row], [All cumulative times '[sec']]] / intermediate_results[[#This Row], [Team5 laps '[laps']]] - intermediate_results[[#This Row], [Total running average '[sec']]]</f>
        <v>0</v>
      </c>
      <c r="AI57" s="3">
        <f>intermediate_results[[#This Row], [All cumulative times '[sec']]] / intermediate_results[[#This Row], [Team6 laps '[laps']]] - intermediate_results[[#This Row], [Total running average '[sec']]]</f>
        <v>0</v>
      </c>
      <c r="AJ57" s="3">
        <f>intermediate_results[[#This Row], [All cumulative times '[sec']]] / intermediate_results[[#This Row], [Team7 laps '[laps']]] - intermediate_results[[#This Row], [Total running average '[sec']]]</f>
        <v>0</v>
      </c>
      <c r="AK57" s="3">
        <f>intermediate_results[[#This Row], [All cumulative times '[sec']]] / intermediate_results[[#This Row], [Team8 laps '[laps']]] - intermediate_results[[#This Row], [Total running average '[sec']]]</f>
        <v>0</v>
      </c>
      <c r="AL57" s="3">
        <f>intermediate_results[[#This Row], [All cumulative times '[sec']]] / intermediate_results[[#This Row], [Team9 laps '[laps']]] - intermediate_results[[#This Row], [Total running average '[sec']]]</f>
        <v>0</v>
      </c>
    </row>
    <row r="58" spans="1:38">
      <c r="A58" s="3">
        <v>380.056</v>
      </c>
      <c r="B5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8" s="3">
        <f>intermediate_results[[#This Row], [Team1 laps '[laps']]] - intermediate_results[[#This Row], [Team1 laps '[laps']]]</f>
        <v>0</v>
      </c>
      <c r="L58" s="3">
        <f>intermediate_results[[#This Row], [Team1 laps '[laps']]] - intermediate_results[[#This Row], [Team2 laps '[laps']]]</f>
        <v>0</v>
      </c>
      <c r="M58" s="3">
        <f>intermediate_results[[#This Row], [Team1 laps '[laps']]] - intermediate_results[[#This Row], [Team3 laps '[laps']]]</f>
        <v>0</v>
      </c>
      <c r="N58" s="3">
        <f>intermediate_results[[#This Row], [Team1 laps '[laps']]] - intermediate_results[[#This Row], [Team4 laps '[laps']]]</f>
        <v>0</v>
      </c>
      <c r="O58" s="3">
        <f>intermediate_results[[#This Row], [Team1 laps '[laps']]] - intermediate_results[[#This Row], [Team5 laps '[laps']]]</f>
        <v>0</v>
      </c>
      <c r="P58" s="3">
        <f>intermediate_results[[#This Row], [Team1 laps '[laps']]] - intermediate_results[[#This Row], [Team6 laps '[laps']]]</f>
        <v>0</v>
      </c>
      <c r="Q58" s="3">
        <f>intermediate_results[[#This Row], [Team1 laps '[laps']]] - intermediate_results[[#This Row], [Team7 laps '[laps']]]</f>
        <v>0</v>
      </c>
      <c r="R58" s="3">
        <f>intermediate_results[[#This Row], [Team1 laps '[laps']]] - intermediate_results[[#This Row], [Team8 laps '[laps']]]</f>
        <v>0</v>
      </c>
      <c r="S58" s="3">
        <f>intermediate_results[[#This Row], [Team1 laps '[laps']]] - intermediate_results[[#This Row], [Team9 laps '[laps']]]</f>
        <v>0</v>
      </c>
      <c r="T58" s="3">
        <f>MAX(intermediate_results[[#This Row], [Team1 laps '[laps']]:[Team9 laps '[laps']]]) - intermediate_results[[#This Row], [Team1 laps '[laps']]]</f>
        <v>0</v>
      </c>
      <c r="U58" s="3">
        <f>MAX(intermediate_results[[#This Row], [Team1 laps '[laps']]:[Team9 laps '[laps']]]) - intermediate_results[[#This Row], [Team2 laps '[laps']]]</f>
        <v>0</v>
      </c>
      <c r="V58" s="3">
        <f>MAX(intermediate_results[[#This Row], [Team1 laps '[laps']]:[Team9 laps '[laps']]]) - intermediate_results[[#This Row], [Team3 laps '[laps']]]</f>
        <v>0</v>
      </c>
      <c r="W58" s="3">
        <f>MAX(intermediate_results[[#This Row], [Team1 laps '[laps']]:[Team9 laps '[laps']]]) - intermediate_results[[#This Row], [Team4 laps '[laps']]]</f>
        <v>0</v>
      </c>
      <c r="X58" s="3">
        <f>MAX(intermediate_results[[#This Row], [Team1 laps '[laps']]:[Team9 laps '[laps']]]) - intermediate_results[[#This Row], [Team5 laps '[laps']]]</f>
        <v>0</v>
      </c>
      <c r="Y58" s="3">
        <f>MAX(intermediate_results[[#This Row], [Team1 laps '[laps']]:[Team9 laps '[laps']]]) - intermediate_results[[#This Row], [Team6 laps '[laps']]]</f>
        <v>0</v>
      </c>
      <c r="Z58" s="3">
        <f>MAX(intermediate_results[[#This Row], [Team1 laps '[laps']]:[Team9 laps '[laps']]]) - intermediate_results[[#This Row], [Team7 laps '[laps']]]</f>
        <v>0</v>
      </c>
      <c r="AA58" s="3">
        <f>MAX(intermediate_results[[#This Row], [Team1 laps '[laps']]:[Team9 laps '[laps']]]) - intermediate_results[[#This Row], [Team8 laps '[laps']]]</f>
        <v>0</v>
      </c>
      <c r="AB58" s="3">
        <f>MAX(intermediate_results[[#This Row], [Team1 laps '[laps']]:[Team9 laps '[laps']]]) - intermediate_results[[#This Row], [Team9 laps '[laps']]]</f>
        <v>0</v>
      </c>
      <c r="AC58" s="3">
        <f>9 * intermediate_results[[#This Row], [All cumulative times '[sec']]] / SUM(intermediate_results[[#This Row], [Team1 laps '[laps']]:[Team9 laps '[laps']]])</f>
        <v>0</v>
      </c>
      <c r="AD58" s="3">
        <f>intermediate_results[[#This Row], [All cumulative times '[sec']]] / intermediate_results[[#This Row], [Team1 laps '[laps']]] - intermediate_results[[#This Row], [Total running average '[sec']]]</f>
        <v>0</v>
      </c>
      <c r="AE58" s="3">
        <f>intermediate_results[[#This Row], [All cumulative times '[sec']]] / intermediate_results[[#This Row], [Team2 laps '[laps']]] - intermediate_results[[#This Row], [Total running average '[sec']]]</f>
        <v>0</v>
      </c>
      <c r="AF58" s="3">
        <f>intermediate_results[[#This Row], [All cumulative times '[sec']]] / intermediate_results[[#This Row], [Team3 laps '[laps']]] - intermediate_results[[#This Row], [Total running average '[sec']]]</f>
        <v>0</v>
      </c>
      <c r="AG58" s="3">
        <f>intermediate_results[[#This Row], [All cumulative times '[sec']]] / intermediate_results[[#This Row], [Team4 laps '[laps']]] - intermediate_results[[#This Row], [Total running average '[sec']]]</f>
        <v>0</v>
      </c>
      <c r="AH58" s="3">
        <f>intermediate_results[[#This Row], [All cumulative times '[sec']]] / intermediate_results[[#This Row], [Team5 laps '[laps']]] - intermediate_results[[#This Row], [Total running average '[sec']]]</f>
        <v>0</v>
      </c>
      <c r="AI58" s="3">
        <f>intermediate_results[[#This Row], [All cumulative times '[sec']]] / intermediate_results[[#This Row], [Team6 laps '[laps']]] - intermediate_results[[#This Row], [Total running average '[sec']]]</f>
        <v>0</v>
      </c>
      <c r="AJ58" s="3">
        <f>intermediate_results[[#This Row], [All cumulative times '[sec']]] / intermediate_results[[#This Row], [Team7 laps '[laps']]] - intermediate_results[[#This Row], [Total running average '[sec']]]</f>
        <v>0</v>
      </c>
      <c r="AK58" s="3">
        <f>intermediate_results[[#This Row], [All cumulative times '[sec']]] / intermediate_results[[#This Row], [Team8 laps '[laps']]] - intermediate_results[[#This Row], [Total running average '[sec']]]</f>
        <v>0</v>
      </c>
      <c r="AL58" s="3">
        <f>intermediate_results[[#This Row], [All cumulative times '[sec']]] / intermediate_results[[#This Row], [Team9 laps '[laps']]] - intermediate_results[[#This Row], [Total running average '[sec']]]</f>
        <v>0</v>
      </c>
    </row>
    <row r="59" spans="1:38">
      <c r="A59" s="3">
        <v>386.749</v>
      </c>
      <c r="B5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5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5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5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5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5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5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5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5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59" s="3">
        <f>intermediate_results[[#This Row], [Team1 laps '[laps']]] - intermediate_results[[#This Row], [Team1 laps '[laps']]]</f>
        <v>0</v>
      </c>
      <c r="L59" s="3">
        <f>intermediate_results[[#This Row], [Team1 laps '[laps']]] - intermediate_results[[#This Row], [Team2 laps '[laps']]]</f>
        <v>0</v>
      </c>
      <c r="M59" s="3">
        <f>intermediate_results[[#This Row], [Team1 laps '[laps']]] - intermediate_results[[#This Row], [Team3 laps '[laps']]]</f>
        <v>0</v>
      </c>
      <c r="N59" s="3">
        <f>intermediate_results[[#This Row], [Team1 laps '[laps']]] - intermediate_results[[#This Row], [Team4 laps '[laps']]]</f>
        <v>0</v>
      </c>
      <c r="O59" s="3">
        <f>intermediate_results[[#This Row], [Team1 laps '[laps']]] - intermediate_results[[#This Row], [Team5 laps '[laps']]]</f>
        <v>0</v>
      </c>
      <c r="P59" s="3">
        <f>intermediate_results[[#This Row], [Team1 laps '[laps']]] - intermediate_results[[#This Row], [Team6 laps '[laps']]]</f>
        <v>0</v>
      </c>
      <c r="Q59" s="3">
        <f>intermediate_results[[#This Row], [Team1 laps '[laps']]] - intermediate_results[[#This Row], [Team7 laps '[laps']]]</f>
        <v>0</v>
      </c>
      <c r="R59" s="3">
        <f>intermediate_results[[#This Row], [Team1 laps '[laps']]] - intermediate_results[[#This Row], [Team8 laps '[laps']]]</f>
        <v>0</v>
      </c>
      <c r="S59" s="3">
        <f>intermediate_results[[#This Row], [Team1 laps '[laps']]] - intermediate_results[[#This Row], [Team9 laps '[laps']]]</f>
        <v>0</v>
      </c>
      <c r="T59" s="3">
        <f>MAX(intermediate_results[[#This Row], [Team1 laps '[laps']]:[Team9 laps '[laps']]]) - intermediate_results[[#This Row], [Team1 laps '[laps']]]</f>
        <v>0</v>
      </c>
      <c r="U59" s="3">
        <f>MAX(intermediate_results[[#This Row], [Team1 laps '[laps']]:[Team9 laps '[laps']]]) - intermediate_results[[#This Row], [Team2 laps '[laps']]]</f>
        <v>0</v>
      </c>
      <c r="V59" s="3">
        <f>MAX(intermediate_results[[#This Row], [Team1 laps '[laps']]:[Team9 laps '[laps']]]) - intermediate_results[[#This Row], [Team3 laps '[laps']]]</f>
        <v>0</v>
      </c>
      <c r="W59" s="3">
        <f>MAX(intermediate_results[[#This Row], [Team1 laps '[laps']]:[Team9 laps '[laps']]]) - intermediate_results[[#This Row], [Team4 laps '[laps']]]</f>
        <v>0</v>
      </c>
      <c r="X59" s="3">
        <f>MAX(intermediate_results[[#This Row], [Team1 laps '[laps']]:[Team9 laps '[laps']]]) - intermediate_results[[#This Row], [Team5 laps '[laps']]]</f>
        <v>0</v>
      </c>
      <c r="Y59" s="3">
        <f>MAX(intermediate_results[[#This Row], [Team1 laps '[laps']]:[Team9 laps '[laps']]]) - intermediate_results[[#This Row], [Team6 laps '[laps']]]</f>
        <v>0</v>
      </c>
      <c r="Z59" s="3">
        <f>MAX(intermediate_results[[#This Row], [Team1 laps '[laps']]:[Team9 laps '[laps']]]) - intermediate_results[[#This Row], [Team7 laps '[laps']]]</f>
        <v>0</v>
      </c>
      <c r="AA59" s="3">
        <f>MAX(intermediate_results[[#This Row], [Team1 laps '[laps']]:[Team9 laps '[laps']]]) - intermediate_results[[#This Row], [Team8 laps '[laps']]]</f>
        <v>0</v>
      </c>
      <c r="AB59" s="3">
        <f>MAX(intermediate_results[[#This Row], [Team1 laps '[laps']]:[Team9 laps '[laps']]]) - intermediate_results[[#This Row], [Team9 laps '[laps']]]</f>
        <v>0</v>
      </c>
      <c r="AC59" s="3">
        <f>9 * intermediate_results[[#This Row], [All cumulative times '[sec']]] / SUM(intermediate_results[[#This Row], [Team1 laps '[laps']]:[Team9 laps '[laps']]])</f>
        <v>0</v>
      </c>
      <c r="AD59" s="3">
        <f>intermediate_results[[#This Row], [All cumulative times '[sec']]] / intermediate_results[[#This Row], [Team1 laps '[laps']]] - intermediate_results[[#This Row], [Total running average '[sec']]]</f>
        <v>0</v>
      </c>
      <c r="AE59" s="3">
        <f>intermediate_results[[#This Row], [All cumulative times '[sec']]] / intermediate_results[[#This Row], [Team2 laps '[laps']]] - intermediate_results[[#This Row], [Total running average '[sec']]]</f>
        <v>0</v>
      </c>
      <c r="AF59" s="3">
        <f>intermediate_results[[#This Row], [All cumulative times '[sec']]] / intermediate_results[[#This Row], [Team3 laps '[laps']]] - intermediate_results[[#This Row], [Total running average '[sec']]]</f>
        <v>0</v>
      </c>
      <c r="AG59" s="3">
        <f>intermediate_results[[#This Row], [All cumulative times '[sec']]] / intermediate_results[[#This Row], [Team4 laps '[laps']]] - intermediate_results[[#This Row], [Total running average '[sec']]]</f>
        <v>0</v>
      </c>
      <c r="AH59" s="3">
        <f>intermediate_results[[#This Row], [All cumulative times '[sec']]] / intermediate_results[[#This Row], [Team5 laps '[laps']]] - intermediate_results[[#This Row], [Total running average '[sec']]]</f>
        <v>0</v>
      </c>
      <c r="AI59" s="3">
        <f>intermediate_results[[#This Row], [All cumulative times '[sec']]] / intermediate_results[[#This Row], [Team6 laps '[laps']]] - intermediate_results[[#This Row], [Total running average '[sec']]]</f>
        <v>0</v>
      </c>
      <c r="AJ59" s="3">
        <f>intermediate_results[[#This Row], [All cumulative times '[sec']]] / intermediate_results[[#This Row], [Team7 laps '[laps']]] - intermediate_results[[#This Row], [Total running average '[sec']]]</f>
        <v>0</v>
      </c>
      <c r="AK59" s="3">
        <f>intermediate_results[[#This Row], [All cumulative times '[sec']]] / intermediate_results[[#This Row], [Team8 laps '[laps']]] - intermediate_results[[#This Row], [Total running average '[sec']]]</f>
        <v>0</v>
      </c>
      <c r="AL59" s="3">
        <f>intermediate_results[[#This Row], [All cumulative times '[sec']]] / intermediate_results[[#This Row], [Team9 laps '[laps']]] - intermediate_results[[#This Row], [Total running average '[sec']]]</f>
        <v>0</v>
      </c>
    </row>
    <row r="60" spans="1:38">
      <c r="A60" s="3">
        <v>388.193</v>
      </c>
      <c r="B6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0" s="3">
        <f>intermediate_results[[#This Row], [Team1 laps '[laps']]] - intermediate_results[[#This Row], [Team1 laps '[laps']]]</f>
        <v>0</v>
      </c>
      <c r="L60" s="3">
        <f>intermediate_results[[#This Row], [Team1 laps '[laps']]] - intermediate_results[[#This Row], [Team2 laps '[laps']]]</f>
        <v>0</v>
      </c>
      <c r="M60" s="3">
        <f>intermediate_results[[#This Row], [Team1 laps '[laps']]] - intermediate_results[[#This Row], [Team3 laps '[laps']]]</f>
        <v>0</v>
      </c>
      <c r="N60" s="3">
        <f>intermediate_results[[#This Row], [Team1 laps '[laps']]] - intermediate_results[[#This Row], [Team4 laps '[laps']]]</f>
        <v>0</v>
      </c>
      <c r="O60" s="3">
        <f>intermediate_results[[#This Row], [Team1 laps '[laps']]] - intermediate_results[[#This Row], [Team5 laps '[laps']]]</f>
        <v>0</v>
      </c>
      <c r="P60" s="3">
        <f>intermediate_results[[#This Row], [Team1 laps '[laps']]] - intermediate_results[[#This Row], [Team6 laps '[laps']]]</f>
        <v>0</v>
      </c>
      <c r="Q60" s="3">
        <f>intermediate_results[[#This Row], [Team1 laps '[laps']]] - intermediate_results[[#This Row], [Team7 laps '[laps']]]</f>
        <v>0</v>
      </c>
      <c r="R60" s="3">
        <f>intermediate_results[[#This Row], [Team1 laps '[laps']]] - intermediate_results[[#This Row], [Team8 laps '[laps']]]</f>
        <v>0</v>
      </c>
      <c r="S60" s="3">
        <f>intermediate_results[[#This Row], [Team1 laps '[laps']]] - intermediate_results[[#This Row], [Team9 laps '[laps']]]</f>
        <v>0</v>
      </c>
      <c r="T60" s="3">
        <f>MAX(intermediate_results[[#This Row], [Team1 laps '[laps']]:[Team9 laps '[laps']]]) - intermediate_results[[#This Row], [Team1 laps '[laps']]]</f>
        <v>0</v>
      </c>
      <c r="U60" s="3">
        <f>MAX(intermediate_results[[#This Row], [Team1 laps '[laps']]:[Team9 laps '[laps']]]) - intermediate_results[[#This Row], [Team2 laps '[laps']]]</f>
        <v>0</v>
      </c>
      <c r="V60" s="3">
        <f>MAX(intermediate_results[[#This Row], [Team1 laps '[laps']]:[Team9 laps '[laps']]]) - intermediate_results[[#This Row], [Team3 laps '[laps']]]</f>
        <v>0</v>
      </c>
      <c r="W60" s="3">
        <f>MAX(intermediate_results[[#This Row], [Team1 laps '[laps']]:[Team9 laps '[laps']]]) - intermediate_results[[#This Row], [Team4 laps '[laps']]]</f>
        <v>0</v>
      </c>
      <c r="X60" s="3">
        <f>MAX(intermediate_results[[#This Row], [Team1 laps '[laps']]:[Team9 laps '[laps']]]) - intermediate_results[[#This Row], [Team5 laps '[laps']]]</f>
        <v>0</v>
      </c>
      <c r="Y60" s="3">
        <f>MAX(intermediate_results[[#This Row], [Team1 laps '[laps']]:[Team9 laps '[laps']]]) - intermediate_results[[#This Row], [Team6 laps '[laps']]]</f>
        <v>0</v>
      </c>
      <c r="Z60" s="3">
        <f>MAX(intermediate_results[[#This Row], [Team1 laps '[laps']]:[Team9 laps '[laps']]]) - intermediate_results[[#This Row], [Team7 laps '[laps']]]</f>
        <v>0</v>
      </c>
      <c r="AA60" s="3">
        <f>MAX(intermediate_results[[#This Row], [Team1 laps '[laps']]:[Team9 laps '[laps']]]) - intermediate_results[[#This Row], [Team8 laps '[laps']]]</f>
        <v>0</v>
      </c>
      <c r="AB60" s="3">
        <f>MAX(intermediate_results[[#This Row], [Team1 laps '[laps']]:[Team9 laps '[laps']]]) - intermediate_results[[#This Row], [Team9 laps '[laps']]]</f>
        <v>0</v>
      </c>
      <c r="AC60" s="3">
        <f>9 * intermediate_results[[#This Row], [All cumulative times '[sec']]] / SUM(intermediate_results[[#This Row], [Team1 laps '[laps']]:[Team9 laps '[laps']]])</f>
        <v>0</v>
      </c>
      <c r="AD60" s="3">
        <f>intermediate_results[[#This Row], [All cumulative times '[sec']]] / intermediate_results[[#This Row], [Team1 laps '[laps']]] - intermediate_results[[#This Row], [Total running average '[sec']]]</f>
        <v>0</v>
      </c>
      <c r="AE60" s="3">
        <f>intermediate_results[[#This Row], [All cumulative times '[sec']]] / intermediate_results[[#This Row], [Team2 laps '[laps']]] - intermediate_results[[#This Row], [Total running average '[sec']]]</f>
        <v>0</v>
      </c>
      <c r="AF60" s="3">
        <f>intermediate_results[[#This Row], [All cumulative times '[sec']]] / intermediate_results[[#This Row], [Team3 laps '[laps']]] - intermediate_results[[#This Row], [Total running average '[sec']]]</f>
        <v>0</v>
      </c>
      <c r="AG60" s="3">
        <f>intermediate_results[[#This Row], [All cumulative times '[sec']]] / intermediate_results[[#This Row], [Team4 laps '[laps']]] - intermediate_results[[#This Row], [Total running average '[sec']]]</f>
        <v>0</v>
      </c>
      <c r="AH60" s="3">
        <f>intermediate_results[[#This Row], [All cumulative times '[sec']]] / intermediate_results[[#This Row], [Team5 laps '[laps']]] - intermediate_results[[#This Row], [Total running average '[sec']]]</f>
        <v>0</v>
      </c>
      <c r="AI60" s="3">
        <f>intermediate_results[[#This Row], [All cumulative times '[sec']]] / intermediate_results[[#This Row], [Team6 laps '[laps']]] - intermediate_results[[#This Row], [Total running average '[sec']]]</f>
        <v>0</v>
      </c>
      <c r="AJ60" s="3">
        <f>intermediate_results[[#This Row], [All cumulative times '[sec']]] / intermediate_results[[#This Row], [Team7 laps '[laps']]] - intermediate_results[[#This Row], [Total running average '[sec']]]</f>
        <v>0</v>
      </c>
      <c r="AK60" s="3">
        <f>intermediate_results[[#This Row], [All cumulative times '[sec']]] / intermediate_results[[#This Row], [Team8 laps '[laps']]] - intermediate_results[[#This Row], [Total running average '[sec']]]</f>
        <v>0</v>
      </c>
      <c r="AL60" s="3">
        <f>intermediate_results[[#This Row], [All cumulative times '[sec']]] / intermediate_results[[#This Row], [Team9 laps '[laps']]] - intermediate_results[[#This Row], [Total running average '[sec']]]</f>
        <v>0</v>
      </c>
    </row>
    <row r="61" spans="1:38">
      <c r="A61" s="3">
        <v>388.3029999999999</v>
      </c>
      <c r="B6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1" s="3">
        <f>intermediate_results[[#This Row], [Team1 laps '[laps']]] - intermediate_results[[#This Row], [Team1 laps '[laps']]]</f>
        <v>0</v>
      </c>
      <c r="L61" s="3">
        <f>intermediate_results[[#This Row], [Team1 laps '[laps']]] - intermediate_results[[#This Row], [Team2 laps '[laps']]]</f>
        <v>0</v>
      </c>
      <c r="M61" s="3">
        <f>intermediate_results[[#This Row], [Team1 laps '[laps']]] - intermediate_results[[#This Row], [Team3 laps '[laps']]]</f>
        <v>0</v>
      </c>
      <c r="N61" s="3">
        <f>intermediate_results[[#This Row], [Team1 laps '[laps']]] - intermediate_results[[#This Row], [Team4 laps '[laps']]]</f>
        <v>0</v>
      </c>
      <c r="O61" s="3">
        <f>intermediate_results[[#This Row], [Team1 laps '[laps']]] - intermediate_results[[#This Row], [Team5 laps '[laps']]]</f>
        <v>0</v>
      </c>
      <c r="P61" s="3">
        <f>intermediate_results[[#This Row], [Team1 laps '[laps']]] - intermediate_results[[#This Row], [Team6 laps '[laps']]]</f>
        <v>0</v>
      </c>
      <c r="Q61" s="3">
        <f>intermediate_results[[#This Row], [Team1 laps '[laps']]] - intermediate_results[[#This Row], [Team7 laps '[laps']]]</f>
        <v>0</v>
      </c>
      <c r="R61" s="3">
        <f>intermediate_results[[#This Row], [Team1 laps '[laps']]] - intermediate_results[[#This Row], [Team8 laps '[laps']]]</f>
        <v>0</v>
      </c>
      <c r="S61" s="3">
        <f>intermediate_results[[#This Row], [Team1 laps '[laps']]] - intermediate_results[[#This Row], [Team9 laps '[laps']]]</f>
        <v>0</v>
      </c>
      <c r="T61" s="3">
        <f>MAX(intermediate_results[[#This Row], [Team1 laps '[laps']]:[Team9 laps '[laps']]]) - intermediate_results[[#This Row], [Team1 laps '[laps']]]</f>
        <v>0</v>
      </c>
      <c r="U61" s="3">
        <f>MAX(intermediate_results[[#This Row], [Team1 laps '[laps']]:[Team9 laps '[laps']]]) - intermediate_results[[#This Row], [Team2 laps '[laps']]]</f>
        <v>0</v>
      </c>
      <c r="V61" s="3">
        <f>MAX(intermediate_results[[#This Row], [Team1 laps '[laps']]:[Team9 laps '[laps']]]) - intermediate_results[[#This Row], [Team3 laps '[laps']]]</f>
        <v>0</v>
      </c>
      <c r="W61" s="3">
        <f>MAX(intermediate_results[[#This Row], [Team1 laps '[laps']]:[Team9 laps '[laps']]]) - intermediate_results[[#This Row], [Team4 laps '[laps']]]</f>
        <v>0</v>
      </c>
      <c r="X61" s="3">
        <f>MAX(intermediate_results[[#This Row], [Team1 laps '[laps']]:[Team9 laps '[laps']]]) - intermediate_results[[#This Row], [Team5 laps '[laps']]]</f>
        <v>0</v>
      </c>
      <c r="Y61" s="3">
        <f>MAX(intermediate_results[[#This Row], [Team1 laps '[laps']]:[Team9 laps '[laps']]]) - intermediate_results[[#This Row], [Team6 laps '[laps']]]</f>
        <v>0</v>
      </c>
      <c r="Z61" s="3">
        <f>MAX(intermediate_results[[#This Row], [Team1 laps '[laps']]:[Team9 laps '[laps']]]) - intermediate_results[[#This Row], [Team7 laps '[laps']]]</f>
        <v>0</v>
      </c>
      <c r="AA61" s="3">
        <f>MAX(intermediate_results[[#This Row], [Team1 laps '[laps']]:[Team9 laps '[laps']]]) - intermediate_results[[#This Row], [Team8 laps '[laps']]]</f>
        <v>0</v>
      </c>
      <c r="AB61" s="3">
        <f>MAX(intermediate_results[[#This Row], [Team1 laps '[laps']]:[Team9 laps '[laps']]]) - intermediate_results[[#This Row], [Team9 laps '[laps']]]</f>
        <v>0</v>
      </c>
      <c r="AC61" s="3">
        <f>9 * intermediate_results[[#This Row], [All cumulative times '[sec']]] / SUM(intermediate_results[[#This Row], [Team1 laps '[laps']]:[Team9 laps '[laps']]])</f>
        <v>0</v>
      </c>
      <c r="AD61" s="3">
        <f>intermediate_results[[#This Row], [All cumulative times '[sec']]] / intermediate_results[[#This Row], [Team1 laps '[laps']]] - intermediate_results[[#This Row], [Total running average '[sec']]]</f>
        <v>0</v>
      </c>
      <c r="AE61" s="3">
        <f>intermediate_results[[#This Row], [All cumulative times '[sec']]] / intermediate_results[[#This Row], [Team2 laps '[laps']]] - intermediate_results[[#This Row], [Total running average '[sec']]]</f>
        <v>0</v>
      </c>
      <c r="AF61" s="3">
        <f>intermediate_results[[#This Row], [All cumulative times '[sec']]] / intermediate_results[[#This Row], [Team3 laps '[laps']]] - intermediate_results[[#This Row], [Total running average '[sec']]]</f>
        <v>0</v>
      </c>
      <c r="AG61" s="3">
        <f>intermediate_results[[#This Row], [All cumulative times '[sec']]] / intermediate_results[[#This Row], [Team4 laps '[laps']]] - intermediate_results[[#This Row], [Total running average '[sec']]]</f>
        <v>0</v>
      </c>
      <c r="AH61" s="3">
        <f>intermediate_results[[#This Row], [All cumulative times '[sec']]] / intermediate_results[[#This Row], [Team5 laps '[laps']]] - intermediate_results[[#This Row], [Total running average '[sec']]]</f>
        <v>0</v>
      </c>
      <c r="AI61" s="3">
        <f>intermediate_results[[#This Row], [All cumulative times '[sec']]] / intermediate_results[[#This Row], [Team6 laps '[laps']]] - intermediate_results[[#This Row], [Total running average '[sec']]]</f>
        <v>0</v>
      </c>
      <c r="AJ61" s="3">
        <f>intermediate_results[[#This Row], [All cumulative times '[sec']]] / intermediate_results[[#This Row], [Team7 laps '[laps']]] - intermediate_results[[#This Row], [Total running average '[sec']]]</f>
        <v>0</v>
      </c>
      <c r="AK61" s="3">
        <f>intermediate_results[[#This Row], [All cumulative times '[sec']]] / intermediate_results[[#This Row], [Team8 laps '[laps']]] - intermediate_results[[#This Row], [Total running average '[sec']]]</f>
        <v>0</v>
      </c>
      <c r="AL61" s="3">
        <f>intermediate_results[[#This Row], [All cumulative times '[sec']]] / intermediate_results[[#This Row], [Team9 laps '[laps']]] - intermediate_results[[#This Row], [Total running average '[sec']]]</f>
        <v>0</v>
      </c>
    </row>
    <row r="62" spans="1:38">
      <c r="A62" s="3">
        <v>391.551</v>
      </c>
      <c r="B6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2" s="3">
        <f>intermediate_results[[#This Row], [Team1 laps '[laps']]] - intermediate_results[[#This Row], [Team1 laps '[laps']]]</f>
        <v>0</v>
      </c>
      <c r="L62" s="3">
        <f>intermediate_results[[#This Row], [Team1 laps '[laps']]] - intermediate_results[[#This Row], [Team2 laps '[laps']]]</f>
        <v>0</v>
      </c>
      <c r="M62" s="3">
        <f>intermediate_results[[#This Row], [Team1 laps '[laps']]] - intermediate_results[[#This Row], [Team3 laps '[laps']]]</f>
        <v>0</v>
      </c>
      <c r="N62" s="3">
        <f>intermediate_results[[#This Row], [Team1 laps '[laps']]] - intermediate_results[[#This Row], [Team4 laps '[laps']]]</f>
        <v>0</v>
      </c>
      <c r="O62" s="3">
        <f>intermediate_results[[#This Row], [Team1 laps '[laps']]] - intermediate_results[[#This Row], [Team5 laps '[laps']]]</f>
        <v>0</v>
      </c>
      <c r="P62" s="3">
        <f>intermediate_results[[#This Row], [Team1 laps '[laps']]] - intermediate_results[[#This Row], [Team6 laps '[laps']]]</f>
        <v>0</v>
      </c>
      <c r="Q62" s="3">
        <f>intermediate_results[[#This Row], [Team1 laps '[laps']]] - intermediate_results[[#This Row], [Team7 laps '[laps']]]</f>
        <v>0</v>
      </c>
      <c r="R62" s="3">
        <f>intermediate_results[[#This Row], [Team1 laps '[laps']]] - intermediate_results[[#This Row], [Team8 laps '[laps']]]</f>
        <v>0</v>
      </c>
      <c r="S62" s="3">
        <f>intermediate_results[[#This Row], [Team1 laps '[laps']]] - intermediate_results[[#This Row], [Team9 laps '[laps']]]</f>
        <v>0</v>
      </c>
      <c r="T62" s="3">
        <f>MAX(intermediate_results[[#This Row], [Team1 laps '[laps']]:[Team9 laps '[laps']]]) - intermediate_results[[#This Row], [Team1 laps '[laps']]]</f>
        <v>0</v>
      </c>
      <c r="U62" s="3">
        <f>MAX(intermediate_results[[#This Row], [Team1 laps '[laps']]:[Team9 laps '[laps']]]) - intermediate_results[[#This Row], [Team2 laps '[laps']]]</f>
        <v>0</v>
      </c>
      <c r="V62" s="3">
        <f>MAX(intermediate_results[[#This Row], [Team1 laps '[laps']]:[Team9 laps '[laps']]]) - intermediate_results[[#This Row], [Team3 laps '[laps']]]</f>
        <v>0</v>
      </c>
      <c r="W62" s="3">
        <f>MAX(intermediate_results[[#This Row], [Team1 laps '[laps']]:[Team9 laps '[laps']]]) - intermediate_results[[#This Row], [Team4 laps '[laps']]]</f>
        <v>0</v>
      </c>
      <c r="X62" s="3">
        <f>MAX(intermediate_results[[#This Row], [Team1 laps '[laps']]:[Team9 laps '[laps']]]) - intermediate_results[[#This Row], [Team5 laps '[laps']]]</f>
        <v>0</v>
      </c>
      <c r="Y62" s="3">
        <f>MAX(intermediate_results[[#This Row], [Team1 laps '[laps']]:[Team9 laps '[laps']]]) - intermediate_results[[#This Row], [Team6 laps '[laps']]]</f>
        <v>0</v>
      </c>
      <c r="Z62" s="3">
        <f>MAX(intermediate_results[[#This Row], [Team1 laps '[laps']]:[Team9 laps '[laps']]]) - intermediate_results[[#This Row], [Team7 laps '[laps']]]</f>
        <v>0</v>
      </c>
      <c r="AA62" s="3">
        <f>MAX(intermediate_results[[#This Row], [Team1 laps '[laps']]:[Team9 laps '[laps']]]) - intermediate_results[[#This Row], [Team8 laps '[laps']]]</f>
        <v>0</v>
      </c>
      <c r="AB62" s="3">
        <f>MAX(intermediate_results[[#This Row], [Team1 laps '[laps']]:[Team9 laps '[laps']]]) - intermediate_results[[#This Row], [Team9 laps '[laps']]]</f>
        <v>0</v>
      </c>
      <c r="AC62" s="3">
        <f>9 * intermediate_results[[#This Row], [All cumulative times '[sec']]] / SUM(intermediate_results[[#This Row], [Team1 laps '[laps']]:[Team9 laps '[laps']]])</f>
        <v>0</v>
      </c>
      <c r="AD62" s="3">
        <f>intermediate_results[[#This Row], [All cumulative times '[sec']]] / intermediate_results[[#This Row], [Team1 laps '[laps']]] - intermediate_results[[#This Row], [Total running average '[sec']]]</f>
        <v>0</v>
      </c>
      <c r="AE62" s="3">
        <f>intermediate_results[[#This Row], [All cumulative times '[sec']]] / intermediate_results[[#This Row], [Team2 laps '[laps']]] - intermediate_results[[#This Row], [Total running average '[sec']]]</f>
        <v>0</v>
      </c>
      <c r="AF62" s="3">
        <f>intermediate_results[[#This Row], [All cumulative times '[sec']]] / intermediate_results[[#This Row], [Team3 laps '[laps']]] - intermediate_results[[#This Row], [Total running average '[sec']]]</f>
        <v>0</v>
      </c>
      <c r="AG62" s="3">
        <f>intermediate_results[[#This Row], [All cumulative times '[sec']]] / intermediate_results[[#This Row], [Team4 laps '[laps']]] - intermediate_results[[#This Row], [Total running average '[sec']]]</f>
        <v>0</v>
      </c>
      <c r="AH62" s="3">
        <f>intermediate_results[[#This Row], [All cumulative times '[sec']]] / intermediate_results[[#This Row], [Team5 laps '[laps']]] - intermediate_results[[#This Row], [Total running average '[sec']]]</f>
        <v>0</v>
      </c>
      <c r="AI62" s="3">
        <f>intermediate_results[[#This Row], [All cumulative times '[sec']]] / intermediate_results[[#This Row], [Team6 laps '[laps']]] - intermediate_results[[#This Row], [Total running average '[sec']]]</f>
        <v>0</v>
      </c>
      <c r="AJ62" s="3">
        <f>intermediate_results[[#This Row], [All cumulative times '[sec']]] / intermediate_results[[#This Row], [Team7 laps '[laps']]] - intermediate_results[[#This Row], [Total running average '[sec']]]</f>
        <v>0</v>
      </c>
      <c r="AK62" s="3">
        <f>intermediate_results[[#This Row], [All cumulative times '[sec']]] / intermediate_results[[#This Row], [Team8 laps '[laps']]] - intermediate_results[[#This Row], [Total running average '[sec']]]</f>
        <v>0</v>
      </c>
      <c r="AL62" s="3">
        <f>intermediate_results[[#This Row], [All cumulative times '[sec']]] / intermediate_results[[#This Row], [Team9 laps '[laps']]] - intermediate_results[[#This Row], [Total running average '[sec']]]</f>
        <v>0</v>
      </c>
    </row>
    <row r="63" spans="1:38">
      <c r="A63" s="3">
        <v>397.342</v>
      </c>
      <c r="B6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3" s="3">
        <f>intermediate_results[[#This Row], [Team1 laps '[laps']]] - intermediate_results[[#This Row], [Team1 laps '[laps']]]</f>
        <v>0</v>
      </c>
      <c r="L63" s="3">
        <f>intermediate_results[[#This Row], [Team1 laps '[laps']]] - intermediate_results[[#This Row], [Team2 laps '[laps']]]</f>
        <v>0</v>
      </c>
      <c r="M63" s="3">
        <f>intermediate_results[[#This Row], [Team1 laps '[laps']]] - intermediate_results[[#This Row], [Team3 laps '[laps']]]</f>
        <v>0</v>
      </c>
      <c r="N63" s="3">
        <f>intermediate_results[[#This Row], [Team1 laps '[laps']]] - intermediate_results[[#This Row], [Team4 laps '[laps']]]</f>
        <v>0</v>
      </c>
      <c r="O63" s="3">
        <f>intermediate_results[[#This Row], [Team1 laps '[laps']]] - intermediate_results[[#This Row], [Team5 laps '[laps']]]</f>
        <v>0</v>
      </c>
      <c r="P63" s="3">
        <f>intermediate_results[[#This Row], [Team1 laps '[laps']]] - intermediate_results[[#This Row], [Team6 laps '[laps']]]</f>
        <v>0</v>
      </c>
      <c r="Q63" s="3">
        <f>intermediate_results[[#This Row], [Team1 laps '[laps']]] - intermediate_results[[#This Row], [Team7 laps '[laps']]]</f>
        <v>0</v>
      </c>
      <c r="R63" s="3">
        <f>intermediate_results[[#This Row], [Team1 laps '[laps']]] - intermediate_results[[#This Row], [Team8 laps '[laps']]]</f>
        <v>0</v>
      </c>
      <c r="S63" s="3">
        <f>intermediate_results[[#This Row], [Team1 laps '[laps']]] - intermediate_results[[#This Row], [Team9 laps '[laps']]]</f>
        <v>0</v>
      </c>
      <c r="T63" s="3">
        <f>MAX(intermediate_results[[#This Row], [Team1 laps '[laps']]:[Team9 laps '[laps']]]) - intermediate_results[[#This Row], [Team1 laps '[laps']]]</f>
        <v>0</v>
      </c>
      <c r="U63" s="3">
        <f>MAX(intermediate_results[[#This Row], [Team1 laps '[laps']]:[Team9 laps '[laps']]]) - intermediate_results[[#This Row], [Team2 laps '[laps']]]</f>
        <v>0</v>
      </c>
      <c r="V63" s="3">
        <f>MAX(intermediate_results[[#This Row], [Team1 laps '[laps']]:[Team9 laps '[laps']]]) - intermediate_results[[#This Row], [Team3 laps '[laps']]]</f>
        <v>0</v>
      </c>
      <c r="W63" s="3">
        <f>MAX(intermediate_results[[#This Row], [Team1 laps '[laps']]:[Team9 laps '[laps']]]) - intermediate_results[[#This Row], [Team4 laps '[laps']]]</f>
        <v>0</v>
      </c>
      <c r="X63" s="3">
        <f>MAX(intermediate_results[[#This Row], [Team1 laps '[laps']]:[Team9 laps '[laps']]]) - intermediate_results[[#This Row], [Team5 laps '[laps']]]</f>
        <v>0</v>
      </c>
      <c r="Y63" s="3">
        <f>MAX(intermediate_results[[#This Row], [Team1 laps '[laps']]:[Team9 laps '[laps']]]) - intermediate_results[[#This Row], [Team6 laps '[laps']]]</f>
        <v>0</v>
      </c>
      <c r="Z63" s="3">
        <f>MAX(intermediate_results[[#This Row], [Team1 laps '[laps']]:[Team9 laps '[laps']]]) - intermediate_results[[#This Row], [Team7 laps '[laps']]]</f>
        <v>0</v>
      </c>
      <c r="AA63" s="3">
        <f>MAX(intermediate_results[[#This Row], [Team1 laps '[laps']]:[Team9 laps '[laps']]]) - intermediate_results[[#This Row], [Team8 laps '[laps']]]</f>
        <v>0</v>
      </c>
      <c r="AB63" s="3">
        <f>MAX(intermediate_results[[#This Row], [Team1 laps '[laps']]:[Team9 laps '[laps']]]) - intermediate_results[[#This Row], [Team9 laps '[laps']]]</f>
        <v>0</v>
      </c>
      <c r="AC63" s="3">
        <f>9 * intermediate_results[[#This Row], [All cumulative times '[sec']]] / SUM(intermediate_results[[#This Row], [Team1 laps '[laps']]:[Team9 laps '[laps']]])</f>
        <v>0</v>
      </c>
      <c r="AD63" s="3">
        <f>intermediate_results[[#This Row], [All cumulative times '[sec']]] / intermediate_results[[#This Row], [Team1 laps '[laps']]] - intermediate_results[[#This Row], [Total running average '[sec']]]</f>
        <v>0</v>
      </c>
      <c r="AE63" s="3">
        <f>intermediate_results[[#This Row], [All cumulative times '[sec']]] / intermediate_results[[#This Row], [Team2 laps '[laps']]] - intermediate_results[[#This Row], [Total running average '[sec']]]</f>
        <v>0</v>
      </c>
      <c r="AF63" s="3">
        <f>intermediate_results[[#This Row], [All cumulative times '[sec']]] / intermediate_results[[#This Row], [Team3 laps '[laps']]] - intermediate_results[[#This Row], [Total running average '[sec']]]</f>
        <v>0</v>
      </c>
      <c r="AG63" s="3">
        <f>intermediate_results[[#This Row], [All cumulative times '[sec']]] / intermediate_results[[#This Row], [Team4 laps '[laps']]] - intermediate_results[[#This Row], [Total running average '[sec']]]</f>
        <v>0</v>
      </c>
      <c r="AH63" s="3">
        <f>intermediate_results[[#This Row], [All cumulative times '[sec']]] / intermediate_results[[#This Row], [Team5 laps '[laps']]] - intermediate_results[[#This Row], [Total running average '[sec']]]</f>
        <v>0</v>
      </c>
      <c r="AI63" s="3">
        <f>intermediate_results[[#This Row], [All cumulative times '[sec']]] / intermediate_results[[#This Row], [Team6 laps '[laps']]] - intermediate_results[[#This Row], [Total running average '[sec']]]</f>
        <v>0</v>
      </c>
      <c r="AJ63" s="3">
        <f>intermediate_results[[#This Row], [All cumulative times '[sec']]] / intermediate_results[[#This Row], [Team7 laps '[laps']]] - intermediate_results[[#This Row], [Total running average '[sec']]]</f>
        <v>0</v>
      </c>
      <c r="AK63" s="3">
        <f>intermediate_results[[#This Row], [All cumulative times '[sec']]] / intermediate_results[[#This Row], [Team8 laps '[laps']]] - intermediate_results[[#This Row], [Total running average '[sec']]]</f>
        <v>0</v>
      </c>
      <c r="AL63" s="3">
        <f>intermediate_results[[#This Row], [All cumulative times '[sec']]] / intermediate_results[[#This Row], [Team9 laps '[laps']]] - intermediate_results[[#This Row], [Total running average '[sec']]]</f>
        <v>0</v>
      </c>
    </row>
    <row r="64" spans="1:38">
      <c r="A64" s="3">
        <v>397.602</v>
      </c>
      <c r="B6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4" s="3">
        <f>intermediate_results[[#This Row], [Team1 laps '[laps']]] - intermediate_results[[#This Row], [Team1 laps '[laps']]]</f>
        <v>0</v>
      </c>
      <c r="L64" s="3">
        <f>intermediate_results[[#This Row], [Team1 laps '[laps']]] - intermediate_results[[#This Row], [Team2 laps '[laps']]]</f>
        <v>0</v>
      </c>
      <c r="M64" s="3">
        <f>intermediate_results[[#This Row], [Team1 laps '[laps']]] - intermediate_results[[#This Row], [Team3 laps '[laps']]]</f>
        <v>0</v>
      </c>
      <c r="N64" s="3">
        <f>intermediate_results[[#This Row], [Team1 laps '[laps']]] - intermediate_results[[#This Row], [Team4 laps '[laps']]]</f>
        <v>0</v>
      </c>
      <c r="O64" s="3">
        <f>intermediate_results[[#This Row], [Team1 laps '[laps']]] - intermediate_results[[#This Row], [Team5 laps '[laps']]]</f>
        <v>0</v>
      </c>
      <c r="P64" s="3">
        <f>intermediate_results[[#This Row], [Team1 laps '[laps']]] - intermediate_results[[#This Row], [Team6 laps '[laps']]]</f>
        <v>0</v>
      </c>
      <c r="Q64" s="3">
        <f>intermediate_results[[#This Row], [Team1 laps '[laps']]] - intermediate_results[[#This Row], [Team7 laps '[laps']]]</f>
        <v>0</v>
      </c>
      <c r="R64" s="3">
        <f>intermediate_results[[#This Row], [Team1 laps '[laps']]] - intermediate_results[[#This Row], [Team8 laps '[laps']]]</f>
        <v>0</v>
      </c>
      <c r="S64" s="3">
        <f>intermediate_results[[#This Row], [Team1 laps '[laps']]] - intermediate_results[[#This Row], [Team9 laps '[laps']]]</f>
        <v>0</v>
      </c>
      <c r="T64" s="3">
        <f>MAX(intermediate_results[[#This Row], [Team1 laps '[laps']]:[Team9 laps '[laps']]]) - intermediate_results[[#This Row], [Team1 laps '[laps']]]</f>
        <v>0</v>
      </c>
      <c r="U64" s="3">
        <f>MAX(intermediate_results[[#This Row], [Team1 laps '[laps']]:[Team9 laps '[laps']]]) - intermediate_results[[#This Row], [Team2 laps '[laps']]]</f>
        <v>0</v>
      </c>
      <c r="V64" s="3">
        <f>MAX(intermediate_results[[#This Row], [Team1 laps '[laps']]:[Team9 laps '[laps']]]) - intermediate_results[[#This Row], [Team3 laps '[laps']]]</f>
        <v>0</v>
      </c>
      <c r="W64" s="3">
        <f>MAX(intermediate_results[[#This Row], [Team1 laps '[laps']]:[Team9 laps '[laps']]]) - intermediate_results[[#This Row], [Team4 laps '[laps']]]</f>
        <v>0</v>
      </c>
      <c r="X64" s="3">
        <f>MAX(intermediate_results[[#This Row], [Team1 laps '[laps']]:[Team9 laps '[laps']]]) - intermediate_results[[#This Row], [Team5 laps '[laps']]]</f>
        <v>0</v>
      </c>
      <c r="Y64" s="3">
        <f>MAX(intermediate_results[[#This Row], [Team1 laps '[laps']]:[Team9 laps '[laps']]]) - intermediate_results[[#This Row], [Team6 laps '[laps']]]</f>
        <v>0</v>
      </c>
      <c r="Z64" s="3">
        <f>MAX(intermediate_results[[#This Row], [Team1 laps '[laps']]:[Team9 laps '[laps']]]) - intermediate_results[[#This Row], [Team7 laps '[laps']]]</f>
        <v>0</v>
      </c>
      <c r="AA64" s="3">
        <f>MAX(intermediate_results[[#This Row], [Team1 laps '[laps']]:[Team9 laps '[laps']]]) - intermediate_results[[#This Row], [Team8 laps '[laps']]]</f>
        <v>0</v>
      </c>
      <c r="AB64" s="3">
        <f>MAX(intermediate_results[[#This Row], [Team1 laps '[laps']]:[Team9 laps '[laps']]]) - intermediate_results[[#This Row], [Team9 laps '[laps']]]</f>
        <v>0</v>
      </c>
      <c r="AC64" s="3">
        <f>9 * intermediate_results[[#This Row], [All cumulative times '[sec']]] / SUM(intermediate_results[[#This Row], [Team1 laps '[laps']]:[Team9 laps '[laps']]])</f>
        <v>0</v>
      </c>
      <c r="AD64" s="3">
        <f>intermediate_results[[#This Row], [All cumulative times '[sec']]] / intermediate_results[[#This Row], [Team1 laps '[laps']]] - intermediate_results[[#This Row], [Total running average '[sec']]]</f>
        <v>0</v>
      </c>
      <c r="AE64" s="3">
        <f>intermediate_results[[#This Row], [All cumulative times '[sec']]] / intermediate_results[[#This Row], [Team2 laps '[laps']]] - intermediate_results[[#This Row], [Total running average '[sec']]]</f>
        <v>0</v>
      </c>
      <c r="AF64" s="3">
        <f>intermediate_results[[#This Row], [All cumulative times '[sec']]] / intermediate_results[[#This Row], [Team3 laps '[laps']]] - intermediate_results[[#This Row], [Total running average '[sec']]]</f>
        <v>0</v>
      </c>
      <c r="AG64" s="3">
        <f>intermediate_results[[#This Row], [All cumulative times '[sec']]] / intermediate_results[[#This Row], [Team4 laps '[laps']]] - intermediate_results[[#This Row], [Total running average '[sec']]]</f>
        <v>0</v>
      </c>
      <c r="AH64" s="3">
        <f>intermediate_results[[#This Row], [All cumulative times '[sec']]] / intermediate_results[[#This Row], [Team5 laps '[laps']]] - intermediate_results[[#This Row], [Total running average '[sec']]]</f>
        <v>0</v>
      </c>
      <c r="AI64" s="3">
        <f>intermediate_results[[#This Row], [All cumulative times '[sec']]] / intermediate_results[[#This Row], [Team6 laps '[laps']]] - intermediate_results[[#This Row], [Total running average '[sec']]]</f>
        <v>0</v>
      </c>
      <c r="AJ64" s="3">
        <f>intermediate_results[[#This Row], [All cumulative times '[sec']]] / intermediate_results[[#This Row], [Team7 laps '[laps']]] - intermediate_results[[#This Row], [Total running average '[sec']]]</f>
        <v>0</v>
      </c>
      <c r="AK64" s="3">
        <f>intermediate_results[[#This Row], [All cumulative times '[sec']]] / intermediate_results[[#This Row], [Team8 laps '[laps']]] - intermediate_results[[#This Row], [Total running average '[sec']]]</f>
        <v>0</v>
      </c>
      <c r="AL64" s="3">
        <f>intermediate_results[[#This Row], [All cumulative times '[sec']]] / intermediate_results[[#This Row], [Team9 laps '[laps']]] - intermediate_results[[#This Row], [Total running average '[sec']]]</f>
        <v>0</v>
      </c>
    </row>
    <row r="65" spans="1:38">
      <c r="A65" s="3">
        <v>425.076</v>
      </c>
      <c r="B6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5" s="3">
        <f>intermediate_results[[#This Row], [Team1 laps '[laps']]] - intermediate_results[[#This Row], [Team1 laps '[laps']]]</f>
        <v>0</v>
      </c>
      <c r="L65" s="3">
        <f>intermediate_results[[#This Row], [Team1 laps '[laps']]] - intermediate_results[[#This Row], [Team2 laps '[laps']]]</f>
        <v>0</v>
      </c>
      <c r="M65" s="3">
        <f>intermediate_results[[#This Row], [Team1 laps '[laps']]] - intermediate_results[[#This Row], [Team3 laps '[laps']]]</f>
        <v>0</v>
      </c>
      <c r="N65" s="3">
        <f>intermediate_results[[#This Row], [Team1 laps '[laps']]] - intermediate_results[[#This Row], [Team4 laps '[laps']]]</f>
        <v>0</v>
      </c>
      <c r="O65" s="3">
        <f>intermediate_results[[#This Row], [Team1 laps '[laps']]] - intermediate_results[[#This Row], [Team5 laps '[laps']]]</f>
        <v>0</v>
      </c>
      <c r="P65" s="3">
        <f>intermediate_results[[#This Row], [Team1 laps '[laps']]] - intermediate_results[[#This Row], [Team6 laps '[laps']]]</f>
        <v>0</v>
      </c>
      <c r="Q65" s="3">
        <f>intermediate_results[[#This Row], [Team1 laps '[laps']]] - intermediate_results[[#This Row], [Team7 laps '[laps']]]</f>
        <v>0</v>
      </c>
      <c r="R65" s="3">
        <f>intermediate_results[[#This Row], [Team1 laps '[laps']]] - intermediate_results[[#This Row], [Team8 laps '[laps']]]</f>
        <v>0</v>
      </c>
      <c r="S65" s="3">
        <f>intermediate_results[[#This Row], [Team1 laps '[laps']]] - intermediate_results[[#This Row], [Team9 laps '[laps']]]</f>
        <v>0</v>
      </c>
      <c r="T65" s="3">
        <f>MAX(intermediate_results[[#This Row], [Team1 laps '[laps']]:[Team9 laps '[laps']]]) - intermediate_results[[#This Row], [Team1 laps '[laps']]]</f>
        <v>0</v>
      </c>
      <c r="U65" s="3">
        <f>MAX(intermediate_results[[#This Row], [Team1 laps '[laps']]:[Team9 laps '[laps']]]) - intermediate_results[[#This Row], [Team2 laps '[laps']]]</f>
        <v>0</v>
      </c>
      <c r="V65" s="3">
        <f>MAX(intermediate_results[[#This Row], [Team1 laps '[laps']]:[Team9 laps '[laps']]]) - intermediate_results[[#This Row], [Team3 laps '[laps']]]</f>
        <v>0</v>
      </c>
      <c r="W65" s="3">
        <f>MAX(intermediate_results[[#This Row], [Team1 laps '[laps']]:[Team9 laps '[laps']]]) - intermediate_results[[#This Row], [Team4 laps '[laps']]]</f>
        <v>0</v>
      </c>
      <c r="X65" s="3">
        <f>MAX(intermediate_results[[#This Row], [Team1 laps '[laps']]:[Team9 laps '[laps']]]) - intermediate_results[[#This Row], [Team5 laps '[laps']]]</f>
        <v>0</v>
      </c>
      <c r="Y65" s="3">
        <f>MAX(intermediate_results[[#This Row], [Team1 laps '[laps']]:[Team9 laps '[laps']]]) - intermediate_results[[#This Row], [Team6 laps '[laps']]]</f>
        <v>0</v>
      </c>
      <c r="Z65" s="3">
        <f>MAX(intermediate_results[[#This Row], [Team1 laps '[laps']]:[Team9 laps '[laps']]]) - intermediate_results[[#This Row], [Team7 laps '[laps']]]</f>
        <v>0</v>
      </c>
      <c r="AA65" s="3">
        <f>MAX(intermediate_results[[#This Row], [Team1 laps '[laps']]:[Team9 laps '[laps']]]) - intermediate_results[[#This Row], [Team8 laps '[laps']]]</f>
        <v>0</v>
      </c>
      <c r="AB65" s="3">
        <f>MAX(intermediate_results[[#This Row], [Team1 laps '[laps']]:[Team9 laps '[laps']]]) - intermediate_results[[#This Row], [Team9 laps '[laps']]]</f>
        <v>0</v>
      </c>
      <c r="AC65" s="3">
        <f>9 * intermediate_results[[#This Row], [All cumulative times '[sec']]] / SUM(intermediate_results[[#This Row], [Team1 laps '[laps']]:[Team9 laps '[laps']]])</f>
        <v>0</v>
      </c>
      <c r="AD65" s="3">
        <f>intermediate_results[[#This Row], [All cumulative times '[sec']]] / intermediate_results[[#This Row], [Team1 laps '[laps']]] - intermediate_results[[#This Row], [Total running average '[sec']]]</f>
        <v>0</v>
      </c>
      <c r="AE65" s="3">
        <f>intermediate_results[[#This Row], [All cumulative times '[sec']]] / intermediate_results[[#This Row], [Team2 laps '[laps']]] - intermediate_results[[#This Row], [Total running average '[sec']]]</f>
        <v>0</v>
      </c>
      <c r="AF65" s="3">
        <f>intermediate_results[[#This Row], [All cumulative times '[sec']]] / intermediate_results[[#This Row], [Team3 laps '[laps']]] - intermediate_results[[#This Row], [Total running average '[sec']]]</f>
        <v>0</v>
      </c>
      <c r="AG65" s="3">
        <f>intermediate_results[[#This Row], [All cumulative times '[sec']]] / intermediate_results[[#This Row], [Team4 laps '[laps']]] - intermediate_results[[#This Row], [Total running average '[sec']]]</f>
        <v>0</v>
      </c>
      <c r="AH65" s="3">
        <f>intermediate_results[[#This Row], [All cumulative times '[sec']]] / intermediate_results[[#This Row], [Team5 laps '[laps']]] - intermediate_results[[#This Row], [Total running average '[sec']]]</f>
        <v>0</v>
      </c>
      <c r="AI65" s="3">
        <f>intermediate_results[[#This Row], [All cumulative times '[sec']]] / intermediate_results[[#This Row], [Team6 laps '[laps']]] - intermediate_results[[#This Row], [Total running average '[sec']]]</f>
        <v>0</v>
      </c>
      <c r="AJ65" s="3">
        <f>intermediate_results[[#This Row], [All cumulative times '[sec']]] / intermediate_results[[#This Row], [Team7 laps '[laps']]] - intermediate_results[[#This Row], [Total running average '[sec']]]</f>
        <v>0</v>
      </c>
      <c r="AK65" s="3">
        <f>intermediate_results[[#This Row], [All cumulative times '[sec']]] / intermediate_results[[#This Row], [Team8 laps '[laps']]] - intermediate_results[[#This Row], [Total running average '[sec']]]</f>
        <v>0</v>
      </c>
      <c r="AL65" s="3">
        <f>intermediate_results[[#This Row], [All cumulative times '[sec']]] / intermediate_results[[#This Row], [Team9 laps '[laps']]] - intermediate_results[[#This Row], [Total running average '[sec']]]</f>
        <v>0</v>
      </c>
    </row>
    <row r="66" spans="1:38">
      <c r="A66" s="3">
        <v>426.263</v>
      </c>
      <c r="B6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6" s="3">
        <f>intermediate_results[[#This Row], [Team1 laps '[laps']]] - intermediate_results[[#This Row], [Team1 laps '[laps']]]</f>
        <v>0</v>
      </c>
      <c r="L66" s="3">
        <f>intermediate_results[[#This Row], [Team1 laps '[laps']]] - intermediate_results[[#This Row], [Team2 laps '[laps']]]</f>
        <v>0</v>
      </c>
      <c r="M66" s="3">
        <f>intermediate_results[[#This Row], [Team1 laps '[laps']]] - intermediate_results[[#This Row], [Team3 laps '[laps']]]</f>
        <v>0</v>
      </c>
      <c r="N66" s="3">
        <f>intermediate_results[[#This Row], [Team1 laps '[laps']]] - intermediate_results[[#This Row], [Team4 laps '[laps']]]</f>
        <v>0</v>
      </c>
      <c r="O66" s="3">
        <f>intermediate_results[[#This Row], [Team1 laps '[laps']]] - intermediate_results[[#This Row], [Team5 laps '[laps']]]</f>
        <v>0</v>
      </c>
      <c r="P66" s="3">
        <f>intermediate_results[[#This Row], [Team1 laps '[laps']]] - intermediate_results[[#This Row], [Team6 laps '[laps']]]</f>
        <v>0</v>
      </c>
      <c r="Q66" s="3">
        <f>intermediate_results[[#This Row], [Team1 laps '[laps']]] - intermediate_results[[#This Row], [Team7 laps '[laps']]]</f>
        <v>0</v>
      </c>
      <c r="R66" s="3">
        <f>intermediate_results[[#This Row], [Team1 laps '[laps']]] - intermediate_results[[#This Row], [Team8 laps '[laps']]]</f>
        <v>0</v>
      </c>
      <c r="S66" s="3">
        <f>intermediate_results[[#This Row], [Team1 laps '[laps']]] - intermediate_results[[#This Row], [Team9 laps '[laps']]]</f>
        <v>0</v>
      </c>
      <c r="T66" s="3">
        <f>MAX(intermediate_results[[#This Row], [Team1 laps '[laps']]:[Team9 laps '[laps']]]) - intermediate_results[[#This Row], [Team1 laps '[laps']]]</f>
        <v>0</v>
      </c>
      <c r="U66" s="3">
        <f>MAX(intermediate_results[[#This Row], [Team1 laps '[laps']]:[Team9 laps '[laps']]]) - intermediate_results[[#This Row], [Team2 laps '[laps']]]</f>
        <v>0</v>
      </c>
      <c r="V66" s="3">
        <f>MAX(intermediate_results[[#This Row], [Team1 laps '[laps']]:[Team9 laps '[laps']]]) - intermediate_results[[#This Row], [Team3 laps '[laps']]]</f>
        <v>0</v>
      </c>
      <c r="W66" s="3">
        <f>MAX(intermediate_results[[#This Row], [Team1 laps '[laps']]:[Team9 laps '[laps']]]) - intermediate_results[[#This Row], [Team4 laps '[laps']]]</f>
        <v>0</v>
      </c>
      <c r="X66" s="3">
        <f>MAX(intermediate_results[[#This Row], [Team1 laps '[laps']]:[Team9 laps '[laps']]]) - intermediate_results[[#This Row], [Team5 laps '[laps']]]</f>
        <v>0</v>
      </c>
      <c r="Y66" s="3">
        <f>MAX(intermediate_results[[#This Row], [Team1 laps '[laps']]:[Team9 laps '[laps']]]) - intermediate_results[[#This Row], [Team6 laps '[laps']]]</f>
        <v>0</v>
      </c>
      <c r="Z66" s="3">
        <f>MAX(intermediate_results[[#This Row], [Team1 laps '[laps']]:[Team9 laps '[laps']]]) - intermediate_results[[#This Row], [Team7 laps '[laps']]]</f>
        <v>0</v>
      </c>
      <c r="AA66" s="3">
        <f>MAX(intermediate_results[[#This Row], [Team1 laps '[laps']]:[Team9 laps '[laps']]]) - intermediate_results[[#This Row], [Team8 laps '[laps']]]</f>
        <v>0</v>
      </c>
      <c r="AB66" s="3">
        <f>MAX(intermediate_results[[#This Row], [Team1 laps '[laps']]:[Team9 laps '[laps']]]) - intermediate_results[[#This Row], [Team9 laps '[laps']]]</f>
        <v>0</v>
      </c>
      <c r="AC66" s="3">
        <f>9 * intermediate_results[[#This Row], [All cumulative times '[sec']]] / SUM(intermediate_results[[#This Row], [Team1 laps '[laps']]:[Team9 laps '[laps']]])</f>
        <v>0</v>
      </c>
      <c r="AD66" s="3">
        <f>intermediate_results[[#This Row], [All cumulative times '[sec']]] / intermediate_results[[#This Row], [Team1 laps '[laps']]] - intermediate_results[[#This Row], [Total running average '[sec']]]</f>
        <v>0</v>
      </c>
      <c r="AE66" s="3">
        <f>intermediate_results[[#This Row], [All cumulative times '[sec']]] / intermediate_results[[#This Row], [Team2 laps '[laps']]] - intermediate_results[[#This Row], [Total running average '[sec']]]</f>
        <v>0</v>
      </c>
      <c r="AF66" s="3">
        <f>intermediate_results[[#This Row], [All cumulative times '[sec']]] / intermediate_results[[#This Row], [Team3 laps '[laps']]] - intermediate_results[[#This Row], [Total running average '[sec']]]</f>
        <v>0</v>
      </c>
      <c r="AG66" s="3">
        <f>intermediate_results[[#This Row], [All cumulative times '[sec']]] / intermediate_results[[#This Row], [Team4 laps '[laps']]] - intermediate_results[[#This Row], [Total running average '[sec']]]</f>
        <v>0</v>
      </c>
      <c r="AH66" s="3">
        <f>intermediate_results[[#This Row], [All cumulative times '[sec']]] / intermediate_results[[#This Row], [Team5 laps '[laps']]] - intermediate_results[[#This Row], [Total running average '[sec']]]</f>
        <v>0</v>
      </c>
      <c r="AI66" s="3">
        <f>intermediate_results[[#This Row], [All cumulative times '[sec']]] / intermediate_results[[#This Row], [Team6 laps '[laps']]] - intermediate_results[[#This Row], [Total running average '[sec']]]</f>
        <v>0</v>
      </c>
      <c r="AJ66" s="3">
        <f>intermediate_results[[#This Row], [All cumulative times '[sec']]] / intermediate_results[[#This Row], [Team7 laps '[laps']]] - intermediate_results[[#This Row], [Total running average '[sec']]]</f>
        <v>0</v>
      </c>
      <c r="AK66" s="3">
        <f>intermediate_results[[#This Row], [All cumulative times '[sec']]] / intermediate_results[[#This Row], [Team8 laps '[laps']]] - intermediate_results[[#This Row], [Total running average '[sec']]]</f>
        <v>0</v>
      </c>
      <c r="AL66" s="3">
        <f>intermediate_results[[#This Row], [All cumulative times '[sec']]] / intermediate_results[[#This Row], [Team9 laps '[laps']]] - intermediate_results[[#This Row], [Total running average '[sec']]]</f>
        <v>0</v>
      </c>
    </row>
    <row r="67" spans="1:38">
      <c r="A67" s="3">
        <v>434.231</v>
      </c>
      <c r="B6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7" s="3">
        <f>intermediate_results[[#This Row], [Team1 laps '[laps']]] - intermediate_results[[#This Row], [Team1 laps '[laps']]]</f>
        <v>0</v>
      </c>
      <c r="L67" s="3">
        <f>intermediate_results[[#This Row], [Team1 laps '[laps']]] - intermediate_results[[#This Row], [Team2 laps '[laps']]]</f>
        <v>0</v>
      </c>
      <c r="M67" s="3">
        <f>intermediate_results[[#This Row], [Team1 laps '[laps']]] - intermediate_results[[#This Row], [Team3 laps '[laps']]]</f>
        <v>0</v>
      </c>
      <c r="N67" s="3">
        <f>intermediate_results[[#This Row], [Team1 laps '[laps']]] - intermediate_results[[#This Row], [Team4 laps '[laps']]]</f>
        <v>0</v>
      </c>
      <c r="O67" s="3">
        <f>intermediate_results[[#This Row], [Team1 laps '[laps']]] - intermediate_results[[#This Row], [Team5 laps '[laps']]]</f>
        <v>0</v>
      </c>
      <c r="P67" s="3">
        <f>intermediate_results[[#This Row], [Team1 laps '[laps']]] - intermediate_results[[#This Row], [Team6 laps '[laps']]]</f>
        <v>0</v>
      </c>
      <c r="Q67" s="3">
        <f>intermediate_results[[#This Row], [Team1 laps '[laps']]] - intermediate_results[[#This Row], [Team7 laps '[laps']]]</f>
        <v>0</v>
      </c>
      <c r="R67" s="3">
        <f>intermediate_results[[#This Row], [Team1 laps '[laps']]] - intermediate_results[[#This Row], [Team8 laps '[laps']]]</f>
        <v>0</v>
      </c>
      <c r="S67" s="3">
        <f>intermediate_results[[#This Row], [Team1 laps '[laps']]] - intermediate_results[[#This Row], [Team9 laps '[laps']]]</f>
        <v>0</v>
      </c>
      <c r="T67" s="3">
        <f>MAX(intermediate_results[[#This Row], [Team1 laps '[laps']]:[Team9 laps '[laps']]]) - intermediate_results[[#This Row], [Team1 laps '[laps']]]</f>
        <v>0</v>
      </c>
      <c r="U67" s="3">
        <f>MAX(intermediate_results[[#This Row], [Team1 laps '[laps']]:[Team9 laps '[laps']]]) - intermediate_results[[#This Row], [Team2 laps '[laps']]]</f>
        <v>0</v>
      </c>
      <c r="V67" s="3">
        <f>MAX(intermediate_results[[#This Row], [Team1 laps '[laps']]:[Team9 laps '[laps']]]) - intermediate_results[[#This Row], [Team3 laps '[laps']]]</f>
        <v>0</v>
      </c>
      <c r="W67" s="3">
        <f>MAX(intermediate_results[[#This Row], [Team1 laps '[laps']]:[Team9 laps '[laps']]]) - intermediate_results[[#This Row], [Team4 laps '[laps']]]</f>
        <v>0</v>
      </c>
      <c r="X67" s="3">
        <f>MAX(intermediate_results[[#This Row], [Team1 laps '[laps']]:[Team9 laps '[laps']]]) - intermediate_results[[#This Row], [Team5 laps '[laps']]]</f>
        <v>0</v>
      </c>
      <c r="Y67" s="3">
        <f>MAX(intermediate_results[[#This Row], [Team1 laps '[laps']]:[Team9 laps '[laps']]]) - intermediate_results[[#This Row], [Team6 laps '[laps']]]</f>
        <v>0</v>
      </c>
      <c r="Z67" s="3">
        <f>MAX(intermediate_results[[#This Row], [Team1 laps '[laps']]:[Team9 laps '[laps']]]) - intermediate_results[[#This Row], [Team7 laps '[laps']]]</f>
        <v>0</v>
      </c>
      <c r="AA67" s="3">
        <f>MAX(intermediate_results[[#This Row], [Team1 laps '[laps']]:[Team9 laps '[laps']]]) - intermediate_results[[#This Row], [Team8 laps '[laps']]]</f>
        <v>0</v>
      </c>
      <c r="AB67" s="3">
        <f>MAX(intermediate_results[[#This Row], [Team1 laps '[laps']]:[Team9 laps '[laps']]]) - intermediate_results[[#This Row], [Team9 laps '[laps']]]</f>
        <v>0</v>
      </c>
      <c r="AC67" s="3">
        <f>9 * intermediate_results[[#This Row], [All cumulative times '[sec']]] / SUM(intermediate_results[[#This Row], [Team1 laps '[laps']]:[Team9 laps '[laps']]])</f>
        <v>0</v>
      </c>
      <c r="AD67" s="3">
        <f>intermediate_results[[#This Row], [All cumulative times '[sec']]] / intermediate_results[[#This Row], [Team1 laps '[laps']]] - intermediate_results[[#This Row], [Total running average '[sec']]]</f>
        <v>0</v>
      </c>
      <c r="AE67" s="3">
        <f>intermediate_results[[#This Row], [All cumulative times '[sec']]] / intermediate_results[[#This Row], [Team2 laps '[laps']]] - intermediate_results[[#This Row], [Total running average '[sec']]]</f>
        <v>0</v>
      </c>
      <c r="AF67" s="3">
        <f>intermediate_results[[#This Row], [All cumulative times '[sec']]] / intermediate_results[[#This Row], [Team3 laps '[laps']]] - intermediate_results[[#This Row], [Total running average '[sec']]]</f>
        <v>0</v>
      </c>
      <c r="AG67" s="3">
        <f>intermediate_results[[#This Row], [All cumulative times '[sec']]] / intermediate_results[[#This Row], [Team4 laps '[laps']]] - intermediate_results[[#This Row], [Total running average '[sec']]]</f>
        <v>0</v>
      </c>
      <c r="AH67" s="3">
        <f>intermediate_results[[#This Row], [All cumulative times '[sec']]] / intermediate_results[[#This Row], [Team5 laps '[laps']]] - intermediate_results[[#This Row], [Total running average '[sec']]]</f>
        <v>0</v>
      </c>
      <c r="AI67" s="3">
        <f>intermediate_results[[#This Row], [All cumulative times '[sec']]] / intermediate_results[[#This Row], [Team6 laps '[laps']]] - intermediate_results[[#This Row], [Total running average '[sec']]]</f>
        <v>0</v>
      </c>
      <c r="AJ67" s="3">
        <f>intermediate_results[[#This Row], [All cumulative times '[sec']]] / intermediate_results[[#This Row], [Team7 laps '[laps']]] - intermediate_results[[#This Row], [Total running average '[sec']]]</f>
        <v>0</v>
      </c>
      <c r="AK67" s="3">
        <f>intermediate_results[[#This Row], [All cumulative times '[sec']]] / intermediate_results[[#This Row], [Team8 laps '[laps']]] - intermediate_results[[#This Row], [Total running average '[sec']]]</f>
        <v>0</v>
      </c>
      <c r="AL67" s="3">
        <f>intermediate_results[[#This Row], [All cumulative times '[sec']]] / intermediate_results[[#This Row], [Team9 laps '[laps']]] - intermediate_results[[#This Row], [Total running average '[sec']]]</f>
        <v>0</v>
      </c>
    </row>
    <row r="68" spans="1:38">
      <c r="A68" s="3">
        <v>442.305</v>
      </c>
      <c r="B6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8" s="3">
        <f>intermediate_results[[#This Row], [Team1 laps '[laps']]] - intermediate_results[[#This Row], [Team1 laps '[laps']]]</f>
        <v>0</v>
      </c>
      <c r="L68" s="3">
        <f>intermediate_results[[#This Row], [Team1 laps '[laps']]] - intermediate_results[[#This Row], [Team2 laps '[laps']]]</f>
        <v>0</v>
      </c>
      <c r="M68" s="3">
        <f>intermediate_results[[#This Row], [Team1 laps '[laps']]] - intermediate_results[[#This Row], [Team3 laps '[laps']]]</f>
        <v>0</v>
      </c>
      <c r="N68" s="3">
        <f>intermediate_results[[#This Row], [Team1 laps '[laps']]] - intermediate_results[[#This Row], [Team4 laps '[laps']]]</f>
        <v>0</v>
      </c>
      <c r="O68" s="3">
        <f>intermediate_results[[#This Row], [Team1 laps '[laps']]] - intermediate_results[[#This Row], [Team5 laps '[laps']]]</f>
        <v>0</v>
      </c>
      <c r="P68" s="3">
        <f>intermediate_results[[#This Row], [Team1 laps '[laps']]] - intermediate_results[[#This Row], [Team6 laps '[laps']]]</f>
        <v>0</v>
      </c>
      <c r="Q68" s="3">
        <f>intermediate_results[[#This Row], [Team1 laps '[laps']]] - intermediate_results[[#This Row], [Team7 laps '[laps']]]</f>
        <v>0</v>
      </c>
      <c r="R68" s="3">
        <f>intermediate_results[[#This Row], [Team1 laps '[laps']]] - intermediate_results[[#This Row], [Team8 laps '[laps']]]</f>
        <v>0</v>
      </c>
      <c r="S68" s="3">
        <f>intermediate_results[[#This Row], [Team1 laps '[laps']]] - intermediate_results[[#This Row], [Team9 laps '[laps']]]</f>
        <v>0</v>
      </c>
      <c r="T68" s="3">
        <f>MAX(intermediate_results[[#This Row], [Team1 laps '[laps']]:[Team9 laps '[laps']]]) - intermediate_results[[#This Row], [Team1 laps '[laps']]]</f>
        <v>0</v>
      </c>
      <c r="U68" s="3">
        <f>MAX(intermediate_results[[#This Row], [Team1 laps '[laps']]:[Team9 laps '[laps']]]) - intermediate_results[[#This Row], [Team2 laps '[laps']]]</f>
        <v>0</v>
      </c>
      <c r="V68" s="3">
        <f>MAX(intermediate_results[[#This Row], [Team1 laps '[laps']]:[Team9 laps '[laps']]]) - intermediate_results[[#This Row], [Team3 laps '[laps']]]</f>
        <v>0</v>
      </c>
      <c r="W68" s="3">
        <f>MAX(intermediate_results[[#This Row], [Team1 laps '[laps']]:[Team9 laps '[laps']]]) - intermediate_results[[#This Row], [Team4 laps '[laps']]]</f>
        <v>0</v>
      </c>
      <c r="X68" s="3">
        <f>MAX(intermediate_results[[#This Row], [Team1 laps '[laps']]:[Team9 laps '[laps']]]) - intermediate_results[[#This Row], [Team5 laps '[laps']]]</f>
        <v>0</v>
      </c>
      <c r="Y68" s="3">
        <f>MAX(intermediate_results[[#This Row], [Team1 laps '[laps']]:[Team9 laps '[laps']]]) - intermediate_results[[#This Row], [Team6 laps '[laps']]]</f>
        <v>0</v>
      </c>
      <c r="Z68" s="3">
        <f>MAX(intermediate_results[[#This Row], [Team1 laps '[laps']]:[Team9 laps '[laps']]]) - intermediate_results[[#This Row], [Team7 laps '[laps']]]</f>
        <v>0</v>
      </c>
      <c r="AA68" s="3">
        <f>MAX(intermediate_results[[#This Row], [Team1 laps '[laps']]:[Team9 laps '[laps']]]) - intermediate_results[[#This Row], [Team8 laps '[laps']]]</f>
        <v>0</v>
      </c>
      <c r="AB68" s="3">
        <f>MAX(intermediate_results[[#This Row], [Team1 laps '[laps']]:[Team9 laps '[laps']]]) - intermediate_results[[#This Row], [Team9 laps '[laps']]]</f>
        <v>0</v>
      </c>
      <c r="AC68" s="3">
        <f>9 * intermediate_results[[#This Row], [All cumulative times '[sec']]] / SUM(intermediate_results[[#This Row], [Team1 laps '[laps']]:[Team9 laps '[laps']]])</f>
        <v>0</v>
      </c>
      <c r="AD68" s="3">
        <f>intermediate_results[[#This Row], [All cumulative times '[sec']]] / intermediate_results[[#This Row], [Team1 laps '[laps']]] - intermediate_results[[#This Row], [Total running average '[sec']]]</f>
        <v>0</v>
      </c>
      <c r="AE68" s="3">
        <f>intermediate_results[[#This Row], [All cumulative times '[sec']]] / intermediate_results[[#This Row], [Team2 laps '[laps']]] - intermediate_results[[#This Row], [Total running average '[sec']]]</f>
        <v>0</v>
      </c>
      <c r="AF68" s="3">
        <f>intermediate_results[[#This Row], [All cumulative times '[sec']]] / intermediate_results[[#This Row], [Team3 laps '[laps']]] - intermediate_results[[#This Row], [Total running average '[sec']]]</f>
        <v>0</v>
      </c>
      <c r="AG68" s="3">
        <f>intermediate_results[[#This Row], [All cumulative times '[sec']]] / intermediate_results[[#This Row], [Team4 laps '[laps']]] - intermediate_results[[#This Row], [Total running average '[sec']]]</f>
        <v>0</v>
      </c>
      <c r="AH68" s="3">
        <f>intermediate_results[[#This Row], [All cumulative times '[sec']]] / intermediate_results[[#This Row], [Team5 laps '[laps']]] - intermediate_results[[#This Row], [Total running average '[sec']]]</f>
        <v>0</v>
      </c>
      <c r="AI68" s="3">
        <f>intermediate_results[[#This Row], [All cumulative times '[sec']]] / intermediate_results[[#This Row], [Team6 laps '[laps']]] - intermediate_results[[#This Row], [Total running average '[sec']]]</f>
        <v>0</v>
      </c>
      <c r="AJ68" s="3">
        <f>intermediate_results[[#This Row], [All cumulative times '[sec']]] / intermediate_results[[#This Row], [Team7 laps '[laps']]] - intermediate_results[[#This Row], [Total running average '[sec']]]</f>
        <v>0</v>
      </c>
      <c r="AK68" s="3">
        <f>intermediate_results[[#This Row], [All cumulative times '[sec']]] / intermediate_results[[#This Row], [Team8 laps '[laps']]] - intermediate_results[[#This Row], [Total running average '[sec']]]</f>
        <v>0</v>
      </c>
      <c r="AL68" s="3">
        <f>intermediate_results[[#This Row], [All cumulative times '[sec']]] / intermediate_results[[#This Row], [Team9 laps '[laps']]] - intermediate_results[[#This Row], [Total running average '[sec']]]</f>
        <v>0</v>
      </c>
    </row>
    <row r="69" spans="1:38">
      <c r="A69" s="3">
        <v>442.877</v>
      </c>
      <c r="B6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6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6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6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6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6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6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6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6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69" s="3">
        <f>intermediate_results[[#This Row], [Team1 laps '[laps']]] - intermediate_results[[#This Row], [Team1 laps '[laps']]]</f>
        <v>0</v>
      </c>
      <c r="L69" s="3">
        <f>intermediate_results[[#This Row], [Team1 laps '[laps']]] - intermediate_results[[#This Row], [Team2 laps '[laps']]]</f>
        <v>0</v>
      </c>
      <c r="M69" s="3">
        <f>intermediate_results[[#This Row], [Team1 laps '[laps']]] - intermediate_results[[#This Row], [Team3 laps '[laps']]]</f>
        <v>0</v>
      </c>
      <c r="N69" s="3">
        <f>intermediate_results[[#This Row], [Team1 laps '[laps']]] - intermediate_results[[#This Row], [Team4 laps '[laps']]]</f>
        <v>0</v>
      </c>
      <c r="O69" s="3">
        <f>intermediate_results[[#This Row], [Team1 laps '[laps']]] - intermediate_results[[#This Row], [Team5 laps '[laps']]]</f>
        <v>0</v>
      </c>
      <c r="P69" s="3">
        <f>intermediate_results[[#This Row], [Team1 laps '[laps']]] - intermediate_results[[#This Row], [Team6 laps '[laps']]]</f>
        <v>0</v>
      </c>
      <c r="Q69" s="3">
        <f>intermediate_results[[#This Row], [Team1 laps '[laps']]] - intermediate_results[[#This Row], [Team7 laps '[laps']]]</f>
        <v>0</v>
      </c>
      <c r="R69" s="3">
        <f>intermediate_results[[#This Row], [Team1 laps '[laps']]] - intermediate_results[[#This Row], [Team8 laps '[laps']]]</f>
        <v>0</v>
      </c>
      <c r="S69" s="3">
        <f>intermediate_results[[#This Row], [Team1 laps '[laps']]] - intermediate_results[[#This Row], [Team9 laps '[laps']]]</f>
        <v>0</v>
      </c>
      <c r="T69" s="3">
        <f>MAX(intermediate_results[[#This Row], [Team1 laps '[laps']]:[Team9 laps '[laps']]]) - intermediate_results[[#This Row], [Team1 laps '[laps']]]</f>
        <v>0</v>
      </c>
      <c r="U69" s="3">
        <f>MAX(intermediate_results[[#This Row], [Team1 laps '[laps']]:[Team9 laps '[laps']]]) - intermediate_results[[#This Row], [Team2 laps '[laps']]]</f>
        <v>0</v>
      </c>
      <c r="V69" s="3">
        <f>MAX(intermediate_results[[#This Row], [Team1 laps '[laps']]:[Team9 laps '[laps']]]) - intermediate_results[[#This Row], [Team3 laps '[laps']]]</f>
        <v>0</v>
      </c>
      <c r="W69" s="3">
        <f>MAX(intermediate_results[[#This Row], [Team1 laps '[laps']]:[Team9 laps '[laps']]]) - intermediate_results[[#This Row], [Team4 laps '[laps']]]</f>
        <v>0</v>
      </c>
      <c r="X69" s="3">
        <f>MAX(intermediate_results[[#This Row], [Team1 laps '[laps']]:[Team9 laps '[laps']]]) - intermediate_results[[#This Row], [Team5 laps '[laps']]]</f>
        <v>0</v>
      </c>
      <c r="Y69" s="3">
        <f>MAX(intermediate_results[[#This Row], [Team1 laps '[laps']]:[Team9 laps '[laps']]]) - intermediate_results[[#This Row], [Team6 laps '[laps']]]</f>
        <v>0</v>
      </c>
      <c r="Z69" s="3">
        <f>MAX(intermediate_results[[#This Row], [Team1 laps '[laps']]:[Team9 laps '[laps']]]) - intermediate_results[[#This Row], [Team7 laps '[laps']]]</f>
        <v>0</v>
      </c>
      <c r="AA69" s="3">
        <f>MAX(intermediate_results[[#This Row], [Team1 laps '[laps']]:[Team9 laps '[laps']]]) - intermediate_results[[#This Row], [Team8 laps '[laps']]]</f>
        <v>0</v>
      </c>
      <c r="AB69" s="3">
        <f>MAX(intermediate_results[[#This Row], [Team1 laps '[laps']]:[Team9 laps '[laps']]]) - intermediate_results[[#This Row], [Team9 laps '[laps']]]</f>
        <v>0</v>
      </c>
      <c r="AC69" s="3">
        <f>9 * intermediate_results[[#This Row], [All cumulative times '[sec']]] / SUM(intermediate_results[[#This Row], [Team1 laps '[laps']]:[Team9 laps '[laps']]])</f>
        <v>0</v>
      </c>
      <c r="AD69" s="3">
        <f>intermediate_results[[#This Row], [All cumulative times '[sec']]] / intermediate_results[[#This Row], [Team1 laps '[laps']]] - intermediate_results[[#This Row], [Total running average '[sec']]]</f>
        <v>0</v>
      </c>
      <c r="AE69" s="3">
        <f>intermediate_results[[#This Row], [All cumulative times '[sec']]] / intermediate_results[[#This Row], [Team2 laps '[laps']]] - intermediate_results[[#This Row], [Total running average '[sec']]]</f>
        <v>0</v>
      </c>
      <c r="AF69" s="3">
        <f>intermediate_results[[#This Row], [All cumulative times '[sec']]] / intermediate_results[[#This Row], [Team3 laps '[laps']]] - intermediate_results[[#This Row], [Total running average '[sec']]]</f>
        <v>0</v>
      </c>
      <c r="AG69" s="3">
        <f>intermediate_results[[#This Row], [All cumulative times '[sec']]] / intermediate_results[[#This Row], [Team4 laps '[laps']]] - intermediate_results[[#This Row], [Total running average '[sec']]]</f>
        <v>0</v>
      </c>
      <c r="AH69" s="3">
        <f>intermediate_results[[#This Row], [All cumulative times '[sec']]] / intermediate_results[[#This Row], [Team5 laps '[laps']]] - intermediate_results[[#This Row], [Total running average '[sec']]]</f>
        <v>0</v>
      </c>
      <c r="AI69" s="3">
        <f>intermediate_results[[#This Row], [All cumulative times '[sec']]] / intermediate_results[[#This Row], [Team6 laps '[laps']]] - intermediate_results[[#This Row], [Total running average '[sec']]]</f>
        <v>0</v>
      </c>
      <c r="AJ69" s="3">
        <f>intermediate_results[[#This Row], [All cumulative times '[sec']]] / intermediate_results[[#This Row], [Team7 laps '[laps']]] - intermediate_results[[#This Row], [Total running average '[sec']]]</f>
        <v>0</v>
      </c>
      <c r="AK69" s="3">
        <f>intermediate_results[[#This Row], [All cumulative times '[sec']]] / intermediate_results[[#This Row], [Team8 laps '[laps']]] - intermediate_results[[#This Row], [Total running average '[sec']]]</f>
        <v>0</v>
      </c>
      <c r="AL69" s="3">
        <f>intermediate_results[[#This Row], [All cumulative times '[sec']]] / intermediate_results[[#This Row], [Team9 laps '[laps']]] - intermediate_results[[#This Row], [Total running average '[sec']]]</f>
        <v>0</v>
      </c>
    </row>
    <row r="70" spans="1:38">
      <c r="A70" s="3">
        <v>443.707</v>
      </c>
      <c r="B7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0" s="3">
        <f>intermediate_results[[#This Row], [Team1 laps '[laps']]] - intermediate_results[[#This Row], [Team1 laps '[laps']]]</f>
        <v>0</v>
      </c>
      <c r="L70" s="3">
        <f>intermediate_results[[#This Row], [Team1 laps '[laps']]] - intermediate_results[[#This Row], [Team2 laps '[laps']]]</f>
        <v>0</v>
      </c>
      <c r="M70" s="3">
        <f>intermediate_results[[#This Row], [Team1 laps '[laps']]] - intermediate_results[[#This Row], [Team3 laps '[laps']]]</f>
        <v>0</v>
      </c>
      <c r="N70" s="3">
        <f>intermediate_results[[#This Row], [Team1 laps '[laps']]] - intermediate_results[[#This Row], [Team4 laps '[laps']]]</f>
        <v>0</v>
      </c>
      <c r="O70" s="3">
        <f>intermediate_results[[#This Row], [Team1 laps '[laps']]] - intermediate_results[[#This Row], [Team5 laps '[laps']]]</f>
        <v>0</v>
      </c>
      <c r="P70" s="3">
        <f>intermediate_results[[#This Row], [Team1 laps '[laps']]] - intermediate_results[[#This Row], [Team6 laps '[laps']]]</f>
        <v>0</v>
      </c>
      <c r="Q70" s="3">
        <f>intermediate_results[[#This Row], [Team1 laps '[laps']]] - intermediate_results[[#This Row], [Team7 laps '[laps']]]</f>
        <v>0</v>
      </c>
      <c r="R70" s="3">
        <f>intermediate_results[[#This Row], [Team1 laps '[laps']]] - intermediate_results[[#This Row], [Team8 laps '[laps']]]</f>
        <v>0</v>
      </c>
      <c r="S70" s="3">
        <f>intermediate_results[[#This Row], [Team1 laps '[laps']]] - intermediate_results[[#This Row], [Team9 laps '[laps']]]</f>
        <v>0</v>
      </c>
      <c r="T70" s="3">
        <f>MAX(intermediate_results[[#This Row], [Team1 laps '[laps']]:[Team9 laps '[laps']]]) - intermediate_results[[#This Row], [Team1 laps '[laps']]]</f>
        <v>0</v>
      </c>
      <c r="U70" s="3">
        <f>MAX(intermediate_results[[#This Row], [Team1 laps '[laps']]:[Team9 laps '[laps']]]) - intermediate_results[[#This Row], [Team2 laps '[laps']]]</f>
        <v>0</v>
      </c>
      <c r="V70" s="3">
        <f>MAX(intermediate_results[[#This Row], [Team1 laps '[laps']]:[Team9 laps '[laps']]]) - intermediate_results[[#This Row], [Team3 laps '[laps']]]</f>
        <v>0</v>
      </c>
      <c r="W70" s="3">
        <f>MAX(intermediate_results[[#This Row], [Team1 laps '[laps']]:[Team9 laps '[laps']]]) - intermediate_results[[#This Row], [Team4 laps '[laps']]]</f>
        <v>0</v>
      </c>
      <c r="X70" s="3">
        <f>MAX(intermediate_results[[#This Row], [Team1 laps '[laps']]:[Team9 laps '[laps']]]) - intermediate_results[[#This Row], [Team5 laps '[laps']]]</f>
        <v>0</v>
      </c>
      <c r="Y70" s="3">
        <f>MAX(intermediate_results[[#This Row], [Team1 laps '[laps']]:[Team9 laps '[laps']]]) - intermediate_results[[#This Row], [Team6 laps '[laps']]]</f>
        <v>0</v>
      </c>
      <c r="Z70" s="3">
        <f>MAX(intermediate_results[[#This Row], [Team1 laps '[laps']]:[Team9 laps '[laps']]]) - intermediate_results[[#This Row], [Team7 laps '[laps']]]</f>
        <v>0</v>
      </c>
      <c r="AA70" s="3">
        <f>MAX(intermediate_results[[#This Row], [Team1 laps '[laps']]:[Team9 laps '[laps']]]) - intermediate_results[[#This Row], [Team8 laps '[laps']]]</f>
        <v>0</v>
      </c>
      <c r="AB70" s="3">
        <f>MAX(intermediate_results[[#This Row], [Team1 laps '[laps']]:[Team9 laps '[laps']]]) - intermediate_results[[#This Row], [Team9 laps '[laps']]]</f>
        <v>0</v>
      </c>
      <c r="AC70" s="3">
        <f>9 * intermediate_results[[#This Row], [All cumulative times '[sec']]] / SUM(intermediate_results[[#This Row], [Team1 laps '[laps']]:[Team9 laps '[laps']]])</f>
        <v>0</v>
      </c>
      <c r="AD70" s="3">
        <f>intermediate_results[[#This Row], [All cumulative times '[sec']]] / intermediate_results[[#This Row], [Team1 laps '[laps']]] - intermediate_results[[#This Row], [Total running average '[sec']]]</f>
        <v>0</v>
      </c>
      <c r="AE70" s="3">
        <f>intermediate_results[[#This Row], [All cumulative times '[sec']]] / intermediate_results[[#This Row], [Team2 laps '[laps']]] - intermediate_results[[#This Row], [Total running average '[sec']]]</f>
        <v>0</v>
      </c>
      <c r="AF70" s="3">
        <f>intermediate_results[[#This Row], [All cumulative times '[sec']]] / intermediate_results[[#This Row], [Team3 laps '[laps']]] - intermediate_results[[#This Row], [Total running average '[sec']]]</f>
        <v>0</v>
      </c>
      <c r="AG70" s="3">
        <f>intermediate_results[[#This Row], [All cumulative times '[sec']]] / intermediate_results[[#This Row], [Team4 laps '[laps']]] - intermediate_results[[#This Row], [Total running average '[sec']]]</f>
        <v>0</v>
      </c>
      <c r="AH70" s="3">
        <f>intermediate_results[[#This Row], [All cumulative times '[sec']]] / intermediate_results[[#This Row], [Team5 laps '[laps']]] - intermediate_results[[#This Row], [Total running average '[sec']]]</f>
        <v>0</v>
      </c>
      <c r="AI70" s="3">
        <f>intermediate_results[[#This Row], [All cumulative times '[sec']]] / intermediate_results[[#This Row], [Team6 laps '[laps']]] - intermediate_results[[#This Row], [Total running average '[sec']]]</f>
        <v>0</v>
      </c>
      <c r="AJ70" s="3">
        <f>intermediate_results[[#This Row], [All cumulative times '[sec']]] / intermediate_results[[#This Row], [Team7 laps '[laps']]] - intermediate_results[[#This Row], [Total running average '[sec']]]</f>
        <v>0</v>
      </c>
      <c r="AK70" s="3">
        <f>intermediate_results[[#This Row], [All cumulative times '[sec']]] / intermediate_results[[#This Row], [Team8 laps '[laps']]] - intermediate_results[[#This Row], [Total running average '[sec']]]</f>
        <v>0</v>
      </c>
      <c r="AL70" s="3">
        <f>intermediate_results[[#This Row], [All cumulative times '[sec']]] / intermediate_results[[#This Row], [Team9 laps '[laps']]] - intermediate_results[[#This Row], [Total running average '[sec']]]</f>
        <v>0</v>
      </c>
    </row>
    <row r="71" spans="1:38">
      <c r="A71" s="3">
        <v>447.206</v>
      </c>
      <c r="B7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1" s="3">
        <f>intermediate_results[[#This Row], [Team1 laps '[laps']]] - intermediate_results[[#This Row], [Team1 laps '[laps']]]</f>
        <v>0</v>
      </c>
      <c r="L71" s="3">
        <f>intermediate_results[[#This Row], [Team1 laps '[laps']]] - intermediate_results[[#This Row], [Team2 laps '[laps']]]</f>
        <v>0</v>
      </c>
      <c r="M71" s="3">
        <f>intermediate_results[[#This Row], [Team1 laps '[laps']]] - intermediate_results[[#This Row], [Team3 laps '[laps']]]</f>
        <v>0</v>
      </c>
      <c r="N71" s="3">
        <f>intermediate_results[[#This Row], [Team1 laps '[laps']]] - intermediate_results[[#This Row], [Team4 laps '[laps']]]</f>
        <v>0</v>
      </c>
      <c r="O71" s="3">
        <f>intermediate_results[[#This Row], [Team1 laps '[laps']]] - intermediate_results[[#This Row], [Team5 laps '[laps']]]</f>
        <v>0</v>
      </c>
      <c r="P71" s="3">
        <f>intermediate_results[[#This Row], [Team1 laps '[laps']]] - intermediate_results[[#This Row], [Team6 laps '[laps']]]</f>
        <v>0</v>
      </c>
      <c r="Q71" s="3">
        <f>intermediate_results[[#This Row], [Team1 laps '[laps']]] - intermediate_results[[#This Row], [Team7 laps '[laps']]]</f>
        <v>0</v>
      </c>
      <c r="R71" s="3">
        <f>intermediate_results[[#This Row], [Team1 laps '[laps']]] - intermediate_results[[#This Row], [Team8 laps '[laps']]]</f>
        <v>0</v>
      </c>
      <c r="S71" s="3">
        <f>intermediate_results[[#This Row], [Team1 laps '[laps']]] - intermediate_results[[#This Row], [Team9 laps '[laps']]]</f>
        <v>0</v>
      </c>
      <c r="T71" s="3">
        <f>MAX(intermediate_results[[#This Row], [Team1 laps '[laps']]:[Team9 laps '[laps']]]) - intermediate_results[[#This Row], [Team1 laps '[laps']]]</f>
        <v>0</v>
      </c>
      <c r="U71" s="3">
        <f>MAX(intermediate_results[[#This Row], [Team1 laps '[laps']]:[Team9 laps '[laps']]]) - intermediate_results[[#This Row], [Team2 laps '[laps']]]</f>
        <v>0</v>
      </c>
      <c r="V71" s="3">
        <f>MAX(intermediate_results[[#This Row], [Team1 laps '[laps']]:[Team9 laps '[laps']]]) - intermediate_results[[#This Row], [Team3 laps '[laps']]]</f>
        <v>0</v>
      </c>
      <c r="W71" s="3">
        <f>MAX(intermediate_results[[#This Row], [Team1 laps '[laps']]:[Team9 laps '[laps']]]) - intermediate_results[[#This Row], [Team4 laps '[laps']]]</f>
        <v>0</v>
      </c>
      <c r="X71" s="3">
        <f>MAX(intermediate_results[[#This Row], [Team1 laps '[laps']]:[Team9 laps '[laps']]]) - intermediate_results[[#This Row], [Team5 laps '[laps']]]</f>
        <v>0</v>
      </c>
      <c r="Y71" s="3">
        <f>MAX(intermediate_results[[#This Row], [Team1 laps '[laps']]:[Team9 laps '[laps']]]) - intermediate_results[[#This Row], [Team6 laps '[laps']]]</f>
        <v>0</v>
      </c>
      <c r="Z71" s="3">
        <f>MAX(intermediate_results[[#This Row], [Team1 laps '[laps']]:[Team9 laps '[laps']]]) - intermediate_results[[#This Row], [Team7 laps '[laps']]]</f>
        <v>0</v>
      </c>
      <c r="AA71" s="3">
        <f>MAX(intermediate_results[[#This Row], [Team1 laps '[laps']]:[Team9 laps '[laps']]]) - intermediate_results[[#This Row], [Team8 laps '[laps']]]</f>
        <v>0</v>
      </c>
      <c r="AB71" s="3">
        <f>MAX(intermediate_results[[#This Row], [Team1 laps '[laps']]:[Team9 laps '[laps']]]) - intermediate_results[[#This Row], [Team9 laps '[laps']]]</f>
        <v>0</v>
      </c>
      <c r="AC71" s="3">
        <f>9 * intermediate_results[[#This Row], [All cumulative times '[sec']]] / SUM(intermediate_results[[#This Row], [Team1 laps '[laps']]:[Team9 laps '[laps']]])</f>
        <v>0</v>
      </c>
      <c r="AD71" s="3">
        <f>intermediate_results[[#This Row], [All cumulative times '[sec']]] / intermediate_results[[#This Row], [Team1 laps '[laps']]] - intermediate_results[[#This Row], [Total running average '[sec']]]</f>
        <v>0</v>
      </c>
      <c r="AE71" s="3">
        <f>intermediate_results[[#This Row], [All cumulative times '[sec']]] / intermediate_results[[#This Row], [Team2 laps '[laps']]] - intermediate_results[[#This Row], [Total running average '[sec']]]</f>
        <v>0</v>
      </c>
      <c r="AF71" s="3">
        <f>intermediate_results[[#This Row], [All cumulative times '[sec']]] / intermediate_results[[#This Row], [Team3 laps '[laps']]] - intermediate_results[[#This Row], [Total running average '[sec']]]</f>
        <v>0</v>
      </c>
      <c r="AG71" s="3">
        <f>intermediate_results[[#This Row], [All cumulative times '[sec']]] / intermediate_results[[#This Row], [Team4 laps '[laps']]] - intermediate_results[[#This Row], [Total running average '[sec']]]</f>
        <v>0</v>
      </c>
      <c r="AH71" s="3">
        <f>intermediate_results[[#This Row], [All cumulative times '[sec']]] / intermediate_results[[#This Row], [Team5 laps '[laps']]] - intermediate_results[[#This Row], [Total running average '[sec']]]</f>
        <v>0</v>
      </c>
      <c r="AI71" s="3">
        <f>intermediate_results[[#This Row], [All cumulative times '[sec']]] / intermediate_results[[#This Row], [Team6 laps '[laps']]] - intermediate_results[[#This Row], [Total running average '[sec']]]</f>
        <v>0</v>
      </c>
      <c r="AJ71" s="3">
        <f>intermediate_results[[#This Row], [All cumulative times '[sec']]] / intermediate_results[[#This Row], [Team7 laps '[laps']]] - intermediate_results[[#This Row], [Total running average '[sec']]]</f>
        <v>0</v>
      </c>
      <c r="AK71" s="3">
        <f>intermediate_results[[#This Row], [All cumulative times '[sec']]] / intermediate_results[[#This Row], [Team8 laps '[laps']]] - intermediate_results[[#This Row], [Total running average '[sec']]]</f>
        <v>0</v>
      </c>
      <c r="AL71" s="3">
        <f>intermediate_results[[#This Row], [All cumulative times '[sec']]] / intermediate_results[[#This Row], [Team9 laps '[laps']]] - intermediate_results[[#This Row], [Total running average '[sec']]]</f>
        <v>0</v>
      </c>
    </row>
    <row r="72" spans="1:38">
      <c r="A72" s="3">
        <v>453.821</v>
      </c>
      <c r="B7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2" s="3">
        <f>intermediate_results[[#This Row], [Team1 laps '[laps']]] - intermediate_results[[#This Row], [Team1 laps '[laps']]]</f>
        <v>0</v>
      </c>
      <c r="L72" s="3">
        <f>intermediate_results[[#This Row], [Team1 laps '[laps']]] - intermediate_results[[#This Row], [Team2 laps '[laps']]]</f>
        <v>0</v>
      </c>
      <c r="M72" s="3">
        <f>intermediate_results[[#This Row], [Team1 laps '[laps']]] - intermediate_results[[#This Row], [Team3 laps '[laps']]]</f>
        <v>0</v>
      </c>
      <c r="N72" s="3">
        <f>intermediate_results[[#This Row], [Team1 laps '[laps']]] - intermediate_results[[#This Row], [Team4 laps '[laps']]]</f>
        <v>0</v>
      </c>
      <c r="O72" s="3">
        <f>intermediate_results[[#This Row], [Team1 laps '[laps']]] - intermediate_results[[#This Row], [Team5 laps '[laps']]]</f>
        <v>0</v>
      </c>
      <c r="P72" s="3">
        <f>intermediate_results[[#This Row], [Team1 laps '[laps']]] - intermediate_results[[#This Row], [Team6 laps '[laps']]]</f>
        <v>0</v>
      </c>
      <c r="Q72" s="3">
        <f>intermediate_results[[#This Row], [Team1 laps '[laps']]] - intermediate_results[[#This Row], [Team7 laps '[laps']]]</f>
        <v>0</v>
      </c>
      <c r="R72" s="3">
        <f>intermediate_results[[#This Row], [Team1 laps '[laps']]] - intermediate_results[[#This Row], [Team8 laps '[laps']]]</f>
        <v>0</v>
      </c>
      <c r="S72" s="3">
        <f>intermediate_results[[#This Row], [Team1 laps '[laps']]] - intermediate_results[[#This Row], [Team9 laps '[laps']]]</f>
        <v>0</v>
      </c>
      <c r="T72" s="3">
        <f>MAX(intermediate_results[[#This Row], [Team1 laps '[laps']]:[Team9 laps '[laps']]]) - intermediate_results[[#This Row], [Team1 laps '[laps']]]</f>
        <v>0</v>
      </c>
      <c r="U72" s="3">
        <f>MAX(intermediate_results[[#This Row], [Team1 laps '[laps']]:[Team9 laps '[laps']]]) - intermediate_results[[#This Row], [Team2 laps '[laps']]]</f>
        <v>0</v>
      </c>
      <c r="V72" s="3">
        <f>MAX(intermediate_results[[#This Row], [Team1 laps '[laps']]:[Team9 laps '[laps']]]) - intermediate_results[[#This Row], [Team3 laps '[laps']]]</f>
        <v>0</v>
      </c>
      <c r="W72" s="3">
        <f>MAX(intermediate_results[[#This Row], [Team1 laps '[laps']]:[Team9 laps '[laps']]]) - intermediate_results[[#This Row], [Team4 laps '[laps']]]</f>
        <v>0</v>
      </c>
      <c r="X72" s="3">
        <f>MAX(intermediate_results[[#This Row], [Team1 laps '[laps']]:[Team9 laps '[laps']]]) - intermediate_results[[#This Row], [Team5 laps '[laps']]]</f>
        <v>0</v>
      </c>
      <c r="Y72" s="3">
        <f>MAX(intermediate_results[[#This Row], [Team1 laps '[laps']]:[Team9 laps '[laps']]]) - intermediate_results[[#This Row], [Team6 laps '[laps']]]</f>
        <v>0</v>
      </c>
      <c r="Z72" s="3">
        <f>MAX(intermediate_results[[#This Row], [Team1 laps '[laps']]:[Team9 laps '[laps']]]) - intermediate_results[[#This Row], [Team7 laps '[laps']]]</f>
        <v>0</v>
      </c>
      <c r="AA72" s="3">
        <f>MAX(intermediate_results[[#This Row], [Team1 laps '[laps']]:[Team9 laps '[laps']]]) - intermediate_results[[#This Row], [Team8 laps '[laps']]]</f>
        <v>0</v>
      </c>
      <c r="AB72" s="3">
        <f>MAX(intermediate_results[[#This Row], [Team1 laps '[laps']]:[Team9 laps '[laps']]]) - intermediate_results[[#This Row], [Team9 laps '[laps']]]</f>
        <v>0</v>
      </c>
      <c r="AC72" s="3">
        <f>9 * intermediate_results[[#This Row], [All cumulative times '[sec']]] / SUM(intermediate_results[[#This Row], [Team1 laps '[laps']]:[Team9 laps '[laps']]])</f>
        <v>0</v>
      </c>
      <c r="AD72" s="3">
        <f>intermediate_results[[#This Row], [All cumulative times '[sec']]] / intermediate_results[[#This Row], [Team1 laps '[laps']]] - intermediate_results[[#This Row], [Total running average '[sec']]]</f>
        <v>0</v>
      </c>
      <c r="AE72" s="3">
        <f>intermediate_results[[#This Row], [All cumulative times '[sec']]] / intermediate_results[[#This Row], [Team2 laps '[laps']]] - intermediate_results[[#This Row], [Total running average '[sec']]]</f>
        <v>0</v>
      </c>
      <c r="AF72" s="3">
        <f>intermediate_results[[#This Row], [All cumulative times '[sec']]] / intermediate_results[[#This Row], [Team3 laps '[laps']]] - intermediate_results[[#This Row], [Total running average '[sec']]]</f>
        <v>0</v>
      </c>
      <c r="AG72" s="3">
        <f>intermediate_results[[#This Row], [All cumulative times '[sec']]] / intermediate_results[[#This Row], [Team4 laps '[laps']]] - intermediate_results[[#This Row], [Total running average '[sec']]]</f>
        <v>0</v>
      </c>
      <c r="AH72" s="3">
        <f>intermediate_results[[#This Row], [All cumulative times '[sec']]] / intermediate_results[[#This Row], [Team5 laps '[laps']]] - intermediate_results[[#This Row], [Total running average '[sec']]]</f>
        <v>0</v>
      </c>
      <c r="AI72" s="3">
        <f>intermediate_results[[#This Row], [All cumulative times '[sec']]] / intermediate_results[[#This Row], [Team6 laps '[laps']]] - intermediate_results[[#This Row], [Total running average '[sec']]]</f>
        <v>0</v>
      </c>
      <c r="AJ72" s="3">
        <f>intermediate_results[[#This Row], [All cumulative times '[sec']]] / intermediate_results[[#This Row], [Team7 laps '[laps']]] - intermediate_results[[#This Row], [Total running average '[sec']]]</f>
        <v>0</v>
      </c>
      <c r="AK72" s="3">
        <f>intermediate_results[[#This Row], [All cumulative times '[sec']]] / intermediate_results[[#This Row], [Team8 laps '[laps']]] - intermediate_results[[#This Row], [Total running average '[sec']]]</f>
        <v>0</v>
      </c>
      <c r="AL72" s="3">
        <f>intermediate_results[[#This Row], [All cumulative times '[sec']]] / intermediate_results[[#This Row], [Team9 laps '[laps']]] - intermediate_results[[#This Row], [Total running average '[sec']]]</f>
        <v>0</v>
      </c>
    </row>
    <row r="73" spans="1:38">
      <c r="A73" s="3">
        <v>454.595</v>
      </c>
      <c r="B7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3" s="3">
        <f>intermediate_results[[#This Row], [Team1 laps '[laps']]] - intermediate_results[[#This Row], [Team1 laps '[laps']]]</f>
        <v>0</v>
      </c>
      <c r="L73" s="3">
        <f>intermediate_results[[#This Row], [Team1 laps '[laps']]] - intermediate_results[[#This Row], [Team2 laps '[laps']]]</f>
        <v>0</v>
      </c>
      <c r="M73" s="3">
        <f>intermediate_results[[#This Row], [Team1 laps '[laps']]] - intermediate_results[[#This Row], [Team3 laps '[laps']]]</f>
        <v>0</v>
      </c>
      <c r="N73" s="3">
        <f>intermediate_results[[#This Row], [Team1 laps '[laps']]] - intermediate_results[[#This Row], [Team4 laps '[laps']]]</f>
        <v>0</v>
      </c>
      <c r="O73" s="3">
        <f>intermediate_results[[#This Row], [Team1 laps '[laps']]] - intermediate_results[[#This Row], [Team5 laps '[laps']]]</f>
        <v>0</v>
      </c>
      <c r="P73" s="3">
        <f>intermediate_results[[#This Row], [Team1 laps '[laps']]] - intermediate_results[[#This Row], [Team6 laps '[laps']]]</f>
        <v>0</v>
      </c>
      <c r="Q73" s="3">
        <f>intermediate_results[[#This Row], [Team1 laps '[laps']]] - intermediate_results[[#This Row], [Team7 laps '[laps']]]</f>
        <v>0</v>
      </c>
      <c r="R73" s="3">
        <f>intermediate_results[[#This Row], [Team1 laps '[laps']]] - intermediate_results[[#This Row], [Team8 laps '[laps']]]</f>
        <v>0</v>
      </c>
      <c r="S73" s="3">
        <f>intermediate_results[[#This Row], [Team1 laps '[laps']]] - intermediate_results[[#This Row], [Team9 laps '[laps']]]</f>
        <v>0</v>
      </c>
      <c r="T73" s="3">
        <f>MAX(intermediate_results[[#This Row], [Team1 laps '[laps']]:[Team9 laps '[laps']]]) - intermediate_results[[#This Row], [Team1 laps '[laps']]]</f>
        <v>0</v>
      </c>
      <c r="U73" s="3">
        <f>MAX(intermediate_results[[#This Row], [Team1 laps '[laps']]:[Team9 laps '[laps']]]) - intermediate_results[[#This Row], [Team2 laps '[laps']]]</f>
        <v>0</v>
      </c>
      <c r="V73" s="3">
        <f>MAX(intermediate_results[[#This Row], [Team1 laps '[laps']]:[Team9 laps '[laps']]]) - intermediate_results[[#This Row], [Team3 laps '[laps']]]</f>
        <v>0</v>
      </c>
      <c r="W73" s="3">
        <f>MAX(intermediate_results[[#This Row], [Team1 laps '[laps']]:[Team9 laps '[laps']]]) - intermediate_results[[#This Row], [Team4 laps '[laps']]]</f>
        <v>0</v>
      </c>
      <c r="X73" s="3">
        <f>MAX(intermediate_results[[#This Row], [Team1 laps '[laps']]:[Team9 laps '[laps']]]) - intermediate_results[[#This Row], [Team5 laps '[laps']]]</f>
        <v>0</v>
      </c>
      <c r="Y73" s="3">
        <f>MAX(intermediate_results[[#This Row], [Team1 laps '[laps']]:[Team9 laps '[laps']]]) - intermediate_results[[#This Row], [Team6 laps '[laps']]]</f>
        <v>0</v>
      </c>
      <c r="Z73" s="3">
        <f>MAX(intermediate_results[[#This Row], [Team1 laps '[laps']]:[Team9 laps '[laps']]]) - intermediate_results[[#This Row], [Team7 laps '[laps']]]</f>
        <v>0</v>
      </c>
      <c r="AA73" s="3">
        <f>MAX(intermediate_results[[#This Row], [Team1 laps '[laps']]:[Team9 laps '[laps']]]) - intermediate_results[[#This Row], [Team8 laps '[laps']]]</f>
        <v>0</v>
      </c>
      <c r="AB73" s="3">
        <f>MAX(intermediate_results[[#This Row], [Team1 laps '[laps']]:[Team9 laps '[laps']]]) - intermediate_results[[#This Row], [Team9 laps '[laps']]]</f>
        <v>0</v>
      </c>
      <c r="AC73" s="3">
        <f>9 * intermediate_results[[#This Row], [All cumulative times '[sec']]] / SUM(intermediate_results[[#This Row], [Team1 laps '[laps']]:[Team9 laps '[laps']]])</f>
        <v>0</v>
      </c>
      <c r="AD73" s="3">
        <f>intermediate_results[[#This Row], [All cumulative times '[sec']]] / intermediate_results[[#This Row], [Team1 laps '[laps']]] - intermediate_results[[#This Row], [Total running average '[sec']]]</f>
        <v>0</v>
      </c>
      <c r="AE73" s="3">
        <f>intermediate_results[[#This Row], [All cumulative times '[sec']]] / intermediate_results[[#This Row], [Team2 laps '[laps']]] - intermediate_results[[#This Row], [Total running average '[sec']]]</f>
        <v>0</v>
      </c>
      <c r="AF73" s="3">
        <f>intermediate_results[[#This Row], [All cumulative times '[sec']]] / intermediate_results[[#This Row], [Team3 laps '[laps']]] - intermediate_results[[#This Row], [Total running average '[sec']]]</f>
        <v>0</v>
      </c>
      <c r="AG73" s="3">
        <f>intermediate_results[[#This Row], [All cumulative times '[sec']]] / intermediate_results[[#This Row], [Team4 laps '[laps']]] - intermediate_results[[#This Row], [Total running average '[sec']]]</f>
        <v>0</v>
      </c>
      <c r="AH73" s="3">
        <f>intermediate_results[[#This Row], [All cumulative times '[sec']]] / intermediate_results[[#This Row], [Team5 laps '[laps']]] - intermediate_results[[#This Row], [Total running average '[sec']]]</f>
        <v>0</v>
      </c>
      <c r="AI73" s="3">
        <f>intermediate_results[[#This Row], [All cumulative times '[sec']]] / intermediate_results[[#This Row], [Team6 laps '[laps']]] - intermediate_results[[#This Row], [Total running average '[sec']]]</f>
        <v>0</v>
      </c>
      <c r="AJ73" s="3">
        <f>intermediate_results[[#This Row], [All cumulative times '[sec']]] / intermediate_results[[#This Row], [Team7 laps '[laps']]] - intermediate_results[[#This Row], [Total running average '[sec']]]</f>
        <v>0</v>
      </c>
      <c r="AK73" s="3">
        <f>intermediate_results[[#This Row], [All cumulative times '[sec']]] / intermediate_results[[#This Row], [Team8 laps '[laps']]] - intermediate_results[[#This Row], [Total running average '[sec']]]</f>
        <v>0</v>
      </c>
      <c r="AL73" s="3">
        <f>intermediate_results[[#This Row], [All cumulative times '[sec']]] / intermediate_results[[#This Row], [Team9 laps '[laps']]] - intermediate_results[[#This Row], [Total running average '[sec']]]</f>
        <v>0</v>
      </c>
    </row>
    <row r="74" spans="1:38">
      <c r="A74" s="3">
        <v>477.6659999999999</v>
      </c>
      <c r="B7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4" s="3">
        <f>intermediate_results[[#This Row], [Team1 laps '[laps']]] - intermediate_results[[#This Row], [Team1 laps '[laps']]]</f>
        <v>0</v>
      </c>
      <c r="L74" s="3">
        <f>intermediate_results[[#This Row], [Team1 laps '[laps']]] - intermediate_results[[#This Row], [Team2 laps '[laps']]]</f>
        <v>0</v>
      </c>
      <c r="M74" s="3">
        <f>intermediate_results[[#This Row], [Team1 laps '[laps']]] - intermediate_results[[#This Row], [Team3 laps '[laps']]]</f>
        <v>0</v>
      </c>
      <c r="N74" s="3">
        <f>intermediate_results[[#This Row], [Team1 laps '[laps']]] - intermediate_results[[#This Row], [Team4 laps '[laps']]]</f>
        <v>0</v>
      </c>
      <c r="O74" s="3">
        <f>intermediate_results[[#This Row], [Team1 laps '[laps']]] - intermediate_results[[#This Row], [Team5 laps '[laps']]]</f>
        <v>0</v>
      </c>
      <c r="P74" s="3">
        <f>intermediate_results[[#This Row], [Team1 laps '[laps']]] - intermediate_results[[#This Row], [Team6 laps '[laps']]]</f>
        <v>0</v>
      </c>
      <c r="Q74" s="3">
        <f>intermediate_results[[#This Row], [Team1 laps '[laps']]] - intermediate_results[[#This Row], [Team7 laps '[laps']]]</f>
        <v>0</v>
      </c>
      <c r="R74" s="3">
        <f>intermediate_results[[#This Row], [Team1 laps '[laps']]] - intermediate_results[[#This Row], [Team8 laps '[laps']]]</f>
        <v>0</v>
      </c>
      <c r="S74" s="3">
        <f>intermediate_results[[#This Row], [Team1 laps '[laps']]] - intermediate_results[[#This Row], [Team9 laps '[laps']]]</f>
        <v>0</v>
      </c>
      <c r="T74" s="3">
        <f>MAX(intermediate_results[[#This Row], [Team1 laps '[laps']]:[Team9 laps '[laps']]]) - intermediate_results[[#This Row], [Team1 laps '[laps']]]</f>
        <v>0</v>
      </c>
      <c r="U74" s="3">
        <f>MAX(intermediate_results[[#This Row], [Team1 laps '[laps']]:[Team9 laps '[laps']]]) - intermediate_results[[#This Row], [Team2 laps '[laps']]]</f>
        <v>0</v>
      </c>
      <c r="V74" s="3">
        <f>MAX(intermediate_results[[#This Row], [Team1 laps '[laps']]:[Team9 laps '[laps']]]) - intermediate_results[[#This Row], [Team3 laps '[laps']]]</f>
        <v>0</v>
      </c>
      <c r="W74" s="3">
        <f>MAX(intermediate_results[[#This Row], [Team1 laps '[laps']]:[Team9 laps '[laps']]]) - intermediate_results[[#This Row], [Team4 laps '[laps']]]</f>
        <v>0</v>
      </c>
      <c r="X74" s="3">
        <f>MAX(intermediate_results[[#This Row], [Team1 laps '[laps']]:[Team9 laps '[laps']]]) - intermediate_results[[#This Row], [Team5 laps '[laps']]]</f>
        <v>0</v>
      </c>
      <c r="Y74" s="3">
        <f>MAX(intermediate_results[[#This Row], [Team1 laps '[laps']]:[Team9 laps '[laps']]]) - intermediate_results[[#This Row], [Team6 laps '[laps']]]</f>
        <v>0</v>
      </c>
      <c r="Z74" s="3">
        <f>MAX(intermediate_results[[#This Row], [Team1 laps '[laps']]:[Team9 laps '[laps']]]) - intermediate_results[[#This Row], [Team7 laps '[laps']]]</f>
        <v>0</v>
      </c>
      <c r="AA74" s="3">
        <f>MAX(intermediate_results[[#This Row], [Team1 laps '[laps']]:[Team9 laps '[laps']]]) - intermediate_results[[#This Row], [Team8 laps '[laps']]]</f>
        <v>0</v>
      </c>
      <c r="AB74" s="3">
        <f>MAX(intermediate_results[[#This Row], [Team1 laps '[laps']]:[Team9 laps '[laps']]]) - intermediate_results[[#This Row], [Team9 laps '[laps']]]</f>
        <v>0</v>
      </c>
      <c r="AC74" s="3">
        <f>9 * intermediate_results[[#This Row], [All cumulative times '[sec']]] / SUM(intermediate_results[[#This Row], [Team1 laps '[laps']]:[Team9 laps '[laps']]])</f>
        <v>0</v>
      </c>
      <c r="AD74" s="3">
        <f>intermediate_results[[#This Row], [All cumulative times '[sec']]] / intermediate_results[[#This Row], [Team1 laps '[laps']]] - intermediate_results[[#This Row], [Total running average '[sec']]]</f>
        <v>0</v>
      </c>
      <c r="AE74" s="3">
        <f>intermediate_results[[#This Row], [All cumulative times '[sec']]] / intermediate_results[[#This Row], [Team2 laps '[laps']]] - intermediate_results[[#This Row], [Total running average '[sec']]]</f>
        <v>0</v>
      </c>
      <c r="AF74" s="3">
        <f>intermediate_results[[#This Row], [All cumulative times '[sec']]] / intermediate_results[[#This Row], [Team3 laps '[laps']]] - intermediate_results[[#This Row], [Total running average '[sec']]]</f>
        <v>0</v>
      </c>
      <c r="AG74" s="3">
        <f>intermediate_results[[#This Row], [All cumulative times '[sec']]] / intermediate_results[[#This Row], [Team4 laps '[laps']]] - intermediate_results[[#This Row], [Total running average '[sec']]]</f>
        <v>0</v>
      </c>
      <c r="AH74" s="3">
        <f>intermediate_results[[#This Row], [All cumulative times '[sec']]] / intermediate_results[[#This Row], [Team5 laps '[laps']]] - intermediate_results[[#This Row], [Total running average '[sec']]]</f>
        <v>0</v>
      </c>
      <c r="AI74" s="3">
        <f>intermediate_results[[#This Row], [All cumulative times '[sec']]] / intermediate_results[[#This Row], [Team6 laps '[laps']]] - intermediate_results[[#This Row], [Total running average '[sec']]]</f>
        <v>0</v>
      </c>
      <c r="AJ74" s="3">
        <f>intermediate_results[[#This Row], [All cumulative times '[sec']]] / intermediate_results[[#This Row], [Team7 laps '[laps']]] - intermediate_results[[#This Row], [Total running average '[sec']]]</f>
        <v>0</v>
      </c>
      <c r="AK74" s="3">
        <f>intermediate_results[[#This Row], [All cumulative times '[sec']]] / intermediate_results[[#This Row], [Team8 laps '[laps']]] - intermediate_results[[#This Row], [Total running average '[sec']]]</f>
        <v>0</v>
      </c>
      <c r="AL74" s="3">
        <f>intermediate_results[[#This Row], [All cumulative times '[sec']]] / intermediate_results[[#This Row], [Team9 laps '[laps']]] - intermediate_results[[#This Row], [Total running average '[sec']]]</f>
        <v>0</v>
      </c>
    </row>
    <row r="75" spans="1:38">
      <c r="A75" s="3">
        <v>479.288</v>
      </c>
      <c r="B7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5" s="3">
        <f>intermediate_results[[#This Row], [Team1 laps '[laps']]] - intermediate_results[[#This Row], [Team1 laps '[laps']]]</f>
        <v>0</v>
      </c>
      <c r="L75" s="3">
        <f>intermediate_results[[#This Row], [Team1 laps '[laps']]] - intermediate_results[[#This Row], [Team2 laps '[laps']]]</f>
        <v>0</v>
      </c>
      <c r="M75" s="3">
        <f>intermediate_results[[#This Row], [Team1 laps '[laps']]] - intermediate_results[[#This Row], [Team3 laps '[laps']]]</f>
        <v>0</v>
      </c>
      <c r="N75" s="3">
        <f>intermediate_results[[#This Row], [Team1 laps '[laps']]] - intermediate_results[[#This Row], [Team4 laps '[laps']]]</f>
        <v>0</v>
      </c>
      <c r="O75" s="3">
        <f>intermediate_results[[#This Row], [Team1 laps '[laps']]] - intermediate_results[[#This Row], [Team5 laps '[laps']]]</f>
        <v>0</v>
      </c>
      <c r="P75" s="3">
        <f>intermediate_results[[#This Row], [Team1 laps '[laps']]] - intermediate_results[[#This Row], [Team6 laps '[laps']]]</f>
        <v>0</v>
      </c>
      <c r="Q75" s="3">
        <f>intermediate_results[[#This Row], [Team1 laps '[laps']]] - intermediate_results[[#This Row], [Team7 laps '[laps']]]</f>
        <v>0</v>
      </c>
      <c r="R75" s="3">
        <f>intermediate_results[[#This Row], [Team1 laps '[laps']]] - intermediate_results[[#This Row], [Team8 laps '[laps']]]</f>
        <v>0</v>
      </c>
      <c r="S75" s="3">
        <f>intermediate_results[[#This Row], [Team1 laps '[laps']]] - intermediate_results[[#This Row], [Team9 laps '[laps']]]</f>
        <v>0</v>
      </c>
      <c r="T75" s="3">
        <f>MAX(intermediate_results[[#This Row], [Team1 laps '[laps']]:[Team9 laps '[laps']]]) - intermediate_results[[#This Row], [Team1 laps '[laps']]]</f>
        <v>0</v>
      </c>
      <c r="U75" s="3">
        <f>MAX(intermediate_results[[#This Row], [Team1 laps '[laps']]:[Team9 laps '[laps']]]) - intermediate_results[[#This Row], [Team2 laps '[laps']]]</f>
        <v>0</v>
      </c>
      <c r="V75" s="3">
        <f>MAX(intermediate_results[[#This Row], [Team1 laps '[laps']]:[Team9 laps '[laps']]]) - intermediate_results[[#This Row], [Team3 laps '[laps']]]</f>
        <v>0</v>
      </c>
      <c r="W75" s="3">
        <f>MAX(intermediate_results[[#This Row], [Team1 laps '[laps']]:[Team9 laps '[laps']]]) - intermediate_results[[#This Row], [Team4 laps '[laps']]]</f>
        <v>0</v>
      </c>
      <c r="X75" s="3">
        <f>MAX(intermediate_results[[#This Row], [Team1 laps '[laps']]:[Team9 laps '[laps']]]) - intermediate_results[[#This Row], [Team5 laps '[laps']]]</f>
        <v>0</v>
      </c>
      <c r="Y75" s="3">
        <f>MAX(intermediate_results[[#This Row], [Team1 laps '[laps']]:[Team9 laps '[laps']]]) - intermediate_results[[#This Row], [Team6 laps '[laps']]]</f>
        <v>0</v>
      </c>
      <c r="Z75" s="3">
        <f>MAX(intermediate_results[[#This Row], [Team1 laps '[laps']]:[Team9 laps '[laps']]]) - intermediate_results[[#This Row], [Team7 laps '[laps']]]</f>
        <v>0</v>
      </c>
      <c r="AA75" s="3">
        <f>MAX(intermediate_results[[#This Row], [Team1 laps '[laps']]:[Team9 laps '[laps']]]) - intermediate_results[[#This Row], [Team8 laps '[laps']]]</f>
        <v>0</v>
      </c>
      <c r="AB75" s="3">
        <f>MAX(intermediate_results[[#This Row], [Team1 laps '[laps']]:[Team9 laps '[laps']]]) - intermediate_results[[#This Row], [Team9 laps '[laps']]]</f>
        <v>0</v>
      </c>
      <c r="AC75" s="3">
        <f>9 * intermediate_results[[#This Row], [All cumulative times '[sec']]] / SUM(intermediate_results[[#This Row], [Team1 laps '[laps']]:[Team9 laps '[laps']]])</f>
        <v>0</v>
      </c>
      <c r="AD75" s="3">
        <f>intermediate_results[[#This Row], [All cumulative times '[sec']]] / intermediate_results[[#This Row], [Team1 laps '[laps']]] - intermediate_results[[#This Row], [Total running average '[sec']]]</f>
        <v>0</v>
      </c>
      <c r="AE75" s="3">
        <f>intermediate_results[[#This Row], [All cumulative times '[sec']]] / intermediate_results[[#This Row], [Team2 laps '[laps']]] - intermediate_results[[#This Row], [Total running average '[sec']]]</f>
        <v>0</v>
      </c>
      <c r="AF75" s="3">
        <f>intermediate_results[[#This Row], [All cumulative times '[sec']]] / intermediate_results[[#This Row], [Team3 laps '[laps']]] - intermediate_results[[#This Row], [Total running average '[sec']]]</f>
        <v>0</v>
      </c>
      <c r="AG75" s="3">
        <f>intermediate_results[[#This Row], [All cumulative times '[sec']]] / intermediate_results[[#This Row], [Team4 laps '[laps']]] - intermediate_results[[#This Row], [Total running average '[sec']]]</f>
        <v>0</v>
      </c>
      <c r="AH75" s="3">
        <f>intermediate_results[[#This Row], [All cumulative times '[sec']]] / intermediate_results[[#This Row], [Team5 laps '[laps']]] - intermediate_results[[#This Row], [Total running average '[sec']]]</f>
        <v>0</v>
      </c>
      <c r="AI75" s="3">
        <f>intermediate_results[[#This Row], [All cumulative times '[sec']]] / intermediate_results[[#This Row], [Team6 laps '[laps']]] - intermediate_results[[#This Row], [Total running average '[sec']]]</f>
        <v>0</v>
      </c>
      <c r="AJ75" s="3">
        <f>intermediate_results[[#This Row], [All cumulative times '[sec']]] / intermediate_results[[#This Row], [Team7 laps '[laps']]] - intermediate_results[[#This Row], [Total running average '[sec']]]</f>
        <v>0</v>
      </c>
      <c r="AK75" s="3">
        <f>intermediate_results[[#This Row], [All cumulative times '[sec']]] / intermediate_results[[#This Row], [Team8 laps '[laps']]] - intermediate_results[[#This Row], [Total running average '[sec']]]</f>
        <v>0</v>
      </c>
      <c r="AL75" s="3">
        <f>intermediate_results[[#This Row], [All cumulative times '[sec']]] / intermediate_results[[#This Row], [Team9 laps '[laps']]] - intermediate_results[[#This Row], [Total running average '[sec']]]</f>
        <v>0</v>
      </c>
    </row>
    <row r="76" spans="1:38">
      <c r="A76" s="3">
        <v>488.191</v>
      </c>
      <c r="B7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6" s="3">
        <f>intermediate_results[[#This Row], [Team1 laps '[laps']]] - intermediate_results[[#This Row], [Team1 laps '[laps']]]</f>
        <v>0</v>
      </c>
      <c r="L76" s="3">
        <f>intermediate_results[[#This Row], [Team1 laps '[laps']]] - intermediate_results[[#This Row], [Team2 laps '[laps']]]</f>
        <v>0</v>
      </c>
      <c r="M76" s="3">
        <f>intermediate_results[[#This Row], [Team1 laps '[laps']]] - intermediate_results[[#This Row], [Team3 laps '[laps']]]</f>
        <v>0</v>
      </c>
      <c r="N76" s="3">
        <f>intermediate_results[[#This Row], [Team1 laps '[laps']]] - intermediate_results[[#This Row], [Team4 laps '[laps']]]</f>
        <v>0</v>
      </c>
      <c r="O76" s="3">
        <f>intermediate_results[[#This Row], [Team1 laps '[laps']]] - intermediate_results[[#This Row], [Team5 laps '[laps']]]</f>
        <v>0</v>
      </c>
      <c r="P76" s="3">
        <f>intermediate_results[[#This Row], [Team1 laps '[laps']]] - intermediate_results[[#This Row], [Team6 laps '[laps']]]</f>
        <v>0</v>
      </c>
      <c r="Q76" s="3">
        <f>intermediate_results[[#This Row], [Team1 laps '[laps']]] - intermediate_results[[#This Row], [Team7 laps '[laps']]]</f>
        <v>0</v>
      </c>
      <c r="R76" s="3">
        <f>intermediate_results[[#This Row], [Team1 laps '[laps']]] - intermediate_results[[#This Row], [Team8 laps '[laps']]]</f>
        <v>0</v>
      </c>
      <c r="S76" s="3">
        <f>intermediate_results[[#This Row], [Team1 laps '[laps']]] - intermediate_results[[#This Row], [Team9 laps '[laps']]]</f>
        <v>0</v>
      </c>
      <c r="T76" s="3">
        <f>MAX(intermediate_results[[#This Row], [Team1 laps '[laps']]:[Team9 laps '[laps']]]) - intermediate_results[[#This Row], [Team1 laps '[laps']]]</f>
        <v>0</v>
      </c>
      <c r="U76" s="3">
        <f>MAX(intermediate_results[[#This Row], [Team1 laps '[laps']]:[Team9 laps '[laps']]]) - intermediate_results[[#This Row], [Team2 laps '[laps']]]</f>
        <v>0</v>
      </c>
      <c r="V76" s="3">
        <f>MAX(intermediate_results[[#This Row], [Team1 laps '[laps']]:[Team9 laps '[laps']]]) - intermediate_results[[#This Row], [Team3 laps '[laps']]]</f>
        <v>0</v>
      </c>
      <c r="W76" s="3">
        <f>MAX(intermediate_results[[#This Row], [Team1 laps '[laps']]:[Team9 laps '[laps']]]) - intermediate_results[[#This Row], [Team4 laps '[laps']]]</f>
        <v>0</v>
      </c>
      <c r="X76" s="3">
        <f>MAX(intermediate_results[[#This Row], [Team1 laps '[laps']]:[Team9 laps '[laps']]]) - intermediate_results[[#This Row], [Team5 laps '[laps']]]</f>
        <v>0</v>
      </c>
      <c r="Y76" s="3">
        <f>MAX(intermediate_results[[#This Row], [Team1 laps '[laps']]:[Team9 laps '[laps']]]) - intermediate_results[[#This Row], [Team6 laps '[laps']]]</f>
        <v>0</v>
      </c>
      <c r="Z76" s="3">
        <f>MAX(intermediate_results[[#This Row], [Team1 laps '[laps']]:[Team9 laps '[laps']]]) - intermediate_results[[#This Row], [Team7 laps '[laps']]]</f>
        <v>0</v>
      </c>
      <c r="AA76" s="3">
        <f>MAX(intermediate_results[[#This Row], [Team1 laps '[laps']]:[Team9 laps '[laps']]]) - intermediate_results[[#This Row], [Team8 laps '[laps']]]</f>
        <v>0</v>
      </c>
      <c r="AB76" s="3">
        <f>MAX(intermediate_results[[#This Row], [Team1 laps '[laps']]:[Team9 laps '[laps']]]) - intermediate_results[[#This Row], [Team9 laps '[laps']]]</f>
        <v>0</v>
      </c>
      <c r="AC76" s="3">
        <f>9 * intermediate_results[[#This Row], [All cumulative times '[sec']]] / SUM(intermediate_results[[#This Row], [Team1 laps '[laps']]:[Team9 laps '[laps']]])</f>
        <v>0</v>
      </c>
      <c r="AD76" s="3">
        <f>intermediate_results[[#This Row], [All cumulative times '[sec']]] / intermediate_results[[#This Row], [Team1 laps '[laps']]] - intermediate_results[[#This Row], [Total running average '[sec']]]</f>
        <v>0</v>
      </c>
      <c r="AE76" s="3">
        <f>intermediate_results[[#This Row], [All cumulative times '[sec']]] / intermediate_results[[#This Row], [Team2 laps '[laps']]] - intermediate_results[[#This Row], [Total running average '[sec']]]</f>
        <v>0</v>
      </c>
      <c r="AF76" s="3">
        <f>intermediate_results[[#This Row], [All cumulative times '[sec']]] / intermediate_results[[#This Row], [Team3 laps '[laps']]] - intermediate_results[[#This Row], [Total running average '[sec']]]</f>
        <v>0</v>
      </c>
      <c r="AG76" s="3">
        <f>intermediate_results[[#This Row], [All cumulative times '[sec']]] / intermediate_results[[#This Row], [Team4 laps '[laps']]] - intermediate_results[[#This Row], [Total running average '[sec']]]</f>
        <v>0</v>
      </c>
      <c r="AH76" s="3">
        <f>intermediate_results[[#This Row], [All cumulative times '[sec']]] / intermediate_results[[#This Row], [Team5 laps '[laps']]] - intermediate_results[[#This Row], [Total running average '[sec']]]</f>
        <v>0</v>
      </c>
      <c r="AI76" s="3">
        <f>intermediate_results[[#This Row], [All cumulative times '[sec']]] / intermediate_results[[#This Row], [Team6 laps '[laps']]] - intermediate_results[[#This Row], [Total running average '[sec']]]</f>
        <v>0</v>
      </c>
      <c r="AJ76" s="3">
        <f>intermediate_results[[#This Row], [All cumulative times '[sec']]] / intermediate_results[[#This Row], [Team7 laps '[laps']]] - intermediate_results[[#This Row], [Total running average '[sec']]]</f>
        <v>0</v>
      </c>
      <c r="AK76" s="3">
        <f>intermediate_results[[#This Row], [All cumulative times '[sec']]] / intermediate_results[[#This Row], [Team8 laps '[laps']]] - intermediate_results[[#This Row], [Total running average '[sec']]]</f>
        <v>0</v>
      </c>
      <c r="AL76" s="3">
        <f>intermediate_results[[#This Row], [All cumulative times '[sec']]] / intermediate_results[[#This Row], [Team9 laps '[laps']]] - intermediate_results[[#This Row], [Total running average '[sec']]]</f>
        <v>0</v>
      </c>
    </row>
    <row r="77" spans="1:38">
      <c r="A77" s="3">
        <v>497.561</v>
      </c>
      <c r="B7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7" s="3">
        <f>intermediate_results[[#This Row], [Team1 laps '[laps']]] - intermediate_results[[#This Row], [Team1 laps '[laps']]]</f>
        <v>0</v>
      </c>
      <c r="L77" s="3">
        <f>intermediate_results[[#This Row], [Team1 laps '[laps']]] - intermediate_results[[#This Row], [Team2 laps '[laps']]]</f>
        <v>0</v>
      </c>
      <c r="M77" s="3">
        <f>intermediate_results[[#This Row], [Team1 laps '[laps']]] - intermediate_results[[#This Row], [Team3 laps '[laps']]]</f>
        <v>0</v>
      </c>
      <c r="N77" s="3">
        <f>intermediate_results[[#This Row], [Team1 laps '[laps']]] - intermediate_results[[#This Row], [Team4 laps '[laps']]]</f>
        <v>0</v>
      </c>
      <c r="O77" s="3">
        <f>intermediate_results[[#This Row], [Team1 laps '[laps']]] - intermediate_results[[#This Row], [Team5 laps '[laps']]]</f>
        <v>0</v>
      </c>
      <c r="P77" s="3">
        <f>intermediate_results[[#This Row], [Team1 laps '[laps']]] - intermediate_results[[#This Row], [Team6 laps '[laps']]]</f>
        <v>0</v>
      </c>
      <c r="Q77" s="3">
        <f>intermediate_results[[#This Row], [Team1 laps '[laps']]] - intermediate_results[[#This Row], [Team7 laps '[laps']]]</f>
        <v>0</v>
      </c>
      <c r="R77" s="3">
        <f>intermediate_results[[#This Row], [Team1 laps '[laps']]] - intermediate_results[[#This Row], [Team8 laps '[laps']]]</f>
        <v>0</v>
      </c>
      <c r="S77" s="3">
        <f>intermediate_results[[#This Row], [Team1 laps '[laps']]] - intermediate_results[[#This Row], [Team9 laps '[laps']]]</f>
        <v>0</v>
      </c>
      <c r="T77" s="3">
        <f>MAX(intermediate_results[[#This Row], [Team1 laps '[laps']]:[Team9 laps '[laps']]]) - intermediate_results[[#This Row], [Team1 laps '[laps']]]</f>
        <v>0</v>
      </c>
      <c r="U77" s="3">
        <f>MAX(intermediate_results[[#This Row], [Team1 laps '[laps']]:[Team9 laps '[laps']]]) - intermediate_results[[#This Row], [Team2 laps '[laps']]]</f>
        <v>0</v>
      </c>
      <c r="V77" s="3">
        <f>MAX(intermediate_results[[#This Row], [Team1 laps '[laps']]:[Team9 laps '[laps']]]) - intermediate_results[[#This Row], [Team3 laps '[laps']]]</f>
        <v>0</v>
      </c>
      <c r="W77" s="3">
        <f>MAX(intermediate_results[[#This Row], [Team1 laps '[laps']]:[Team9 laps '[laps']]]) - intermediate_results[[#This Row], [Team4 laps '[laps']]]</f>
        <v>0</v>
      </c>
      <c r="X77" s="3">
        <f>MAX(intermediate_results[[#This Row], [Team1 laps '[laps']]:[Team9 laps '[laps']]]) - intermediate_results[[#This Row], [Team5 laps '[laps']]]</f>
        <v>0</v>
      </c>
      <c r="Y77" s="3">
        <f>MAX(intermediate_results[[#This Row], [Team1 laps '[laps']]:[Team9 laps '[laps']]]) - intermediate_results[[#This Row], [Team6 laps '[laps']]]</f>
        <v>0</v>
      </c>
      <c r="Z77" s="3">
        <f>MAX(intermediate_results[[#This Row], [Team1 laps '[laps']]:[Team9 laps '[laps']]]) - intermediate_results[[#This Row], [Team7 laps '[laps']]]</f>
        <v>0</v>
      </c>
      <c r="AA77" s="3">
        <f>MAX(intermediate_results[[#This Row], [Team1 laps '[laps']]:[Team9 laps '[laps']]]) - intermediate_results[[#This Row], [Team8 laps '[laps']]]</f>
        <v>0</v>
      </c>
      <c r="AB77" s="3">
        <f>MAX(intermediate_results[[#This Row], [Team1 laps '[laps']]:[Team9 laps '[laps']]]) - intermediate_results[[#This Row], [Team9 laps '[laps']]]</f>
        <v>0</v>
      </c>
      <c r="AC77" s="3">
        <f>9 * intermediate_results[[#This Row], [All cumulative times '[sec']]] / SUM(intermediate_results[[#This Row], [Team1 laps '[laps']]:[Team9 laps '[laps']]])</f>
        <v>0</v>
      </c>
      <c r="AD77" s="3">
        <f>intermediate_results[[#This Row], [All cumulative times '[sec']]] / intermediate_results[[#This Row], [Team1 laps '[laps']]] - intermediate_results[[#This Row], [Total running average '[sec']]]</f>
        <v>0</v>
      </c>
      <c r="AE77" s="3">
        <f>intermediate_results[[#This Row], [All cumulative times '[sec']]] / intermediate_results[[#This Row], [Team2 laps '[laps']]] - intermediate_results[[#This Row], [Total running average '[sec']]]</f>
        <v>0</v>
      </c>
      <c r="AF77" s="3">
        <f>intermediate_results[[#This Row], [All cumulative times '[sec']]] / intermediate_results[[#This Row], [Team3 laps '[laps']]] - intermediate_results[[#This Row], [Total running average '[sec']]]</f>
        <v>0</v>
      </c>
      <c r="AG77" s="3">
        <f>intermediate_results[[#This Row], [All cumulative times '[sec']]] / intermediate_results[[#This Row], [Team4 laps '[laps']]] - intermediate_results[[#This Row], [Total running average '[sec']]]</f>
        <v>0</v>
      </c>
      <c r="AH77" s="3">
        <f>intermediate_results[[#This Row], [All cumulative times '[sec']]] / intermediate_results[[#This Row], [Team5 laps '[laps']]] - intermediate_results[[#This Row], [Total running average '[sec']]]</f>
        <v>0</v>
      </c>
      <c r="AI77" s="3">
        <f>intermediate_results[[#This Row], [All cumulative times '[sec']]] / intermediate_results[[#This Row], [Team6 laps '[laps']]] - intermediate_results[[#This Row], [Total running average '[sec']]]</f>
        <v>0</v>
      </c>
      <c r="AJ77" s="3">
        <f>intermediate_results[[#This Row], [All cumulative times '[sec']]] / intermediate_results[[#This Row], [Team7 laps '[laps']]] - intermediate_results[[#This Row], [Total running average '[sec']]]</f>
        <v>0</v>
      </c>
      <c r="AK77" s="3">
        <f>intermediate_results[[#This Row], [All cumulative times '[sec']]] / intermediate_results[[#This Row], [Team8 laps '[laps']]] - intermediate_results[[#This Row], [Total running average '[sec']]]</f>
        <v>0</v>
      </c>
      <c r="AL77" s="3">
        <f>intermediate_results[[#This Row], [All cumulative times '[sec']]] / intermediate_results[[#This Row], [Team9 laps '[laps']]] - intermediate_results[[#This Row], [Total running average '[sec']]]</f>
        <v>0</v>
      </c>
    </row>
    <row r="78" spans="1:38">
      <c r="A78" s="3">
        <v>497.723</v>
      </c>
      <c r="B7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8" s="3">
        <f>intermediate_results[[#This Row], [Team1 laps '[laps']]] - intermediate_results[[#This Row], [Team1 laps '[laps']]]</f>
        <v>0</v>
      </c>
      <c r="L78" s="3">
        <f>intermediate_results[[#This Row], [Team1 laps '[laps']]] - intermediate_results[[#This Row], [Team2 laps '[laps']]]</f>
        <v>0</v>
      </c>
      <c r="M78" s="3">
        <f>intermediate_results[[#This Row], [Team1 laps '[laps']]] - intermediate_results[[#This Row], [Team3 laps '[laps']]]</f>
        <v>0</v>
      </c>
      <c r="N78" s="3">
        <f>intermediate_results[[#This Row], [Team1 laps '[laps']]] - intermediate_results[[#This Row], [Team4 laps '[laps']]]</f>
        <v>0</v>
      </c>
      <c r="O78" s="3">
        <f>intermediate_results[[#This Row], [Team1 laps '[laps']]] - intermediate_results[[#This Row], [Team5 laps '[laps']]]</f>
        <v>0</v>
      </c>
      <c r="P78" s="3">
        <f>intermediate_results[[#This Row], [Team1 laps '[laps']]] - intermediate_results[[#This Row], [Team6 laps '[laps']]]</f>
        <v>0</v>
      </c>
      <c r="Q78" s="3">
        <f>intermediate_results[[#This Row], [Team1 laps '[laps']]] - intermediate_results[[#This Row], [Team7 laps '[laps']]]</f>
        <v>0</v>
      </c>
      <c r="R78" s="3">
        <f>intermediate_results[[#This Row], [Team1 laps '[laps']]] - intermediate_results[[#This Row], [Team8 laps '[laps']]]</f>
        <v>0</v>
      </c>
      <c r="S78" s="3">
        <f>intermediate_results[[#This Row], [Team1 laps '[laps']]] - intermediate_results[[#This Row], [Team9 laps '[laps']]]</f>
        <v>0</v>
      </c>
      <c r="T78" s="3">
        <f>MAX(intermediate_results[[#This Row], [Team1 laps '[laps']]:[Team9 laps '[laps']]]) - intermediate_results[[#This Row], [Team1 laps '[laps']]]</f>
        <v>0</v>
      </c>
      <c r="U78" s="3">
        <f>MAX(intermediate_results[[#This Row], [Team1 laps '[laps']]:[Team9 laps '[laps']]]) - intermediate_results[[#This Row], [Team2 laps '[laps']]]</f>
        <v>0</v>
      </c>
      <c r="V78" s="3">
        <f>MAX(intermediate_results[[#This Row], [Team1 laps '[laps']]:[Team9 laps '[laps']]]) - intermediate_results[[#This Row], [Team3 laps '[laps']]]</f>
        <v>0</v>
      </c>
      <c r="W78" s="3">
        <f>MAX(intermediate_results[[#This Row], [Team1 laps '[laps']]:[Team9 laps '[laps']]]) - intermediate_results[[#This Row], [Team4 laps '[laps']]]</f>
        <v>0</v>
      </c>
      <c r="X78" s="3">
        <f>MAX(intermediate_results[[#This Row], [Team1 laps '[laps']]:[Team9 laps '[laps']]]) - intermediate_results[[#This Row], [Team5 laps '[laps']]]</f>
        <v>0</v>
      </c>
      <c r="Y78" s="3">
        <f>MAX(intermediate_results[[#This Row], [Team1 laps '[laps']]:[Team9 laps '[laps']]]) - intermediate_results[[#This Row], [Team6 laps '[laps']]]</f>
        <v>0</v>
      </c>
      <c r="Z78" s="3">
        <f>MAX(intermediate_results[[#This Row], [Team1 laps '[laps']]:[Team9 laps '[laps']]]) - intermediate_results[[#This Row], [Team7 laps '[laps']]]</f>
        <v>0</v>
      </c>
      <c r="AA78" s="3">
        <f>MAX(intermediate_results[[#This Row], [Team1 laps '[laps']]:[Team9 laps '[laps']]]) - intermediate_results[[#This Row], [Team8 laps '[laps']]]</f>
        <v>0</v>
      </c>
      <c r="AB78" s="3">
        <f>MAX(intermediate_results[[#This Row], [Team1 laps '[laps']]:[Team9 laps '[laps']]]) - intermediate_results[[#This Row], [Team9 laps '[laps']]]</f>
        <v>0</v>
      </c>
      <c r="AC78" s="3">
        <f>9 * intermediate_results[[#This Row], [All cumulative times '[sec']]] / SUM(intermediate_results[[#This Row], [Team1 laps '[laps']]:[Team9 laps '[laps']]])</f>
        <v>0</v>
      </c>
      <c r="AD78" s="3">
        <f>intermediate_results[[#This Row], [All cumulative times '[sec']]] / intermediate_results[[#This Row], [Team1 laps '[laps']]] - intermediate_results[[#This Row], [Total running average '[sec']]]</f>
        <v>0</v>
      </c>
      <c r="AE78" s="3">
        <f>intermediate_results[[#This Row], [All cumulative times '[sec']]] / intermediate_results[[#This Row], [Team2 laps '[laps']]] - intermediate_results[[#This Row], [Total running average '[sec']]]</f>
        <v>0</v>
      </c>
      <c r="AF78" s="3">
        <f>intermediate_results[[#This Row], [All cumulative times '[sec']]] / intermediate_results[[#This Row], [Team3 laps '[laps']]] - intermediate_results[[#This Row], [Total running average '[sec']]]</f>
        <v>0</v>
      </c>
      <c r="AG78" s="3">
        <f>intermediate_results[[#This Row], [All cumulative times '[sec']]] / intermediate_results[[#This Row], [Team4 laps '[laps']]] - intermediate_results[[#This Row], [Total running average '[sec']]]</f>
        <v>0</v>
      </c>
      <c r="AH78" s="3">
        <f>intermediate_results[[#This Row], [All cumulative times '[sec']]] / intermediate_results[[#This Row], [Team5 laps '[laps']]] - intermediate_results[[#This Row], [Total running average '[sec']]]</f>
        <v>0</v>
      </c>
      <c r="AI78" s="3">
        <f>intermediate_results[[#This Row], [All cumulative times '[sec']]] / intermediate_results[[#This Row], [Team6 laps '[laps']]] - intermediate_results[[#This Row], [Total running average '[sec']]]</f>
        <v>0</v>
      </c>
      <c r="AJ78" s="3">
        <f>intermediate_results[[#This Row], [All cumulative times '[sec']]] / intermediate_results[[#This Row], [Team7 laps '[laps']]] - intermediate_results[[#This Row], [Total running average '[sec']]]</f>
        <v>0</v>
      </c>
      <c r="AK78" s="3">
        <f>intermediate_results[[#This Row], [All cumulative times '[sec']]] / intermediate_results[[#This Row], [Team8 laps '[laps']]] - intermediate_results[[#This Row], [Total running average '[sec']]]</f>
        <v>0</v>
      </c>
      <c r="AL78" s="3">
        <f>intermediate_results[[#This Row], [All cumulative times '[sec']]] / intermediate_results[[#This Row], [Team9 laps '[laps']]] - intermediate_results[[#This Row], [Total running average '[sec']]]</f>
        <v>0</v>
      </c>
    </row>
    <row r="79" spans="1:38">
      <c r="A79" s="3">
        <v>498.917</v>
      </c>
      <c r="B7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7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7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7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7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7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7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7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7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79" s="3">
        <f>intermediate_results[[#This Row], [Team1 laps '[laps']]] - intermediate_results[[#This Row], [Team1 laps '[laps']]]</f>
        <v>0</v>
      </c>
      <c r="L79" s="3">
        <f>intermediate_results[[#This Row], [Team1 laps '[laps']]] - intermediate_results[[#This Row], [Team2 laps '[laps']]]</f>
        <v>0</v>
      </c>
      <c r="M79" s="3">
        <f>intermediate_results[[#This Row], [Team1 laps '[laps']]] - intermediate_results[[#This Row], [Team3 laps '[laps']]]</f>
        <v>0</v>
      </c>
      <c r="N79" s="3">
        <f>intermediate_results[[#This Row], [Team1 laps '[laps']]] - intermediate_results[[#This Row], [Team4 laps '[laps']]]</f>
        <v>0</v>
      </c>
      <c r="O79" s="3">
        <f>intermediate_results[[#This Row], [Team1 laps '[laps']]] - intermediate_results[[#This Row], [Team5 laps '[laps']]]</f>
        <v>0</v>
      </c>
      <c r="P79" s="3">
        <f>intermediate_results[[#This Row], [Team1 laps '[laps']]] - intermediate_results[[#This Row], [Team6 laps '[laps']]]</f>
        <v>0</v>
      </c>
      <c r="Q79" s="3">
        <f>intermediate_results[[#This Row], [Team1 laps '[laps']]] - intermediate_results[[#This Row], [Team7 laps '[laps']]]</f>
        <v>0</v>
      </c>
      <c r="R79" s="3">
        <f>intermediate_results[[#This Row], [Team1 laps '[laps']]] - intermediate_results[[#This Row], [Team8 laps '[laps']]]</f>
        <v>0</v>
      </c>
      <c r="S79" s="3">
        <f>intermediate_results[[#This Row], [Team1 laps '[laps']]] - intermediate_results[[#This Row], [Team9 laps '[laps']]]</f>
        <v>0</v>
      </c>
      <c r="T79" s="3">
        <f>MAX(intermediate_results[[#This Row], [Team1 laps '[laps']]:[Team9 laps '[laps']]]) - intermediate_results[[#This Row], [Team1 laps '[laps']]]</f>
        <v>0</v>
      </c>
      <c r="U79" s="3">
        <f>MAX(intermediate_results[[#This Row], [Team1 laps '[laps']]:[Team9 laps '[laps']]]) - intermediate_results[[#This Row], [Team2 laps '[laps']]]</f>
        <v>0</v>
      </c>
      <c r="V79" s="3">
        <f>MAX(intermediate_results[[#This Row], [Team1 laps '[laps']]:[Team9 laps '[laps']]]) - intermediate_results[[#This Row], [Team3 laps '[laps']]]</f>
        <v>0</v>
      </c>
      <c r="W79" s="3">
        <f>MAX(intermediate_results[[#This Row], [Team1 laps '[laps']]:[Team9 laps '[laps']]]) - intermediate_results[[#This Row], [Team4 laps '[laps']]]</f>
        <v>0</v>
      </c>
      <c r="X79" s="3">
        <f>MAX(intermediate_results[[#This Row], [Team1 laps '[laps']]:[Team9 laps '[laps']]]) - intermediate_results[[#This Row], [Team5 laps '[laps']]]</f>
        <v>0</v>
      </c>
      <c r="Y79" s="3">
        <f>MAX(intermediate_results[[#This Row], [Team1 laps '[laps']]:[Team9 laps '[laps']]]) - intermediate_results[[#This Row], [Team6 laps '[laps']]]</f>
        <v>0</v>
      </c>
      <c r="Z79" s="3">
        <f>MAX(intermediate_results[[#This Row], [Team1 laps '[laps']]:[Team9 laps '[laps']]]) - intermediate_results[[#This Row], [Team7 laps '[laps']]]</f>
        <v>0</v>
      </c>
      <c r="AA79" s="3">
        <f>MAX(intermediate_results[[#This Row], [Team1 laps '[laps']]:[Team9 laps '[laps']]]) - intermediate_results[[#This Row], [Team8 laps '[laps']]]</f>
        <v>0</v>
      </c>
      <c r="AB79" s="3">
        <f>MAX(intermediate_results[[#This Row], [Team1 laps '[laps']]:[Team9 laps '[laps']]]) - intermediate_results[[#This Row], [Team9 laps '[laps']]]</f>
        <v>0</v>
      </c>
      <c r="AC79" s="3">
        <f>9 * intermediate_results[[#This Row], [All cumulative times '[sec']]] / SUM(intermediate_results[[#This Row], [Team1 laps '[laps']]:[Team9 laps '[laps']]])</f>
        <v>0</v>
      </c>
      <c r="AD79" s="3">
        <f>intermediate_results[[#This Row], [All cumulative times '[sec']]] / intermediate_results[[#This Row], [Team1 laps '[laps']]] - intermediate_results[[#This Row], [Total running average '[sec']]]</f>
        <v>0</v>
      </c>
      <c r="AE79" s="3">
        <f>intermediate_results[[#This Row], [All cumulative times '[sec']]] / intermediate_results[[#This Row], [Team2 laps '[laps']]] - intermediate_results[[#This Row], [Total running average '[sec']]]</f>
        <v>0</v>
      </c>
      <c r="AF79" s="3">
        <f>intermediate_results[[#This Row], [All cumulative times '[sec']]] / intermediate_results[[#This Row], [Team3 laps '[laps']]] - intermediate_results[[#This Row], [Total running average '[sec']]]</f>
        <v>0</v>
      </c>
      <c r="AG79" s="3">
        <f>intermediate_results[[#This Row], [All cumulative times '[sec']]] / intermediate_results[[#This Row], [Team4 laps '[laps']]] - intermediate_results[[#This Row], [Total running average '[sec']]]</f>
        <v>0</v>
      </c>
      <c r="AH79" s="3">
        <f>intermediate_results[[#This Row], [All cumulative times '[sec']]] / intermediate_results[[#This Row], [Team5 laps '[laps']]] - intermediate_results[[#This Row], [Total running average '[sec']]]</f>
        <v>0</v>
      </c>
      <c r="AI79" s="3">
        <f>intermediate_results[[#This Row], [All cumulative times '[sec']]] / intermediate_results[[#This Row], [Team6 laps '[laps']]] - intermediate_results[[#This Row], [Total running average '[sec']]]</f>
        <v>0</v>
      </c>
      <c r="AJ79" s="3">
        <f>intermediate_results[[#This Row], [All cumulative times '[sec']]] / intermediate_results[[#This Row], [Team7 laps '[laps']]] - intermediate_results[[#This Row], [Total running average '[sec']]]</f>
        <v>0</v>
      </c>
      <c r="AK79" s="3">
        <f>intermediate_results[[#This Row], [All cumulative times '[sec']]] / intermediate_results[[#This Row], [Team8 laps '[laps']]] - intermediate_results[[#This Row], [Total running average '[sec']]]</f>
        <v>0</v>
      </c>
      <c r="AL79" s="3">
        <f>intermediate_results[[#This Row], [All cumulative times '[sec']]] / intermediate_results[[#This Row], [Team9 laps '[laps']]] - intermediate_results[[#This Row], [Total running average '[sec']]]</f>
        <v>0</v>
      </c>
    </row>
    <row r="80" spans="1:38">
      <c r="A80" s="3">
        <v>502.585</v>
      </c>
      <c r="B8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0" s="3">
        <f>intermediate_results[[#This Row], [Team1 laps '[laps']]] - intermediate_results[[#This Row], [Team1 laps '[laps']]]</f>
        <v>0</v>
      </c>
      <c r="L80" s="3">
        <f>intermediate_results[[#This Row], [Team1 laps '[laps']]] - intermediate_results[[#This Row], [Team2 laps '[laps']]]</f>
        <v>0</v>
      </c>
      <c r="M80" s="3">
        <f>intermediate_results[[#This Row], [Team1 laps '[laps']]] - intermediate_results[[#This Row], [Team3 laps '[laps']]]</f>
        <v>0</v>
      </c>
      <c r="N80" s="3">
        <f>intermediate_results[[#This Row], [Team1 laps '[laps']]] - intermediate_results[[#This Row], [Team4 laps '[laps']]]</f>
        <v>0</v>
      </c>
      <c r="O80" s="3">
        <f>intermediate_results[[#This Row], [Team1 laps '[laps']]] - intermediate_results[[#This Row], [Team5 laps '[laps']]]</f>
        <v>0</v>
      </c>
      <c r="P80" s="3">
        <f>intermediate_results[[#This Row], [Team1 laps '[laps']]] - intermediate_results[[#This Row], [Team6 laps '[laps']]]</f>
        <v>0</v>
      </c>
      <c r="Q80" s="3">
        <f>intermediate_results[[#This Row], [Team1 laps '[laps']]] - intermediate_results[[#This Row], [Team7 laps '[laps']]]</f>
        <v>0</v>
      </c>
      <c r="R80" s="3">
        <f>intermediate_results[[#This Row], [Team1 laps '[laps']]] - intermediate_results[[#This Row], [Team8 laps '[laps']]]</f>
        <v>0</v>
      </c>
      <c r="S80" s="3">
        <f>intermediate_results[[#This Row], [Team1 laps '[laps']]] - intermediate_results[[#This Row], [Team9 laps '[laps']]]</f>
        <v>0</v>
      </c>
      <c r="T80" s="3">
        <f>MAX(intermediate_results[[#This Row], [Team1 laps '[laps']]:[Team9 laps '[laps']]]) - intermediate_results[[#This Row], [Team1 laps '[laps']]]</f>
        <v>0</v>
      </c>
      <c r="U80" s="3">
        <f>MAX(intermediate_results[[#This Row], [Team1 laps '[laps']]:[Team9 laps '[laps']]]) - intermediate_results[[#This Row], [Team2 laps '[laps']]]</f>
        <v>0</v>
      </c>
      <c r="V80" s="3">
        <f>MAX(intermediate_results[[#This Row], [Team1 laps '[laps']]:[Team9 laps '[laps']]]) - intermediate_results[[#This Row], [Team3 laps '[laps']]]</f>
        <v>0</v>
      </c>
      <c r="W80" s="3">
        <f>MAX(intermediate_results[[#This Row], [Team1 laps '[laps']]:[Team9 laps '[laps']]]) - intermediate_results[[#This Row], [Team4 laps '[laps']]]</f>
        <v>0</v>
      </c>
      <c r="X80" s="3">
        <f>MAX(intermediate_results[[#This Row], [Team1 laps '[laps']]:[Team9 laps '[laps']]]) - intermediate_results[[#This Row], [Team5 laps '[laps']]]</f>
        <v>0</v>
      </c>
      <c r="Y80" s="3">
        <f>MAX(intermediate_results[[#This Row], [Team1 laps '[laps']]:[Team9 laps '[laps']]]) - intermediate_results[[#This Row], [Team6 laps '[laps']]]</f>
        <v>0</v>
      </c>
      <c r="Z80" s="3">
        <f>MAX(intermediate_results[[#This Row], [Team1 laps '[laps']]:[Team9 laps '[laps']]]) - intermediate_results[[#This Row], [Team7 laps '[laps']]]</f>
        <v>0</v>
      </c>
      <c r="AA80" s="3">
        <f>MAX(intermediate_results[[#This Row], [Team1 laps '[laps']]:[Team9 laps '[laps']]]) - intermediate_results[[#This Row], [Team8 laps '[laps']]]</f>
        <v>0</v>
      </c>
      <c r="AB80" s="3">
        <f>MAX(intermediate_results[[#This Row], [Team1 laps '[laps']]:[Team9 laps '[laps']]]) - intermediate_results[[#This Row], [Team9 laps '[laps']]]</f>
        <v>0</v>
      </c>
      <c r="AC80" s="3">
        <f>9 * intermediate_results[[#This Row], [All cumulative times '[sec']]] / SUM(intermediate_results[[#This Row], [Team1 laps '[laps']]:[Team9 laps '[laps']]])</f>
        <v>0</v>
      </c>
      <c r="AD80" s="3">
        <f>intermediate_results[[#This Row], [All cumulative times '[sec']]] / intermediate_results[[#This Row], [Team1 laps '[laps']]] - intermediate_results[[#This Row], [Total running average '[sec']]]</f>
        <v>0</v>
      </c>
      <c r="AE80" s="3">
        <f>intermediate_results[[#This Row], [All cumulative times '[sec']]] / intermediate_results[[#This Row], [Team2 laps '[laps']]] - intermediate_results[[#This Row], [Total running average '[sec']]]</f>
        <v>0</v>
      </c>
      <c r="AF80" s="3">
        <f>intermediate_results[[#This Row], [All cumulative times '[sec']]] / intermediate_results[[#This Row], [Team3 laps '[laps']]] - intermediate_results[[#This Row], [Total running average '[sec']]]</f>
        <v>0</v>
      </c>
      <c r="AG80" s="3">
        <f>intermediate_results[[#This Row], [All cumulative times '[sec']]] / intermediate_results[[#This Row], [Team4 laps '[laps']]] - intermediate_results[[#This Row], [Total running average '[sec']]]</f>
        <v>0</v>
      </c>
      <c r="AH80" s="3">
        <f>intermediate_results[[#This Row], [All cumulative times '[sec']]] / intermediate_results[[#This Row], [Team5 laps '[laps']]] - intermediate_results[[#This Row], [Total running average '[sec']]]</f>
        <v>0</v>
      </c>
      <c r="AI80" s="3">
        <f>intermediate_results[[#This Row], [All cumulative times '[sec']]] / intermediate_results[[#This Row], [Team6 laps '[laps']]] - intermediate_results[[#This Row], [Total running average '[sec']]]</f>
        <v>0</v>
      </c>
      <c r="AJ80" s="3">
        <f>intermediate_results[[#This Row], [All cumulative times '[sec']]] / intermediate_results[[#This Row], [Team7 laps '[laps']]] - intermediate_results[[#This Row], [Total running average '[sec']]]</f>
        <v>0</v>
      </c>
      <c r="AK80" s="3">
        <f>intermediate_results[[#This Row], [All cumulative times '[sec']]] / intermediate_results[[#This Row], [Team8 laps '[laps']]] - intermediate_results[[#This Row], [Total running average '[sec']]]</f>
        <v>0</v>
      </c>
      <c r="AL80" s="3">
        <f>intermediate_results[[#This Row], [All cumulative times '[sec']]] / intermediate_results[[#This Row], [Team9 laps '[laps']]] - intermediate_results[[#This Row], [Total running average '[sec']]]</f>
        <v>0</v>
      </c>
    </row>
    <row r="81" spans="1:38">
      <c r="A81" s="3">
        <v>509.871</v>
      </c>
      <c r="B8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1" s="3">
        <f>intermediate_results[[#This Row], [Team1 laps '[laps']]] - intermediate_results[[#This Row], [Team1 laps '[laps']]]</f>
        <v>0</v>
      </c>
      <c r="L81" s="3">
        <f>intermediate_results[[#This Row], [Team1 laps '[laps']]] - intermediate_results[[#This Row], [Team2 laps '[laps']]]</f>
        <v>0</v>
      </c>
      <c r="M81" s="3">
        <f>intermediate_results[[#This Row], [Team1 laps '[laps']]] - intermediate_results[[#This Row], [Team3 laps '[laps']]]</f>
        <v>0</v>
      </c>
      <c r="N81" s="3">
        <f>intermediate_results[[#This Row], [Team1 laps '[laps']]] - intermediate_results[[#This Row], [Team4 laps '[laps']]]</f>
        <v>0</v>
      </c>
      <c r="O81" s="3">
        <f>intermediate_results[[#This Row], [Team1 laps '[laps']]] - intermediate_results[[#This Row], [Team5 laps '[laps']]]</f>
        <v>0</v>
      </c>
      <c r="P81" s="3">
        <f>intermediate_results[[#This Row], [Team1 laps '[laps']]] - intermediate_results[[#This Row], [Team6 laps '[laps']]]</f>
        <v>0</v>
      </c>
      <c r="Q81" s="3">
        <f>intermediate_results[[#This Row], [Team1 laps '[laps']]] - intermediate_results[[#This Row], [Team7 laps '[laps']]]</f>
        <v>0</v>
      </c>
      <c r="R81" s="3">
        <f>intermediate_results[[#This Row], [Team1 laps '[laps']]] - intermediate_results[[#This Row], [Team8 laps '[laps']]]</f>
        <v>0</v>
      </c>
      <c r="S81" s="3">
        <f>intermediate_results[[#This Row], [Team1 laps '[laps']]] - intermediate_results[[#This Row], [Team9 laps '[laps']]]</f>
        <v>0</v>
      </c>
      <c r="T81" s="3">
        <f>MAX(intermediate_results[[#This Row], [Team1 laps '[laps']]:[Team9 laps '[laps']]]) - intermediate_results[[#This Row], [Team1 laps '[laps']]]</f>
        <v>0</v>
      </c>
      <c r="U81" s="3">
        <f>MAX(intermediate_results[[#This Row], [Team1 laps '[laps']]:[Team9 laps '[laps']]]) - intermediate_results[[#This Row], [Team2 laps '[laps']]]</f>
        <v>0</v>
      </c>
      <c r="V81" s="3">
        <f>MAX(intermediate_results[[#This Row], [Team1 laps '[laps']]:[Team9 laps '[laps']]]) - intermediate_results[[#This Row], [Team3 laps '[laps']]]</f>
        <v>0</v>
      </c>
      <c r="W81" s="3">
        <f>MAX(intermediate_results[[#This Row], [Team1 laps '[laps']]:[Team9 laps '[laps']]]) - intermediate_results[[#This Row], [Team4 laps '[laps']]]</f>
        <v>0</v>
      </c>
      <c r="X81" s="3">
        <f>MAX(intermediate_results[[#This Row], [Team1 laps '[laps']]:[Team9 laps '[laps']]]) - intermediate_results[[#This Row], [Team5 laps '[laps']]]</f>
        <v>0</v>
      </c>
      <c r="Y81" s="3">
        <f>MAX(intermediate_results[[#This Row], [Team1 laps '[laps']]:[Team9 laps '[laps']]]) - intermediate_results[[#This Row], [Team6 laps '[laps']]]</f>
        <v>0</v>
      </c>
      <c r="Z81" s="3">
        <f>MAX(intermediate_results[[#This Row], [Team1 laps '[laps']]:[Team9 laps '[laps']]]) - intermediate_results[[#This Row], [Team7 laps '[laps']]]</f>
        <v>0</v>
      </c>
      <c r="AA81" s="3">
        <f>MAX(intermediate_results[[#This Row], [Team1 laps '[laps']]:[Team9 laps '[laps']]]) - intermediate_results[[#This Row], [Team8 laps '[laps']]]</f>
        <v>0</v>
      </c>
      <c r="AB81" s="3">
        <f>MAX(intermediate_results[[#This Row], [Team1 laps '[laps']]:[Team9 laps '[laps']]]) - intermediate_results[[#This Row], [Team9 laps '[laps']]]</f>
        <v>0</v>
      </c>
      <c r="AC81" s="3">
        <f>9 * intermediate_results[[#This Row], [All cumulative times '[sec']]] / SUM(intermediate_results[[#This Row], [Team1 laps '[laps']]:[Team9 laps '[laps']]])</f>
        <v>0</v>
      </c>
      <c r="AD81" s="3">
        <f>intermediate_results[[#This Row], [All cumulative times '[sec']]] / intermediate_results[[#This Row], [Team1 laps '[laps']]] - intermediate_results[[#This Row], [Total running average '[sec']]]</f>
        <v>0</v>
      </c>
      <c r="AE81" s="3">
        <f>intermediate_results[[#This Row], [All cumulative times '[sec']]] / intermediate_results[[#This Row], [Team2 laps '[laps']]] - intermediate_results[[#This Row], [Total running average '[sec']]]</f>
        <v>0</v>
      </c>
      <c r="AF81" s="3">
        <f>intermediate_results[[#This Row], [All cumulative times '[sec']]] / intermediate_results[[#This Row], [Team3 laps '[laps']]] - intermediate_results[[#This Row], [Total running average '[sec']]]</f>
        <v>0</v>
      </c>
      <c r="AG81" s="3">
        <f>intermediate_results[[#This Row], [All cumulative times '[sec']]] / intermediate_results[[#This Row], [Team4 laps '[laps']]] - intermediate_results[[#This Row], [Total running average '[sec']]]</f>
        <v>0</v>
      </c>
      <c r="AH81" s="3">
        <f>intermediate_results[[#This Row], [All cumulative times '[sec']]] / intermediate_results[[#This Row], [Team5 laps '[laps']]] - intermediate_results[[#This Row], [Total running average '[sec']]]</f>
        <v>0</v>
      </c>
      <c r="AI81" s="3">
        <f>intermediate_results[[#This Row], [All cumulative times '[sec']]] / intermediate_results[[#This Row], [Team6 laps '[laps']]] - intermediate_results[[#This Row], [Total running average '[sec']]]</f>
        <v>0</v>
      </c>
      <c r="AJ81" s="3">
        <f>intermediate_results[[#This Row], [All cumulative times '[sec']]] / intermediate_results[[#This Row], [Team7 laps '[laps']]] - intermediate_results[[#This Row], [Total running average '[sec']]]</f>
        <v>0</v>
      </c>
      <c r="AK81" s="3">
        <f>intermediate_results[[#This Row], [All cumulative times '[sec']]] / intermediate_results[[#This Row], [Team8 laps '[laps']]] - intermediate_results[[#This Row], [Total running average '[sec']]]</f>
        <v>0</v>
      </c>
      <c r="AL81" s="3">
        <f>intermediate_results[[#This Row], [All cumulative times '[sec']]] / intermediate_results[[#This Row], [Team9 laps '[laps']]] - intermediate_results[[#This Row], [Total running average '[sec']]]</f>
        <v>0</v>
      </c>
    </row>
    <row r="82" spans="1:38">
      <c r="A82" s="3">
        <v>511.538</v>
      </c>
      <c r="B8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2" s="3">
        <f>intermediate_results[[#This Row], [Team1 laps '[laps']]] - intermediate_results[[#This Row], [Team1 laps '[laps']]]</f>
        <v>0</v>
      </c>
      <c r="L82" s="3">
        <f>intermediate_results[[#This Row], [Team1 laps '[laps']]] - intermediate_results[[#This Row], [Team2 laps '[laps']]]</f>
        <v>0</v>
      </c>
      <c r="M82" s="3">
        <f>intermediate_results[[#This Row], [Team1 laps '[laps']]] - intermediate_results[[#This Row], [Team3 laps '[laps']]]</f>
        <v>0</v>
      </c>
      <c r="N82" s="3">
        <f>intermediate_results[[#This Row], [Team1 laps '[laps']]] - intermediate_results[[#This Row], [Team4 laps '[laps']]]</f>
        <v>0</v>
      </c>
      <c r="O82" s="3">
        <f>intermediate_results[[#This Row], [Team1 laps '[laps']]] - intermediate_results[[#This Row], [Team5 laps '[laps']]]</f>
        <v>0</v>
      </c>
      <c r="P82" s="3">
        <f>intermediate_results[[#This Row], [Team1 laps '[laps']]] - intermediate_results[[#This Row], [Team6 laps '[laps']]]</f>
        <v>0</v>
      </c>
      <c r="Q82" s="3">
        <f>intermediate_results[[#This Row], [Team1 laps '[laps']]] - intermediate_results[[#This Row], [Team7 laps '[laps']]]</f>
        <v>0</v>
      </c>
      <c r="R82" s="3">
        <f>intermediate_results[[#This Row], [Team1 laps '[laps']]] - intermediate_results[[#This Row], [Team8 laps '[laps']]]</f>
        <v>0</v>
      </c>
      <c r="S82" s="3">
        <f>intermediate_results[[#This Row], [Team1 laps '[laps']]] - intermediate_results[[#This Row], [Team9 laps '[laps']]]</f>
        <v>0</v>
      </c>
      <c r="T82" s="3">
        <f>MAX(intermediate_results[[#This Row], [Team1 laps '[laps']]:[Team9 laps '[laps']]]) - intermediate_results[[#This Row], [Team1 laps '[laps']]]</f>
        <v>0</v>
      </c>
      <c r="U82" s="3">
        <f>MAX(intermediate_results[[#This Row], [Team1 laps '[laps']]:[Team9 laps '[laps']]]) - intermediate_results[[#This Row], [Team2 laps '[laps']]]</f>
        <v>0</v>
      </c>
      <c r="V82" s="3">
        <f>MAX(intermediate_results[[#This Row], [Team1 laps '[laps']]:[Team9 laps '[laps']]]) - intermediate_results[[#This Row], [Team3 laps '[laps']]]</f>
        <v>0</v>
      </c>
      <c r="W82" s="3">
        <f>MAX(intermediate_results[[#This Row], [Team1 laps '[laps']]:[Team9 laps '[laps']]]) - intermediate_results[[#This Row], [Team4 laps '[laps']]]</f>
        <v>0</v>
      </c>
      <c r="X82" s="3">
        <f>MAX(intermediate_results[[#This Row], [Team1 laps '[laps']]:[Team9 laps '[laps']]]) - intermediate_results[[#This Row], [Team5 laps '[laps']]]</f>
        <v>0</v>
      </c>
      <c r="Y82" s="3">
        <f>MAX(intermediate_results[[#This Row], [Team1 laps '[laps']]:[Team9 laps '[laps']]]) - intermediate_results[[#This Row], [Team6 laps '[laps']]]</f>
        <v>0</v>
      </c>
      <c r="Z82" s="3">
        <f>MAX(intermediate_results[[#This Row], [Team1 laps '[laps']]:[Team9 laps '[laps']]]) - intermediate_results[[#This Row], [Team7 laps '[laps']]]</f>
        <v>0</v>
      </c>
      <c r="AA82" s="3">
        <f>MAX(intermediate_results[[#This Row], [Team1 laps '[laps']]:[Team9 laps '[laps']]]) - intermediate_results[[#This Row], [Team8 laps '[laps']]]</f>
        <v>0</v>
      </c>
      <c r="AB82" s="3">
        <f>MAX(intermediate_results[[#This Row], [Team1 laps '[laps']]:[Team9 laps '[laps']]]) - intermediate_results[[#This Row], [Team9 laps '[laps']]]</f>
        <v>0</v>
      </c>
      <c r="AC82" s="3">
        <f>9 * intermediate_results[[#This Row], [All cumulative times '[sec']]] / SUM(intermediate_results[[#This Row], [Team1 laps '[laps']]:[Team9 laps '[laps']]])</f>
        <v>0</v>
      </c>
      <c r="AD82" s="3">
        <f>intermediate_results[[#This Row], [All cumulative times '[sec']]] / intermediate_results[[#This Row], [Team1 laps '[laps']]] - intermediate_results[[#This Row], [Total running average '[sec']]]</f>
        <v>0</v>
      </c>
      <c r="AE82" s="3">
        <f>intermediate_results[[#This Row], [All cumulative times '[sec']]] / intermediate_results[[#This Row], [Team2 laps '[laps']]] - intermediate_results[[#This Row], [Total running average '[sec']]]</f>
        <v>0</v>
      </c>
      <c r="AF82" s="3">
        <f>intermediate_results[[#This Row], [All cumulative times '[sec']]] / intermediate_results[[#This Row], [Team3 laps '[laps']]] - intermediate_results[[#This Row], [Total running average '[sec']]]</f>
        <v>0</v>
      </c>
      <c r="AG82" s="3">
        <f>intermediate_results[[#This Row], [All cumulative times '[sec']]] / intermediate_results[[#This Row], [Team4 laps '[laps']]] - intermediate_results[[#This Row], [Total running average '[sec']]]</f>
        <v>0</v>
      </c>
      <c r="AH82" s="3">
        <f>intermediate_results[[#This Row], [All cumulative times '[sec']]] / intermediate_results[[#This Row], [Team5 laps '[laps']]] - intermediate_results[[#This Row], [Total running average '[sec']]]</f>
        <v>0</v>
      </c>
      <c r="AI82" s="3">
        <f>intermediate_results[[#This Row], [All cumulative times '[sec']]] / intermediate_results[[#This Row], [Team6 laps '[laps']]] - intermediate_results[[#This Row], [Total running average '[sec']]]</f>
        <v>0</v>
      </c>
      <c r="AJ82" s="3">
        <f>intermediate_results[[#This Row], [All cumulative times '[sec']]] / intermediate_results[[#This Row], [Team7 laps '[laps']]] - intermediate_results[[#This Row], [Total running average '[sec']]]</f>
        <v>0</v>
      </c>
      <c r="AK82" s="3">
        <f>intermediate_results[[#This Row], [All cumulative times '[sec']]] / intermediate_results[[#This Row], [Team8 laps '[laps']]] - intermediate_results[[#This Row], [Total running average '[sec']]]</f>
        <v>0</v>
      </c>
      <c r="AL82" s="3">
        <f>intermediate_results[[#This Row], [All cumulative times '[sec']]] / intermediate_results[[#This Row], [Team9 laps '[laps']]] - intermediate_results[[#This Row], [Total running average '[sec']]]</f>
        <v>0</v>
      </c>
    </row>
    <row r="83" spans="1:38">
      <c r="A83" s="3">
        <v>530.6529999999999</v>
      </c>
      <c r="B8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3" s="3">
        <f>intermediate_results[[#This Row], [Team1 laps '[laps']]] - intermediate_results[[#This Row], [Team1 laps '[laps']]]</f>
        <v>0</v>
      </c>
      <c r="L83" s="3">
        <f>intermediate_results[[#This Row], [Team1 laps '[laps']]] - intermediate_results[[#This Row], [Team2 laps '[laps']]]</f>
        <v>0</v>
      </c>
      <c r="M83" s="3">
        <f>intermediate_results[[#This Row], [Team1 laps '[laps']]] - intermediate_results[[#This Row], [Team3 laps '[laps']]]</f>
        <v>0</v>
      </c>
      <c r="N83" s="3">
        <f>intermediate_results[[#This Row], [Team1 laps '[laps']]] - intermediate_results[[#This Row], [Team4 laps '[laps']]]</f>
        <v>0</v>
      </c>
      <c r="O83" s="3">
        <f>intermediate_results[[#This Row], [Team1 laps '[laps']]] - intermediate_results[[#This Row], [Team5 laps '[laps']]]</f>
        <v>0</v>
      </c>
      <c r="P83" s="3">
        <f>intermediate_results[[#This Row], [Team1 laps '[laps']]] - intermediate_results[[#This Row], [Team6 laps '[laps']]]</f>
        <v>0</v>
      </c>
      <c r="Q83" s="3">
        <f>intermediate_results[[#This Row], [Team1 laps '[laps']]] - intermediate_results[[#This Row], [Team7 laps '[laps']]]</f>
        <v>0</v>
      </c>
      <c r="R83" s="3">
        <f>intermediate_results[[#This Row], [Team1 laps '[laps']]] - intermediate_results[[#This Row], [Team8 laps '[laps']]]</f>
        <v>0</v>
      </c>
      <c r="S83" s="3">
        <f>intermediate_results[[#This Row], [Team1 laps '[laps']]] - intermediate_results[[#This Row], [Team9 laps '[laps']]]</f>
        <v>0</v>
      </c>
      <c r="T83" s="3">
        <f>MAX(intermediate_results[[#This Row], [Team1 laps '[laps']]:[Team9 laps '[laps']]]) - intermediate_results[[#This Row], [Team1 laps '[laps']]]</f>
        <v>0</v>
      </c>
      <c r="U83" s="3">
        <f>MAX(intermediate_results[[#This Row], [Team1 laps '[laps']]:[Team9 laps '[laps']]]) - intermediate_results[[#This Row], [Team2 laps '[laps']]]</f>
        <v>0</v>
      </c>
      <c r="V83" s="3">
        <f>MAX(intermediate_results[[#This Row], [Team1 laps '[laps']]:[Team9 laps '[laps']]]) - intermediate_results[[#This Row], [Team3 laps '[laps']]]</f>
        <v>0</v>
      </c>
      <c r="W83" s="3">
        <f>MAX(intermediate_results[[#This Row], [Team1 laps '[laps']]:[Team9 laps '[laps']]]) - intermediate_results[[#This Row], [Team4 laps '[laps']]]</f>
        <v>0</v>
      </c>
      <c r="X83" s="3">
        <f>MAX(intermediate_results[[#This Row], [Team1 laps '[laps']]:[Team9 laps '[laps']]]) - intermediate_results[[#This Row], [Team5 laps '[laps']]]</f>
        <v>0</v>
      </c>
      <c r="Y83" s="3">
        <f>MAX(intermediate_results[[#This Row], [Team1 laps '[laps']]:[Team9 laps '[laps']]]) - intermediate_results[[#This Row], [Team6 laps '[laps']]]</f>
        <v>0</v>
      </c>
      <c r="Z83" s="3">
        <f>MAX(intermediate_results[[#This Row], [Team1 laps '[laps']]:[Team9 laps '[laps']]]) - intermediate_results[[#This Row], [Team7 laps '[laps']]]</f>
        <v>0</v>
      </c>
      <c r="AA83" s="3">
        <f>MAX(intermediate_results[[#This Row], [Team1 laps '[laps']]:[Team9 laps '[laps']]]) - intermediate_results[[#This Row], [Team8 laps '[laps']]]</f>
        <v>0</v>
      </c>
      <c r="AB83" s="3">
        <f>MAX(intermediate_results[[#This Row], [Team1 laps '[laps']]:[Team9 laps '[laps']]]) - intermediate_results[[#This Row], [Team9 laps '[laps']]]</f>
        <v>0</v>
      </c>
      <c r="AC83" s="3">
        <f>9 * intermediate_results[[#This Row], [All cumulative times '[sec']]] / SUM(intermediate_results[[#This Row], [Team1 laps '[laps']]:[Team9 laps '[laps']]])</f>
        <v>0</v>
      </c>
      <c r="AD83" s="3">
        <f>intermediate_results[[#This Row], [All cumulative times '[sec']]] / intermediate_results[[#This Row], [Team1 laps '[laps']]] - intermediate_results[[#This Row], [Total running average '[sec']]]</f>
        <v>0</v>
      </c>
      <c r="AE83" s="3">
        <f>intermediate_results[[#This Row], [All cumulative times '[sec']]] / intermediate_results[[#This Row], [Team2 laps '[laps']]] - intermediate_results[[#This Row], [Total running average '[sec']]]</f>
        <v>0</v>
      </c>
      <c r="AF83" s="3">
        <f>intermediate_results[[#This Row], [All cumulative times '[sec']]] / intermediate_results[[#This Row], [Team3 laps '[laps']]] - intermediate_results[[#This Row], [Total running average '[sec']]]</f>
        <v>0</v>
      </c>
      <c r="AG83" s="3">
        <f>intermediate_results[[#This Row], [All cumulative times '[sec']]] / intermediate_results[[#This Row], [Team4 laps '[laps']]] - intermediate_results[[#This Row], [Total running average '[sec']]]</f>
        <v>0</v>
      </c>
      <c r="AH83" s="3">
        <f>intermediate_results[[#This Row], [All cumulative times '[sec']]] / intermediate_results[[#This Row], [Team5 laps '[laps']]] - intermediate_results[[#This Row], [Total running average '[sec']]]</f>
        <v>0</v>
      </c>
      <c r="AI83" s="3">
        <f>intermediate_results[[#This Row], [All cumulative times '[sec']]] / intermediate_results[[#This Row], [Team6 laps '[laps']]] - intermediate_results[[#This Row], [Total running average '[sec']]]</f>
        <v>0</v>
      </c>
      <c r="AJ83" s="3">
        <f>intermediate_results[[#This Row], [All cumulative times '[sec']]] / intermediate_results[[#This Row], [Team7 laps '[laps']]] - intermediate_results[[#This Row], [Total running average '[sec']]]</f>
        <v>0</v>
      </c>
      <c r="AK83" s="3">
        <f>intermediate_results[[#This Row], [All cumulative times '[sec']]] / intermediate_results[[#This Row], [Team8 laps '[laps']]] - intermediate_results[[#This Row], [Total running average '[sec']]]</f>
        <v>0</v>
      </c>
      <c r="AL83" s="3">
        <f>intermediate_results[[#This Row], [All cumulative times '[sec']]] / intermediate_results[[#This Row], [Team9 laps '[laps']]] - intermediate_results[[#This Row], [Total running average '[sec']]]</f>
        <v>0</v>
      </c>
    </row>
    <row r="84" spans="1:38">
      <c r="A84" s="3">
        <v>532.333</v>
      </c>
      <c r="B8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4" s="3">
        <f>intermediate_results[[#This Row], [Team1 laps '[laps']]] - intermediate_results[[#This Row], [Team1 laps '[laps']]]</f>
        <v>0</v>
      </c>
      <c r="L84" s="3">
        <f>intermediate_results[[#This Row], [Team1 laps '[laps']]] - intermediate_results[[#This Row], [Team2 laps '[laps']]]</f>
        <v>0</v>
      </c>
      <c r="M84" s="3">
        <f>intermediate_results[[#This Row], [Team1 laps '[laps']]] - intermediate_results[[#This Row], [Team3 laps '[laps']]]</f>
        <v>0</v>
      </c>
      <c r="N84" s="3">
        <f>intermediate_results[[#This Row], [Team1 laps '[laps']]] - intermediate_results[[#This Row], [Team4 laps '[laps']]]</f>
        <v>0</v>
      </c>
      <c r="O84" s="3">
        <f>intermediate_results[[#This Row], [Team1 laps '[laps']]] - intermediate_results[[#This Row], [Team5 laps '[laps']]]</f>
        <v>0</v>
      </c>
      <c r="P84" s="3">
        <f>intermediate_results[[#This Row], [Team1 laps '[laps']]] - intermediate_results[[#This Row], [Team6 laps '[laps']]]</f>
        <v>0</v>
      </c>
      <c r="Q84" s="3">
        <f>intermediate_results[[#This Row], [Team1 laps '[laps']]] - intermediate_results[[#This Row], [Team7 laps '[laps']]]</f>
        <v>0</v>
      </c>
      <c r="R84" s="3">
        <f>intermediate_results[[#This Row], [Team1 laps '[laps']]] - intermediate_results[[#This Row], [Team8 laps '[laps']]]</f>
        <v>0</v>
      </c>
      <c r="S84" s="3">
        <f>intermediate_results[[#This Row], [Team1 laps '[laps']]] - intermediate_results[[#This Row], [Team9 laps '[laps']]]</f>
        <v>0</v>
      </c>
      <c r="T84" s="3">
        <f>MAX(intermediate_results[[#This Row], [Team1 laps '[laps']]:[Team9 laps '[laps']]]) - intermediate_results[[#This Row], [Team1 laps '[laps']]]</f>
        <v>0</v>
      </c>
      <c r="U84" s="3">
        <f>MAX(intermediate_results[[#This Row], [Team1 laps '[laps']]:[Team9 laps '[laps']]]) - intermediate_results[[#This Row], [Team2 laps '[laps']]]</f>
        <v>0</v>
      </c>
      <c r="V84" s="3">
        <f>MAX(intermediate_results[[#This Row], [Team1 laps '[laps']]:[Team9 laps '[laps']]]) - intermediate_results[[#This Row], [Team3 laps '[laps']]]</f>
        <v>0</v>
      </c>
      <c r="W84" s="3">
        <f>MAX(intermediate_results[[#This Row], [Team1 laps '[laps']]:[Team9 laps '[laps']]]) - intermediate_results[[#This Row], [Team4 laps '[laps']]]</f>
        <v>0</v>
      </c>
      <c r="X84" s="3">
        <f>MAX(intermediate_results[[#This Row], [Team1 laps '[laps']]:[Team9 laps '[laps']]]) - intermediate_results[[#This Row], [Team5 laps '[laps']]]</f>
        <v>0</v>
      </c>
      <c r="Y84" s="3">
        <f>MAX(intermediate_results[[#This Row], [Team1 laps '[laps']]:[Team9 laps '[laps']]]) - intermediate_results[[#This Row], [Team6 laps '[laps']]]</f>
        <v>0</v>
      </c>
      <c r="Z84" s="3">
        <f>MAX(intermediate_results[[#This Row], [Team1 laps '[laps']]:[Team9 laps '[laps']]]) - intermediate_results[[#This Row], [Team7 laps '[laps']]]</f>
        <v>0</v>
      </c>
      <c r="AA84" s="3">
        <f>MAX(intermediate_results[[#This Row], [Team1 laps '[laps']]:[Team9 laps '[laps']]]) - intermediate_results[[#This Row], [Team8 laps '[laps']]]</f>
        <v>0</v>
      </c>
      <c r="AB84" s="3">
        <f>MAX(intermediate_results[[#This Row], [Team1 laps '[laps']]:[Team9 laps '[laps']]]) - intermediate_results[[#This Row], [Team9 laps '[laps']]]</f>
        <v>0</v>
      </c>
      <c r="AC84" s="3">
        <f>9 * intermediate_results[[#This Row], [All cumulative times '[sec']]] / SUM(intermediate_results[[#This Row], [Team1 laps '[laps']]:[Team9 laps '[laps']]])</f>
        <v>0</v>
      </c>
      <c r="AD84" s="3">
        <f>intermediate_results[[#This Row], [All cumulative times '[sec']]] / intermediate_results[[#This Row], [Team1 laps '[laps']]] - intermediate_results[[#This Row], [Total running average '[sec']]]</f>
        <v>0</v>
      </c>
      <c r="AE84" s="3">
        <f>intermediate_results[[#This Row], [All cumulative times '[sec']]] / intermediate_results[[#This Row], [Team2 laps '[laps']]] - intermediate_results[[#This Row], [Total running average '[sec']]]</f>
        <v>0</v>
      </c>
      <c r="AF84" s="3">
        <f>intermediate_results[[#This Row], [All cumulative times '[sec']]] / intermediate_results[[#This Row], [Team3 laps '[laps']]] - intermediate_results[[#This Row], [Total running average '[sec']]]</f>
        <v>0</v>
      </c>
      <c r="AG84" s="3">
        <f>intermediate_results[[#This Row], [All cumulative times '[sec']]] / intermediate_results[[#This Row], [Team4 laps '[laps']]] - intermediate_results[[#This Row], [Total running average '[sec']]]</f>
        <v>0</v>
      </c>
      <c r="AH84" s="3">
        <f>intermediate_results[[#This Row], [All cumulative times '[sec']]] / intermediate_results[[#This Row], [Team5 laps '[laps']]] - intermediate_results[[#This Row], [Total running average '[sec']]]</f>
        <v>0</v>
      </c>
      <c r="AI84" s="3">
        <f>intermediate_results[[#This Row], [All cumulative times '[sec']]] / intermediate_results[[#This Row], [Team6 laps '[laps']]] - intermediate_results[[#This Row], [Total running average '[sec']]]</f>
        <v>0</v>
      </c>
      <c r="AJ84" s="3">
        <f>intermediate_results[[#This Row], [All cumulative times '[sec']]] / intermediate_results[[#This Row], [Team7 laps '[laps']]] - intermediate_results[[#This Row], [Total running average '[sec']]]</f>
        <v>0</v>
      </c>
      <c r="AK84" s="3">
        <f>intermediate_results[[#This Row], [All cumulative times '[sec']]] / intermediate_results[[#This Row], [Team8 laps '[laps']]] - intermediate_results[[#This Row], [Total running average '[sec']]]</f>
        <v>0</v>
      </c>
      <c r="AL84" s="3">
        <f>intermediate_results[[#This Row], [All cumulative times '[sec']]] / intermediate_results[[#This Row], [Team9 laps '[laps']]] - intermediate_results[[#This Row], [Total running average '[sec']]]</f>
        <v>0</v>
      </c>
    </row>
    <row r="85" spans="1:38">
      <c r="A85" s="3">
        <v>541.521</v>
      </c>
      <c r="B8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5" s="3">
        <f>intermediate_results[[#This Row], [Team1 laps '[laps']]] - intermediate_results[[#This Row], [Team1 laps '[laps']]]</f>
        <v>0</v>
      </c>
      <c r="L85" s="3">
        <f>intermediate_results[[#This Row], [Team1 laps '[laps']]] - intermediate_results[[#This Row], [Team2 laps '[laps']]]</f>
        <v>0</v>
      </c>
      <c r="M85" s="3">
        <f>intermediate_results[[#This Row], [Team1 laps '[laps']]] - intermediate_results[[#This Row], [Team3 laps '[laps']]]</f>
        <v>0</v>
      </c>
      <c r="N85" s="3">
        <f>intermediate_results[[#This Row], [Team1 laps '[laps']]] - intermediate_results[[#This Row], [Team4 laps '[laps']]]</f>
        <v>0</v>
      </c>
      <c r="O85" s="3">
        <f>intermediate_results[[#This Row], [Team1 laps '[laps']]] - intermediate_results[[#This Row], [Team5 laps '[laps']]]</f>
        <v>0</v>
      </c>
      <c r="P85" s="3">
        <f>intermediate_results[[#This Row], [Team1 laps '[laps']]] - intermediate_results[[#This Row], [Team6 laps '[laps']]]</f>
        <v>0</v>
      </c>
      <c r="Q85" s="3">
        <f>intermediate_results[[#This Row], [Team1 laps '[laps']]] - intermediate_results[[#This Row], [Team7 laps '[laps']]]</f>
        <v>0</v>
      </c>
      <c r="R85" s="3">
        <f>intermediate_results[[#This Row], [Team1 laps '[laps']]] - intermediate_results[[#This Row], [Team8 laps '[laps']]]</f>
        <v>0</v>
      </c>
      <c r="S85" s="3">
        <f>intermediate_results[[#This Row], [Team1 laps '[laps']]] - intermediate_results[[#This Row], [Team9 laps '[laps']]]</f>
        <v>0</v>
      </c>
      <c r="T85" s="3">
        <f>MAX(intermediate_results[[#This Row], [Team1 laps '[laps']]:[Team9 laps '[laps']]]) - intermediate_results[[#This Row], [Team1 laps '[laps']]]</f>
        <v>0</v>
      </c>
      <c r="U85" s="3">
        <f>MAX(intermediate_results[[#This Row], [Team1 laps '[laps']]:[Team9 laps '[laps']]]) - intermediate_results[[#This Row], [Team2 laps '[laps']]]</f>
        <v>0</v>
      </c>
      <c r="V85" s="3">
        <f>MAX(intermediate_results[[#This Row], [Team1 laps '[laps']]:[Team9 laps '[laps']]]) - intermediate_results[[#This Row], [Team3 laps '[laps']]]</f>
        <v>0</v>
      </c>
      <c r="W85" s="3">
        <f>MAX(intermediate_results[[#This Row], [Team1 laps '[laps']]:[Team9 laps '[laps']]]) - intermediate_results[[#This Row], [Team4 laps '[laps']]]</f>
        <v>0</v>
      </c>
      <c r="X85" s="3">
        <f>MAX(intermediate_results[[#This Row], [Team1 laps '[laps']]:[Team9 laps '[laps']]]) - intermediate_results[[#This Row], [Team5 laps '[laps']]]</f>
        <v>0</v>
      </c>
      <c r="Y85" s="3">
        <f>MAX(intermediate_results[[#This Row], [Team1 laps '[laps']]:[Team9 laps '[laps']]]) - intermediate_results[[#This Row], [Team6 laps '[laps']]]</f>
        <v>0</v>
      </c>
      <c r="Z85" s="3">
        <f>MAX(intermediate_results[[#This Row], [Team1 laps '[laps']]:[Team9 laps '[laps']]]) - intermediate_results[[#This Row], [Team7 laps '[laps']]]</f>
        <v>0</v>
      </c>
      <c r="AA85" s="3">
        <f>MAX(intermediate_results[[#This Row], [Team1 laps '[laps']]:[Team9 laps '[laps']]]) - intermediate_results[[#This Row], [Team8 laps '[laps']]]</f>
        <v>0</v>
      </c>
      <c r="AB85" s="3">
        <f>MAX(intermediate_results[[#This Row], [Team1 laps '[laps']]:[Team9 laps '[laps']]]) - intermediate_results[[#This Row], [Team9 laps '[laps']]]</f>
        <v>0</v>
      </c>
      <c r="AC85" s="3">
        <f>9 * intermediate_results[[#This Row], [All cumulative times '[sec']]] / SUM(intermediate_results[[#This Row], [Team1 laps '[laps']]:[Team9 laps '[laps']]])</f>
        <v>0</v>
      </c>
      <c r="AD85" s="3">
        <f>intermediate_results[[#This Row], [All cumulative times '[sec']]] / intermediate_results[[#This Row], [Team1 laps '[laps']]] - intermediate_results[[#This Row], [Total running average '[sec']]]</f>
        <v>0</v>
      </c>
      <c r="AE85" s="3">
        <f>intermediate_results[[#This Row], [All cumulative times '[sec']]] / intermediate_results[[#This Row], [Team2 laps '[laps']]] - intermediate_results[[#This Row], [Total running average '[sec']]]</f>
        <v>0</v>
      </c>
      <c r="AF85" s="3">
        <f>intermediate_results[[#This Row], [All cumulative times '[sec']]] / intermediate_results[[#This Row], [Team3 laps '[laps']]] - intermediate_results[[#This Row], [Total running average '[sec']]]</f>
        <v>0</v>
      </c>
      <c r="AG85" s="3">
        <f>intermediate_results[[#This Row], [All cumulative times '[sec']]] / intermediate_results[[#This Row], [Team4 laps '[laps']]] - intermediate_results[[#This Row], [Total running average '[sec']]]</f>
        <v>0</v>
      </c>
      <c r="AH85" s="3">
        <f>intermediate_results[[#This Row], [All cumulative times '[sec']]] / intermediate_results[[#This Row], [Team5 laps '[laps']]] - intermediate_results[[#This Row], [Total running average '[sec']]]</f>
        <v>0</v>
      </c>
      <c r="AI85" s="3">
        <f>intermediate_results[[#This Row], [All cumulative times '[sec']]] / intermediate_results[[#This Row], [Team6 laps '[laps']]] - intermediate_results[[#This Row], [Total running average '[sec']]]</f>
        <v>0</v>
      </c>
      <c r="AJ85" s="3">
        <f>intermediate_results[[#This Row], [All cumulative times '[sec']]] / intermediate_results[[#This Row], [Team7 laps '[laps']]] - intermediate_results[[#This Row], [Total running average '[sec']]]</f>
        <v>0</v>
      </c>
      <c r="AK85" s="3">
        <f>intermediate_results[[#This Row], [All cumulative times '[sec']]] / intermediate_results[[#This Row], [Team8 laps '[laps']]] - intermediate_results[[#This Row], [Total running average '[sec']]]</f>
        <v>0</v>
      </c>
      <c r="AL85" s="3">
        <f>intermediate_results[[#This Row], [All cumulative times '[sec']]] / intermediate_results[[#This Row], [Team9 laps '[laps']]] - intermediate_results[[#This Row], [Total running average '[sec']]]</f>
        <v>0</v>
      </c>
    </row>
    <row r="86" spans="1:38">
      <c r="A86" s="3">
        <v>551.9350000000001</v>
      </c>
      <c r="B8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6" s="3">
        <f>intermediate_results[[#This Row], [Team1 laps '[laps']]] - intermediate_results[[#This Row], [Team1 laps '[laps']]]</f>
        <v>0</v>
      </c>
      <c r="L86" s="3">
        <f>intermediate_results[[#This Row], [Team1 laps '[laps']]] - intermediate_results[[#This Row], [Team2 laps '[laps']]]</f>
        <v>0</v>
      </c>
      <c r="M86" s="3">
        <f>intermediate_results[[#This Row], [Team1 laps '[laps']]] - intermediate_results[[#This Row], [Team3 laps '[laps']]]</f>
        <v>0</v>
      </c>
      <c r="N86" s="3">
        <f>intermediate_results[[#This Row], [Team1 laps '[laps']]] - intermediate_results[[#This Row], [Team4 laps '[laps']]]</f>
        <v>0</v>
      </c>
      <c r="O86" s="3">
        <f>intermediate_results[[#This Row], [Team1 laps '[laps']]] - intermediate_results[[#This Row], [Team5 laps '[laps']]]</f>
        <v>0</v>
      </c>
      <c r="P86" s="3">
        <f>intermediate_results[[#This Row], [Team1 laps '[laps']]] - intermediate_results[[#This Row], [Team6 laps '[laps']]]</f>
        <v>0</v>
      </c>
      <c r="Q86" s="3">
        <f>intermediate_results[[#This Row], [Team1 laps '[laps']]] - intermediate_results[[#This Row], [Team7 laps '[laps']]]</f>
        <v>0</v>
      </c>
      <c r="R86" s="3">
        <f>intermediate_results[[#This Row], [Team1 laps '[laps']]] - intermediate_results[[#This Row], [Team8 laps '[laps']]]</f>
        <v>0</v>
      </c>
      <c r="S86" s="3">
        <f>intermediate_results[[#This Row], [Team1 laps '[laps']]] - intermediate_results[[#This Row], [Team9 laps '[laps']]]</f>
        <v>0</v>
      </c>
      <c r="T86" s="3">
        <f>MAX(intermediate_results[[#This Row], [Team1 laps '[laps']]:[Team9 laps '[laps']]]) - intermediate_results[[#This Row], [Team1 laps '[laps']]]</f>
        <v>0</v>
      </c>
      <c r="U86" s="3">
        <f>MAX(intermediate_results[[#This Row], [Team1 laps '[laps']]:[Team9 laps '[laps']]]) - intermediate_results[[#This Row], [Team2 laps '[laps']]]</f>
        <v>0</v>
      </c>
      <c r="V86" s="3">
        <f>MAX(intermediate_results[[#This Row], [Team1 laps '[laps']]:[Team9 laps '[laps']]]) - intermediate_results[[#This Row], [Team3 laps '[laps']]]</f>
        <v>0</v>
      </c>
      <c r="W86" s="3">
        <f>MAX(intermediate_results[[#This Row], [Team1 laps '[laps']]:[Team9 laps '[laps']]]) - intermediate_results[[#This Row], [Team4 laps '[laps']]]</f>
        <v>0</v>
      </c>
      <c r="X86" s="3">
        <f>MAX(intermediate_results[[#This Row], [Team1 laps '[laps']]:[Team9 laps '[laps']]]) - intermediate_results[[#This Row], [Team5 laps '[laps']]]</f>
        <v>0</v>
      </c>
      <c r="Y86" s="3">
        <f>MAX(intermediate_results[[#This Row], [Team1 laps '[laps']]:[Team9 laps '[laps']]]) - intermediate_results[[#This Row], [Team6 laps '[laps']]]</f>
        <v>0</v>
      </c>
      <c r="Z86" s="3">
        <f>MAX(intermediate_results[[#This Row], [Team1 laps '[laps']]:[Team9 laps '[laps']]]) - intermediate_results[[#This Row], [Team7 laps '[laps']]]</f>
        <v>0</v>
      </c>
      <c r="AA86" s="3">
        <f>MAX(intermediate_results[[#This Row], [Team1 laps '[laps']]:[Team9 laps '[laps']]]) - intermediate_results[[#This Row], [Team8 laps '[laps']]]</f>
        <v>0</v>
      </c>
      <c r="AB86" s="3">
        <f>MAX(intermediate_results[[#This Row], [Team1 laps '[laps']]:[Team9 laps '[laps']]]) - intermediate_results[[#This Row], [Team9 laps '[laps']]]</f>
        <v>0</v>
      </c>
      <c r="AC86" s="3">
        <f>9 * intermediate_results[[#This Row], [All cumulative times '[sec']]] / SUM(intermediate_results[[#This Row], [Team1 laps '[laps']]:[Team9 laps '[laps']]])</f>
        <v>0</v>
      </c>
      <c r="AD86" s="3">
        <f>intermediate_results[[#This Row], [All cumulative times '[sec']]] / intermediate_results[[#This Row], [Team1 laps '[laps']]] - intermediate_results[[#This Row], [Total running average '[sec']]]</f>
        <v>0</v>
      </c>
      <c r="AE86" s="3">
        <f>intermediate_results[[#This Row], [All cumulative times '[sec']]] / intermediate_results[[#This Row], [Team2 laps '[laps']]] - intermediate_results[[#This Row], [Total running average '[sec']]]</f>
        <v>0</v>
      </c>
      <c r="AF86" s="3">
        <f>intermediate_results[[#This Row], [All cumulative times '[sec']]] / intermediate_results[[#This Row], [Team3 laps '[laps']]] - intermediate_results[[#This Row], [Total running average '[sec']]]</f>
        <v>0</v>
      </c>
      <c r="AG86" s="3">
        <f>intermediate_results[[#This Row], [All cumulative times '[sec']]] / intermediate_results[[#This Row], [Team4 laps '[laps']]] - intermediate_results[[#This Row], [Total running average '[sec']]]</f>
        <v>0</v>
      </c>
      <c r="AH86" s="3">
        <f>intermediate_results[[#This Row], [All cumulative times '[sec']]] / intermediate_results[[#This Row], [Team5 laps '[laps']]] - intermediate_results[[#This Row], [Total running average '[sec']]]</f>
        <v>0</v>
      </c>
      <c r="AI86" s="3">
        <f>intermediate_results[[#This Row], [All cumulative times '[sec']]] / intermediate_results[[#This Row], [Team6 laps '[laps']]] - intermediate_results[[#This Row], [Total running average '[sec']]]</f>
        <v>0</v>
      </c>
      <c r="AJ86" s="3">
        <f>intermediate_results[[#This Row], [All cumulative times '[sec']]] / intermediate_results[[#This Row], [Team7 laps '[laps']]] - intermediate_results[[#This Row], [Total running average '[sec']]]</f>
        <v>0</v>
      </c>
      <c r="AK86" s="3">
        <f>intermediate_results[[#This Row], [All cumulative times '[sec']]] / intermediate_results[[#This Row], [Team8 laps '[laps']]] - intermediate_results[[#This Row], [Total running average '[sec']]]</f>
        <v>0</v>
      </c>
      <c r="AL86" s="3">
        <f>intermediate_results[[#This Row], [All cumulative times '[sec']]] / intermediate_results[[#This Row], [Team9 laps '[laps']]] - intermediate_results[[#This Row], [Total running average '[sec']]]</f>
        <v>0</v>
      </c>
    </row>
    <row r="87" spans="1:38">
      <c r="A87" s="3">
        <v>552.7149999999999</v>
      </c>
      <c r="B8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7" s="3">
        <f>intermediate_results[[#This Row], [Team1 laps '[laps']]] - intermediate_results[[#This Row], [Team1 laps '[laps']]]</f>
        <v>0</v>
      </c>
      <c r="L87" s="3">
        <f>intermediate_results[[#This Row], [Team1 laps '[laps']]] - intermediate_results[[#This Row], [Team2 laps '[laps']]]</f>
        <v>0</v>
      </c>
      <c r="M87" s="3">
        <f>intermediate_results[[#This Row], [Team1 laps '[laps']]] - intermediate_results[[#This Row], [Team3 laps '[laps']]]</f>
        <v>0</v>
      </c>
      <c r="N87" s="3">
        <f>intermediate_results[[#This Row], [Team1 laps '[laps']]] - intermediate_results[[#This Row], [Team4 laps '[laps']]]</f>
        <v>0</v>
      </c>
      <c r="O87" s="3">
        <f>intermediate_results[[#This Row], [Team1 laps '[laps']]] - intermediate_results[[#This Row], [Team5 laps '[laps']]]</f>
        <v>0</v>
      </c>
      <c r="P87" s="3">
        <f>intermediate_results[[#This Row], [Team1 laps '[laps']]] - intermediate_results[[#This Row], [Team6 laps '[laps']]]</f>
        <v>0</v>
      </c>
      <c r="Q87" s="3">
        <f>intermediate_results[[#This Row], [Team1 laps '[laps']]] - intermediate_results[[#This Row], [Team7 laps '[laps']]]</f>
        <v>0</v>
      </c>
      <c r="R87" s="3">
        <f>intermediate_results[[#This Row], [Team1 laps '[laps']]] - intermediate_results[[#This Row], [Team8 laps '[laps']]]</f>
        <v>0</v>
      </c>
      <c r="S87" s="3">
        <f>intermediate_results[[#This Row], [Team1 laps '[laps']]] - intermediate_results[[#This Row], [Team9 laps '[laps']]]</f>
        <v>0</v>
      </c>
      <c r="T87" s="3">
        <f>MAX(intermediate_results[[#This Row], [Team1 laps '[laps']]:[Team9 laps '[laps']]]) - intermediate_results[[#This Row], [Team1 laps '[laps']]]</f>
        <v>0</v>
      </c>
      <c r="U87" s="3">
        <f>MAX(intermediate_results[[#This Row], [Team1 laps '[laps']]:[Team9 laps '[laps']]]) - intermediate_results[[#This Row], [Team2 laps '[laps']]]</f>
        <v>0</v>
      </c>
      <c r="V87" s="3">
        <f>MAX(intermediate_results[[#This Row], [Team1 laps '[laps']]:[Team9 laps '[laps']]]) - intermediate_results[[#This Row], [Team3 laps '[laps']]]</f>
        <v>0</v>
      </c>
      <c r="W87" s="3">
        <f>MAX(intermediate_results[[#This Row], [Team1 laps '[laps']]:[Team9 laps '[laps']]]) - intermediate_results[[#This Row], [Team4 laps '[laps']]]</f>
        <v>0</v>
      </c>
      <c r="X87" s="3">
        <f>MAX(intermediate_results[[#This Row], [Team1 laps '[laps']]:[Team9 laps '[laps']]]) - intermediate_results[[#This Row], [Team5 laps '[laps']]]</f>
        <v>0</v>
      </c>
      <c r="Y87" s="3">
        <f>MAX(intermediate_results[[#This Row], [Team1 laps '[laps']]:[Team9 laps '[laps']]]) - intermediate_results[[#This Row], [Team6 laps '[laps']]]</f>
        <v>0</v>
      </c>
      <c r="Z87" s="3">
        <f>MAX(intermediate_results[[#This Row], [Team1 laps '[laps']]:[Team9 laps '[laps']]]) - intermediate_results[[#This Row], [Team7 laps '[laps']]]</f>
        <v>0</v>
      </c>
      <c r="AA87" s="3">
        <f>MAX(intermediate_results[[#This Row], [Team1 laps '[laps']]:[Team9 laps '[laps']]]) - intermediate_results[[#This Row], [Team8 laps '[laps']]]</f>
        <v>0</v>
      </c>
      <c r="AB87" s="3">
        <f>MAX(intermediate_results[[#This Row], [Team1 laps '[laps']]:[Team9 laps '[laps']]]) - intermediate_results[[#This Row], [Team9 laps '[laps']]]</f>
        <v>0</v>
      </c>
      <c r="AC87" s="3">
        <f>9 * intermediate_results[[#This Row], [All cumulative times '[sec']]] / SUM(intermediate_results[[#This Row], [Team1 laps '[laps']]:[Team9 laps '[laps']]])</f>
        <v>0</v>
      </c>
      <c r="AD87" s="3">
        <f>intermediate_results[[#This Row], [All cumulative times '[sec']]] / intermediate_results[[#This Row], [Team1 laps '[laps']]] - intermediate_results[[#This Row], [Total running average '[sec']]]</f>
        <v>0</v>
      </c>
      <c r="AE87" s="3">
        <f>intermediate_results[[#This Row], [All cumulative times '[sec']]] / intermediate_results[[#This Row], [Team2 laps '[laps']]] - intermediate_results[[#This Row], [Total running average '[sec']]]</f>
        <v>0</v>
      </c>
      <c r="AF87" s="3">
        <f>intermediate_results[[#This Row], [All cumulative times '[sec']]] / intermediate_results[[#This Row], [Team3 laps '[laps']]] - intermediate_results[[#This Row], [Total running average '[sec']]]</f>
        <v>0</v>
      </c>
      <c r="AG87" s="3">
        <f>intermediate_results[[#This Row], [All cumulative times '[sec']]] / intermediate_results[[#This Row], [Team4 laps '[laps']]] - intermediate_results[[#This Row], [Total running average '[sec']]]</f>
        <v>0</v>
      </c>
      <c r="AH87" s="3">
        <f>intermediate_results[[#This Row], [All cumulative times '[sec']]] / intermediate_results[[#This Row], [Team5 laps '[laps']]] - intermediate_results[[#This Row], [Total running average '[sec']]]</f>
        <v>0</v>
      </c>
      <c r="AI87" s="3">
        <f>intermediate_results[[#This Row], [All cumulative times '[sec']]] / intermediate_results[[#This Row], [Team6 laps '[laps']]] - intermediate_results[[#This Row], [Total running average '[sec']]]</f>
        <v>0</v>
      </c>
      <c r="AJ87" s="3">
        <f>intermediate_results[[#This Row], [All cumulative times '[sec']]] / intermediate_results[[#This Row], [Team7 laps '[laps']]] - intermediate_results[[#This Row], [Total running average '[sec']]]</f>
        <v>0</v>
      </c>
      <c r="AK87" s="3">
        <f>intermediate_results[[#This Row], [All cumulative times '[sec']]] / intermediate_results[[#This Row], [Team8 laps '[laps']]] - intermediate_results[[#This Row], [Total running average '[sec']]]</f>
        <v>0</v>
      </c>
      <c r="AL87" s="3">
        <f>intermediate_results[[#This Row], [All cumulative times '[sec']]] / intermediate_results[[#This Row], [Team9 laps '[laps']]] - intermediate_results[[#This Row], [Total running average '[sec']]]</f>
        <v>0</v>
      </c>
    </row>
    <row r="88" spans="1:38">
      <c r="A88" s="3">
        <v>553.384</v>
      </c>
      <c r="B8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8" s="3">
        <f>intermediate_results[[#This Row], [Team1 laps '[laps']]] - intermediate_results[[#This Row], [Team1 laps '[laps']]]</f>
        <v>0</v>
      </c>
      <c r="L88" s="3">
        <f>intermediate_results[[#This Row], [Team1 laps '[laps']]] - intermediate_results[[#This Row], [Team2 laps '[laps']]]</f>
        <v>0</v>
      </c>
      <c r="M88" s="3">
        <f>intermediate_results[[#This Row], [Team1 laps '[laps']]] - intermediate_results[[#This Row], [Team3 laps '[laps']]]</f>
        <v>0</v>
      </c>
      <c r="N88" s="3">
        <f>intermediate_results[[#This Row], [Team1 laps '[laps']]] - intermediate_results[[#This Row], [Team4 laps '[laps']]]</f>
        <v>0</v>
      </c>
      <c r="O88" s="3">
        <f>intermediate_results[[#This Row], [Team1 laps '[laps']]] - intermediate_results[[#This Row], [Team5 laps '[laps']]]</f>
        <v>0</v>
      </c>
      <c r="P88" s="3">
        <f>intermediate_results[[#This Row], [Team1 laps '[laps']]] - intermediate_results[[#This Row], [Team6 laps '[laps']]]</f>
        <v>0</v>
      </c>
      <c r="Q88" s="3">
        <f>intermediate_results[[#This Row], [Team1 laps '[laps']]] - intermediate_results[[#This Row], [Team7 laps '[laps']]]</f>
        <v>0</v>
      </c>
      <c r="R88" s="3">
        <f>intermediate_results[[#This Row], [Team1 laps '[laps']]] - intermediate_results[[#This Row], [Team8 laps '[laps']]]</f>
        <v>0</v>
      </c>
      <c r="S88" s="3">
        <f>intermediate_results[[#This Row], [Team1 laps '[laps']]] - intermediate_results[[#This Row], [Team9 laps '[laps']]]</f>
        <v>0</v>
      </c>
      <c r="T88" s="3">
        <f>MAX(intermediate_results[[#This Row], [Team1 laps '[laps']]:[Team9 laps '[laps']]]) - intermediate_results[[#This Row], [Team1 laps '[laps']]]</f>
        <v>0</v>
      </c>
      <c r="U88" s="3">
        <f>MAX(intermediate_results[[#This Row], [Team1 laps '[laps']]:[Team9 laps '[laps']]]) - intermediate_results[[#This Row], [Team2 laps '[laps']]]</f>
        <v>0</v>
      </c>
      <c r="V88" s="3">
        <f>MAX(intermediate_results[[#This Row], [Team1 laps '[laps']]:[Team9 laps '[laps']]]) - intermediate_results[[#This Row], [Team3 laps '[laps']]]</f>
        <v>0</v>
      </c>
      <c r="W88" s="3">
        <f>MAX(intermediate_results[[#This Row], [Team1 laps '[laps']]:[Team9 laps '[laps']]]) - intermediate_results[[#This Row], [Team4 laps '[laps']]]</f>
        <v>0</v>
      </c>
      <c r="X88" s="3">
        <f>MAX(intermediate_results[[#This Row], [Team1 laps '[laps']]:[Team9 laps '[laps']]]) - intermediate_results[[#This Row], [Team5 laps '[laps']]]</f>
        <v>0</v>
      </c>
      <c r="Y88" s="3">
        <f>MAX(intermediate_results[[#This Row], [Team1 laps '[laps']]:[Team9 laps '[laps']]]) - intermediate_results[[#This Row], [Team6 laps '[laps']]]</f>
        <v>0</v>
      </c>
      <c r="Z88" s="3">
        <f>MAX(intermediate_results[[#This Row], [Team1 laps '[laps']]:[Team9 laps '[laps']]]) - intermediate_results[[#This Row], [Team7 laps '[laps']]]</f>
        <v>0</v>
      </c>
      <c r="AA88" s="3">
        <f>MAX(intermediate_results[[#This Row], [Team1 laps '[laps']]:[Team9 laps '[laps']]]) - intermediate_results[[#This Row], [Team8 laps '[laps']]]</f>
        <v>0</v>
      </c>
      <c r="AB88" s="3">
        <f>MAX(intermediate_results[[#This Row], [Team1 laps '[laps']]:[Team9 laps '[laps']]]) - intermediate_results[[#This Row], [Team9 laps '[laps']]]</f>
        <v>0</v>
      </c>
      <c r="AC88" s="3">
        <f>9 * intermediate_results[[#This Row], [All cumulative times '[sec']]] / SUM(intermediate_results[[#This Row], [Team1 laps '[laps']]:[Team9 laps '[laps']]])</f>
        <v>0</v>
      </c>
      <c r="AD88" s="3">
        <f>intermediate_results[[#This Row], [All cumulative times '[sec']]] / intermediate_results[[#This Row], [Team1 laps '[laps']]] - intermediate_results[[#This Row], [Total running average '[sec']]]</f>
        <v>0</v>
      </c>
      <c r="AE88" s="3">
        <f>intermediate_results[[#This Row], [All cumulative times '[sec']]] / intermediate_results[[#This Row], [Team2 laps '[laps']]] - intermediate_results[[#This Row], [Total running average '[sec']]]</f>
        <v>0</v>
      </c>
      <c r="AF88" s="3">
        <f>intermediate_results[[#This Row], [All cumulative times '[sec']]] / intermediate_results[[#This Row], [Team3 laps '[laps']]] - intermediate_results[[#This Row], [Total running average '[sec']]]</f>
        <v>0</v>
      </c>
      <c r="AG88" s="3">
        <f>intermediate_results[[#This Row], [All cumulative times '[sec']]] / intermediate_results[[#This Row], [Team4 laps '[laps']]] - intermediate_results[[#This Row], [Total running average '[sec']]]</f>
        <v>0</v>
      </c>
      <c r="AH88" s="3">
        <f>intermediate_results[[#This Row], [All cumulative times '[sec']]] / intermediate_results[[#This Row], [Team5 laps '[laps']]] - intermediate_results[[#This Row], [Total running average '[sec']]]</f>
        <v>0</v>
      </c>
      <c r="AI88" s="3">
        <f>intermediate_results[[#This Row], [All cumulative times '[sec']]] / intermediate_results[[#This Row], [Team6 laps '[laps']]] - intermediate_results[[#This Row], [Total running average '[sec']]]</f>
        <v>0</v>
      </c>
      <c r="AJ88" s="3">
        <f>intermediate_results[[#This Row], [All cumulative times '[sec']]] / intermediate_results[[#This Row], [Team7 laps '[laps']]] - intermediate_results[[#This Row], [Total running average '[sec']]]</f>
        <v>0</v>
      </c>
      <c r="AK88" s="3">
        <f>intermediate_results[[#This Row], [All cumulative times '[sec']]] / intermediate_results[[#This Row], [Team8 laps '[laps']]] - intermediate_results[[#This Row], [Total running average '[sec']]]</f>
        <v>0</v>
      </c>
      <c r="AL88" s="3">
        <f>intermediate_results[[#This Row], [All cumulative times '[sec']]] / intermediate_results[[#This Row], [Team9 laps '[laps']]] - intermediate_results[[#This Row], [Total running average '[sec']]]</f>
        <v>0</v>
      </c>
    </row>
    <row r="89" spans="1:38">
      <c r="A89" s="3">
        <v>558.1800000000001</v>
      </c>
      <c r="B8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8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8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8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8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8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8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8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8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89" s="3">
        <f>intermediate_results[[#This Row], [Team1 laps '[laps']]] - intermediate_results[[#This Row], [Team1 laps '[laps']]]</f>
        <v>0</v>
      </c>
      <c r="L89" s="3">
        <f>intermediate_results[[#This Row], [Team1 laps '[laps']]] - intermediate_results[[#This Row], [Team2 laps '[laps']]]</f>
        <v>0</v>
      </c>
      <c r="M89" s="3">
        <f>intermediate_results[[#This Row], [Team1 laps '[laps']]] - intermediate_results[[#This Row], [Team3 laps '[laps']]]</f>
        <v>0</v>
      </c>
      <c r="N89" s="3">
        <f>intermediate_results[[#This Row], [Team1 laps '[laps']]] - intermediate_results[[#This Row], [Team4 laps '[laps']]]</f>
        <v>0</v>
      </c>
      <c r="O89" s="3">
        <f>intermediate_results[[#This Row], [Team1 laps '[laps']]] - intermediate_results[[#This Row], [Team5 laps '[laps']]]</f>
        <v>0</v>
      </c>
      <c r="P89" s="3">
        <f>intermediate_results[[#This Row], [Team1 laps '[laps']]] - intermediate_results[[#This Row], [Team6 laps '[laps']]]</f>
        <v>0</v>
      </c>
      <c r="Q89" s="3">
        <f>intermediate_results[[#This Row], [Team1 laps '[laps']]] - intermediate_results[[#This Row], [Team7 laps '[laps']]]</f>
        <v>0</v>
      </c>
      <c r="R89" s="3">
        <f>intermediate_results[[#This Row], [Team1 laps '[laps']]] - intermediate_results[[#This Row], [Team8 laps '[laps']]]</f>
        <v>0</v>
      </c>
      <c r="S89" s="3">
        <f>intermediate_results[[#This Row], [Team1 laps '[laps']]] - intermediate_results[[#This Row], [Team9 laps '[laps']]]</f>
        <v>0</v>
      </c>
      <c r="T89" s="3">
        <f>MAX(intermediate_results[[#This Row], [Team1 laps '[laps']]:[Team9 laps '[laps']]]) - intermediate_results[[#This Row], [Team1 laps '[laps']]]</f>
        <v>0</v>
      </c>
      <c r="U89" s="3">
        <f>MAX(intermediate_results[[#This Row], [Team1 laps '[laps']]:[Team9 laps '[laps']]]) - intermediate_results[[#This Row], [Team2 laps '[laps']]]</f>
        <v>0</v>
      </c>
      <c r="V89" s="3">
        <f>MAX(intermediate_results[[#This Row], [Team1 laps '[laps']]:[Team9 laps '[laps']]]) - intermediate_results[[#This Row], [Team3 laps '[laps']]]</f>
        <v>0</v>
      </c>
      <c r="W89" s="3">
        <f>MAX(intermediate_results[[#This Row], [Team1 laps '[laps']]:[Team9 laps '[laps']]]) - intermediate_results[[#This Row], [Team4 laps '[laps']]]</f>
        <v>0</v>
      </c>
      <c r="X89" s="3">
        <f>MAX(intermediate_results[[#This Row], [Team1 laps '[laps']]:[Team9 laps '[laps']]]) - intermediate_results[[#This Row], [Team5 laps '[laps']]]</f>
        <v>0</v>
      </c>
      <c r="Y89" s="3">
        <f>MAX(intermediate_results[[#This Row], [Team1 laps '[laps']]:[Team9 laps '[laps']]]) - intermediate_results[[#This Row], [Team6 laps '[laps']]]</f>
        <v>0</v>
      </c>
      <c r="Z89" s="3">
        <f>MAX(intermediate_results[[#This Row], [Team1 laps '[laps']]:[Team9 laps '[laps']]]) - intermediate_results[[#This Row], [Team7 laps '[laps']]]</f>
        <v>0</v>
      </c>
      <c r="AA89" s="3">
        <f>MAX(intermediate_results[[#This Row], [Team1 laps '[laps']]:[Team9 laps '[laps']]]) - intermediate_results[[#This Row], [Team8 laps '[laps']]]</f>
        <v>0</v>
      </c>
      <c r="AB89" s="3">
        <f>MAX(intermediate_results[[#This Row], [Team1 laps '[laps']]:[Team9 laps '[laps']]]) - intermediate_results[[#This Row], [Team9 laps '[laps']]]</f>
        <v>0</v>
      </c>
      <c r="AC89" s="3">
        <f>9 * intermediate_results[[#This Row], [All cumulative times '[sec']]] / SUM(intermediate_results[[#This Row], [Team1 laps '[laps']]:[Team9 laps '[laps']]])</f>
        <v>0</v>
      </c>
      <c r="AD89" s="3">
        <f>intermediate_results[[#This Row], [All cumulative times '[sec']]] / intermediate_results[[#This Row], [Team1 laps '[laps']]] - intermediate_results[[#This Row], [Total running average '[sec']]]</f>
        <v>0</v>
      </c>
      <c r="AE89" s="3">
        <f>intermediate_results[[#This Row], [All cumulative times '[sec']]] / intermediate_results[[#This Row], [Team2 laps '[laps']]] - intermediate_results[[#This Row], [Total running average '[sec']]]</f>
        <v>0</v>
      </c>
      <c r="AF89" s="3">
        <f>intermediate_results[[#This Row], [All cumulative times '[sec']]] / intermediate_results[[#This Row], [Team3 laps '[laps']]] - intermediate_results[[#This Row], [Total running average '[sec']]]</f>
        <v>0</v>
      </c>
      <c r="AG89" s="3">
        <f>intermediate_results[[#This Row], [All cumulative times '[sec']]] / intermediate_results[[#This Row], [Team4 laps '[laps']]] - intermediate_results[[#This Row], [Total running average '[sec']]]</f>
        <v>0</v>
      </c>
      <c r="AH89" s="3">
        <f>intermediate_results[[#This Row], [All cumulative times '[sec']]] / intermediate_results[[#This Row], [Team5 laps '[laps']]] - intermediate_results[[#This Row], [Total running average '[sec']]]</f>
        <v>0</v>
      </c>
      <c r="AI89" s="3">
        <f>intermediate_results[[#This Row], [All cumulative times '[sec']]] / intermediate_results[[#This Row], [Team6 laps '[laps']]] - intermediate_results[[#This Row], [Total running average '[sec']]]</f>
        <v>0</v>
      </c>
      <c r="AJ89" s="3">
        <f>intermediate_results[[#This Row], [All cumulative times '[sec']]] / intermediate_results[[#This Row], [Team7 laps '[laps']]] - intermediate_results[[#This Row], [Total running average '[sec']]]</f>
        <v>0</v>
      </c>
      <c r="AK89" s="3">
        <f>intermediate_results[[#This Row], [All cumulative times '[sec']]] / intermediate_results[[#This Row], [Team8 laps '[laps']]] - intermediate_results[[#This Row], [Total running average '[sec']]]</f>
        <v>0</v>
      </c>
      <c r="AL89" s="3">
        <f>intermediate_results[[#This Row], [All cumulative times '[sec']]] / intermediate_results[[#This Row], [Team9 laps '[laps']]] - intermediate_results[[#This Row], [Total running average '[sec']]]</f>
        <v>0</v>
      </c>
    </row>
    <row r="90" spans="1:38">
      <c r="A90" s="3">
        <v>566.237</v>
      </c>
      <c r="B9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0" s="3">
        <f>intermediate_results[[#This Row], [Team1 laps '[laps']]] - intermediate_results[[#This Row], [Team1 laps '[laps']]]</f>
        <v>0</v>
      </c>
      <c r="L90" s="3">
        <f>intermediate_results[[#This Row], [Team1 laps '[laps']]] - intermediate_results[[#This Row], [Team2 laps '[laps']]]</f>
        <v>0</v>
      </c>
      <c r="M90" s="3">
        <f>intermediate_results[[#This Row], [Team1 laps '[laps']]] - intermediate_results[[#This Row], [Team3 laps '[laps']]]</f>
        <v>0</v>
      </c>
      <c r="N90" s="3">
        <f>intermediate_results[[#This Row], [Team1 laps '[laps']]] - intermediate_results[[#This Row], [Team4 laps '[laps']]]</f>
        <v>0</v>
      </c>
      <c r="O90" s="3">
        <f>intermediate_results[[#This Row], [Team1 laps '[laps']]] - intermediate_results[[#This Row], [Team5 laps '[laps']]]</f>
        <v>0</v>
      </c>
      <c r="P90" s="3">
        <f>intermediate_results[[#This Row], [Team1 laps '[laps']]] - intermediate_results[[#This Row], [Team6 laps '[laps']]]</f>
        <v>0</v>
      </c>
      <c r="Q90" s="3">
        <f>intermediate_results[[#This Row], [Team1 laps '[laps']]] - intermediate_results[[#This Row], [Team7 laps '[laps']]]</f>
        <v>0</v>
      </c>
      <c r="R90" s="3">
        <f>intermediate_results[[#This Row], [Team1 laps '[laps']]] - intermediate_results[[#This Row], [Team8 laps '[laps']]]</f>
        <v>0</v>
      </c>
      <c r="S90" s="3">
        <f>intermediate_results[[#This Row], [Team1 laps '[laps']]] - intermediate_results[[#This Row], [Team9 laps '[laps']]]</f>
        <v>0</v>
      </c>
      <c r="T90" s="3">
        <f>MAX(intermediate_results[[#This Row], [Team1 laps '[laps']]:[Team9 laps '[laps']]]) - intermediate_results[[#This Row], [Team1 laps '[laps']]]</f>
        <v>0</v>
      </c>
      <c r="U90" s="3">
        <f>MAX(intermediate_results[[#This Row], [Team1 laps '[laps']]:[Team9 laps '[laps']]]) - intermediate_results[[#This Row], [Team2 laps '[laps']]]</f>
        <v>0</v>
      </c>
      <c r="V90" s="3">
        <f>MAX(intermediate_results[[#This Row], [Team1 laps '[laps']]:[Team9 laps '[laps']]]) - intermediate_results[[#This Row], [Team3 laps '[laps']]]</f>
        <v>0</v>
      </c>
      <c r="W90" s="3">
        <f>MAX(intermediate_results[[#This Row], [Team1 laps '[laps']]:[Team9 laps '[laps']]]) - intermediate_results[[#This Row], [Team4 laps '[laps']]]</f>
        <v>0</v>
      </c>
      <c r="X90" s="3">
        <f>MAX(intermediate_results[[#This Row], [Team1 laps '[laps']]:[Team9 laps '[laps']]]) - intermediate_results[[#This Row], [Team5 laps '[laps']]]</f>
        <v>0</v>
      </c>
      <c r="Y90" s="3">
        <f>MAX(intermediate_results[[#This Row], [Team1 laps '[laps']]:[Team9 laps '[laps']]]) - intermediate_results[[#This Row], [Team6 laps '[laps']]]</f>
        <v>0</v>
      </c>
      <c r="Z90" s="3">
        <f>MAX(intermediate_results[[#This Row], [Team1 laps '[laps']]:[Team9 laps '[laps']]]) - intermediate_results[[#This Row], [Team7 laps '[laps']]]</f>
        <v>0</v>
      </c>
      <c r="AA90" s="3">
        <f>MAX(intermediate_results[[#This Row], [Team1 laps '[laps']]:[Team9 laps '[laps']]]) - intermediate_results[[#This Row], [Team8 laps '[laps']]]</f>
        <v>0</v>
      </c>
      <c r="AB90" s="3">
        <f>MAX(intermediate_results[[#This Row], [Team1 laps '[laps']]:[Team9 laps '[laps']]]) - intermediate_results[[#This Row], [Team9 laps '[laps']]]</f>
        <v>0</v>
      </c>
      <c r="AC90" s="3">
        <f>9 * intermediate_results[[#This Row], [All cumulative times '[sec']]] / SUM(intermediate_results[[#This Row], [Team1 laps '[laps']]:[Team9 laps '[laps']]])</f>
        <v>0</v>
      </c>
      <c r="AD90" s="3">
        <f>intermediate_results[[#This Row], [All cumulative times '[sec']]] / intermediate_results[[#This Row], [Team1 laps '[laps']]] - intermediate_results[[#This Row], [Total running average '[sec']]]</f>
        <v>0</v>
      </c>
      <c r="AE90" s="3">
        <f>intermediate_results[[#This Row], [All cumulative times '[sec']]] / intermediate_results[[#This Row], [Team2 laps '[laps']]] - intermediate_results[[#This Row], [Total running average '[sec']]]</f>
        <v>0</v>
      </c>
      <c r="AF90" s="3">
        <f>intermediate_results[[#This Row], [All cumulative times '[sec']]] / intermediate_results[[#This Row], [Team3 laps '[laps']]] - intermediate_results[[#This Row], [Total running average '[sec']]]</f>
        <v>0</v>
      </c>
      <c r="AG90" s="3">
        <f>intermediate_results[[#This Row], [All cumulative times '[sec']]] / intermediate_results[[#This Row], [Team4 laps '[laps']]] - intermediate_results[[#This Row], [Total running average '[sec']]]</f>
        <v>0</v>
      </c>
      <c r="AH90" s="3">
        <f>intermediate_results[[#This Row], [All cumulative times '[sec']]] / intermediate_results[[#This Row], [Team5 laps '[laps']]] - intermediate_results[[#This Row], [Total running average '[sec']]]</f>
        <v>0</v>
      </c>
      <c r="AI90" s="3">
        <f>intermediate_results[[#This Row], [All cumulative times '[sec']]] / intermediate_results[[#This Row], [Team6 laps '[laps']]] - intermediate_results[[#This Row], [Total running average '[sec']]]</f>
        <v>0</v>
      </c>
      <c r="AJ90" s="3">
        <f>intermediate_results[[#This Row], [All cumulative times '[sec']]] / intermediate_results[[#This Row], [Team7 laps '[laps']]] - intermediate_results[[#This Row], [Total running average '[sec']]]</f>
        <v>0</v>
      </c>
      <c r="AK90" s="3">
        <f>intermediate_results[[#This Row], [All cumulative times '[sec']]] / intermediate_results[[#This Row], [Team8 laps '[laps']]] - intermediate_results[[#This Row], [Total running average '[sec']]]</f>
        <v>0</v>
      </c>
      <c r="AL90" s="3">
        <f>intermediate_results[[#This Row], [All cumulative times '[sec']]] / intermediate_results[[#This Row], [Team9 laps '[laps']]] - intermediate_results[[#This Row], [Total running average '[sec']]]</f>
        <v>0</v>
      </c>
    </row>
    <row r="91" spans="1:38">
      <c r="A91" s="3">
        <v>569.4749999999999</v>
      </c>
      <c r="B9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1" s="3">
        <f>intermediate_results[[#This Row], [Team1 laps '[laps']]] - intermediate_results[[#This Row], [Team1 laps '[laps']]]</f>
        <v>0</v>
      </c>
      <c r="L91" s="3">
        <f>intermediate_results[[#This Row], [Team1 laps '[laps']]] - intermediate_results[[#This Row], [Team2 laps '[laps']]]</f>
        <v>0</v>
      </c>
      <c r="M91" s="3">
        <f>intermediate_results[[#This Row], [Team1 laps '[laps']]] - intermediate_results[[#This Row], [Team3 laps '[laps']]]</f>
        <v>0</v>
      </c>
      <c r="N91" s="3">
        <f>intermediate_results[[#This Row], [Team1 laps '[laps']]] - intermediate_results[[#This Row], [Team4 laps '[laps']]]</f>
        <v>0</v>
      </c>
      <c r="O91" s="3">
        <f>intermediate_results[[#This Row], [Team1 laps '[laps']]] - intermediate_results[[#This Row], [Team5 laps '[laps']]]</f>
        <v>0</v>
      </c>
      <c r="P91" s="3">
        <f>intermediate_results[[#This Row], [Team1 laps '[laps']]] - intermediate_results[[#This Row], [Team6 laps '[laps']]]</f>
        <v>0</v>
      </c>
      <c r="Q91" s="3">
        <f>intermediate_results[[#This Row], [Team1 laps '[laps']]] - intermediate_results[[#This Row], [Team7 laps '[laps']]]</f>
        <v>0</v>
      </c>
      <c r="R91" s="3">
        <f>intermediate_results[[#This Row], [Team1 laps '[laps']]] - intermediate_results[[#This Row], [Team8 laps '[laps']]]</f>
        <v>0</v>
      </c>
      <c r="S91" s="3">
        <f>intermediate_results[[#This Row], [Team1 laps '[laps']]] - intermediate_results[[#This Row], [Team9 laps '[laps']]]</f>
        <v>0</v>
      </c>
      <c r="T91" s="3">
        <f>MAX(intermediate_results[[#This Row], [Team1 laps '[laps']]:[Team9 laps '[laps']]]) - intermediate_results[[#This Row], [Team1 laps '[laps']]]</f>
        <v>0</v>
      </c>
      <c r="U91" s="3">
        <f>MAX(intermediate_results[[#This Row], [Team1 laps '[laps']]:[Team9 laps '[laps']]]) - intermediate_results[[#This Row], [Team2 laps '[laps']]]</f>
        <v>0</v>
      </c>
      <c r="V91" s="3">
        <f>MAX(intermediate_results[[#This Row], [Team1 laps '[laps']]:[Team9 laps '[laps']]]) - intermediate_results[[#This Row], [Team3 laps '[laps']]]</f>
        <v>0</v>
      </c>
      <c r="W91" s="3">
        <f>MAX(intermediate_results[[#This Row], [Team1 laps '[laps']]:[Team9 laps '[laps']]]) - intermediate_results[[#This Row], [Team4 laps '[laps']]]</f>
        <v>0</v>
      </c>
      <c r="X91" s="3">
        <f>MAX(intermediate_results[[#This Row], [Team1 laps '[laps']]:[Team9 laps '[laps']]]) - intermediate_results[[#This Row], [Team5 laps '[laps']]]</f>
        <v>0</v>
      </c>
      <c r="Y91" s="3">
        <f>MAX(intermediate_results[[#This Row], [Team1 laps '[laps']]:[Team9 laps '[laps']]]) - intermediate_results[[#This Row], [Team6 laps '[laps']]]</f>
        <v>0</v>
      </c>
      <c r="Z91" s="3">
        <f>MAX(intermediate_results[[#This Row], [Team1 laps '[laps']]:[Team9 laps '[laps']]]) - intermediate_results[[#This Row], [Team7 laps '[laps']]]</f>
        <v>0</v>
      </c>
      <c r="AA91" s="3">
        <f>MAX(intermediate_results[[#This Row], [Team1 laps '[laps']]:[Team9 laps '[laps']]]) - intermediate_results[[#This Row], [Team8 laps '[laps']]]</f>
        <v>0</v>
      </c>
      <c r="AB91" s="3">
        <f>MAX(intermediate_results[[#This Row], [Team1 laps '[laps']]:[Team9 laps '[laps']]]) - intermediate_results[[#This Row], [Team9 laps '[laps']]]</f>
        <v>0</v>
      </c>
      <c r="AC91" s="3">
        <f>9 * intermediate_results[[#This Row], [All cumulative times '[sec']]] / SUM(intermediate_results[[#This Row], [Team1 laps '[laps']]:[Team9 laps '[laps']]])</f>
        <v>0</v>
      </c>
      <c r="AD91" s="3">
        <f>intermediate_results[[#This Row], [All cumulative times '[sec']]] / intermediate_results[[#This Row], [Team1 laps '[laps']]] - intermediate_results[[#This Row], [Total running average '[sec']]]</f>
        <v>0</v>
      </c>
      <c r="AE91" s="3">
        <f>intermediate_results[[#This Row], [All cumulative times '[sec']]] / intermediate_results[[#This Row], [Team2 laps '[laps']]] - intermediate_results[[#This Row], [Total running average '[sec']]]</f>
        <v>0</v>
      </c>
      <c r="AF91" s="3">
        <f>intermediate_results[[#This Row], [All cumulative times '[sec']]] / intermediate_results[[#This Row], [Team3 laps '[laps']]] - intermediate_results[[#This Row], [Total running average '[sec']]]</f>
        <v>0</v>
      </c>
      <c r="AG91" s="3">
        <f>intermediate_results[[#This Row], [All cumulative times '[sec']]] / intermediate_results[[#This Row], [Team4 laps '[laps']]] - intermediate_results[[#This Row], [Total running average '[sec']]]</f>
        <v>0</v>
      </c>
      <c r="AH91" s="3">
        <f>intermediate_results[[#This Row], [All cumulative times '[sec']]] / intermediate_results[[#This Row], [Team5 laps '[laps']]] - intermediate_results[[#This Row], [Total running average '[sec']]]</f>
        <v>0</v>
      </c>
      <c r="AI91" s="3">
        <f>intermediate_results[[#This Row], [All cumulative times '[sec']]] / intermediate_results[[#This Row], [Team6 laps '[laps']]] - intermediate_results[[#This Row], [Total running average '[sec']]]</f>
        <v>0</v>
      </c>
      <c r="AJ91" s="3">
        <f>intermediate_results[[#This Row], [All cumulative times '[sec']]] / intermediate_results[[#This Row], [Team7 laps '[laps']]] - intermediate_results[[#This Row], [Total running average '[sec']]]</f>
        <v>0</v>
      </c>
      <c r="AK91" s="3">
        <f>intermediate_results[[#This Row], [All cumulative times '[sec']]] / intermediate_results[[#This Row], [Team8 laps '[laps']]] - intermediate_results[[#This Row], [Total running average '[sec']]]</f>
        <v>0</v>
      </c>
      <c r="AL91" s="3">
        <f>intermediate_results[[#This Row], [All cumulative times '[sec']]] / intermediate_results[[#This Row], [Team9 laps '[laps']]] - intermediate_results[[#This Row], [Total running average '[sec']]]</f>
        <v>0</v>
      </c>
    </row>
    <row r="92" spans="1:38">
      <c r="A92" s="3">
        <v>583.6529999999999</v>
      </c>
      <c r="B9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2" s="3">
        <f>intermediate_results[[#This Row], [Team1 laps '[laps']]] - intermediate_results[[#This Row], [Team1 laps '[laps']]]</f>
        <v>0</v>
      </c>
      <c r="L92" s="3">
        <f>intermediate_results[[#This Row], [Team1 laps '[laps']]] - intermediate_results[[#This Row], [Team2 laps '[laps']]]</f>
        <v>0</v>
      </c>
      <c r="M92" s="3">
        <f>intermediate_results[[#This Row], [Team1 laps '[laps']]] - intermediate_results[[#This Row], [Team3 laps '[laps']]]</f>
        <v>0</v>
      </c>
      <c r="N92" s="3">
        <f>intermediate_results[[#This Row], [Team1 laps '[laps']]] - intermediate_results[[#This Row], [Team4 laps '[laps']]]</f>
        <v>0</v>
      </c>
      <c r="O92" s="3">
        <f>intermediate_results[[#This Row], [Team1 laps '[laps']]] - intermediate_results[[#This Row], [Team5 laps '[laps']]]</f>
        <v>0</v>
      </c>
      <c r="P92" s="3">
        <f>intermediate_results[[#This Row], [Team1 laps '[laps']]] - intermediate_results[[#This Row], [Team6 laps '[laps']]]</f>
        <v>0</v>
      </c>
      <c r="Q92" s="3">
        <f>intermediate_results[[#This Row], [Team1 laps '[laps']]] - intermediate_results[[#This Row], [Team7 laps '[laps']]]</f>
        <v>0</v>
      </c>
      <c r="R92" s="3">
        <f>intermediate_results[[#This Row], [Team1 laps '[laps']]] - intermediate_results[[#This Row], [Team8 laps '[laps']]]</f>
        <v>0</v>
      </c>
      <c r="S92" s="3">
        <f>intermediate_results[[#This Row], [Team1 laps '[laps']]] - intermediate_results[[#This Row], [Team9 laps '[laps']]]</f>
        <v>0</v>
      </c>
      <c r="T92" s="3">
        <f>MAX(intermediate_results[[#This Row], [Team1 laps '[laps']]:[Team9 laps '[laps']]]) - intermediate_results[[#This Row], [Team1 laps '[laps']]]</f>
        <v>0</v>
      </c>
      <c r="U92" s="3">
        <f>MAX(intermediate_results[[#This Row], [Team1 laps '[laps']]:[Team9 laps '[laps']]]) - intermediate_results[[#This Row], [Team2 laps '[laps']]]</f>
        <v>0</v>
      </c>
      <c r="V92" s="3">
        <f>MAX(intermediate_results[[#This Row], [Team1 laps '[laps']]:[Team9 laps '[laps']]]) - intermediate_results[[#This Row], [Team3 laps '[laps']]]</f>
        <v>0</v>
      </c>
      <c r="W92" s="3">
        <f>MAX(intermediate_results[[#This Row], [Team1 laps '[laps']]:[Team9 laps '[laps']]]) - intermediate_results[[#This Row], [Team4 laps '[laps']]]</f>
        <v>0</v>
      </c>
      <c r="X92" s="3">
        <f>MAX(intermediate_results[[#This Row], [Team1 laps '[laps']]:[Team9 laps '[laps']]]) - intermediate_results[[#This Row], [Team5 laps '[laps']]]</f>
        <v>0</v>
      </c>
      <c r="Y92" s="3">
        <f>MAX(intermediate_results[[#This Row], [Team1 laps '[laps']]:[Team9 laps '[laps']]]) - intermediate_results[[#This Row], [Team6 laps '[laps']]]</f>
        <v>0</v>
      </c>
      <c r="Z92" s="3">
        <f>MAX(intermediate_results[[#This Row], [Team1 laps '[laps']]:[Team9 laps '[laps']]]) - intermediate_results[[#This Row], [Team7 laps '[laps']]]</f>
        <v>0</v>
      </c>
      <c r="AA92" s="3">
        <f>MAX(intermediate_results[[#This Row], [Team1 laps '[laps']]:[Team9 laps '[laps']]]) - intermediate_results[[#This Row], [Team8 laps '[laps']]]</f>
        <v>0</v>
      </c>
      <c r="AB92" s="3">
        <f>MAX(intermediate_results[[#This Row], [Team1 laps '[laps']]:[Team9 laps '[laps']]]) - intermediate_results[[#This Row], [Team9 laps '[laps']]]</f>
        <v>0</v>
      </c>
      <c r="AC92" s="3">
        <f>9 * intermediate_results[[#This Row], [All cumulative times '[sec']]] / SUM(intermediate_results[[#This Row], [Team1 laps '[laps']]:[Team9 laps '[laps']]])</f>
        <v>0</v>
      </c>
      <c r="AD92" s="3">
        <f>intermediate_results[[#This Row], [All cumulative times '[sec']]] / intermediate_results[[#This Row], [Team1 laps '[laps']]] - intermediate_results[[#This Row], [Total running average '[sec']]]</f>
        <v>0</v>
      </c>
      <c r="AE92" s="3">
        <f>intermediate_results[[#This Row], [All cumulative times '[sec']]] / intermediate_results[[#This Row], [Team2 laps '[laps']]] - intermediate_results[[#This Row], [Total running average '[sec']]]</f>
        <v>0</v>
      </c>
      <c r="AF92" s="3">
        <f>intermediate_results[[#This Row], [All cumulative times '[sec']]] / intermediate_results[[#This Row], [Team3 laps '[laps']]] - intermediate_results[[#This Row], [Total running average '[sec']]]</f>
        <v>0</v>
      </c>
      <c r="AG92" s="3">
        <f>intermediate_results[[#This Row], [All cumulative times '[sec']]] / intermediate_results[[#This Row], [Team4 laps '[laps']]] - intermediate_results[[#This Row], [Total running average '[sec']]]</f>
        <v>0</v>
      </c>
      <c r="AH92" s="3">
        <f>intermediate_results[[#This Row], [All cumulative times '[sec']]] / intermediate_results[[#This Row], [Team5 laps '[laps']]] - intermediate_results[[#This Row], [Total running average '[sec']]]</f>
        <v>0</v>
      </c>
      <c r="AI92" s="3">
        <f>intermediate_results[[#This Row], [All cumulative times '[sec']]] / intermediate_results[[#This Row], [Team6 laps '[laps']]] - intermediate_results[[#This Row], [Total running average '[sec']]]</f>
        <v>0</v>
      </c>
      <c r="AJ92" s="3">
        <f>intermediate_results[[#This Row], [All cumulative times '[sec']]] / intermediate_results[[#This Row], [Team7 laps '[laps']]] - intermediate_results[[#This Row], [Total running average '[sec']]]</f>
        <v>0</v>
      </c>
      <c r="AK92" s="3">
        <f>intermediate_results[[#This Row], [All cumulative times '[sec']]] / intermediate_results[[#This Row], [Team8 laps '[laps']]] - intermediate_results[[#This Row], [Total running average '[sec']]]</f>
        <v>0</v>
      </c>
      <c r="AL92" s="3">
        <f>intermediate_results[[#This Row], [All cumulative times '[sec']]] / intermediate_results[[#This Row], [Team9 laps '[laps']]] - intermediate_results[[#This Row], [Total running average '[sec']]]</f>
        <v>0</v>
      </c>
    </row>
    <row r="93" spans="1:38">
      <c r="A93" s="3">
        <v>585.439</v>
      </c>
      <c r="B9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3" s="3">
        <f>intermediate_results[[#This Row], [Team1 laps '[laps']]] - intermediate_results[[#This Row], [Team1 laps '[laps']]]</f>
        <v>0</v>
      </c>
      <c r="L93" s="3">
        <f>intermediate_results[[#This Row], [Team1 laps '[laps']]] - intermediate_results[[#This Row], [Team2 laps '[laps']]]</f>
        <v>0</v>
      </c>
      <c r="M93" s="3">
        <f>intermediate_results[[#This Row], [Team1 laps '[laps']]] - intermediate_results[[#This Row], [Team3 laps '[laps']]]</f>
        <v>0</v>
      </c>
      <c r="N93" s="3">
        <f>intermediate_results[[#This Row], [Team1 laps '[laps']]] - intermediate_results[[#This Row], [Team4 laps '[laps']]]</f>
        <v>0</v>
      </c>
      <c r="O93" s="3">
        <f>intermediate_results[[#This Row], [Team1 laps '[laps']]] - intermediate_results[[#This Row], [Team5 laps '[laps']]]</f>
        <v>0</v>
      </c>
      <c r="P93" s="3">
        <f>intermediate_results[[#This Row], [Team1 laps '[laps']]] - intermediate_results[[#This Row], [Team6 laps '[laps']]]</f>
        <v>0</v>
      </c>
      <c r="Q93" s="3">
        <f>intermediate_results[[#This Row], [Team1 laps '[laps']]] - intermediate_results[[#This Row], [Team7 laps '[laps']]]</f>
        <v>0</v>
      </c>
      <c r="R93" s="3">
        <f>intermediate_results[[#This Row], [Team1 laps '[laps']]] - intermediate_results[[#This Row], [Team8 laps '[laps']]]</f>
        <v>0</v>
      </c>
      <c r="S93" s="3">
        <f>intermediate_results[[#This Row], [Team1 laps '[laps']]] - intermediate_results[[#This Row], [Team9 laps '[laps']]]</f>
        <v>0</v>
      </c>
      <c r="T93" s="3">
        <f>MAX(intermediate_results[[#This Row], [Team1 laps '[laps']]:[Team9 laps '[laps']]]) - intermediate_results[[#This Row], [Team1 laps '[laps']]]</f>
        <v>0</v>
      </c>
      <c r="U93" s="3">
        <f>MAX(intermediate_results[[#This Row], [Team1 laps '[laps']]:[Team9 laps '[laps']]]) - intermediate_results[[#This Row], [Team2 laps '[laps']]]</f>
        <v>0</v>
      </c>
      <c r="V93" s="3">
        <f>MAX(intermediate_results[[#This Row], [Team1 laps '[laps']]:[Team9 laps '[laps']]]) - intermediate_results[[#This Row], [Team3 laps '[laps']]]</f>
        <v>0</v>
      </c>
      <c r="W93" s="3">
        <f>MAX(intermediate_results[[#This Row], [Team1 laps '[laps']]:[Team9 laps '[laps']]]) - intermediate_results[[#This Row], [Team4 laps '[laps']]]</f>
        <v>0</v>
      </c>
      <c r="X93" s="3">
        <f>MAX(intermediate_results[[#This Row], [Team1 laps '[laps']]:[Team9 laps '[laps']]]) - intermediate_results[[#This Row], [Team5 laps '[laps']]]</f>
        <v>0</v>
      </c>
      <c r="Y93" s="3">
        <f>MAX(intermediate_results[[#This Row], [Team1 laps '[laps']]:[Team9 laps '[laps']]]) - intermediate_results[[#This Row], [Team6 laps '[laps']]]</f>
        <v>0</v>
      </c>
      <c r="Z93" s="3">
        <f>MAX(intermediate_results[[#This Row], [Team1 laps '[laps']]:[Team9 laps '[laps']]]) - intermediate_results[[#This Row], [Team7 laps '[laps']]]</f>
        <v>0</v>
      </c>
      <c r="AA93" s="3">
        <f>MAX(intermediate_results[[#This Row], [Team1 laps '[laps']]:[Team9 laps '[laps']]]) - intermediate_results[[#This Row], [Team8 laps '[laps']]]</f>
        <v>0</v>
      </c>
      <c r="AB93" s="3">
        <f>MAX(intermediate_results[[#This Row], [Team1 laps '[laps']]:[Team9 laps '[laps']]]) - intermediate_results[[#This Row], [Team9 laps '[laps']]]</f>
        <v>0</v>
      </c>
      <c r="AC93" s="3">
        <f>9 * intermediate_results[[#This Row], [All cumulative times '[sec']]] / SUM(intermediate_results[[#This Row], [Team1 laps '[laps']]:[Team9 laps '[laps']]])</f>
        <v>0</v>
      </c>
      <c r="AD93" s="3">
        <f>intermediate_results[[#This Row], [All cumulative times '[sec']]] / intermediate_results[[#This Row], [Team1 laps '[laps']]] - intermediate_results[[#This Row], [Total running average '[sec']]]</f>
        <v>0</v>
      </c>
      <c r="AE93" s="3">
        <f>intermediate_results[[#This Row], [All cumulative times '[sec']]] / intermediate_results[[#This Row], [Team2 laps '[laps']]] - intermediate_results[[#This Row], [Total running average '[sec']]]</f>
        <v>0</v>
      </c>
      <c r="AF93" s="3">
        <f>intermediate_results[[#This Row], [All cumulative times '[sec']]] / intermediate_results[[#This Row], [Team3 laps '[laps']]] - intermediate_results[[#This Row], [Total running average '[sec']]]</f>
        <v>0</v>
      </c>
      <c r="AG93" s="3">
        <f>intermediate_results[[#This Row], [All cumulative times '[sec']]] / intermediate_results[[#This Row], [Team4 laps '[laps']]] - intermediate_results[[#This Row], [Total running average '[sec']]]</f>
        <v>0</v>
      </c>
      <c r="AH93" s="3">
        <f>intermediate_results[[#This Row], [All cumulative times '[sec']]] / intermediate_results[[#This Row], [Team5 laps '[laps']]] - intermediate_results[[#This Row], [Total running average '[sec']]]</f>
        <v>0</v>
      </c>
      <c r="AI93" s="3">
        <f>intermediate_results[[#This Row], [All cumulative times '[sec']]] / intermediate_results[[#This Row], [Team6 laps '[laps']]] - intermediate_results[[#This Row], [Total running average '[sec']]]</f>
        <v>0</v>
      </c>
      <c r="AJ93" s="3">
        <f>intermediate_results[[#This Row], [All cumulative times '[sec']]] / intermediate_results[[#This Row], [Team7 laps '[laps']]] - intermediate_results[[#This Row], [Total running average '[sec']]]</f>
        <v>0</v>
      </c>
      <c r="AK93" s="3">
        <f>intermediate_results[[#This Row], [All cumulative times '[sec']]] / intermediate_results[[#This Row], [Team8 laps '[laps']]] - intermediate_results[[#This Row], [Total running average '[sec']]]</f>
        <v>0</v>
      </c>
      <c r="AL93" s="3">
        <f>intermediate_results[[#This Row], [All cumulative times '[sec']]] / intermediate_results[[#This Row], [Team9 laps '[laps']]] - intermediate_results[[#This Row], [Total running average '[sec']]]</f>
        <v>0</v>
      </c>
    </row>
    <row r="94" spans="1:38">
      <c r="A94" s="3">
        <v>594.9649999999999</v>
      </c>
      <c r="B9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4" s="3">
        <f>intermediate_results[[#This Row], [Team1 laps '[laps']]] - intermediate_results[[#This Row], [Team1 laps '[laps']]]</f>
        <v>0</v>
      </c>
      <c r="L94" s="3">
        <f>intermediate_results[[#This Row], [Team1 laps '[laps']]] - intermediate_results[[#This Row], [Team2 laps '[laps']]]</f>
        <v>0</v>
      </c>
      <c r="M94" s="3">
        <f>intermediate_results[[#This Row], [Team1 laps '[laps']]] - intermediate_results[[#This Row], [Team3 laps '[laps']]]</f>
        <v>0</v>
      </c>
      <c r="N94" s="3">
        <f>intermediate_results[[#This Row], [Team1 laps '[laps']]] - intermediate_results[[#This Row], [Team4 laps '[laps']]]</f>
        <v>0</v>
      </c>
      <c r="O94" s="3">
        <f>intermediate_results[[#This Row], [Team1 laps '[laps']]] - intermediate_results[[#This Row], [Team5 laps '[laps']]]</f>
        <v>0</v>
      </c>
      <c r="P94" s="3">
        <f>intermediate_results[[#This Row], [Team1 laps '[laps']]] - intermediate_results[[#This Row], [Team6 laps '[laps']]]</f>
        <v>0</v>
      </c>
      <c r="Q94" s="3">
        <f>intermediate_results[[#This Row], [Team1 laps '[laps']]] - intermediate_results[[#This Row], [Team7 laps '[laps']]]</f>
        <v>0</v>
      </c>
      <c r="R94" s="3">
        <f>intermediate_results[[#This Row], [Team1 laps '[laps']]] - intermediate_results[[#This Row], [Team8 laps '[laps']]]</f>
        <v>0</v>
      </c>
      <c r="S94" s="3">
        <f>intermediate_results[[#This Row], [Team1 laps '[laps']]] - intermediate_results[[#This Row], [Team9 laps '[laps']]]</f>
        <v>0</v>
      </c>
      <c r="T94" s="3">
        <f>MAX(intermediate_results[[#This Row], [Team1 laps '[laps']]:[Team9 laps '[laps']]]) - intermediate_results[[#This Row], [Team1 laps '[laps']]]</f>
        <v>0</v>
      </c>
      <c r="U94" s="3">
        <f>MAX(intermediate_results[[#This Row], [Team1 laps '[laps']]:[Team9 laps '[laps']]]) - intermediate_results[[#This Row], [Team2 laps '[laps']]]</f>
        <v>0</v>
      </c>
      <c r="V94" s="3">
        <f>MAX(intermediate_results[[#This Row], [Team1 laps '[laps']]:[Team9 laps '[laps']]]) - intermediate_results[[#This Row], [Team3 laps '[laps']]]</f>
        <v>0</v>
      </c>
      <c r="W94" s="3">
        <f>MAX(intermediate_results[[#This Row], [Team1 laps '[laps']]:[Team9 laps '[laps']]]) - intermediate_results[[#This Row], [Team4 laps '[laps']]]</f>
        <v>0</v>
      </c>
      <c r="X94" s="3">
        <f>MAX(intermediate_results[[#This Row], [Team1 laps '[laps']]:[Team9 laps '[laps']]]) - intermediate_results[[#This Row], [Team5 laps '[laps']]]</f>
        <v>0</v>
      </c>
      <c r="Y94" s="3">
        <f>MAX(intermediate_results[[#This Row], [Team1 laps '[laps']]:[Team9 laps '[laps']]]) - intermediate_results[[#This Row], [Team6 laps '[laps']]]</f>
        <v>0</v>
      </c>
      <c r="Z94" s="3">
        <f>MAX(intermediate_results[[#This Row], [Team1 laps '[laps']]:[Team9 laps '[laps']]]) - intermediate_results[[#This Row], [Team7 laps '[laps']]]</f>
        <v>0</v>
      </c>
      <c r="AA94" s="3">
        <f>MAX(intermediate_results[[#This Row], [Team1 laps '[laps']]:[Team9 laps '[laps']]]) - intermediate_results[[#This Row], [Team8 laps '[laps']]]</f>
        <v>0</v>
      </c>
      <c r="AB94" s="3">
        <f>MAX(intermediate_results[[#This Row], [Team1 laps '[laps']]:[Team9 laps '[laps']]]) - intermediate_results[[#This Row], [Team9 laps '[laps']]]</f>
        <v>0</v>
      </c>
      <c r="AC94" s="3">
        <f>9 * intermediate_results[[#This Row], [All cumulative times '[sec']]] / SUM(intermediate_results[[#This Row], [Team1 laps '[laps']]:[Team9 laps '[laps']]])</f>
        <v>0</v>
      </c>
      <c r="AD94" s="3">
        <f>intermediate_results[[#This Row], [All cumulative times '[sec']]] / intermediate_results[[#This Row], [Team1 laps '[laps']]] - intermediate_results[[#This Row], [Total running average '[sec']]]</f>
        <v>0</v>
      </c>
      <c r="AE94" s="3">
        <f>intermediate_results[[#This Row], [All cumulative times '[sec']]] / intermediate_results[[#This Row], [Team2 laps '[laps']]] - intermediate_results[[#This Row], [Total running average '[sec']]]</f>
        <v>0</v>
      </c>
      <c r="AF94" s="3">
        <f>intermediate_results[[#This Row], [All cumulative times '[sec']]] / intermediate_results[[#This Row], [Team3 laps '[laps']]] - intermediate_results[[#This Row], [Total running average '[sec']]]</f>
        <v>0</v>
      </c>
      <c r="AG94" s="3">
        <f>intermediate_results[[#This Row], [All cumulative times '[sec']]] / intermediate_results[[#This Row], [Team4 laps '[laps']]] - intermediate_results[[#This Row], [Total running average '[sec']]]</f>
        <v>0</v>
      </c>
      <c r="AH94" s="3">
        <f>intermediate_results[[#This Row], [All cumulative times '[sec']]] / intermediate_results[[#This Row], [Team5 laps '[laps']]] - intermediate_results[[#This Row], [Total running average '[sec']]]</f>
        <v>0</v>
      </c>
      <c r="AI94" s="3">
        <f>intermediate_results[[#This Row], [All cumulative times '[sec']]] / intermediate_results[[#This Row], [Team6 laps '[laps']]] - intermediate_results[[#This Row], [Total running average '[sec']]]</f>
        <v>0</v>
      </c>
      <c r="AJ94" s="3">
        <f>intermediate_results[[#This Row], [All cumulative times '[sec']]] / intermediate_results[[#This Row], [Team7 laps '[laps']]] - intermediate_results[[#This Row], [Total running average '[sec']]]</f>
        <v>0</v>
      </c>
      <c r="AK94" s="3">
        <f>intermediate_results[[#This Row], [All cumulative times '[sec']]] / intermediate_results[[#This Row], [Team8 laps '[laps']]] - intermediate_results[[#This Row], [Total running average '[sec']]]</f>
        <v>0</v>
      </c>
      <c r="AL94" s="3">
        <f>intermediate_results[[#This Row], [All cumulative times '[sec']]] / intermediate_results[[#This Row], [Team9 laps '[laps']]] - intermediate_results[[#This Row], [Total running average '[sec']]]</f>
        <v>0</v>
      </c>
    </row>
    <row r="95" spans="1:38">
      <c r="A95" s="3">
        <v>606.9720000000001</v>
      </c>
      <c r="B9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5" s="3">
        <f>intermediate_results[[#This Row], [Team1 laps '[laps']]] - intermediate_results[[#This Row], [Team1 laps '[laps']]]</f>
        <v>0</v>
      </c>
      <c r="L95" s="3">
        <f>intermediate_results[[#This Row], [Team1 laps '[laps']]] - intermediate_results[[#This Row], [Team2 laps '[laps']]]</f>
        <v>0</v>
      </c>
      <c r="M95" s="3">
        <f>intermediate_results[[#This Row], [Team1 laps '[laps']]] - intermediate_results[[#This Row], [Team3 laps '[laps']]]</f>
        <v>0</v>
      </c>
      <c r="N95" s="3">
        <f>intermediate_results[[#This Row], [Team1 laps '[laps']]] - intermediate_results[[#This Row], [Team4 laps '[laps']]]</f>
        <v>0</v>
      </c>
      <c r="O95" s="3">
        <f>intermediate_results[[#This Row], [Team1 laps '[laps']]] - intermediate_results[[#This Row], [Team5 laps '[laps']]]</f>
        <v>0</v>
      </c>
      <c r="P95" s="3">
        <f>intermediate_results[[#This Row], [Team1 laps '[laps']]] - intermediate_results[[#This Row], [Team6 laps '[laps']]]</f>
        <v>0</v>
      </c>
      <c r="Q95" s="3">
        <f>intermediate_results[[#This Row], [Team1 laps '[laps']]] - intermediate_results[[#This Row], [Team7 laps '[laps']]]</f>
        <v>0</v>
      </c>
      <c r="R95" s="3">
        <f>intermediate_results[[#This Row], [Team1 laps '[laps']]] - intermediate_results[[#This Row], [Team8 laps '[laps']]]</f>
        <v>0</v>
      </c>
      <c r="S95" s="3">
        <f>intermediate_results[[#This Row], [Team1 laps '[laps']]] - intermediate_results[[#This Row], [Team9 laps '[laps']]]</f>
        <v>0</v>
      </c>
      <c r="T95" s="3">
        <f>MAX(intermediate_results[[#This Row], [Team1 laps '[laps']]:[Team9 laps '[laps']]]) - intermediate_results[[#This Row], [Team1 laps '[laps']]]</f>
        <v>0</v>
      </c>
      <c r="U95" s="3">
        <f>MAX(intermediate_results[[#This Row], [Team1 laps '[laps']]:[Team9 laps '[laps']]]) - intermediate_results[[#This Row], [Team2 laps '[laps']]]</f>
        <v>0</v>
      </c>
      <c r="V95" s="3">
        <f>MAX(intermediate_results[[#This Row], [Team1 laps '[laps']]:[Team9 laps '[laps']]]) - intermediate_results[[#This Row], [Team3 laps '[laps']]]</f>
        <v>0</v>
      </c>
      <c r="W95" s="3">
        <f>MAX(intermediate_results[[#This Row], [Team1 laps '[laps']]:[Team9 laps '[laps']]]) - intermediate_results[[#This Row], [Team4 laps '[laps']]]</f>
        <v>0</v>
      </c>
      <c r="X95" s="3">
        <f>MAX(intermediate_results[[#This Row], [Team1 laps '[laps']]:[Team9 laps '[laps']]]) - intermediate_results[[#This Row], [Team5 laps '[laps']]]</f>
        <v>0</v>
      </c>
      <c r="Y95" s="3">
        <f>MAX(intermediate_results[[#This Row], [Team1 laps '[laps']]:[Team9 laps '[laps']]]) - intermediate_results[[#This Row], [Team6 laps '[laps']]]</f>
        <v>0</v>
      </c>
      <c r="Z95" s="3">
        <f>MAX(intermediate_results[[#This Row], [Team1 laps '[laps']]:[Team9 laps '[laps']]]) - intermediate_results[[#This Row], [Team7 laps '[laps']]]</f>
        <v>0</v>
      </c>
      <c r="AA95" s="3">
        <f>MAX(intermediate_results[[#This Row], [Team1 laps '[laps']]:[Team9 laps '[laps']]]) - intermediate_results[[#This Row], [Team8 laps '[laps']]]</f>
        <v>0</v>
      </c>
      <c r="AB95" s="3">
        <f>MAX(intermediate_results[[#This Row], [Team1 laps '[laps']]:[Team9 laps '[laps']]]) - intermediate_results[[#This Row], [Team9 laps '[laps']]]</f>
        <v>0</v>
      </c>
      <c r="AC95" s="3">
        <f>9 * intermediate_results[[#This Row], [All cumulative times '[sec']]] / SUM(intermediate_results[[#This Row], [Team1 laps '[laps']]:[Team9 laps '[laps']]])</f>
        <v>0</v>
      </c>
      <c r="AD95" s="3">
        <f>intermediate_results[[#This Row], [All cumulative times '[sec']]] / intermediate_results[[#This Row], [Team1 laps '[laps']]] - intermediate_results[[#This Row], [Total running average '[sec']]]</f>
        <v>0</v>
      </c>
      <c r="AE95" s="3">
        <f>intermediate_results[[#This Row], [All cumulative times '[sec']]] / intermediate_results[[#This Row], [Team2 laps '[laps']]] - intermediate_results[[#This Row], [Total running average '[sec']]]</f>
        <v>0</v>
      </c>
      <c r="AF95" s="3">
        <f>intermediate_results[[#This Row], [All cumulative times '[sec']]] / intermediate_results[[#This Row], [Team3 laps '[laps']]] - intermediate_results[[#This Row], [Total running average '[sec']]]</f>
        <v>0</v>
      </c>
      <c r="AG95" s="3">
        <f>intermediate_results[[#This Row], [All cumulative times '[sec']]] / intermediate_results[[#This Row], [Team4 laps '[laps']]] - intermediate_results[[#This Row], [Total running average '[sec']]]</f>
        <v>0</v>
      </c>
      <c r="AH95" s="3">
        <f>intermediate_results[[#This Row], [All cumulative times '[sec']]] / intermediate_results[[#This Row], [Team5 laps '[laps']]] - intermediate_results[[#This Row], [Total running average '[sec']]]</f>
        <v>0</v>
      </c>
      <c r="AI95" s="3">
        <f>intermediate_results[[#This Row], [All cumulative times '[sec']]] / intermediate_results[[#This Row], [Team6 laps '[laps']]] - intermediate_results[[#This Row], [Total running average '[sec']]]</f>
        <v>0</v>
      </c>
      <c r="AJ95" s="3">
        <f>intermediate_results[[#This Row], [All cumulative times '[sec']]] / intermediate_results[[#This Row], [Team7 laps '[laps']]] - intermediate_results[[#This Row], [Total running average '[sec']]]</f>
        <v>0</v>
      </c>
      <c r="AK95" s="3">
        <f>intermediate_results[[#This Row], [All cumulative times '[sec']]] / intermediate_results[[#This Row], [Team8 laps '[laps']]] - intermediate_results[[#This Row], [Total running average '[sec']]]</f>
        <v>0</v>
      </c>
      <c r="AL95" s="3">
        <f>intermediate_results[[#This Row], [All cumulative times '[sec']]] / intermediate_results[[#This Row], [Team9 laps '[laps']]] - intermediate_results[[#This Row], [Total running average '[sec']]]</f>
        <v>0</v>
      </c>
    </row>
    <row r="96" spans="1:38">
      <c r="A96" s="3">
        <v>607.3299999999999</v>
      </c>
      <c r="B9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6" s="3">
        <f>intermediate_results[[#This Row], [Team1 laps '[laps']]] - intermediate_results[[#This Row], [Team1 laps '[laps']]]</f>
        <v>0</v>
      </c>
      <c r="L96" s="3">
        <f>intermediate_results[[#This Row], [Team1 laps '[laps']]] - intermediate_results[[#This Row], [Team2 laps '[laps']]]</f>
        <v>0</v>
      </c>
      <c r="M96" s="3">
        <f>intermediate_results[[#This Row], [Team1 laps '[laps']]] - intermediate_results[[#This Row], [Team3 laps '[laps']]]</f>
        <v>0</v>
      </c>
      <c r="N96" s="3">
        <f>intermediate_results[[#This Row], [Team1 laps '[laps']]] - intermediate_results[[#This Row], [Team4 laps '[laps']]]</f>
        <v>0</v>
      </c>
      <c r="O96" s="3">
        <f>intermediate_results[[#This Row], [Team1 laps '[laps']]] - intermediate_results[[#This Row], [Team5 laps '[laps']]]</f>
        <v>0</v>
      </c>
      <c r="P96" s="3">
        <f>intermediate_results[[#This Row], [Team1 laps '[laps']]] - intermediate_results[[#This Row], [Team6 laps '[laps']]]</f>
        <v>0</v>
      </c>
      <c r="Q96" s="3">
        <f>intermediate_results[[#This Row], [Team1 laps '[laps']]] - intermediate_results[[#This Row], [Team7 laps '[laps']]]</f>
        <v>0</v>
      </c>
      <c r="R96" s="3">
        <f>intermediate_results[[#This Row], [Team1 laps '[laps']]] - intermediate_results[[#This Row], [Team8 laps '[laps']]]</f>
        <v>0</v>
      </c>
      <c r="S96" s="3">
        <f>intermediate_results[[#This Row], [Team1 laps '[laps']]] - intermediate_results[[#This Row], [Team9 laps '[laps']]]</f>
        <v>0</v>
      </c>
      <c r="T96" s="3">
        <f>MAX(intermediate_results[[#This Row], [Team1 laps '[laps']]:[Team9 laps '[laps']]]) - intermediate_results[[#This Row], [Team1 laps '[laps']]]</f>
        <v>0</v>
      </c>
      <c r="U96" s="3">
        <f>MAX(intermediate_results[[#This Row], [Team1 laps '[laps']]:[Team9 laps '[laps']]]) - intermediate_results[[#This Row], [Team2 laps '[laps']]]</f>
        <v>0</v>
      </c>
      <c r="V96" s="3">
        <f>MAX(intermediate_results[[#This Row], [Team1 laps '[laps']]:[Team9 laps '[laps']]]) - intermediate_results[[#This Row], [Team3 laps '[laps']]]</f>
        <v>0</v>
      </c>
      <c r="W96" s="3">
        <f>MAX(intermediate_results[[#This Row], [Team1 laps '[laps']]:[Team9 laps '[laps']]]) - intermediate_results[[#This Row], [Team4 laps '[laps']]]</f>
        <v>0</v>
      </c>
      <c r="X96" s="3">
        <f>MAX(intermediate_results[[#This Row], [Team1 laps '[laps']]:[Team9 laps '[laps']]]) - intermediate_results[[#This Row], [Team5 laps '[laps']]]</f>
        <v>0</v>
      </c>
      <c r="Y96" s="3">
        <f>MAX(intermediate_results[[#This Row], [Team1 laps '[laps']]:[Team9 laps '[laps']]]) - intermediate_results[[#This Row], [Team6 laps '[laps']]]</f>
        <v>0</v>
      </c>
      <c r="Z96" s="3">
        <f>MAX(intermediate_results[[#This Row], [Team1 laps '[laps']]:[Team9 laps '[laps']]]) - intermediate_results[[#This Row], [Team7 laps '[laps']]]</f>
        <v>0</v>
      </c>
      <c r="AA96" s="3">
        <f>MAX(intermediate_results[[#This Row], [Team1 laps '[laps']]:[Team9 laps '[laps']]]) - intermediate_results[[#This Row], [Team8 laps '[laps']]]</f>
        <v>0</v>
      </c>
      <c r="AB96" s="3">
        <f>MAX(intermediate_results[[#This Row], [Team1 laps '[laps']]:[Team9 laps '[laps']]]) - intermediate_results[[#This Row], [Team9 laps '[laps']]]</f>
        <v>0</v>
      </c>
      <c r="AC96" s="3">
        <f>9 * intermediate_results[[#This Row], [All cumulative times '[sec']]] / SUM(intermediate_results[[#This Row], [Team1 laps '[laps']]:[Team9 laps '[laps']]])</f>
        <v>0</v>
      </c>
      <c r="AD96" s="3">
        <f>intermediate_results[[#This Row], [All cumulative times '[sec']]] / intermediate_results[[#This Row], [Team1 laps '[laps']]] - intermediate_results[[#This Row], [Total running average '[sec']]]</f>
        <v>0</v>
      </c>
      <c r="AE96" s="3">
        <f>intermediate_results[[#This Row], [All cumulative times '[sec']]] / intermediate_results[[#This Row], [Team2 laps '[laps']]] - intermediate_results[[#This Row], [Total running average '[sec']]]</f>
        <v>0</v>
      </c>
      <c r="AF96" s="3">
        <f>intermediate_results[[#This Row], [All cumulative times '[sec']]] / intermediate_results[[#This Row], [Team3 laps '[laps']]] - intermediate_results[[#This Row], [Total running average '[sec']]]</f>
        <v>0</v>
      </c>
      <c r="AG96" s="3">
        <f>intermediate_results[[#This Row], [All cumulative times '[sec']]] / intermediate_results[[#This Row], [Team4 laps '[laps']]] - intermediate_results[[#This Row], [Total running average '[sec']]]</f>
        <v>0</v>
      </c>
      <c r="AH96" s="3">
        <f>intermediate_results[[#This Row], [All cumulative times '[sec']]] / intermediate_results[[#This Row], [Team5 laps '[laps']]] - intermediate_results[[#This Row], [Total running average '[sec']]]</f>
        <v>0</v>
      </c>
      <c r="AI96" s="3">
        <f>intermediate_results[[#This Row], [All cumulative times '[sec']]] / intermediate_results[[#This Row], [Team6 laps '[laps']]] - intermediate_results[[#This Row], [Total running average '[sec']]]</f>
        <v>0</v>
      </c>
      <c r="AJ96" s="3">
        <f>intermediate_results[[#This Row], [All cumulative times '[sec']]] / intermediate_results[[#This Row], [Team7 laps '[laps']]] - intermediate_results[[#This Row], [Total running average '[sec']]]</f>
        <v>0</v>
      </c>
      <c r="AK96" s="3">
        <f>intermediate_results[[#This Row], [All cumulative times '[sec']]] / intermediate_results[[#This Row], [Team8 laps '[laps']]] - intermediate_results[[#This Row], [Total running average '[sec']]]</f>
        <v>0</v>
      </c>
      <c r="AL96" s="3">
        <f>intermediate_results[[#This Row], [All cumulative times '[sec']]] / intermediate_results[[#This Row], [Team9 laps '[laps']]] - intermediate_results[[#This Row], [Total running average '[sec']]]</f>
        <v>0</v>
      </c>
    </row>
    <row r="97" spans="1:38">
      <c r="A97" s="3">
        <v>608.366</v>
      </c>
      <c r="B9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7" s="3">
        <f>intermediate_results[[#This Row], [Team1 laps '[laps']]] - intermediate_results[[#This Row], [Team1 laps '[laps']]]</f>
        <v>0</v>
      </c>
      <c r="L97" s="3">
        <f>intermediate_results[[#This Row], [Team1 laps '[laps']]] - intermediate_results[[#This Row], [Team2 laps '[laps']]]</f>
        <v>0</v>
      </c>
      <c r="M97" s="3">
        <f>intermediate_results[[#This Row], [Team1 laps '[laps']]] - intermediate_results[[#This Row], [Team3 laps '[laps']]]</f>
        <v>0</v>
      </c>
      <c r="N97" s="3">
        <f>intermediate_results[[#This Row], [Team1 laps '[laps']]] - intermediate_results[[#This Row], [Team4 laps '[laps']]]</f>
        <v>0</v>
      </c>
      <c r="O97" s="3">
        <f>intermediate_results[[#This Row], [Team1 laps '[laps']]] - intermediate_results[[#This Row], [Team5 laps '[laps']]]</f>
        <v>0</v>
      </c>
      <c r="P97" s="3">
        <f>intermediate_results[[#This Row], [Team1 laps '[laps']]] - intermediate_results[[#This Row], [Team6 laps '[laps']]]</f>
        <v>0</v>
      </c>
      <c r="Q97" s="3">
        <f>intermediate_results[[#This Row], [Team1 laps '[laps']]] - intermediate_results[[#This Row], [Team7 laps '[laps']]]</f>
        <v>0</v>
      </c>
      <c r="R97" s="3">
        <f>intermediate_results[[#This Row], [Team1 laps '[laps']]] - intermediate_results[[#This Row], [Team8 laps '[laps']]]</f>
        <v>0</v>
      </c>
      <c r="S97" s="3">
        <f>intermediate_results[[#This Row], [Team1 laps '[laps']]] - intermediate_results[[#This Row], [Team9 laps '[laps']]]</f>
        <v>0</v>
      </c>
      <c r="T97" s="3">
        <f>MAX(intermediate_results[[#This Row], [Team1 laps '[laps']]:[Team9 laps '[laps']]]) - intermediate_results[[#This Row], [Team1 laps '[laps']]]</f>
        <v>0</v>
      </c>
      <c r="U97" s="3">
        <f>MAX(intermediate_results[[#This Row], [Team1 laps '[laps']]:[Team9 laps '[laps']]]) - intermediate_results[[#This Row], [Team2 laps '[laps']]]</f>
        <v>0</v>
      </c>
      <c r="V97" s="3">
        <f>MAX(intermediate_results[[#This Row], [Team1 laps '[laps']]:[Team9 laps '[laps']]]) - intermediate_results[[#This Row], [Team3 laps '[laps']]]</f>
        <v>0</v>
      </c>
      <c r="W97" s="3">
        <f>MAX(intermediate_results[[#This Row], [Team1 laps '[laps']]:[Team9 laps '[laps']]]) - intermediate_results[[#This Row], [Team4 laps '[laps']]]</f>
        <v>0</v>
      </c>
      <c r="X97" s="3">
        <f>MAX(intermediate_results[[#This Row], [Team1 laps '[laps']]:[Team9 laps '[laps']]]) - intermediate_results[[#This Row], [Team5 laps '[laps']]]</f>
        <v>0</v>
      </c>
      <c r="Y97" s="3">
        <f>MAX(intermediate_results[[#This Row], [Team1 laps '[laps']]:[Team9 laps '[laps']]]) - intermediate_results[[#This Row], [Team6 laps '[laps']]]</f>
        <v>0</v>
      </c>
      <c r="Z97" s="3">
        <f>MAX(intermediate_results[[#This Row], [Team1 laps '[laps']]:[Team9 laps '[laps']]]) - intermediate_results[[#This Row], [Team7 laps '[laps']]]</f>
        <v>0</v>
      </c>
      <c r="AA97" s="3">
        <f>MAX(intermediate_results[[#This Row], [Team1 laps '[laps']]:[Team9 laps '[laps']]]) - intermediate_results[[#This Row], [Team8 laps '[laps']]]</f>
        <v>0</v>
      </c>
      <c r="AB97" s="3">
        <f>MAX(intermediate_results[[#This Row], [Team1 laps '[laps']]:[Team9 laps '[laps']]]) - intermediate_results[[#This Row], [Team9 laps '[laps']]]</f>
        <v>0</v>
      </c>
      <c r="AC97" s="3">
        <f>9 * intermediate_results[[#This Row], [All cumulative times '[sec']]] / SUM(intermediate_results[[#This Row], [Team1 laps '[laps']]:[Team9 laps '[laps']]])</f>
        <v>0</v>
      </c>
      <c r="AD97" s="3">
        <f>intermediate_results[[#This Row], [All cumulative times '[sec']]] / intermediate_results[[#This Row], [Team1 laps '[laps']]] - intermediate_results[[#This Row], [Total running average '[sec']]]</f>
        <v>0</v>
      </c>
      <c r="AE97" s="3">
        <f>intermediate_results[[#This Row], [All cumulative times '[sec']]] / intermediate_results[[#This Row], [Team2 laps '[laps']]] - intermediate_results[[#This Row], [Total running average '[sec']]]</f>
        <v>0</v>
      </c>
      <c r="AF97" s="3">
        <f>intermediate_results[[#This Row], [All cumulative times '[sec']]] / intermediate_results[[#This Row], [Team3 laps '[laps']]] - intermediate_results[[#This Row], [Total running average '[sec']]]</f>
        <v>0</v>
      </c>
      <c r="AG97" s="3">
        <f>intermediate_results[[#This Row], [All cumulative times '[sec']]] / intermediate_results[[#This Row], [Team4 laps '[laps']]] - intermediate_results[[#This Row], [Total running average '[sec']]]</f>
        <v>0</v>
      </c>
      <c r="AH97" s="3">
        <f>intermediate_results[[#This Row], [All cumulative times '[sec']]] / intermediate_results[[#This Row], [Team5 laps '[laps']]] - intermediate_results[[#This Row], [Total running average '[sec']]]</f>
        <v>0</v>
      </c>
      <c r="AI97" s="3">
        <f>intermediate_results[[#This Row], [All cumulative times '[sec']]] / intermediate_results[[#This Row], [Team6 laps '[laps']]] - intermediate_results[[#This Row], [Total running average '[sec']]]</f>
        <v>0</v>
      </c>
      <c r="AJ97" s="3">
        <f>intermediate_results[[#This Row], [All cumulative times '[sec']]] / intermediate_results[[#This Row], [Team7 laps '[laps']]] - intermediate_results[[#This Row], [Total running average '[sec']]]</f>
        <v>0</v>
      </c>
      <c r="AK97" s="3">
        <f>intermediate_results[[#This Row], [All cumulative times '[sec']]] / intermediate_results[[#This Row], [Team8 laps '[laps']]] - intermediate_results[[#This Row], [Total running average '[sec']]]</f>
        <v>0</v>
      </c>
      <c r="AL97" s="3">
        <f>intermediate_results[[#This Row], [All cumulative times '[sec']]] / intermediate_results[[#This Row], [Team9 laps '[laps']]] - intermediate_results[[#This Row], [Total running average '[sec']]]</f>
        <v>0</v>
      </c>
    </row>
    <row r="98" spans="1:38">
      <c r="A98" s="3">
        <v>613.038</v>
      </c>
      <c r="B9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8" s="3">
        <f>intermediate_results[[#This Row], [Team1 laps '[laps']]] - intermediate_results[[#This Row], [Team1 laps '[laps']]]</f>
        <v>0</v>
      </c>
      <c r="L98" s="3">
        <f>intermediate_results[[#This Row], [Team1 laps '[laps']]] - intermediate_results[[#This Row], [Team2 laps '[laps']]]</f>
        <v>0</v>
      </c>
      <c r="M98" s="3">
        <f>intermediate_results[[#This Row], [Team1 laps '[laps']]] - intermediate_results[[#This Row], [Team3 laps '[laps']]]</f>
        <v>0</v>
      </c>
      <c r="N98" s="3">
        <f>intermediate_results[[#This Row], [Team1 laps '[laps']]] - intermediate_results[[#This Row], [Team4 laps '[laps']]]</f>
        <v>0</v>
      </c>
      <c r="O98" s="3">
        <f>intermediate_results[[#This Row], [Team1 laps '[laps']]] - intermediate_results[[#This Row], [Team5 laps '[laps']]]</f>
        <v>0</v>
      </c>
      <c r="P98" s="3">
        <f>intermediate_results[[#This Row], [Team1 laps '[laps']]] - intermediate_results[[#This Row], [Team6 laps '[laps']]]</f>
        <v>0</v>
      </c>
      <c r="Q98" s="3">
        <f>intermediate_results[[#This Row], [Team1 laps '[laps']]] - intermediate_results[[#This Row], [Team7 laps '[laps']]]</f>
        <v>0</v>
      </c>
      <c r="R98" s="3">
        <f>intermediate_results[[#This Row], [Team1 laps '[laps']]] - intermediate_results[[#This Row], [Team8 laps '[laps']]]</f>
        <v>0</v>
      </c>
      <c r="S98" s="3">
        <f>intermediate_results[[#This Row], [Team1 laps '[laps']]] - intermediate_results[[#This Row], [Team9 laps '[laps']]]</f>
        <v>0</v>
      </c>
      <c r="T98" s="3">
        <f>MAX(intermediate_results[[#This Row], [Team1 laps '[laps']]:[Team9 laps '[laps']]]) - intermediate_results[[#This Row], [Team1 laps '[laps']]]</f>
        <v>0</v>
      </c>
      <c r="U98" s="3">
        <f>MAX(intermediate_results[[#This Row], [Team1 laps '[laps']]:[Team9 laps '[laps']]]) - intermediate_results[[#This Row], [Team2 laps '[laps']]]</f>
        <v>0</v>
      </c>
      <c r="V98" s="3">
        <f>MAX(intermediate_results[[#This Row], [Team1 laps '[laps']]:[Team9 laps '[laps']]]) - intermediate_results[[#This Row], [Team3 laps '[laps']]]</f>
        <v>0</v>
      </c>
      <c r="W98" s="3">
        <f>MAX(intermediate_results[[#This Row], [Team1 laps '[laps']]:[Team9 laps '[laps']]]) - intermediate_results[[#This Row], [Team4 laps '[laps']]]</f>
        <v>0</v>
      </c>
      <c r="X98" s="3">
        <f>MAX(intermediate_results[[#This Row], [Team1 laps '[laps']]:[Team9 laps '[laps']]]) - intermediate_results[[#This Row], [Team5 laps '[laps']]]</f>
        <v>0</v>
      </c>
      <c r="Y98" s="3">
        <f>MAX(intermediate_results[[#This Row], [Team1 laps '[laps']]:[Team9 laps '[laps']]]) - intermediate_results[[#This Row], [Team6 laps '[laps']]]</f>
        <v>0</v>
      </c>
      <c r="Z98" s="3">
        <f>MAX(intermediate_results[[#This Row], [Team1 laps '[laps']]:[Team9 laps '[laps']]]) - intermediate_results[[#This Row], [Team7 laps '[laps']]]</f>
        <v>0</v>
      </c>
      <c r="AA98" s="3">
        <f>MAX(intermediate_results[[#This Row], [Team1 laps '[laps']]:[Team9 laps '[laps']]]) - intermediate_results[[#This Row], [Team8 laps '[laps']]]</f>
        <v>0</v>
      </c>
      <c r="AB98" s="3">
        <f>MAX(intermediate_results[[#This Row], [Team1 laps '[laps']]:[Team9 laps '[laps']]]) - intermediate_results[[#This Row], [Team9 laps '[laps']]]</f>
        <v>0</v>
      </c>
      <c r="AC98" s="3">
        <f>9 * intermediate_results[[#This Row], [All cumulative times '[sec']]] / SUM(intermediate_results[[#This Row], [Team1 laps '[laps']]:[Team9 laps '[laps']]])</f>
        <v>0</v>
      </c>
      <c r="AD98" s="3">
        <f>intermediate_results[[#This Row], [All cumulative times '[sec']]] / intermediate_results[[#This Row], [Team1 laps '[laps']]] - intermediate_results[[#This Row], [Total running average '[sec']]]</f>
        <v>0</v>
      </c>
      <c r="AE98" s="3">
        <f>intermediate_results[[#This Row], [All cumulative times '[sec']]] / intermediate_results[[#This Row], [Team2 laps '[laps']]] - intermediate_results[[#This Row], [Total running average '[sec']]]</f>
        <v>0</v>
      </c>
      <c r="AF98" s="3">
        <f>intermediate_results[[#This Row], [All cumulative times '[sec']]] / intermediate_results[[#This Row], [Team3 laps '[laps']]] - intermediate_results[[#This Row], [Total running average '[sec']]]</f>
        <v>0</v>
      </c>
      <c r="AG98" s="3">
        <f>intermediate_results[[#This Row], [All cumulative times '[sec']]] / intermediate_results[[#This Row], [Team4 laps '[laps']]] - intermediate_results[[#This Row], [Total running average '[sec']]]</f>
        <v>0</v>
      </c>
      <c r="AH98" s="3">
        <f>intermediate_results[[#This Row], [All cumulative times '[sec']]] / intermediate_results[[#This Row], [Team5 laps '[laps']]] - intermediate_results[[#This Row], [Total running average '[sec']]]</f>
        <v>0</v>
      </c>
      <c r="AI98" s="3">
        <f>intermediate_results[[#This Row], [All cumulative times '[sec']]] / intermediate_results[[#This Row], [Team6 laps '[laps']]] - intermediate_results[[#This Row], [Total running average '[sec']]]</f>
        <v>0</v>
      </c>
      <c r="AJ98" s="3">
        <f>intermediate_results[[#This Row], [All cumulative times '[sec']]] / intermediate_results[[#This Row], [Team7 laps '[laps']]] - intermediate_results[[#This Row], [Total running average '[sec']]]</f>
        <v>0</v>
      </c>
      <c r="AK98" s="3">
        <f>intermediate_results[[#This Row], [All cumulative times '[sec']]] / intermediate_results[[#This Row], [Team8 laps '[laps']]] - intermediate_results[[#This Row], [Total running average '[sec']]]</f>
        <v>0</v>
      </c>
      <c r="AL98" s="3">
        <f>intermediate_results[[#This Row], [All cumulative times '[sec']]] / intermediate_results[[#This Row], [Team9 laps '[laps']]] - intermediate_results[[#This Row], [Total running average '[sec']]]</f>
        <v>0</v>
      </c>
    </row>
    <row r="99" spans="1:38">
      <c r="A99" s="3">
        <v>621.6909999999999</v>
      </c>
      <c r="B9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9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9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9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9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9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9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9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9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99" s="3">
        <f>intermediate_results[[#This Row], [Team1 laps '[laps']]] - intermediate_results[[#This Row], [Team1 laps '[laps']]]</f>
        <v>0</v>
      </c>
      <c r="L99" s="3">
        <f>intermediate_results[[#This Row], [Team1 laps '[laps']]] - intermediate_results[[#This Row], [Team2 laps '[laps']]]</f>
        <v>0</v>
      </c>
      <c r="M99" s="3">
        <f>intermediate_results[[#This Row], [Team1 laps '[laps']]] - intermediate_results[[#This Row], [Team3 laps '[laps']]]</f>
        <v>0</v>
      </c>
      <c r="N99" s="3">
        <f>intermediate_results[[#This Row], [Team1 laps '[laps']]] - intermediate_results[[#This Row], [Team4 laps '[laps']]]</f>
        <v>0</v>
      </c>
      <c r="O99" s="3">
        <f>intermediate_results[[#This Row], [Team1 laps '[laps']]] - intermediate_results[[#This Row], [Team5 laps '[laps']]]</f>
        <v>0</v>
      </c>
      <c r="P99" s="3">
        <f>intermediate_results[[#This Row], [Team1 laps '[laps']]] - intermediate_results[[#This Row], [Team6 laps '[laps']]]</f>
        <v>0</v>
      </c>
      <c r="Q99" s="3">
        <f>intermediate_results[[#This Row], [Team1 laps '[laps']]] - intermediate_results[[#This Row], [Team7 laps '[laps']]]</f>
        <v>0</v>
      </c>
      <c r="R99" s="3">
        <f>intermediate_results[[#This Row], [Team1 laps '[laps']]] - intermediate_results[[#This Row], [Team8 laps '[laps']]]</f>
        <v>0</v>
      </c>
      <c r="S99" s="3">
        <f>intermediate_results[[#This Row], [Team1 laps '[laps']]] - intermediate_results[[#This Row], [Team9 laps '[laps']]]</f>
        <v>0</v>
      </c>
      <c r="T99" s="3">
        <f>MAX(intermediate_results[[#This Row], [Team1 laps '[laps']]:[Team9 laps '[laps']]]) - intermediate_results[[#This Row], [Team1 laps '[laps']]]</f>
        <v>0</v>
      </c>
      <c r="U99" s="3">
        <f>MAX(intermediate_results[[#This Row], [Team1 laps '[laps']]:[Team9 laps '[laps']]]) - intermediate_results[[#This Row], [Team2 laps '[laps']]]</f>
        <v>0</v>
      </c>
      <c r="V99" s="3">
        <f>MAX(intermediate_results[[#This Row], [Team1 laps '[laps']]:[Team9 laps '[laps']]]) - intermediate_results[[#This Row], [Team3 laps '[laps']]]</f>
        <v>0</v>
      </c>
      <c r="W99" s="3">
        <f>MAX(intermediate_results[[#This Row], [Team1 laps '[laps']]:[Team9 laps '[laps']]]) - intermediate_results[[#This Row], [Team4 laps '[laps']]]</f>
        <v>0</v>
      </c>
      <c r="X99" s="3">
        <f>MAX(intermediate_results[[#This Row], [Team1 laps '[laps']]:[Team9 laps '[laps']]]) - intermediate_results[[#This Row], [Team5 laps '[laps']]]</f>
        <v>0</v>
      </c>
      <c r="Y99" s="3">
        <f>MAX(intermediate_results[[#This Row], [Team1 laps '[laps']]:[Team9 laps '[laps']]]) - intermediate_results[[#This Row], [Team6 laps '[laps']]]</f>
        <v>0</v>
      </c>
      <c r="Z99" s="3">
        <f>MAX(intermediate_results[[#This Row], [Team1 laps '[laps']]:[Team9 laps '[laps']]]) - intermediate_results[[#This Row], [Team7 laps '[laps']]]</f>
        <v>0</v>
      </c>
      <c r="AA99" s="3">
        <f>MAX(intermediate_results[[#This Row], [Team1 laps '[laps']]:[Team9 laps '[laps']]]) - intermediate_results[[#This Row], [Team8 laps '[laps']]]</f>
        <v>0</v>
      </c>
      <c r="AB99" s="3">
        <f>MAX(intermediate_results[[#This Row], [Team1 laps '[laps']]:[Team9 laps '[laps']]]) - intermediate_results[[#This Row], [Team9 laps '[laps']]]</f>
        <v>0</v>
      </c>
      <c r="AC99" s="3">
        <f>9 * intermediate_results[[#This Row], [All cumulative times '[sec']]] / SUM(intermediate_results[[#This Row], [Team1 laps '[laps']]:[Team9 laps '[laps']]])</f>
        <v>0</v>
      </c>
      <c r="AD99" s="3">
        <f>intermediate_results[[#This Row], [All cumulative times '[sec']]] / intermediate_results[[#This Row], [Team1 laps '[laps']]] - intermediate_results[[#This Row], [Total running average '[sec']]]</f>
        <v>0</v>
      </c>
      <c r="AE99" s="3">
        <f>intermediate_results[[#This Row], [All cumulative times '[sec']]] / intermediate_results[[#This Row], [Team2 laps '[laps']]] - intermediate_results[[#This Row], [Total running average '[sec']]]</f>
        <v>0</v>
      </c>
      <c r="AF99" s="3">
        <f>intermediate_results[[#This Row], [All cumulative times '[sec']]] / intermediate_results[[#This Row], [Team3 laps '[laps']]] - intermediate_results[[#This Row], [Total running average '[sec']]]</f>
        <v>0</v>
      </c>
      <c r="AG99" s="3">
        <f>intermediate_results[[#This Row], [All cumulative times '[sec']]] / intermediate_results[[#This Row], [Team4 laps '[laps']]] - intermediate_results[[#This Row], [Total running average '[sec']]]</f>
        <v>0</v>
      </c>
      <c r="AH99" s="3">
        <f>intermediate_results[[#This Row], [All cumulative times '[sec']]] / intermediate_results[[#This Row], [Team5 laps '[laps']]] - intermediate_results[[#This Row], [Total running average '[sec']]]</f>
        <v>0</v>
      </c>
      <c r="AI99" s="3">
        <f>intermediate_results[[#This Row], [All cumulative times '[sec']]] / intermediate_results[[#This Row], [Team6 laps '[laps']]] - intermediate_results[[#This Row], [Total running average '[sec']]]</f>
        <v>0</v>
      </c>
      <c r="AJ99" s="3">
        <f>intermediate_results[[#This Row], [All cumulative times '[sec']]] / intermediate_results[[#This Row], [Team7 laps '[laps']]] - intermediate_results[[#This Row], [Total running average '[sec']]]</f>
        <v>0</v>
      </c>
      <c r="AK99" s="3">
        <f>intermediate_results[[#This Row], [All cumulative times '[sec']]] / intermediate_results[[#This Row], [Team8 laps '[laps']]] - intermediate_results[[#This Row], [Total running average '[sec']]]</f>
        <v>0</v>
      </c>
      <c r="AL99" s="3">
        <f>intermediate_results[[#This Row], [All cumulative times '[sec']]] / intermediate_results[[#This Row], [Team9 laps '[laps']]] - intermediate_results[[#This Row], [Total running average '[sec']]]</f>
        <v>0</v>
      </c>
    </row>
    <row r="100" spans="1:38">
      <c r="A100" s="3">
        <v>625.0229999999999</v>
      </c>
      <c r="B10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0" s="3">
        <f>intermediate_results[[#This Row], [Team1 laps '[laps']]] - intermediate_results[[#This Row], [Team1 laps '[laps']]]</f>
        <v>0</v>
      </c>
      <c r="L100" s="3">
        <f>intermediate_results[[#This Row], [Team1 laps '[laps']]] - intermediate_results[[#This Row], [Team2 laps '[laps']]]</f>
        <v>0</v>
      </c>
      <c r="M100" s="3">
        <f>intermediate_results[[#This Row], [Team1 laps '[laps']]] - intermediate_results[[#This Row], [Team3 laps '[laps']]]</f>
        <v>0</v>
      </c>
      <c r="N100" s="3">
        <f>intermediate_results[[#This Row], [Team1 laps '[laps']]] - intermediate_results[[#This Row], [Team4 laps '[laps']]]</f>
        <v>0</v>
      </c>
      <c r="O100" s="3">
        <f>intermediate_results[[#This Row], [Team1 laps '[laps']]] - intermediate_results[[#This Row], [Team5 laps '[laps']]]</f>
        <v>0</v>
      </c>
      <c r="P100" s="3">
        <f>intermediate_results[[#This Row], [Team1 laps '[laps']]] - intermediate_results[[#This Row], [Team6 laps '[laps']]]</f>
        <v>0</v>
      </c>
      <c r="Q100" s="3">
        <f>intermediate_results[[#This Row], [Team1 laps '[laps']]] - intermediate_results[[#This Row], [Team7 laps '[laps']]]</f>
        <v>0</v>
      </c>
      <c r="R100" s="3">
        <f>intermediate_results[[#This Row], [Team1 laps '[laps']]] - intermediate_results[[#This Row], [Team8 laps '[laps']]]</f>
        <v>0</v>
      </c>
      <c r="S100" s="3">
        <f>intermediate_results[[#This Row], [Team1 laps '[laps']]] - intermediate_results[[#This Row], [Team9 laps '[laps']]]</f>
        <v>0</v>
      </c>
      <c r="T100" s="3">
        <f>MAX(intermediate_results[[#This Row], [Team1 laps '[laps']]:[Team9 laps '[laps']]]) - intermediate_results[[#This Row], [Team1 laps '[laps']]]</f>
        <v>0</v>
      </c>
      <c r="U100" s="3">
        <f>MAX(intermediate_results[[#This Row], [Team1 laps '[laps']]:[Team9 laps '[laps']]]) - intermediate_results[[#This Row], [Team2 laps '[laps']]]</f>
        <v>0</v>
      </c>
      <c r="V100" s="3">
        <f>MAX(intermediate_results[[#This Row], [Team1 laps '[laps']]:[Team9 laps '[laps']]]) - intermediate_results[[#This Row], [Team3 laps '[laps']]]</f>
        <v>0</v>
      </c>
      <c r="W100" s="3">
        <f>MAX(intermediate_results[[#This Row], [Team1 laps '[laps']]:[Team9 laps '[laps']]]) - intermediate_results[[#This Row], [Team4 laps '[laps']]]</f>
        <v>0</v>
      </c>
      <c r="X100" s="3">
        <f>MAX(intermediate_results[[#This Row], [Team1 laps '[laps']]:[Team9 laps '[laps']]]) - intermediate_results[[#This Row], [Team5 laps '[laps']]]</f>
        <v>0</v>
      </c>
      <c r="Y100" s="3">
        <f>MAX(intermediate_results[[#This Row], [Team1 laps '[laps']]:[Team9 laps '[laps']]]) - intermediate_results[[#This Row], [Team6 laps '[laps']]]</f>
        <v>0</v>
      </c>
      <c r="Z100" s="3">
        <f>MAX(intermediate_results[[#This Row], [Team1 laps '[laps']]:[Team9 laps '[laps']]]) - intermediate_results[[#This Row], [Team7 laps '[laps']]]</f>
        <v>0</v>
      </c>
      <c r="AA100" s="3">
        <f>MAX(intermediate_results[[#This Row], [Team1 laps '[laps']]:[Team9 laps '[laps']]]) - intermediate_results[[#This Row], [Team8 laps '[laps']]]</f>
        <v>0</v>
      </c>
      <c r="AB100" s="3">
        <f>MAX(intermediate_results[[#This Row], [Team1 laps '[laps']]:[Team9 laps '[laps']]]) - intermediate_results[[#This Row], [Team9 laps '[laps']]]</f>
        <v>0</v>
      </c>
      <c r="AC100" s="3">
        <f>9 * intermediate_results[[#This Row], [All cumulative times '[sec']]] / SUM(intermediate_results[[#This Row], [Team1 laps '[laps']]:[Team9 laps '[laps']]])</f>
        <v>0</v>
      </c>
      <c r="AD100" s="3">
        <f>intermediate_results[[#This Row], [All cumulative times '[sec']]] / intermediate_results[[#This Row], [Team1 laps '[laps']]] - intermediate_results[[#This Row], [Total running average '[sec']]]</f>
        <v>0</v>
      </c>
      <c r="AE100" s="3">
        <f>intermediate_results[[#This Row], [All cumulative times '[sec']]] / intermediate_results[[#This Row], [Team2 laps '[laps']]] - intermediate_results[[#This Row], [Total running average '[sec']]]</f>
        <v>0</v>
      </c>
      <c r="AF100" s="3">
        <f>intermediate_results[[#This Row], [All cumulative times '[sec']]] / intermediate_results[[#This Row], [Team3 laps '[laps']]] - intermediate_results[[#This Row], [Total running average '[sec']]]</f>
        <v>0</v>
      </c>
      <c r="AG100" s="3">
        <f>intermediate_results[[#This Row], [All cumulative times '[sec']]] / intermediate_results[[#This Row], [Team4 laps '[laps']]] - intermediate_results[[#This Row], [Total running average '[sec']]]</f>
        <v>0</v>
      </c>
      <c r="AH100" s="3">
        <f>intermediate_results[[#This Row], [All cumulative times '[sec']]] / intermediate_results[[#This Row], [Team5 laps '[laps']]] - intermediate_results[[#This Row], [Total running average '[sec']]]</f>
        <v>0</v>
      </c>
      <c r="AI100" s="3">
        <f>intermediate_results[[#This Row], [All cumulative times '[sec']]] / intermediate_results[[#This Row], [Team6 laps '[laps']]] - intermediate_results[[#This Row], [Total running average '[sec']]]</f>
        <v>0</v>
      </c>
      <c r="AJ100" s="3">
        <f>intermediate_results[[#This Row], [All cumulative times '[sec']]] / intermediate_results[[#This Row], [Team7 laps '[laps']]] - intermediate_results[[#This Row], [Total running average '[sec']]]</f>
        <v>0</v>
      </c>
      <c r="AK100" s="3">
        <f>intermediate_results[[#This Row], [All cumulative times '[sec']]] / intermediate_results[[#This Row], [Team8 laps '[laps']]] - intermediate_results[[#This Row], [Total running average '[sec']]]</f>
        <v>0</v>
      </c>
      <c r="AL100" s="3">
        <f>intermediate_results[[#This Row], [All cumulative times '[sec']]] / intermediate_results[[#This Row], [Team9 laps '[laps']]] - intermediate_results[[#This Row], [Total running average '[sec']]]</f>
        <v>0</v>
      </c>
    </row>
    <row r="101" spans="1:38">
      <c r="A101" s="3">
        <v>636.2439999999999</v>
      </c>
      <c r="B10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1" s="3">
        <f>intermediate_results[[#This Row], [Team1 laps '[laps']]] - intermediate_results[[#This Row], [Team1 laps '[laps']]]</f>
        <v>0</v>
      </c>
      <c r="L101" s="3">
        <f>intermediate_results[[#This Row], [Team1 laps '[laps']]] - intermediate_results[[#This Row], [Team2 laps '[laps']]]</f>
        <v>0</v>
      </c>
      <c r="M101" s="3">
        <f>intermediate_results[[#This Row], [Team1 laps '[laps']]] - intermediate_results[[#This Row], [Team3 laps '[laps']]]</f>
        <v>0</v>
      </c>
      <c r="N101" s="3">
        <f>intermediate_results[[#This Row], [Team1 laps '[laps']]] - intermediate_results[[#This Row], [Team4 laps '[laps']]]</f>
        <v>0</v>
      </c>
      <c r="O101" s="3">
        <f>intermediate_results[[#This Row], [Team1 laps '[laps']]] - intermediate_results[[#This Row], [Team5 laps '[laps']]]</f>
        <v>0</v>
      </c>
      <c r="P101" s="3">
        <f>intermediate_results[[#This Row], [Team1 laps '[laps']]] - intermediate_results[[#This Row], [Team6 laps '[laps']]]</f>
        <v>0</v>
      </c>
      <c r="Q101" s="3">
        <f>intermediate_results[[#This Row], [Team1 laps '[laps']]] - intermediate_results[[#This Row], [Team7 laps '[laps']]]</f>
        <v>0</v>
      </c>
      <c r="R101" s="3">
        <f>intermediate_results[[#This Row], [Team1 laps '[laps']]] - intermediate_results[[#This Row], [Team8 laps '[laps']]]</f>
        <v>0</v>
      </c>
      <c r="S101" s="3">
        <f>intermediate_results[[#This Row], [Team1 laps '[laps']]] - intermediate_results[[#This Row], [Team9 laps '[laps']]]</f>
        <v>0</v>
      </c>
      <c r="T101" s="3">
        <f>MAX(intermediate_results[[#This Row], [Team1 laps '[laps']]:[Team9 laps '[laps']]]) - intermediate_results[[#This Row], [Team1 laps '[laps']]]</f>
        <v>0</v>
      </c>
      <c r="U101" s="3">
        <f>MAX(intermediate_results[[#This Row], [Team1 laps '[laps']]:[Team9 laps '[laps']]]) - intermediate_results[[#This Row], [Team2 laps '[laps']]]</f>
        <v>0</v>
      </c>
      <c r="V101" s="3">
        <f>MAX(intermediate_results[[#This Row], [Team1 laps '[laps']]:[Team9 laps '[laps']]]) - intermediate_results[[#This Row], [Team3 laps '[laps']]]</f>
        <v>0</v>
      </c>
      <c r="W101" s="3">
        <f>MAX(intermediate_results[[#This Row], [Team1 laps '[laps']]:[Team9 laps '[laps']]]) - intermediate_results[[#This Row], [Team4 laps '[laps']]]</f>
        <v>0</v>
      </c>
      <c r="X101" s="3">
        <f>MAX(intermediate_results[[#This Row], [Team1 laps '[laps']]:[Team9 laps '[laps']]]) - intermediate_results[[#This Row], [Team5 laps '[laps']]]</f>
        <v>0</v>
      </c>
      <c r="Y101" s="3">
        <f>MAX(intermediate_results[[#This Row], [Team1 laps '[laps']]:[Team9 laps '[laps']]]) - intermediate_results[[#This Row], [Team6 laps '[laps']]]</f>
        <v>0</v>
      </c>
      <c r="Z101" s="3">
        <f>MAX(intermediate_results[[#This Row], [Team1 laps '[laps']]:[Team9 laps '[laps']]]) - intermediate_results[[#This Row], [Team7 laps '[laps']]]</f>
        <v>0</v>
      </c>
      <c r="AA101" s="3">
        <f>MAX(intermediate_results[[#This Row], [Team1 laps '[laps']]:[Team9 laps '[laps']]]) - intermediate_results[[#This Row], [Team8 laps '[laps']]]</f>
        <v>0</v>
      </c>
      <c r="AB101" s="3">
        <f>MAX(intermediate_results[[#This Row], [Team1 laps '[laps']]:[Team9 laps '[laps']]]) - intermediate_results[[#This Row], [Team9 laps '[laps']]]</f>
        <v>0</v>
      </c>
      <c r="AC101" s="3">
        <f>9 * intermediate_results[[#This Row], [All cumulative times '[sec']]] / SUM(intermediate_results[[#This Row], [Team1 laps '[laps']]:[Team9 laps '[laps']]])</f>
        <v>0</v>
      </c>
      <c r="AD101" s="3">
        <f>intermediate_results[[#This Row], [All cumulative times '[sec']]] / intermediate_results[[#This Row], [Team1 laps '[laps']]] - intermediate_results[[#This Row], [Total running average '[sec']]]</f>
        <v>0</v>
      </c>
      <c r="AE101" s="3">
        <f>intermediate_results[[#This Row], [All cumulative times '[sec']]] / intermediate_results[[#This Row], [Team2 laps '[laps']]] - intermediate_results[[#This Row], [Total running average '[sec']]]</f>
        <v>0</v>
      </c>
      <c r="AF101" s="3">
        <f>intermediate_results[[#This Row], [All cumulative times '[sec']]] / intermediate_results[[#This Row], [Team3 laps '[laps']]] - intermediate_results[[#This Row], [Total running average '[sec']]]</f>
        <v>0</v>
      </c>
      <c r="AG101" s="3">
        <f>intermediate_results[[#This Row], [All cumulative times '[sec']]] / intermediate_results[[#This Row], [Team4 laps '[laps']]] - intermediate_results[[#This Row], [Total running average '[sec']]]</f>
        <v>0</v>
      </c>
      <c r="AH101" s="3">
        <f>intermediate_results[[#This Row], [All cumulative times '[sec']]] / intermediate_results[[#This Row], [Team5 laps '[laps']]] - intermediate_results[[#This Row], [Total running average '[sec']]]</f>
        <v>0</v>
      </c>
      <c r="AI101" s="3">
        <f>intermediate_results[[#This Row], [All cumulative times '[sec']]] / intermediate_results[[#This Row], [Team6 laps '[laps']]] - intermediate_results[[#This Row], [Total running average '[sec']]]</f>
        <v>0</v>
      </c>
      <c r="AJ101" s="3">
        <f>intermediate_results[[#This Row], [All cumulative times '[sec']]] / intermediate_results[[#This Row], [Team7 laps '[laps']]] - intermediate_results[[#This Row], [Total running average '[sec']]]</f>
        <v>0</v>
      </c>
      <c r="AK101" s="3">
        <f>intermediate_results[[#This Row], [All cumulative times '[sec']]] / intermediate_results[[#This Row], [Team8 laps '[laps']]] - intermediate_results[[#This Row], [Total running average '[sec']]]</f>
        <v>0</v>
      </c>
      <c r="AL101" s="3">
        <f>intermediate_results[[#This Row], [All cumulative times '[sec']]] / intermediate_results[[#This Row], [Team9 laps '[laps']]] - intermediate_results[[#This Row], [Total running average '[sec']]]</f>
        <v>0</v>
      </c>
    </row>
    <row r="102" spans="1:38">
      <c r="A102" s="3">
        <v>638.471</v>
      </c>
      <c r="B10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2" s="3">
        <f>intermediate_results[[#This Row], [Team1 laps '[laps']]] - intermediate_results[[#This Row], [Team1 laps '[laps']]]</f>
        <v>0</v>
      </c>
      <c r="L102" s="3">
        <f>intermediate_results[[#This Row], [Team1 laps '[laps']]] - intermediate_results[[#This Row], [Team2 laps '[laps']]]</f>
        <v>0</v>
      </c>
      <c r="M102" s="3">
        <f>intermediate_results[[#This Row], [Team1 laps '[laps']]] - intermediate_results[[#This Row], [Team3 laps '[laps']]]</f>
        <v>0</v>
      </c>
      <c r="N102" s="3">
        <f>intermediate_results[[#This Row], [Team1 laps '[laps']]] - intermediate_results[[#This Row], [Team4 laps '[laps']]]</f>
        <v>0</v>
      </c>
      <c r="O102" s="3">
        <f>intermediate_results[[#This Row], [Team1 laps '[laps']]] - intermediate_results[[#This Row], [Team5 laps '[laps']]]</f>
        <v>0</v>
      </c>
      <c r="P102" s="3">
        <f>intermediate_results[[#This Row], [Team1 laps '[laps']]] - intermediate_results[[#This Row], [Team6 laps '[laps']]]</f>
        <v>0</v>
      </c>
      <c r="Q102" s="3">
        <f>intermediate_results[[#This Row], [Team1 laps '[laps']]] - intermediate_results[[#This Row], [Team7 laps '[laps']]]</f>
        <v>0</v>
      </c>
      <c r="R102" s="3">
        <f>intermediate_results[[#This Row], [Team1 laps '[laps']]] - intermediate_results[[#This Row], [Team8 laps '[laps']]]</f>
        <v>0</v>
      </c>
      <c r="S102" s="3">
        <f>intermediate_results[[#This Row], [Team1 laps '[laps']]] - intermediate_results[[#This Row], [Team9 laps '[laps']]]</f>
        <v>0</v>
      </c>
      <c r="T102" s="3">
        <f>MAX(intermediate_results[[#This Row], [Team1 laps '[laps']]:[Team9 laps '[laps']]]) - intermediate_results[[#This Row], [Team1 laps '[laps']]]</f>
        <v>0</v>
      </c>
      <c r="U102" s="3">
        <f>MAX(intermediate_results[[#This Row], [Team1 laps '[laps']]:[Team9 laps '[laps']]]) - intermediate_results[[#This Row], [Team2 laps '[laps']]]</f>
        <v>0</v>
      </c>
      <c r="V102" s="3">
        <f>MAX(intermediate_results[[#This Row], [Team1 laps '[laps']]:[Team9 laps '[laps']]]) - intermediate_results[[#This Row], [Team3 laps '[laps']]]</f>
        <v>0</v>
      </c>
      <c r="W102" s="3">
        <f>MAX(intermediate_results[[#This Row], [Team1 laps '[laps']]:[Team9 laps '[laps']]]) - intermediate_results[[#This Row], [Team4 laps '[laps']]]</f>
        <v>0</v>
      </c>
      <c r="X102" s="3">
        <f>MAX(intermediate_results[[#This Row], [Team1 laps '[laps']]:[Team9 laps '[laps']]]) - intermediate_results[[#This Row], [Team5 laps '[laps']]]</f>
        <v>0</v>
      </c>
      <c r="Y102" s="3">
        <f>MAX(intermediate_results[[#This Row], [Team1 laps '[laps']]:[Team9 laps '[laps']]]) - intermediate_results[[#This Row], [Team6 laps '[laps']]]</f>
        <v>0</v>
      </c>
      <c r="Z102" s="3">
        <f>MAX(intermediate_results[[#This Row], [Team1 laps '[laps']]:[Team9 laps '[laps']]]) - intermediate_results[[#This Row], [Team7 laps '[laps']]]</f>
        <v>0</v>
      </c>
      <c r="AA102" s="3">
        <f>MAX(intermediate_results[[#This Row], [Team1 laps '[laps']]:[Team9 laps '[laps']]]) - intermediate_results[[#This Row], [Team8 laps '[laps']]]</f>
        <v>0</v>
      </c>
      <c r="AB102" s="3">
        <f>MAX(intermediate_results[[#This Row], [Team1 laps '[laps']]:[Team9 laps '[laps']]]) - intermediate_results[[#This Row], [Team9 laps '[laps']]]</f>
        <v>0</v>
      </c>
      <c r="AC102" s="3">
        <f>9 * intermediate_results[[#This Row], [All cumulative times '[sec']]] / SUM(intermediate_results[[#This Row], [Team1 laps '[laps']]:[Team9 laps '[laps']]])</f>
        <v>0</v>
      </c>
      <c r="AD102" s="3">
        <f>intermediate_results[[#This Row], [All cumulative times '[sec']]] / intermediate_results[[#This Row], [Team1 laps '[laps']]] - intermediate_results[[#This Row], [Total running average '[sec']]]</f>
        <v>0</v>
      </c>
      <c r="AE102" s="3">
        <f>intermediate_results[[#This Row], [All cumulative times '[sec']]] / intermediate_results[[#This Row], [Team2 laps '[laps']]] - intermediate_results[[#This Row], [Total running average '[sec']]]</f>
        <v>0</v>
      </c>
      <c r="AF102" s="3">
        <f>intermediate_results[[#This Row], [All cumulative times '[sec']]] / intermediate_results[[#This Row], [Team3 laps '[laps']]] - intermediate_results[[#This Row], [Total running average '[sec']]]</f>
        <v>0</v>
      </c>
      <c r="AG102" s="3">
        <f>intermediate_results[[#This Row], [All cumulative times '[sec']]] / intermediate_results[[#This Row], [Team4 laps '[laps']]] - intermediate_results[[#This Row], [Total running average '[sec']]]</f>
        <v>0</v>
      </c>
      <c r="AH102" s="3">
        <f>intermediate_results[[#This Row], [All cumulative times '[sec']]] / intermediate_results[[#This Row], [Team5 laps '[laps']]] - intermediate_results[[#This Row], [Total running average '[sec']]]</f>
        <v>0</v>
      </c>
      <c r="AI102" s="3">
        <f>intermediate_results[[#This Row], [All cumulative times '[sec']]] / intermediate_results[[#This Row], [Team6 laps '[laps']]] - intermediate_results[[#This Row], [Total running average '[sec']]]</f>
        <v>0</v>
      </c>
      <c r="AJ102" s="3">
        <f>intermediate_results[[#This Row], [All cumulative times '[sec']]] / intermediate_results[[#This Row], [Team7 laps '[laps']]] - intermediate_results[[#This Row], [Total running average '[sec']]]</f>
        <v>0</v>
      </c>
      <c r="AK102" s="3">
        <f>intermediate_results[[#This Row], [All cumulative times '[sec']]] / intermediate_results[[#This Row], [Team8 laps '[laps']]] - intermediate_results[[#This Row], [Total running average '[sec']]]</f>
        <v>0</v>
      </c>
      <c r="AL102" s="3">
        <f>intermediate_results[[#This Row], [All cumulative times '[sec']]] / intermediate_results[[#This Row], [Team9 laps '[laps']]] - intermediate_results[[#This Row], [Total running average '[sec']]]</f>
        <v>0</v>
      </c>
    </row>
    <row r="103" spans="1:38">
      <c r="A103" s="3">
        <v>648.2169999999999</v>
      </c>
      <c r="B10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3" s="3">
        <f>intermediate_results[[#This Row], [Team1 laps '[laps']]] - intermediate_results[[#This Row], [Team1 laps '[laps']]]</f>
        <v>0</v>
      </c>
      <c r="L103" s="3">
        <f>intermediate_results[[#This Row], [Team1 laps '[laps']]] - intermediate_results[[#This Row], [Team2 laps '[laps']]]</f>
        <v>0</v>
      </c>
      <c r="M103" s="3">
        <f>intermediate_results[[#This Row], [Team1 laps '[laps']]] - intermediate_results[[#This Row], [Team3 laps '[laps']]]</f>
        <v>0</v>
      </c>
      <c r="N103" s="3">
        <f>intermediate_results[[#This Row], [Team1 laps '[laps']]] - intermediate_results[[#This Row], [Team4 laps '[laps']]]</f>
        <v>0</v>
      </c>
      <c r="O103" s="3">
        <f>intermediate_results[[#This Row], [Team1 laps '[laps']]] - intermediate_results[[#This Row], [Team5 laps '[laps']]]</f>
        <v>0</v>
      </c>
      <c r="P103" s="3">
        <f>intermediate_results[[#This Row], [Team1 laps '[laps']]] - intermediate_results[[#This Row], [Team6 laps '[laps']]]</f>
        <v>0</v>
      </c>
      <c r="Q103" s="3">
        <f>intermediate_results[[#This Row], [Team1 laps '[laps']]] - intermediate_results[[#This Row], [Team7 laps '[laps']]]</f>
        <v>0</v>
      </c>
      <c r="R103" s="3">
        <f>intermediate_results[[#This Row], [Team1 laps '[laps']]] - intermediate_results[[#This Row], [Team8 laps '[laps']]]</f>
        <v>0</v>
      </c>
      <c r="S103" s="3">
        <f>intermediate_results[[#This Row], [Team1 laps '[laps']]] - intermediate_results[[#This Row], [Team9 laps '[laps']]]</f>
        <v>0</v>
      </c>
      <c r="T103" s="3">
        <f>MAX(intermediate_results[[#This Row], [Team1 laps '[laps']]:[Team9 laps '[laps']]]) - intermediate_results[[#This Row], [Team1 laps '[laps']]]</f>
        <v>0</v>
      </c>
      <c r="U103" s="3">
        <f>MAX(intermediate_results[[#This Row], [Team1 laps '[laps']]:[Team9 laps '[laps']]]) - intermediate_results[[#This Row], [Team2 laps '[laps']]]</f>
        <v>0</v>
      </c>
      <c r="V103" s="3">
        <f>MAX(intermediate_results[[#This Row], [Team1 laps '[laps']]:[Team9 laps '[laps']]]) - intermediate_results[[#This Row], [Team3 laps '[laps']]]</f>
        <v>0</v>
      </c>
      <c r="W103" s="3">
        <f>MAX(intermediate_results[[#This Row], [Team1 laps '[laps']]:[Team9 laps '[laps']]]) - intermediate_results[[#This Row], [Team4 laps '[laps']]]</f>
        <v>0</v>
      </c>
      <c r="X103" s="3">
        <f>MAX(intermediate_results[[#This Row], [Team1 laps '[laps']]:[Team9 laps '[laps']]]) - intermediate_results[[#This Row], [Team5 laps '[laps']]]</f>
        <v>0</v>
      </c>
      <c r="Y103" s="3">
        <f>MAX(intermediate_results[[#This Row], [Team1 laps '[laps']]:[Team9 laps '[laps']]]) - intermediate_results[[#This Row], [Team6 laps '[laps']]]</f>
        <v>0</v>
      </c>
      <c r="Z103" s="3">
        <f>MAX(intermediate_results[[#This Row], [Team1 laps '[laps']]:[Team9 laps '[laps']]]) - intermediate_results[[#This Row], [Team7 laps '[laps']]]</f>
        <v>0</v>
      </c>
      <c r="AA103" s="3">
        <f>MAX(intermediate_results[[#This Row], [Team1 laps '[laps']]:[Team9 laps '[laps']]]) - intermediate_results[[#This Row], [Team8 laps '[laps']]]</f>
        <v>0</v>
      </c>
      <c r="AB103" s="3">
        <f>MAX(intermediate_results[[#This Row], [Team1 laps '[laps']]:[Team9 laps '[laps']]]) - intermediate_results[[#This Row], [Team9 laps '[laps']]]</f>
        <v>0</v>
      </c>
      <c r="AC103" s="3">
        <f>9 * intermediate_results[[#This Row], [All cumulative times '[sec']]] / SUM(intermediate_results[[#This Row], [Team1 laps '[laps']]:[Team9 laps '[laps']]])</f>
        <v>0</v>
      </c>
      <c r="AD103" s="3">
        <f>intermediate_results[[#This Row], [All cumulative times '[sec']]] / intermediate_results[[#This Row], [Team1 laps '[laps']]] - intermediate_results[[#This Row], [Total running average '[sec']]]</f>
        <v>0</v>
      </c>
      <c r="AE103" s="3">
        <f>intermediate_results[[#This Row], [All cumulative times '[sec']]] / intermediate_results[[#This Row], [Team2 laps '[laps']]] - intermediate_results[[#This Row], [Total running average '[sec']]]</f>
        <v>0</v>
      </c>
      <c r="AF103" s="3">
        <f>intermediate_results[[#This Row], [All cumulative times '[sec']]] / intermediate_results[[#This Row], [Team3 laps '[laps']]] - intermediate_results[[#This Row], [Total running average '[sec']]]</f>
        <v>0</v>
      </c>
      <c r="AG103" s="3">
        <f>intermediate_results[[#This Row], [All cumulative times '[sec']]] / intermediate_results[[#This Row], [Team4 laps '[laps']]] - intermediate_results[[#This Row], [Total running average '[sec']]]</f>
        <v>0</v>
      </c>
      <c r="AH103" s="3">
        <f>intermediate_results[[#This Row], [All cumulative times '[sec']]] / intermediate_results[[#This Row], [Team5 laps '[laps']]] - intermediate_results[[#This Row], [Total running average '[sec']]]</f>
        <v>0</v>
      </c>
      <c r="AI103" s="3">
        <f>intermediate_results[[#This Row], [All cumulative times '[sec']]] / intermediate_results[[#This Row], [Team6 laps '[laps']]] - intermediate_results[[#This Row], [Total running average '[sec']]]</f>
        <v>0</v>
      </c>
      <c r="AJ103" s="3">
        <f>intermediate_results[[#This Row], [All cumulative times '[sec']]] / intermediate_results[[#This Row], [Team7 laps '[laps']]] - intermediate_results[[#This Row], [Total running average '[sec']]]</f>
        <v>0</v>
      </c>
      <c r="AK103" s="3">
        <f>intermediate_results[[#This Row], [All cumulative times '[sec']]] / intermediate_results[[#This Row], [Team8 laps '[laps']]] - intermediate_results[[#This Row], [Total running average '[sec']]]</f>
        <v>0</v>
      </c>
      <c r="AL103" s="3">
        <f>intermediate_results[[#This Row], [All cumulative times '[sec']]] / intermediate_results[[#This Row], [Team9 laps '[laps']]] - intermediate_results[[#This Row], [Total running average '[sec']]]</f>
        <v>0</v>
      </c>
    </row>
    <row r="104" spans="1:38">
      <c r="A104" s="3">
        <v>661.5229999999999</v>
      </c>
      <c r="B10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4" s="3">
        <f>intermediate_results[[#This Row], [Team1 laps '[laps']]] - intermediate_results[[#This Row], [Team1 laps '[laps']]]</f>
        <v>0</v>
      </c>
      <c r="L104" s="3">
        <f>intermediate_results[[#This Row], [Team1 laps '[laps']]] - intermediate_results[[#This Row], [Team2 laps '[laps']]]</f>
        <v>0</v>
      </c>
      <c r="M104" s="3">
        <f>intermediate_results[[#This Row], [Team1 laps '[laps']]] - intermediate_results[[#This Row], [Team3 laps '[laps']]]</f>
        <v>0</v>
      </c>
      <c r="N104" s="3">
        <f>intermediate_results[[#This Row], [Team1 laps '[laps']]] - intermediate_results[[#This Row], [Team4 laps '[laps']]]</f>
        <v>0</v>
      </c>
      <c r="O104" s="3">
        <f>intermediate_results[[#This Row], [Team1 laps '[laps']]] - intermediate_results[[#This Row], [Team5 laps '[laps']]]</f>
        <v>0</v>
      </c>
      <c r="P104" s="3">
        <f>intermediate_results[[#This Row], [Team1 laps '[laps']]] - intermediate_results[[#This Row], [Team6 laps '[laps']]]</f>
        <v>0</v>
      </c>
      <c r="Q104" s="3">
        <f>intermediate_results[[#This Row], [Team1 laps '[laps']]] - intermediate_results[[#This Row], [Team7 laps '[laps']]]</f>
        <v>0</v>
      </c>
      <c r="R104" s="3">
        <f>intermediate_results[[#This Row], [Team1 laps '[laps']]] - intermediate_results[[#This Row], [Team8 laps '[laps']]]</f>
        <v>0</v>
      </c>
      <c r="S104" s="3">
        <f>intermediate_results[[#This Row], [Team1 laps '[laps']]] - intermediate_results[[#This Row], [Team9 laps '[laps']]]</f>
        <v>0</v>
      </c>
      <c r="T104" s="3">
        <f>MAX(intermediate_results[[#This Row], [Team1 laps '[laps']]:[Team9 laps '[laps']]]) - intermediate_results[[#This Row], [Team1 laps '[laps']]]</f>
        <v>0</v>
      </c>
      <c r="U104" s="3">
        <f>MAX(intermediate_results[[#This Row], [Team1 laps '[laps']]:[Team9 laps '[laps']]]) - intermediate_results[[#This Row], [Team2 laps '[laps']]]</f>
        <v>0</v>
      </c>
      <c r="V104" s="3">
        <f>MAX(intermediate_results[[#This Row], [Team1 laps '[laps']]:[Team9 laps '[laps']]]) - intermediate_results[[#This Row], [Team3 laps '[laps']]]</f>
        <v>0</v>
      </c>
      <c r="W104" s="3">
        <f>MAX(intermediate_results[[#This Row], [Team1 laps '[laps']]:[Team9 laps '[laps']]]) - intermediate_results[[#This Row], [Team4 laps '[laps']]]</f>
        <v>0</v>
      </c>
      <c r="X104" s="3">
        <f>MAX(intermediate_results[[#This Row], [Team1 laps '[laps']]:[Team9 laps '[laps']]]) - intermediate_results[[#This Row], [Team5 laps '[laps']]]</f>
        <v>0</v>
      </c>
      <c r="Y104" s="3">
        <f>MAX(intermediate_results[[#This Row], [Team1 laps '[laps']]:[Team9 laps '[laps']]]) - intermediate_results[[#This Row], [Team6 laps '[laps']]]</f>
        <v>0</v>
      </c>
      <c r="Z104" s="3">
        <f>MAX(intermediate_results[[#This Row], [Team1 laps '[laps']]:[Team9 laps '[laps']]]) - intermediate_results[[#This Row], [Team7 laps '[laps']]]</f>
        <v>0</v>
      </c>
      <c r="AA104" s="3">
        <f>MAX(intermediate_results[[#This Row], [Team1 laps '[laps']]:[Team9 laps '[laps']]]) - intermediate_results[[#This Row], [Team8 laps '[laps']]]</f>
        <v>0</v>
      </c>
      <c r="AB104" s="3">
        <f>MAX(intermediate_results[[#This Row], [Team1 laps '[laps']]:[Team9 laps '[laps']]]) - intermediate_results[[#This Row], [Team9 laps '[laps']]]</f>
        <v>0</v>
      </c>
      <c r="AC104" s="3">
        <f>9 * intermediate_results[[#This Row], [All cumulative times '[sec']]] / SUM(intermediate_results[[#This Row], [Team1 laps '[laps']]:[Team9 laps '[laps']]])</f>
        <v>0</v>
      </c>
      <c r="AD104" s="3">
        <f>intermediate_results[[#This Row], [All cumulative times '[sec']]] / intermediate_results[[#This Row], [Team1 laps '[laps']]] - intermediate_results[[#This Row], [Total running average '[sec']]]</f>
        <v>0</v>
      </c>
      <c r="AE104" s="3">
        <f>intermediate_results[[#This Row], [All cumulative times '[sec']]] / intermediate_results[[#This Row], [Team2 laps '[laps']]] - intermediate_results[[#This Row], [Total running average '[sec']]]</f>
        <v>0</v>
      </c>
      <c r="AF104" s="3">
        <f>intermediate_results[[#This Row], [All cumulative times '[sec']]] / intermediate_results[[#This Row], [Team3 laps '[laps']]] - intermediate_results[[#This Row], [Total running average '[sec']]]</f>
        <v>0</v>
      </c>
      <c r="AG104" s="3">
        <f>intermediate_results[[#This Row], [All cumulative times '[sec']]] / intermediate_results[[#This Row], [Team4 laps '[laps']]] - intermediate_results[[#This Row], [Total running average '[sec']]]</f>
        <v>0</v>
      </c>
      <c r="AH104" s="3">
        <f>intermediate_results[[#This Row], [All cumulative times '[sec']]] / intermediate_results[[#This Row], [Team5 laps '[laps']]] - intermediate_results[[#This Row], [Total running average '[sec']]]</f>
        <v>0</v>
      </c>
      <c r="AI104" s="3">
        <f>intermediate_results[[#This Row], [All cumulative times '[sec']]] / intermediate_results[[#This Row], [Team6 laps '[laps']]] - intermediate_results[[#This Row], [Total running average '[sec']]]</f>
        <v>0</v>
      </c>
      <c r="AJ104" s="3">
        <f>intermediate_results[[#This Row], [All cumulative times '[sec']]] / intermediate_results[[#This Row], [Team7 laps '[laps']]] - intermediate_results[[#This Row], [Total running average '[sec']]]</f>
        <v>0</v>
      </c>
      <c r="AK104" s="3">
        <f>intermediate_results[[#This Row], [All cumulative times '[sec']]] / intermediate_results[[#This Row], [Team8 laps '[laps']]] - intermediate_results[[#This Row], [Total running average '[sec']]]</f>
        <v>0</v>
      </c>
      <c r="AL104" s="3">
        <f>intermediate_results[[#This Row], [All cumulative times '[sec']]] / intermediate_results[[#This Row], [Team9 laps '[laps']]] - intermediate_results[[#This Row], [Total running average '[sec']]]</f>
        <v>0</v>
      </c>
    </row>
    <row r="105" spans="1:38">
      <c r="A105" s="3">
        <v>661.6510000000001</v>
      </c>
      <c r="B10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5" s="3">
        <f>intermediate_results[[#This Row], [Team1 laps '[laps']]] - intermediate_results[[#This Row], [Team1 laps '[laps']]]</f>
        <v>0</v>
      </c>
      <c r="L105" s="3">
        <f>intermediate_results[[#This Row], [Team1 laps '[laps']]] - intermediate_results[[#This Row], [Team2 laps '[laps']]]</f>
        <v>0</v>
      </c>
      <c r="M105" s="3">
        <f>intermediate_results[[#This Row], [Team1 laps '[laps']]] - intermediate_results[[#This Row], [Team3 laps '[laps']]]</f>
        <v>0</v>
      </c>
      <c r="N105" s="3">
        <f>intermediate_results[[#This Row], [Team1 laps '[laps']]] - intermediate_results[[#This Row], [Team4 laps '[laps']]]</f>
        <v>0</v>
      </c>
      <c r="O105" s="3">
        <f>intermediate_results[[#This Row], [Team1 laps '[laps']]] - intermediate_results[[#This Row], [Team5 laps '[laps']]]</f>
        <v>0</v>
      </c>
      <c r="P105" s="3">
        <f>intermediate_results[[#This Row], [Team1 laps '[laps']]] - intermediate_results[[#This Row], [Team6 laps '[laps']]]</f>
        <v>0</v>
      </c>
      <c r="Q105" s="3">
        <f>intermediate_results[[#This Row], [Team1 laps '[laps']]] - intermediate_results[[#This Row], [Team7 laps '[laps']]]</f>
        <v>0</v>
      </c>
      <c r="R105" s="3">
        <f>intermediate_results[[#This Row], [Team1 laps '[laps']]] - intermediate_results[[#This Row], [Team8 laps '[laps']]]</f>
        <v>0</v>
      </c>
      <c r="S105" s="3">
        <f>intermediate_results[[#This Row], [Team1 laps '[laps']]] - intermediate_results[[#This Row], [Team9 laps '[laps']]]</f>
        <v>0</v>
      </c>
      <c r="T105" s="3">
        <f>MAX(intermediate_results[[#This Row], [Team1 laps '[laps']]:[Team9 laps '[laps']]]) - intermediate_results[[#This Row], [Team1 laps '[laps']]]</f>
        <v>0</v>
      </c>
      <c r="U105" s="3">
        <f>MAX(intermediate_results[[#This Row], [Team1 laps '[laps']]:[Team9 laps '[laps']]]) - intermediate_results[[#This Row], [Team2 laps '[laps']]]</f>
        <v>0</v>
      </c>
      <c r="V105" s="3">
        <f>MAX(intermediate_results[[#This Row], [Team1 laps '[laps']]:[Team9 laps '[laps']]]) - intermediate_results[[#This Row], [Team3 laps '[laps']]]</f>
        <v>0</v>
      </c>
      <c r="W105" s="3">
        <f>MAX(intermediate_results[[#This Row], [Team1 laps '[laps']]:[Team9 laps '[laps']]]) - intermediate_results[[#This Row], [Team4 laps '[laps']]]</f>
        <v>0</v>
      </c>
      <c r="X105" s="3">
        <f>MAX(intermediate_results[[#This Row], [Team1 laps '[laps']]:[Team9 laps '[laps']]]) - intermediate_results[[#This Row], [Team5 laps '[laps']]]</f>
        <v>0</v>
      </c>
      <c r="Y105" s="3">
        <f>MAX(intermediate_results[[#This Row], [Team1 laps '[laps']]:[Team9 laps '[laps']]]) - intermediate_results[[#This Row], [Team6 laps '[laps']]]</f>
        <v>0</v>
      </c>
      <c r="Z105" s="3">
        <f>MAX(intermediate_results[[#This Row], [Team1 laps '[laps']]:[Team9 laps '[laps']]]) - intermediate_results[[#This Row], [Team7 laps '[laps']]]</f>
        <v>0</v>
      </c>
      <c r="AA105" s="3">
        <f>MAX(intermediate_results[[#This Row], [Team1 laps '[laps']]:[Team9 laps '[laps']]]) - intermediate_results[[#This Row], [Team8 laps '[laps']]]</f>
        <v>0</v>
      </c>
      <c r="AB105" s="3">
        <f>MAX(intermediate_results[[#This Row], [Team1 laps '[laps']]:[Team9 laps '[laps']]]) - intermediate_results[[#This Row], [Team9 laps '[laps']]]</f>
        <v>0</v>
      </c>
      <c r="AC105" s="3">
        <f>9 * intermediate_results[[#This Row], [All cumulative times '[sec']]] / SUM(intermediate_results[[#This Row], [Team1 laps '[laps']]:[Team9 laps '[laps']]])</f>
        <v>0</v>
      </c>
      <c r="AD105" s="3">
        <f>intermediate_results[[#This Row], [All cumulative times '[sec']]] / intermediate_results[[#This Row], [Team1 laps '[laps']]] - intermediate_results[[#This Row], [Total running average '[sec']]]</f>
        <v>0</v>
      </c>
      <c r="AE105" s="3">
        <f>intermediate_results[[#This Row], [All cumulative times '[sec']]] / intermediate_results[[#This Row], [Team2 laps '[laps']]] - intermediate_results[[#This Row], [Total running average '[sec']]]</f>
        <v>0</v>
      </c>
      <c r="AF105" s="3">
        <f>intermediate_results[[#This Row], [All cumulative times '[sec']]] / intermediate_results[[#This Row], [Team3 laps '[laps']]] - intermediate_results[[#This Row], [Total running average '[sec']]]</f>
        <v>0</v>
      </c>
      <c r="AG105" s="3">
        <f>intermediate_results[[#This Row], [All cumulative times '[sec']]] / intermediate_results[[#This Row], [Team4 laps '[laps']]] - intermediate_results[[#This Row], [Total running average '[sec']]]</f>
        <v>0</v>
      </c>
      <c r="AH105" s="3">
        <f>intermediate_results[[#This Row], [All cumulative times '[sec']]] / intermediate_results[[#This Row], [Team5 laps '[laps']]] - intermediate_results[[#This Row], [Total running average '[sec']]]</f>
        <v>0</v>
      </c>
      <c r="AI105" s="3">
        <f>intermediate_results[[#This Row], [All cumulative times '[sec']]] / intermediate_results[[#This Row], [Team6 laps '[laps']]] - intermediate_results[[#This Row], [Total running average '[sec']]]</f>
        <v>0</v>
      </c>
      <c r="AJ105" s="3">
        <f>intermediate_results[[#This Row], [All cumulative times '[sec']]] / intermediate_results[[#This Row], [Team7 laps '[laps']]] - intermediate_results[[#This Row], [Total running average '[sec']]]</f>
        <v>0</v>
      </c>
      <c r="AK105" s="3">
        <f>intermediate_results[[#This Row], [All cumulative times '[sec']]] / intermediate_results[[#This Row], [Team8 laps '[laps']]] - intermediate_results[[#This Row], [Total running average '[sec']]]</f>
        <v>0</v>
      </c>
      <c r="AL105" s="3">
        <f>intermediate_results[[#This Row], [All cumulative times '[sec']]] / intermediate_results[[#This Row], [Team9 laps '[laps']]] - intermediate_results[[#This Row], [Total running average '[sec']]]</f>
        <v>0</v>
      </c>
    </row>
    <row r="106" spans="1:38">
      <c r="A106" s="3">
        <v>663.02</v>
      </c>
      <c r="B10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6" s="3">
        <f>intermediate_results[[#This Row], [Team1 laps '[laps']]] - intermediate_results[[#This Row], [Team1 laps '[laps']]]</f>
        <v>0</v>
      </c>
      <c r="L106" s="3">
        <f>intermediate_results[[#This Row], [Team1 laps '[laps']]] - intermediate_results[[#This Row], [Team2 laps '[laps']]]</f>
        <v>0</v>
      </c>
      <c r="M106" s="3">
        <f>intermediate_results[[#This Row], [Team1 laps '[laps']]] - intermediate_results[[#This Row], [Team3 laps '[laps']]]</f>
        <v>0</v>
      </c>
      <c r="N106" s="3">
        <f>intermediate_results[[#This Row], [Team1 laps '[laps']]] - intermediate_results[[#This Row], [Team4 laps '[laps']]]</f>
        <v>0</v>
      </c>
      <c r="O106" s="3">
        <f>intermediate_results[[#This Row], [Team1 laps '[laps']]] - intermediate_results[[#This Row], [Team5 laps '[laps']]]</f>
        <v>0</v>
      </c>
      <c r="P106" s="3">
        <f>intermediate_results[[#This Row], [Team1 laps '[laps']]] - intermediate_results[[#This Row], [Team6 laps '[laps']]]</f>
        <v>0</v>
      </c>
      <c r="Q106" s="3">
        <f>intermediate_results[[#This Row], [Team1 laps '[laps']]] - intermediate_results[[#This Row], [Team7 laps '[laps']]]</f>
        <v>0</v>
      </c>
      <c r="R106" s="3">
        <f>intermediate_results[[#This Row], [Team1 laps '[laps']]] - intermediate_results[[#This Row], [Team8 laps '[laps']]]</f>
        <v>0</v>
      </c>
      <c r="S106" s="3">
        <f>intermediate_results[[#This Row], [Team1 laps '[laps']]] - intermediate_results[[#This Row], [Team9 laps '[laps']]]</f>
        <v>0</v>
      </c>
      <c r="T106" s="3">
        <f>MAX(intermediate_results[[#This Row], [Team1 laps '[laps']]:[Team9 laps '[laps']]]) - intermediate_results[[#This Row], [Team1 laps '[laps']]]</f>
        <v>0</v>
      </c>
      <c r="U106" s="3">
        <f>MAX(intermediate_results[[#This Row], [Team1 laps '[laps']]:[Team9 laps '[laps']]]) - intermediate_results[[#This Row], [Team2 laps '[laps']]]</f>
        <v>0</v>
      </c>
      <c r="V106" s="3">
        <f>MAX(intermediate_results[[#This Row], [Team1 laps '[laps']]:[Team9 laps '[laps']]]) - intermediate_results[[#This Row], [Team3 laps '[laps']]]</f>
        <v>0</v>
      </c>
      <c r="W106" s="3">
        <f>MAX(intermediate_results[[#This Row], [Team1 laps '[laps']]:[Team9 laps '[laps']]]) - intermediate_results[[#This Row], [Team4 laps '[laps']]]</f>
        <v>0</v>
      </c>
      <c r="X106" s="3">
        <f>MAX(intermediate_results[[#This Row], [Team1 laps '[laps']]:[Team9 laps '[laps']]]) - intermediate_results[[#This Row], [Team5 laps '[laps']]]</f>
        <v>0</v>
      </c>
      <c r="Y106" s="3">
        <f>MAX(intermediate_results[[#This Row], [Team1 laps '[laps']]:[Team9 laps '[laps']]]) - intermediate_results[[#This Row], [Team6 laps '[laps']]]</f>
        <v>0</v>
      </c>
      <c r="Z106" s="3">
        <f>MAX(intermediate_results[[#This Row], [Team1 laps '[laps']]:[Team9 laps '[laps']]]) - intermediate_results[[#This Row], [Team7 laps '[laps']]]</f>
        <v>0</v>
      </c>
      <c r="AA106" s="3">
        <f>MAX(intermediate_results[[#This Row], [Team1 laps '[laps']]:[Team9 laps '[laps']]]) - intermediate_results[[#This Row], [Team8 laps '[laps']]]</f>
        <v>0</v>
      </c>
      <c r="AB106" s="3">
        <f>MAX(intermediate_results[[#This Row], [Team1 laps '[laps']]:[Team9 laps '[laps']]]) - intermediate_results[[#This Row], [Team9 laps '[laps']]]</f>
        <v>0</v>
      </c>
      <c r="AC106" s="3">
        <f>9 * intermediate_results[[#This Row], [All cumulative times '[sec']]] / SUM(intermediate_results[[#This Row], [Team1 laps '[laps']]:[Team9 laps '[laps']]])</f>
        <v>0</v>
      </c>
      <c r="AD106" s="3">
        <f>intermediate_results[[#This Row], [All cumulative times '[sec']]] / intermediate_results[[#This Row], [Team1 laps '[laps']]] - intermediate_results[[#This Row], [Total running average '[sec']]]</f>
        <v>0</v>
      </c>
      <c r="AE106" s="3">
        <f>intermediate_results[[#This Row], [All cumulative times '[sec']]] / intermediate_results[[#This Row], [Team2 laps '[laps']]] - intermediate_results[[#This Row], [Total running average '[sec']]]</f>
        <v>0</v>
      </c>
      <c r="AF106" s="3">
        <f>intermediate_results[[#This Row], [All cumulative times '[sec']]] / intermediate_results[[#This Row], [Team3 laps '[laps']]] - intermediate_results[[#This Row], [Total running average '[sec']]]</f>
        <v>0</v>
      </c>
      <c r="AG106" s="3">
        <f>intermediate_results[[#This Row], [All cumulative times '[sec']]] / intermediate_results[[#This Row], [Team4 laps '[laps']]] - intermediate_results[[#This Row], [Total running average '[sec']]]</f>
        <v>0</v>
      </c>
      <c r="AH106" s="3">
        <f>intermediate_results[[#This Row], [All cumulative times '[sec']]] / intermediate_results[[#This Row], [Team5 laps '[laps']]] - intermediate_results[[#This Row], [Total running average '[sec']]]</f>
        <v>0</v>
      </c>
      <c r="AI106" s="3">
        <f>intermediate_results[[#This Row], [All cumulative times '[sec']]] / intermediate_results[[#This Row], [Team6 laps '[laps']]] - intermediate_results[[#This Row], [Total running average '[sec']]]</f>
        <v>0</v>
      </c>
      <c r="AJ106" s="3">
        <f>intermediate_results[[#This Row], [All cumulative times '[sec']]] / intermediate_results[[#This Row], [Team7 laps '[laps']]] - intermediate_results[[#This Row], [Total running average '[sec']]]</f>
        <v>0</v>
      </c>
      <c r="AK106" s="3">
        <f>intermediate_results[[#This Row], [All cumulative times '[sec']]] / intermediate_results[[#This Row], [Team8 laps '[laps']]] - intermediate_results[[#This Row], [Total running average '[sec']]]</f>
        <v>0</v>
      </c>
      <c r="AL106" s="3">
        <f>intermediate_results[[#This Row], [All cumulative times '[sec']]] / intermediate_results[[#This Row], [Team9 laps '[laps']]] - intermediate_results[[#This Row], [Total running average '[sec']]]</f>
        <v>0</v>
      </c>
    </row>
    <row r="107" spans="1:38">
      <c r="A107" s="3">
        <v>668.73</v>
      </c>
      <c r="B10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7" s="3">
        <f>intermediate_results[[#This Row], [Team1 laps '[laps']]] - intermediate_results[[#This Row], [Team1 laps '[laps']]]</f>
        <v>0</v>
      </c>
      <c r="L107" s="3">
        <f>intermediate_results[[#This Row], [Team1 laps '[laps']]] - intermediate_results[[#This Row], [Team2 laps '[laps']]]</f>
        <v>0</v>
      </c>
      <c r="M107" s="3">
        <f>intermediate_results[[#This Row], [Team1 laps '[laps']]] - intermediate_results[[#This Row], [Team3 laps '[laps']]]</f>
        <v>0</v>
      </c>
      <c r="N107" s="3">
        <f>intermediate_results[[#This Row], [Team1 laps '[laps']]] - intermediate_results[[#This Row], [Team4 laps '[laps']]]</f>
        <v>0</v>
      </c>
      <c r="O107" s="3">
        <f>intermediate_results[[#This Row], [Team1 laps '[laps']]] - intermediate_results[[#This Row], [Team5 laps '[laps']]]</f>
        <v>0</v>
      </c>
      <c r="P107" s="3">
        <f>intermediate_results[[#This Row], [Team1 laps '[laps']]] - intermediate_results[[#This Row], [Team6 laps '[laps']]]</f>
        <v>0</v>
      </c>
      <c r="Q107" s="3">
        <f>intermediate_results[[#This Row], [Team1 laps '[laps']]] - intermediate_results[[#This Row], [Team7 laps '[laps']]]</f>
        <v>0</v>
      </c>
      <c r="R107" s="3">
        <f>intermediate_results[[#This Row], [Team1 laps '[laps']]] - intermediate_results[[#This Row], [Team8 laps '[laps']]]</f>
        <v>0</v>
      </c>
      <c r="S107" s="3">
        <f>intermediate_results[[#This Row], [Team1 laps '[laps']]] - intermediate_results[[#This Row], [Team9 laps '[laps']]]</f>
        <v>0</v>
      </c>
      <c r="T107" s="3">
        <f>MAX(intermediate_results[[#This Row], [Team1 laps '[laps']]:[Team9 laps '[laps']]]) - intermediate_results[[#This Row], [Team1 laps '[laps']]]</f>
        <v>0</v>
      </c>
      <c r="U107" s="3">
        <f>MAX(intermediate_results[[#This Row], [Team1 laps '[laps']]:[Team9 laps '[laps']]]) - intermediate_results[[#This Row], [Team2 laps '[laps']]]</f>
        <v>0</v>
      </c>
      <c r="V107" s="3">
        <f>MAX(intermediate_results[[#This Row], [Team1 laps '[laps']]:[Team9 laps '[laps']]]) - intermediate_results[[#This Row], [Team3 laps '[laps']]]</f>
        <v>0</v>
      </c>
      <c r="W107" s="3">
        <f>MAX(intermediate_results[[#This Row], [Team1 laps '[laps']]:[Team9 laps '[laps']]]) - intermediate_results[[#This Row], [Team4 laps '[laps']]]</f>
        <v>0</v>
      </c>
      <c r="X107" s="3">
        <f>MAX(intermediate_results[[#This Row], [Team1 laps '[laps']]:[Team9 laps '[laps']]]) - intermediate_results[[#This Row], [Team5 laps '[laps']]]</f>
        <v>0</v>
      </c>
      <c r="Y107" s="3">
        <f>MAX(intermediate_results[[#This Row], [Team1 laps '[laps']]:[Team9 laps '[laps']]]) - intermediate_results[[#This Row], [Team6 laps '[laps']]]</f>
        <v>0</v>
      </c>
      <c r="Z107" s="3">
        <f>MAX(intermediate_results[[#This Row], [Team1 laps '[laps']]:[Team9 laps '[laps']]]) - intermediate_results[[#This Row], [Team7 laps '[laps']]]</f>
        <v>0</v>
      </c>
      <c r="AA107" s="3">
        <f>MAX(intermediate_results[[#This Row], [Team1 laps '[laps']]:[Team9 laps '[laps']]]) - intermediate_results[[#This Row], [Team8 laps '[laps']]]</f>
        <v>0</v>
      </c>
      <c r="AB107" s="3">
        <f>MAX(intermediate_results[[#This Row], [Team1 laps '[laps']]:[Team9 laps '[laps']]]) - intermediate_results[[#This Row], [Team9 laps '[laps']]]</f>
        <v>0</v>
      </c>
      <c r="AC107" s="3">
        <f>9 * intermediate_results[[#This Row], [All cumulative times '[sec']]] / SUM(intermediate_results[[#This Row], [Team1 laps '[laps']]:[Team9 laps '[laps']]])</f>
        <v>0</v>
      </c>
      <c r="AD107" s="3">
        <f>intermediate_results[[#This Row], [All cumulative times '[sec']]] / intermediate_results[[#This Row], [Team1 laps '[laps']]] - intermediate_results[[#This Row], [Total running average '[sec']]]</f>
        <v>0</v>
      </c>
      <c r="AE107" s="3">
        <f>intermediate_results[[#This Row], [All cumulative times '[sec']]] / intermediate_results[[#This Row], [Team2 laps '[laps']]] - intermediate_results[[#This Row], [Total running average '[sec']]]</f>
        <v>0</v>
      </c>
      <c r="AF107" s="3">
        <f>intermediate_results[[#This Row], [All cumulative times '[sec']]] / intermediate_results[[#This Row], [Team3 laps '[laps']]] - intermediate_results[[#This Row], [Total running average '[sec']]]</f>
        <v>0</v>
      </c>
      <c r="AG107" s="3">
        <f>intermediate_results[[#This Row], [All cumulative times '[sec']]] / intermediate_results[[#This Row], [Team4 laps '[laps']]] - intermediate_results[[#This Row], [Total running average '[sec']]]</f>
        <v>0</v>
      </c>
      <c r="AH107" s="3">
        <f>intermediate_results[[#This Row], [All cumulative times '[sec']]] / intermediate_results[[#This Row], [Team5 laps '[laps']]] - intermediate_results[[#This Row], [Total running average '[sec']]]</f>
        <v>0</v>
      </c>
      <c r="AI107" s="3">
        <f>intermediate_results[[#This Row], [All cumulative times '[sec']]] / intermediate_results[[#This Row], [Team6 laps '[laps']]] - intermediate_results[[#This Row], [Total running average '[sec']]]</f>
        <v>0</v>
      </c>
      <c r="AJ107" s="3">
        <f>intermediate_results[[#This Row], [All cumulative times '[sec']]] / intermediate_results[[#This Row], [Team7 laps '[laps']]] - intermediate_results[[#This Row], [Total running average '[sec']]]</f>
        <v>0</v>
      </c>
      <c r="AK107" s="3">
        <f>intermediate_results[[#This Row], [All cumulative times '[sec']]] / intermediate_results[[#This Row], [Team8 laps '[laps']]] - intermediate_results[[#This Row], [Total running average '[sec']]]</f>
        <v>0</v>
      </c>
      <c r="AL107" s="3">
        <f>intermediate_results[[#This Row], [All cumulative times '[sec']]] / intermediate_results[[#This Row], [Team9 laps '[laps']]] - intermediate_results[[#This Row], [Total running average '[sec']]]</f>
        <v>0</v>
      </c>
    </row>
    <row r="108" spans="1:38">
      <c r="A108" s="3">
        <v>677.1529999999999</v>
      </c>
      <c r="B10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8" s="3">
        <f>intermediate_results[[#This Row], [Team1 laps '[laps']]] - intermediate_results[[#This Row], [Team1 laps '[laps']]]</f>
        <v>0</v>
      </c>
      <c r="L108" s="3">
        <f>intermediate_results[[#This Row], [Team1 laps '[laps']]] - intermediate_results[[#This Row], [Team2 laps '[laps']]]</f>
        <v>0</v>
      </c>
      <c r="M108" s="3">
        <f>intermediate_results[[#This Row], [Team1 laps '[laps']]] - intermediate_results[[#This Row], [Team3 laps '[laps']]]</f>
        <v>0</v>
      </c>
      <c r="N108" s="3">
        <f>intermediate_results[[#This Row], [Team1 laps '[laps']]] - intermediate_results[[#This Row], [Team4 laps '[laps']]]</f>
        <v>0</v>
      </c>
      <c r="O108" s="3">
        <f>intermediate_results[[#This Row], [Team1 laps '[laps']]] - intermediate_results[[#This Row], [Team5 laps '[laps']]]</f>
        <v>0</v>
      </c>
      <c r="P108" s="3">
        <f>intermediate_results[[#This Row], [Team1 laps '[laps']]] - intermediate_results[[#This Row], [Team6 laps '[laps']]]</f>
        <v>0</v>
      </c>
      <c r="Q108" s="3">
        <f>intermediate_results[[#This Row], [Team1 laps '[laps']]] - intermediate_results[[#This Row], [Team7 laps '[laps']]]</f>
        <v>0</v>
      </c>
      <c r="R108" s="3">
        <f>intermediate_results[[#This Row], [Team1 laps '[laps']]] - intermediate_results[[#This Row], [Team8 laps '[laps']]]</f>
        <v>0</v>
      </c>
      <c r="S108" s="3">
        <f>intermediate_results[[#This Row], [Team1 laps '[laps']]] - intermediate_results[[#This Row], [Team9 laps '[laps']]]</f>
        <v>0</v>
      </c>
      <c r="T108" s="3">
        <f>MAX(intermediate_results[[#This Row], [Team1 laps '[laps']]:[Team9 laps '[laps']]]) - intermediate_results[[#This Row], [Team1 laps '[laps']]]</f>
        <v>0</v>
      </c>
      <c r="U108" s="3">
        <f>MAX(intermediate_results[[#This Row], [Team1 laps '[laps']]:[Team9 laps '[laps']]]) - intermediate_results[[#This Row], [Team2 laps '[laps']]]</f>
        <v>0</v>
      </c>
      <c r="V108" s="3">
        <f>MAX(intermediate_results[[#This Row], [Team1 laps '[laps']]:[Team9 laps '[laps']]]) - intermediate_results[[#This Row], [Team3 laps '[laps']]]</f>
        <v>0</v>
      </c>
      <c r="W108" s="3">
        <f>MAX(intermediate_results[[#This Row], [Team1 laps '[laps']]:[Team9 laps '[laps']]]) - intermediate_results[[#This Row], [Team4 laps '[laps']]]</f>
        <v>0</v>
      </c>
      <c r="X108" s="3">
        <f>MAX(intermediate_results[[#This Row], [Team1 laps '[laps']]:[Team9 laps '[laps']]]) - intermediate_results[[#This Row], [Team5 laps '[laps']]]</f>
        <v>0</v>
      </c>
      <c r="Y108" s="3">
        <f>MAX(intermediate_results[[#This Row], [Team1 laps '[laps']]:[Team9 laps '[laps']]]) - intermediate_results[[#This Row], [Team6 laps '[laps']]]</f>
        <v>0</v>
      </c>
      <c r="Z108" s="3">
        <f>MAX(intermediate_results[[#This Row], [Team1 laps '[laps']]:[Team9 laps '[laps']]]) - intermediate_results[[#This Row], [Team7 laps '[laps']]]</f>
        <v>0</v>
      </c>
      <c r="AA108" s="3">
        <f>MAX(intermediate_results[[#This Row], [Team1 laps '[laps']]:[Team9 laps '[laps']]]) - intermediate_results[[#This Row], [Team8 laps '[laps']]]</f>
        <v>0</v>
      </c>
      <c r="AB108" s="3">
        <f>MAX(intermediate_results[[#This Row], [Team1 laps '[laps']]:[Team9 laps '[laps']]]) - intermediate_results[[#This Row], [Team9 laps '[laps']]]</f>
        <v>0</v>
      </c>
      <c r="AC108" s="3">
        <f>9 * intermediate_results[[#This Row], [All cumulative times '[sec']]] / SUM(intermediate_results[[#This Row], [Team1 laps '[laps']]:[Team9 laps '[laps']]])</f>
        <v>0</v>
      </c>
      <c r="AD108" s="3">
        <f>intermediate_results[[#This Row], [All cumulative times '[sec']]] / intermediate_results[[#This Row], [Team1 laps '[laps']]] - intermediate_results[[#This Row], [Total running average '[sec']]]</f>
        <v>0</v>
      </c>
      <c r="AE108" s="3">
        <f>intermediate_results[[#This Row], [All cumulative times '[sec']]] / intermediate_results[[#This Row], [Team2 laps '[laps']]] - intermediate_results[[#This Row], [Total running average '[sec']]]</f>
        <v>0</v>
      </c>
      <c r="AF108" s="3">
        <f>intermediate_results[[#This Row], [All cumulative times '[sec']]] / intermediate_results[[#This Row], [Team3 laps '[laps']]] - intermediate_results[[#This Row], [Total running average '[sec']]]</f>
        <v>0</v>
      </c>
      <c r="AG108" s="3">
        <f>intermediate_results[[#This Row], [All cumulative times '[sec']]] / intermediate_results[[#This Row], [Team4 laps '[laps']]] - intermediate_results[[#This Row], [Total running average '[sec']]]</f>
        <v>0</v>
      </c>
      <c r="AH108" s="3">
        <f>intermediate_results[[#This Row], [All cumulative times '[sec']]] / intermediate_results[[#This Row], [Team5 laps '[laps']]] - intermediate_results[[#This Row], [Total running average '[sec']]]</f>
        <v>0</v>
      </c>
      <c r="AI108" s="3">
        <f>intermediate_results[[#This Row], [All cumulative times '[sec']]] / intermediate_results[[#This Row], [Team6 laps '[laps']]] - intermediate_results[[#This Row], [Total running average '[sec']]]</f>
        <v>0</v>
      </c>
      <c r="AJ108" s="3">
        <f>intermediate_results[[#This Row], [All cumulative times '[sec']]] / intermediate_results[[#This Row], [Team7 laps '[laps']]] - intermediate_results[[#This Row], [Total running average '[sec']]]</f>
        <v>0</v>
      </c>
      <c r="AK108" s="3">
        <f>intermediate_results[[#This Row], [All cumulative times '[sec']]] / intermediate_results[[#This Row], [Team8 laps '[laps']]] - intermediate_results[[#This Row], [Total running average '[sec']]]</f>
        <v>0</v>
      </c>
      <c r="AL108" s="3">
        <f>intermediate_results[[#This Row], [All cumulative times '[sec']]] / intermediate_results[[#This Row], [Team9 laps '[laps']]] - intermediate_results[[#This Row], [Total running average '[sec']]]</f>
        <v>0</v>
      </c>
    </row>
    <row r="109" spans="1:38">
      <c r="A109" s="3">
        <v>680.4719999999999</v>
      </c>
      <c r="B10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0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0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0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0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0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0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0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0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09" s="3">
        <f>intermediate_results[[#This Row], [Team1 laps '[laps']]] - intermediate_results[[#This Row], [Team1 laps '[laps']]]</f>
        <v>0</v>
      </c>
      <c r="L109" s="3">
        <f>intermediate_results[[#This Row], [Team1 laps '[laps']]] - intermediate_results[[#This Row], [Team2 laps '[laps']]]</f>
        <v>0</v>
      </c>
      <c r="M109" s="3">
        <f>intermediate_results[[#This Row], [Team1 laps '[laps']]] - intermediate_results[[#This Row], [Team3 laps '[laps']]]</f>
        <v>0</v>
      </c>
      <c r="N109" s="3">
        <f>intermediate_results[[#This Row], [Team1 laps '[laps']]] - intermediate_results[[#This Row], [Team4 laps '[laps']]]</f>
        <v>0</v>
      </c>
      <c r="O109" s="3">
        <f>intermediate_results[[#This Row], [Team1 laps '[laps']]] - intermediate_results[[#This Row], [Team5 laps '[laps']]]</f>
        <v>0</v>
      </c>
      <c r="P109" s="3">
        <f>intermediate_results[[#This Row], [Team1 laps '[laps']]] - intermediate_results[[#This Row], [Team6 laps '[laps']]]</f>
        <v>0</v>
      </c>
      <c r="Q109" s="3">
        <f>intermediate_results[[#This Row], [Team1 laps '[laps']]] - intermediate_results[[#This Row], [Team7 laps '[laps']]]</f>
        <v>0</v>
      </c>
      <c r="R109" s="3">
        <f>intermediate_results[[#This Row], [Team1 laps '[laps']]] - intermediate_results[[#This Row], [Team8 laps '[laps']]]</f>
        <v>0</v>
      </c>
      <c r="S109" s="3">
        <f>intermediate_results[[#This Row], [Team1 laps '[laps']]] - intermediate_results[[#This Row], [Team9 laps '[laps']]]</f>
        <v>0</v>
      </c>
      <c r="T109" s="3">
        <f>MAX(intermediate_results[[#This Row], [Team1 laps '[laps']]:[Team9 laps '[laps']]]) - intermediate_results[[#This Row], [Team1 laps '[laps']]]</f>
        <v>0</v>
      </c>
      <c r="U109" s="3">
        <f>MAX(intermediate_results[[#This Row], [Team1 laps '[laps']]:[Team9 laps '[laps']]]) - intermediate_results[[#This Row], [Team2 laps '[laps']]]</f>
        <v>0</v>
      </c>
      <c r="V109" s="3">
        <f>MAX(intermediate_results[[#This Row], [Team1 laps '[laps']]:[Team9 laps '[laps']]]) - intermediate_results[[#This Row], [Team3 laps '[laps']]]</f>
        <v>0</v>
      </c>
      <c r="W109" s="3">
        <f>MAX(intermediate_results[[#This Row], [Team1 laps '[laps']]:[Team9 laps '[laps']]]) - intermediate_results[[#This Row], [Team4 laps '[laps']]]</f>
        <v>0</v>
      </c>
      <c r="X109" s="3">
        <f>MAX(intermediate_results[[#This Row], [Team1 laps '[laps']]:[Team9 laps '[laps']]]) - intermediate_results[[#This Row], [Team5 laps '[laps']]]</f>
        <v>0</v>
      </c>
      <c r="Y109" s="3">
        <f>MAX(intermediate_results[[#This Row], [Team1 laps '[laps']]:[Team9 laps '[laps']]]) - intermediate_results[[#This Row], [Team6 laps '[laps']]]</f>
        <v>0</v>
      </c>
      <c r="Z109" s="3">
        <f>MAX(intermediate_results[[#This Row], [Team1 laps '[laps']]:[Team9 laps '[laps']]]) - intermediate_results[[#This Row], [Team7 laps '[laps']]]</f>
        <v>0</v>
      </c>
      <c r="AA109" s="3">
        <f>MAX(intermediate_results[[#This Row], [Team1 laps '[laps']]:[Team9 laps '[laps']]]) - intermediate_results[[#This Row], [Team8 laps '[laps']]]</f>
        <v>0</v>
      </c>
      <c r="AB109" s="3">
        <f>MAX(intermediate_results[[#This Row], [Team1 laps '[laps']]:[Team9 laps '[laps']]]) - intermediate_results[[#This Row], [Team9 laps '[laps']]]</f>
        <v>0</v>
      </c>
      <c r="AC109" s="3">
        <f>9 * intermediate_results[[#This Row], [All cumulative times '[sec']]] / SUM(intermediate_results[[#This Row], [Team1 laps '[laps']]:[Team9 laps '[laps']]])</f>
        <v>0</v>
      </c>
      <c r="AD109" s="3">
        <f>intermediate_results[[#This Row], [All cumulative times '[sec']]] / intermediate_results[[#This Row], [Team1 laps '[laps']]] - intermediate_results[[#This Row], [Total running average '[sec']]]</f>
        <v>0</v>
      </c>
      <c r="AE109" s="3">
        <f>intermediate_results[[#This Row], [All cumulative times '[sec']]] / intermediate_results[[#This Row], [Team2 laps '[laps']]] - intermediate_results[[#This Row], [Total running average '[sec']]]</f>
        <v>0</v>
      </c>
      <c r="AF109" s="3">
        <f>intermediate_results[[#This Row], [All cumulative times '[sec']]] / intermediate_results[[#This Row], [Team3 laps '[laps']]] - intermediate_results[[#This Row], [Total running average '[sec']]]</f>
        <v>0</v>
      </c>
      <c r="AG109" s="3">
        <f>intermediate_results[[#This Row], [All cumulative times '[sec']]] / intermediate_results[[#This Row], [Team4 laps '[laps']]] - intermediate_results[[#This Row], [Total running average '[sec']]]</f>
        <v>0</v>
      </c>
      <c r="AH109" s="3">
        <f>intermediate_results[[#This Row], [All cumulative times '[sec']]] / intermediate_results[[#This Row], [Team5 laps '[laps']]] - intermediate_results[[#This Row], [Total running average '[sec']]]</f>
        <v>0</v>
      </c>
      <c r="AI109" s="3">
        <f>intermediate_results[[#This Row], [All cumulative times '[sec']]] / intermediate_results[[#This Row], [Team6 laps '[laps']]] - intermediate_results[[#This Row], [Total running average '[sec']]]</f>
        <v>0</v>
      </c>
      <c r="AJ109" s="3">
        <f>intermediate_results[[#This Row], [All cumulative times '[sec']]] / intermediate_results[[#This Row], [Team7 laps '[laps']]] - intermediate_results[[#This Row], [Total running average '[sec']]]</f>
        <v>0</v>
      </c>
      <c r="AK109" s="3">
        <f>intermediate_results[[#This Row], [All cumulative times '[sec']]] / intermediate_results[[#This Row], [Team8 laps '[laps']]] - intermediate_results[[#This Row], [Total running average '[sec']]]</f>
        <v>0</v>
      </c>
      <c r="AL109" s="3">
        <f>intermediate_results[[#This Row], [All cumulative times '[sec']]] / intermediate_results[[#This Row], [Team9 laps '[laps']]] - intermediate_results[[#This Row], [Total running average '[sec']]]</f>
        <v>0</v>
      </c>
    </row>
    <row r="110" spans="1:38">
      <c r="A110" s="3">
        <v>688.8079999999999</v>
      </c>
      <c r="B11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0" s="3">
        <f>intermediate_results[[#This Row], [Team1 laps '[laps']]] - intermediate_results[[#This Row], [Team1 laps '[laps']]]</f>
        <v>0</v>
      </c>
      <c r="L110" s="3">
        <f>intermediate_results[[#This Row], [Team1 laps '[laps']]] - intermediate_results[[#This Row], [Team2 laps '[laps']]]</f>
        <v>0</v>
      </c>
      <c r="M110" s="3">
        <f>intermediate_results[[#This Row], [Team1 laps '[laps']]] - intermediate_results[[#This Row], [Team3 laps '[laps']]]</f>
        <v>0</v>
      </c>
      <c r="N110" s="3">
        <f>intermediate_results[[#This Row], [Team1 laps '[laps']]] - intermediate_results[[#This Row], [Team4 laps '[laps']]]</f>
        <v>0</v>
      </c>
      <c r="O110" s="3">
        <f>intermediate_results[[#This Row], [Team1 laps '[laps']]] - intermediate_results[[#This Row], [Team5 laps '[laps']]]</f>
        <v>0</v>
      </c>
      <c r="P110" s="3">
        <f>intermediate_results[[#This Row], [Team1 laps '[laps']]] - intermediate_results[[#This Row], [Team6 laps '[laps']]]</f>
        <v>0</v>
      </c>
      <c r="Q110" s="3">
        <f>intermediate_results[[#This Row], [Team1 laps '[laps']]] - intermediate_results[[#This Row], [Team7 laps '[laps']]]</f>
        <v>0</v>
      </c>
      <c r="R110" s="3">
        <f>intermediate_results[[#This Row], [Team1 laps '[laps']]] - intermediate_results[[#This Row], [Team8 laps '[laps']]]</f>
        <v>0</v>
      </c>
      <c r="S110" s="3">
        <f>intermediate_results[[#This Row], [Team1 laps '[laps']]] - intermediate_results[[#This Row], [Team9 laps '[laps']]]</f>
        <v>0</v>
      </c>
      <c r="T110" s="3">
        <f>MAX(intermediate_results[[#This Row], [Team1 laps '[laps']]:[Team9 laps '[laps']]]) - intermediate_results[[#This Row], [Team1 laps '[laps']]]</f>
        <v>0</v>
      </c>
      <c r="U110" s="3">
        <f>MAX(intermediate_results[[#This Row], [Team1 laps '[laps']]:[Team9 laps '[laps']]]) - intermediate_results[[#This Row], [Team2 laps '[laps']]]</f>
        <v>0</v>
      </c>
      <c r="V110" s="3">
        <f>MAX(intermediate_results[[#This Row], [Team1 laps '[laps']]:[Team9 laps '[laps']]]) - intermediate_results[[#This Row], [Team3 laps '[laps']]]</f>
        <v>0</v>
      </c>
      <c r="W110" s="3">
        <f>MAX(intermediate_results[[#This Row], [Team1 laps '[laps']]:[Team9 laps '[laps']]]) - intermediate_results[[#This Row], [Team4 laps '[laps']]]</f>
        <v>0</v>
      </c>
      <c r="X110" s="3">
        <f>MAX(intermediate_results[[#This Row], [Team1 laps '[laps']]:[Team9 laps '[laps']]]) - intermediate_results[[#This Row], [Team5 laps '[laps']]]</f>
        <v>0</v>
      </c>
      <c r="Y110" s="3">
        <f>MAX(intermediate_results[[#This Row], [Team1 laps '[laps']]:[Team9 laps '[laps']]]) - intermediate_results[[#This Row], [Team6 laps '[laps']]]</f>
        <v>0</v>
      </c>
      <c r="Z110" s="3">
        <f>MAX(intermediate_results[[#This Row], [Team1 laps '[laps']]:[Team9 laps '[laps']]]) - intermediate_results[[#This Row], [Team7 laps '[laps']]]</f>
        <v>0</v>
      </c>
      <c r="AA110" s="3">
        <f>MAX(intermediate_results[[#This Row], [Team1 laps '[laps']]:[Team9 laps '[laps']]]) - intermediate_results[[#This Row], [Team8 laps '[laps']]]</f>
        <v>0</v>
      </c>
      <c r="AB110" s="3">
        <f>MAX(intermediate_results[[#This Row], [Team1 laps '[laps']]:[Team9 laps '[laps']]]) - intermediate_results[[#This Row], [Team9 laps '[laps']]]</f>
        <v>0</v>
      </c>
      <c r="AC110" s="3">
        <f>9 * intermediate_results[[#This Row], [All cumulative times '[sec']]] / SUM(intermediate_results[[#This Row], [Team1 laps '[laps']]:[Team9 laps '[laps']]])</f>
        <v>0</v>
      </c>
      <c r="AD110" s="3">
        <f>intermediate_results[[#This Row], [All cumulative times '[sec']]] / intermediate_results[[#This Row], [Team1 laps '[laps']]] - intermediate_results[[#This Row], [Total running average '[sec']]]</f>
        <v>0</v>
      </c>
      <c r="AE110" s="3">
        <f>intermediate_results[[#This Row], [All cumulative times '[sec']]] / intermediate_results[[#This Row], [Team2 laps '[laps']]] - intermediate_results[[#This Row], [Total running average '[sec']]]</f>
        <v>0</v>
      </c>
      <c r="AF110" s="3">
        <f>intermediate_results[[#This Row], [All cumulative times '[sec']]] / intermediate_results[[#This Row], [Team3 laps '[laps']]] - intermediate_results[[#This Row], [Total running average '[sec']]]</f>
        <v>0</v>
      </c>
      <c r="AG110" s="3">
        <f>intermediate_results[[#This Row], [All cumulative times '[sec']]] / intermediate_results[[#This Row], [Team4 laps '[laps']]] - intermediate_results[[#This Row], [Total running average '[sec']]]</f>
        <v>0</v>
      </c>
      <c r="AH110" s="3">
        <f>intermediate_results[[#This Row], [All cumulative times '[sec']]] / intermediate_results[[#This Row], [Team5 laps '[laps']]] - intermediate_results[[#This Row], [Total running average '[sec']]]</f>
        <v>0</v>
      </c>
      <c r="AI110" s="3">
        <f>intermediate_results[[#This Row], [All cumulative times '[sec']]] / intermediate_results[[#This Row], [Team6 laps '[laps']]] - intermediate_results[[#This Row], [Total running average '[sec']]]</f>
        <v>0</v>
      </c>
      <c r="AJ110" s="3">
        <f>intermediate_results[[#This Row], [All cumulative times '[sec']]] / intermediate_results[[#This Row], [Team7 laps '[laps']]] - intermediate_results[[#This Row], [Total running average '[sec']]]</f>
        <v>0</v>
      </c>
      <c r="AK110" s="3">
        <f>intermediate_results[[#This Row], [All cumulative times '[sec']]] / intermediate_results[[#This Row], [Team8 laps '[laps']]] - intermediate_results[[#This Row], [Total running average '[sec']]]</f>
        <v>0</v>
      </c>
      <c r="AL110" s="3">
        <f>intermediate_results[[#This Row], [All cumulative times '[sec']]] / intermediate_results[[#This Row], [Team9 laps '[laps']]] - intermediate_results[[#This Row], [Total running average '[sec']]]</f>
        <v>0</v>
      </c>
    </row>
    <row r="111" spans="1:38">
      <c r="A111" s="3">
        <v>691.472</v>
      </c>
      <c r="B11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1" s="3">
        <f>intermediate_results[[#This Row], [Team1 laps '[laps']]] - intermediate_results[[#This Row], [Team1 laps '[laps']]]</f>
        <v>0</v>
      </c>
      <c r="L111" s="3">
        <f>intermediate_results[[#This Row], [Team1 laps '[laps']]] - intermediate_results[[#This Row], [Team2 laps '[laps']]]</f>
        <v>0</v>
      </c>
      <c r="M111" s="3">
        <f>intermediate_results[[#This Row], [Team1 laps '[laps']]] - intermediate_results[[#This Row], [Team3 laps '[laps']]]</f>
        <v>0</v>
      </c>
      <c r="N111" s="3">
        <f>intermediate_results[[#This Row], [Team1 laps '[laps']]] - intermediate_results[[#This Row], [Team4 laps '[laps']]]</f>
        <v>0</v>
      </c>
      <c r="O111" s="3">
        <f>intermediate_results[[#This Row], [Team1 laps '[laps']]] - intermediate_results[[#This Row], [Team5 laps '[laps']]]</f>
        <v>0</v>
      </c>
      <c r="P111" s="3">
        <f>intermediate_results[[#This Row], [Team1 laps '[laps']]] - intermediate_results[[#This Row], [Team6 laps '[laps']]]</f>
        <v>0</v>
      </c>
      <c r="Q111" s="3">
        <f>intermediate_results[[#This Row], [Team1 laps '[laps']]] - intermediate_results[[#This Row], [Team7 laps '[laps']]]</f>
        <v>0</v>
      </c>
      <c r="R111" s="3">
        <f>intermediate_results[[#This Row], [Team1 laps '[laps']]] - intermediate_results[[#This Row], [Team8 laps '[laps']]]</f>
        <v>0</v>
      </c>
      <c r="S111" s="3">
        <f>intermediate_results[[#This Row], [Team1 laps '[laps']]] - intermediate_results[[#This Row], [Team9 laps '[laps']]]</f>
        <v>0</v>
      </c>
      <c r="T111" s="3">
        <f>MAX(intermediate_results[[#This Row], [Team1 laps '[laps']]:[Team9 laps '[laps']]]) - intermediate_results[[#This Row], [Team1 laps '[laps']]]</f>
        <v>0</v>
      </c>
      <c r="U111" s="3">
        <f>MAX(intermediate_results[[#This Row], [Team1 laps '[laps']]:[Team9 laps '[laps']]]) - intermediate_results[[#This Row], [Team2 laps '[laps']]]</f>
        <v>0</v>
      </c>
      <c r="V111" s="3">
        <f>MAX(intermediate_results[[#This Row], [Team1 laps '[laps']]:[Team9 laps '[laps']]]) - intermediate_results[[#This Row], [Team3 laps '[laps']]]</f>
        <v>0</v>
      </c>
      <c r="W111" s="3">
        <f>MAX(intermediate_results[[#This Row], [Team1 laps '[laps']]:[Team9 laps '[laps']]]) - intermediate_results[[#This Row], [Team4 laps '[laps']]]</f>
        <v>0</v>
      </c>
      <c r="X111" s="3">
        <f>MAX(intermediate_results[[#This Row], [Team1 laps '[laps']]:[Team9 laps '[laps']]]) - intermediate_results[[#This Row], [Team5 laps '[laps']]]</f>
        <v>0</v>
      </c>
      <c r="Y111" s="3">
        <f>MAX(intermediate_results[[#This Row], [Team1 laps '[laps']]:[Team9 laps '[laps']]]) - intermediate_results[[#This Row], [Team6 laps '[laps']]]</f>
        <v>0</v>
      </c>
      <c r="Z111" s="3">
        <f>MAX(intermediate_results[[#This Row], [Team1 laps '[laps']]:[Team9 laps '[laps']]]) - intermediate_results[[#This Row], [Team7 laps '[laps']]]</f>
        <v>0</v>
      </c>
      <c r="AA111" s="3">
        <f>MAX(intermediate_results[[#This Row], [Team1 laps '[laps']]:[Team9 laps '[laps']]]) - intermediate_results[[#This Row], [Team8 laps '[laps']]]</f>
        <v>0</v>
      </c>
      <c r="AB111" s="3">
        <f>MAX(intermediate_results[[#This Row], [Team1 laps '[laps']]:[Team9 laps '[laps']]]) - intermediate_results[[#This Row], [Team9 laps '[laps']]]</f>
        <v>0</v>
      </c>
      <c r="AC111" s="3">
        <f>9 * intermediate_results[[#This Row], [All cumulative times '[sec']]] / SUM(intermediate_results[[#This Row], [Team1 laps '[laps']]:[Team9 laps '[laps']]])</f>
        <v>0</v>
      </c>
      <c r="AD111" s="3">
        <f>intermediate_results[[#This Row], [All cumulative times '[sec']]] / intermediate_results[[#This Row], [Team1 laps '[laps']]] - intermediate_results[[#This Row], [Total running average '[sec']]]</f>
        <v>0</v>
      </c>
      <c r="AE111" s="3">
        <f>intermediate_results[[#This Row], [All cumulative times '[sec']]] / intermediate_results[[#This Row], [Team2 laps '[laps']]] - intermediate_results[[#This Row], [Total running average '[sec']]]</f>
        <v>0</v>
      </c>
      <c r="AF111" s="3">
        <f>intermediate_results[[#This Row], [All cumulative times '[sec']]] / intermediate_results[[#This Row], [Team3 laps '[laps']]] - intermediate_results[[#This Row], [Total running average '[sec']]]</f>
        <v>0</v>
      </c>
      <c r="AG111" s="3">
        <f>intermediate_results[[#This Row], [All cumulative times '[sec']]] / intermediate_results[[#This Row], [Team4 laps '[laps']]] - intermediate_results[[#This Row], [Total running average '[sec']]]</f>
        <v>0</v>
      </c>
      <c r="AH111" s="3">
        <f>intermediate_results[[#This Row], [All cumulative times '[sec']]] / intermediate_results[[#This Row], [Team5 laps '[laps']]] - intermediate_results[[#This Row], [Total running average '[sec']]]</f>
        <v>0</v>
      </c>
      <c r="AI111" s="3">
        <f>intermediate_results[[#This Row], [All cumulative times '[sec']]] / intermediate_results[[#This Row], [Team6 laps '[laps']]] - intermediate_results[[#This Row], [Total running average '[sec']]]</f>
        <v>0</v>
      </c>
      <c r="AJ111" s="3">
        <f>intermediate_results[[#This Row], [All cumulative times '[sec']]] / intermediate_results[[#This Row], [Team7 laps '[laps']]] - intermediate_results[[#This Row], [Total running average '[sec']]]</f>
        <v>0</v>
      </c>
      <c r="AK111" s="3">
        <f>intermediate_results[[#This Row], [All cumulative times '[sec']]] / intermediate_results[[#This Row], [Team8 laps '[laps']]] - intermediate_results[[#This Row], [Total running average '[sec']]]</f>
        <v>0</v>
      </c>
      <c r="AL111" s="3">
        <f>intermediate_results[[#This Row], [All cumulative times '[sec']]] / intermediate_results[[#This Row], [Team9 laps '[laps']]] - intermediate_results[[#This Row], [Total running average '[sec']]]</f>
        <v>0</v>
      </c>
    </row>
    <row r="112" spans="1:38">
      <c r="A112" s="3">
        <v>701.5089999999999</v>
      </c>
      <c r="B11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2" s="3">
        <f>intermediate_results[[#This Row], [Team1 laps '[laps']]] - intermediate_results[[#This Row], [Team1 laps '[laps']]]</f>
        <v>0</v>
      </c>
      <c r="L112" s="3">
        <f>intermediate_results[[#This Row], [Team1 laps '[laps']]] - intermediate_results[[#This Row], [Team2 laps '[laps']]]</f>
        <v>0</v>
      </c>
      <c r="M112" s="3">
        <f>intermediate_results[[#This Row], [Team1 laps '[laps']]] - intermediate_results[[#This Row], [Team3 laps '[laps']]]</f>
        <v>0</v>
      </c>
      <c r="N112" s="3">
        <f>intermediate_results[[#This Row], [Team1 laps '[laps']]] - intermediate_results[[#This Row], [Team4 laps '[laps']]]</f>
        <v>0</v>
      </c>
      <c r="O112" s="3">
        <f>intermediate_results[[#This Row], [Team1 laps '[laps']]] - intermediate_results[[#This Row], [Team5 laps '[laps']]]</f>
        <v>0</v>
      </c>
      <c r="P112" s="3">
        <f>intermediate_results[[#This Row], [Team1 laps '[laps']]] - intermediate_results[[#This Row], [Team6 laps '[laps']]]</f>
        <v>0</v>
      </c>
      <c r="Q112" s="3">
        <f>intermediate_results[[#This Row], [Team1 laps '[laps']]] - intermediate_results[[#This Row], [Team7 laps '[laps']]]</f>
        <v>0</v>
      </c>
      <c r="R112" s="3">
        <f>intermediate_results[[#This Row], [Team1 laps '[laps']]] - intermediate_results[[#This Row], [Team8 laps '[laps']]]</f>
        <v>0</v>
      </c>
      <c r="S112" s="3">
        <f>intermediate_results[[#This Row], [Team1 laps '[laps']]] - intermediate_results[[#This Row], [Team9 laps '[laps']]]</f>
        <v>0</v>
      </c>
      <c r="T112" s="3">
        <f>MAX(intermediate_results[[#This Row], [Team1 laps '[laps']]:[Team9 laps '[laps']]]) - intermediate_results[[#This Row], [Team1 laps '[laps']]]</f>
        <v>0</v>
      </c>
      <c r="U112" s="3">
        <f>MAX(intermediate_results[[#This Row], [Team1 laps '[laps']]:[Team9 laps '[laps']]]) - intermediate_results[[#This Row], [Team2 laps '[laps']]]</f>
        <v>0</v>
      </c>
      <c r="V112" s="3">
        <f>MAX(intermediate_results[[#This Row], [Team1 laps '[laps']]:[Team9 laps '[laps']]]) - intermediate_results[[#This Row], [Team3 laps '[laps']]]</f>
        <v>0</v>
      </c>
      <c r="W112" s="3">
        <f>MAX(intermediate_results[[#This Row], [Team1 laps '[laps']]:[Team9 laps '[laps']]]) - intermediate_results[[#This Row], [Team4 laps '[laps']]]</f>
        <v>0</v>
      </c>
      <c r="X112" s="3">
        <f>MAX(intermediate_results[[#This Row], [Team1 laps '[laps']]:[Team9 laps '[laps']]]) - intermediate_results[[#This Row], [Team5 laps '[laps']]]</f>
        <v>0</v>
      </c>
      <c r="Y112" s="3">
        <f>MAX(intermediate_results[[#This Row], [Team1 laps '[laps']]:[Team9 laps '[laps']]]) - intermediate_results[[#This Row], [Team6 laps '[laps']]]</f>
        <v>0</v>
      </c>
      <c r="Z112" s="3">
        <f>MAX(intermediate_results[[#This Row], [Team1 laps '[laps']]:[Team9 laps '[laps']]]) - intermediate_results[[#This Row], [Team7 laps '[laps']]]</f>
        <v>0</v>
      </c>
      <c r="AA112" s="3">
        <f>MAX(intermediate_results[[#This Row], [Team1 laps '[laps']]:[Team9 laps '[laps']]]) - intermediate_results[[#This Row], [Team8 laps '[laps']]]</f>
        <v>0</v>
      </c>
      <c r="AB112" s="3">
        <f>MAX(intermediate_results[[#This Row], [Team1 laps '[laps']]:[Team9 laps '[laps']]]) - intermediate_results[[#This Row], [Team9 laps '[laps']]]</f>
        <v>0</v>
      </c>
      <c r="AC112" s="3">
        <f>9 * intermediate_results[[#This Row], [All cumulative times '[sec']]] / SUM(intermediate_results[[#This Row], [Team1 laps '[laps']]:[Team9 laps '[laps']]])</f>
        <v>0</v>
      </c>
      <c r="AD112" s="3">
        <f>intermediate_results[[#This Row], [All cumulative times '[sec']]] / intermediate_results[[#This Row], [Team1 laps '[laps']]] - intermediate_results[[#This Row], [Total running average '[sec']]]</f>
        <v>0</v>
      </c>
      <c r="AE112" s="3">
        <f>intermediate_results[[#This Row], [All cumulative times '[sec']]] / intermediate_results[[#This Row], [Team2 laps '[laps']]] - intermediate_results[[#This Row], [Total running average '[sec']]]</f>
        <v>0</v>
      </c>
      <c r="AF112" s="3">
        <f>intermediate_results[[#This Row], [All cumulative times '[sec']]] / intermediate_results[[#This Row], [Team3 laps '[laps']]] - intermediate_results[[#This Row], [Total running average '[sec']]]</f>
        <v>0</v>
      </c>
      <c r="AG112" s="3">
        <f>intermediate_results[[#This Row], [All cumulative times '[sec']]] / intermediate_results[[#This Row], [Team4 laps '[laps']]] - intermediate_results[[#This Row], [Total running average '[sec']]]</f>
        <v>0</v>
      </c>
      <c r="AH112" s="3">
        <f>intermediate_results[[#This Row], [All cumulative times '[sec']]] / intermediate_results[[#This Row], [Team5 laps '[laps']]] - intermediate_results[[#This Row], [Total running average '[sec']]]</f>
        <v>0</v>
      </c>
      <c r="AI112" s="3">
        <f>intermediate_results[[#This Row], [All cumulative times '[sec']]] / intermediate_results[[#This Row], [Team6 laps '[laps']]] - intermediate_results[[#This Row], [Total running average '[sec']]]</f>
        <v>0</v>
      </c>
      <c r="AJ112" s="3">
        <f>intermediate_results[[#This Row], [All cumulative times '[sec']]] / intermediate_results[[#This Row], [Team7 laps '[laps']]] - intermediate_results[[#This Row], [Total running average '[sec']]]</f>
        <v>0</v>
      </c>
      <c r="AK112" s="3">
        <f>intermediate_results[[#This Row], [All cumulative times '[sec']]] / intermediate_results[[#This Row], [Team8 laps '[laps']]] - intermediate_results[[#This Row], [Total running average '[sec']]]</f>
        <v>0</v>
      </c>
      <c r="AL112" s="3">
        <f>intermediate_results[[#This Row], [All cumulative times '[sec']]] / intermediate_results[[#This Row], [Team9 laps '[laps']]] - intermediate_results[[#This Row], [Total running average '[sec']]]</f>
        <v>0</v>
      </c>
    </row>
    <row r="113" spans="1:38">
      <c r="A113" s="3">
        <v>716.0759999999999</v>
      </c>
      <c r="B11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3" s="3">
        <f>intermediate_results[[#This Row], [Team1 laps '[laps']]] - intermediate_results[[#This Row], [Team1 laps '[laps']]]</f>
        <v>0</v>
      </c>
      <c r="L113" s="3">
        <f>intermediate_results[[#This Row], [Team1 laps '[laps']]] - intermediate_results[[#This Row], [Team2 laps '[laps']]]</f>
        <v>0</v>
      </c>
      <c r="M113" s="3">
        <f>intermediate_results[[#This Row], [Team1 laps '[laps']]] - intermediate_results[[#This Row], [Team3 laps '[laps']]]</f>
        <v>0</v>
      </c>
      <c r="N113" s="3">
        <f>intermediate_results[[#This Row], [Team1 laps '[laps']]] - intermediate_results[[#This Row], [Team4 laps '[laps']]]</f>
        <v>0</v>
      </c>
      <c r="O113" s="3">
        <f>intermediate_results[[#This Row], [Team1 laps '[laps']]] - intermediate_results[[#This Row], [Team5 laps '[laps']]]</f>
        <v>0</v>
      </c>
      <c r="P113" s="3">
        <f>intermediate_results[[#This Row], [Team1 laps '[laps']]] - intermediate_results[[#This Row], [Team6 laps '[laps']]]</f>
        <v>0</v>
      </c>
      <c r="Q113" s="3">
        <f>intermediate_results[[#This Row], [Team1 laps '[laps']]] - intermediate_results[[#This Row], [Team7 laps '[laps']]]</f>
        <v>0</v>
      </c>
      <c r="R113" s="3">
        <f>intermediate_results[[#This Row], [Team1 laps '[laps']]] - intermediate_results[[#This Row], [Team8 laps '[laps']]]</f>
        <v>0</v>
      </c>
      <c r="S113" s="3">
        <f>intermediate_results[[#This Row], [Team1 laps '[laps']]] - intermediate_results[[#This Row], [Team9 laps '[laps']]]</f>
        <v>0</v>
      </c>
      <c r="T113" s="3">
        <f>MAX(intermediate_results[[#This Row], [Team1 laps '[laps']]:[Team9 laps '[laps']]]) - intermediate_results[[#This Row], [Team1 laps '[laps']]]</f>
        <v>0</v>
      </c>
      <c r="U113" s="3">
        <f>MAX(intermediate_results[[#This Row], [Team1 laps '[laps']]:[Team9 laps '[laps']]]) - intermediate_results[[#This Row], [Team2 laps '[laps']]]</f>
        <v>0</v>
      </c>
      <c r="V113" s="3">
        <f>MAX(intermediate_results[[#This Row], [Team1 laps '[laps']]:[Team9 laps '[laps']]]) - intermediate_results[[#This Row], [Team3 laps '[laps']]]</f>
        <v>0</v>
      </c>
      <c r="W113" s="3">
        <f>MAX(intermediate_results[[#This Row], [Team1 laps '[laps']]:[Team9 laps '[laps']]]) - intermediate_results[[#This Row], [Team4 laps '[laps']]]</f>
        <v>0</v>
      </c>
      <c r="X113" s="3">
        <f>MAX(intermediate_results[[#This Row], [Team1 laps '[laps']]:[Team9 laps '[laps']]]) - intermediate_results[[#This Row], [Team5 laps '[laps']]]</f>
        <v>0</v>
      </c>
      <c r="Y113" s="3">
        <f>MAX(intermediate_results[[#This Row], [Team1 laps '[laps']]:[Team9 laps '[laps']]]) - intermediate_results[[#This Row], [Team6 laps '[laps']]]</f>
        <v>0</v>
      </c>
      <c r="Z113" s="3">
        <f>MAX(intermediate_results[[#This Row], [Team1 laps '[laps']]:[Team9 laps '[laps']]]) - intermediate_results[[#This Row], [Team7 laps '[laps']]]</f>
        <v>0</v>
      </c>
      <c r="AA113" s="3">
        <f>MAX(intermediate_results[[#This Row], [Team1 laps '[laps']]:[Team9 laps '[laps']]]) - intermediate_results[[#This Row], [Team8 laps '[laps']]]</f>
        <v>0</v>
      </c>
      <c r="AB113" s="3">
        <f>MAX(intermediate_results[[#This Row], [Team1 laps '[laps']]:[Team9 laps '[laps']]]) - intermediate_results[[#This Row], [Team9 laps '[laps']]]</f>
        <v>0</v>
      </c>
      <c r="AC113" s="3">
        <f>9 * intermediate_results[[#This Row], [All cumulative times '[sec']]] / SUM(intermediate_results[[#This Row], [Team1 laps '[laps']]:[Team9 laps '[laps']]])</f>
        <v>0</v>
      </c>
      <c r="AD113" s="3">
        <f>intermediate_results[[#This Row], [All cumulative times '[sec']]] / intermediate_results[[#This Row], [Team1 laps '[laps']]] - intermediate_results[[#This Row], [Total running average '[sec']]]</f>
        <v>0</v>
      </c>
      <c r="AE113" s="3">
        <f>intermediate_results[[#This Row], [All cumulative times '[sec']]] / intermediate_results[[#This Row], [Team2 laps '[laps']]] - intermediate_results[[#This Row], [Total running average '[sec']]]</f>
        <v>0</v>
      </c>
      <c r="AF113" s="3">
        <f>intermediate_results[[#This Row], [All cumulative times '[sec']]] / intermediate_results[[#This Row], [Team3 laps '[laps']]] - intermediate_results[[#This Row], [Total running average '[sec']]]</f>
        <v>0</v>
      </c>
      <c r="AG113" s="3">
        <f>intermediate_results[[#This Row], [All cumulative times '[sec']]] / intermediate_results[[#This Row], [Team4 laps '[laps']]] - intermediate_results[[#This Row], [Total running average '[sec']]]</f>
        <v>0</v>
      </c>
      <c r="AH113" s="3">
        <f>intermediate_results[[#This Row], [All cumulative times '[sec']]] / intermediate_results[[#This Row], [Team5 laps '[laps']]] - intermediate_results[[#This Row], [Total running average '[sec']]]</f>
        <v>0</v>
      </c>
      <c r="AI113" s="3">
        <f>intermediate_results[[#This Row], [All cumulative times '[sec']]] / intermediate_results[[#This Row], [Team6 laps '[laps']]] - intermediate_results[[#This Row], [Total running average '[sec']]]</f>
        <v>0</v>
      </c>
      <c r="AJ113" s="3">
        <f>intermediate_results[[#This Row], [All cumulative times '[sec']]] / intermediate_results[[#This Row], [Team7 laps '[laps']]] - intermediate_results[[#This Row], [Total running average '[sec']]]</f>
        <v>0</v>
      </c>
      <c r="AK113" s="3">
        <f>intermediate_results[[#This Row], [All cumulative times '[sec']]] / intermediate_results[[#This Row], [Team8 laps '[laps']]] - intermediate_results[[#This Row], [Total running average '[sec']]]</f>
        <v>0</v>
      </c>
      <c r="AL113" s="3">
        <f>intermediate_results[[#This Row], [All cumulative times '[sec']]] / intermediate_results[[#This Row], [Team9 laps '[laps']]] - intermediate_results[[#This Row], [Total running average '[sec']]]</f>
        <v>0</v>
      </c>
    </row>
    <row r="114" spans="1:38">
      <c r="A114" s="3">
        <v>716.2020000000001</v>
      </c>
      <c r="B11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4" s="3">
        <f>intermediate_results[[#This Row], [Team1 laps '[laps']]] - intermediate_results[[#This Row], [Team1 laps '[laps']]]</f>
        <v>0</v>
      </c>
      <c r="L114" s="3">
        <f>intermediate_results[[#This Row], [Team1 laps '[laps']]] - intermediate_results[[#This Row], [Team2 laps '[laps']]]</f>
        <v>0</v>
      </c>
      <c r="M114" s="3">
        <f>intermediate_results[[#This Row], [Team1 laps '[laps']]] - intermediate_results[[#This Row], [Team3 laps '[laps']]]</f>
        <v>0</v>
      </c>
      <c r="N114" s="3">
        <f>intermediate_results[[#This Row], [Team1 laps '[laps']]] - intermediate_results[[#This Row], [Team4 laps '[laps']]]</f>
        <v>0</v>
      </c>
      <c r="O114" s="3">
        <f>intermediate_results[[#This Row], [Team1 laps '[laps']]] - intermediate_results[[#This Row], [Team5 laps '[laps']]]</f>
        <v>0</v>
      </c>
      <c r="P114" s="3">
        <f>intermediate_results[[#This Row], [Team1 laps '[laps']]] - intermediate_results[[#This Row], [Team6 laps '[laps']]]</f>
        <v>0</v>
      </c>
      <c r="Q114" s="3">
        <f>intermediate_results[[#This Row], [Team1 laps '[laps']]] - intermediate_results[[#This Row], [Team7 laps '[laps']]]</f>
        <v>0</v>
      </c>
      <c r="R114" s="3">
        <f>intermediate_results[[#This Row], [Team1 laps '[laps']]] - intermediate_results[[#This Row], [Team8 laps '[laps']]]</f>
        <v>0</v>
      </c>
      <c r="S114" s="3">
        <f>intermediate_results[[#This Row], [Team1 laps '[laps']]] - intermediate_results[[#This Row], [Team9 laps '[laps']]]</f>
        <v>0</v>
      </c>
      <c r="T114" s="3">
        <f>MAX(intermediate_results[[#This Row], [Team1 laps '[laps']]:[Team9 laps '[laps']]]) - intermediate_results[[#This Row], [Team1 laps '[laps']]]</f>
        <v>0</v>
      </c>
      <c r="U114" s="3">
        <f>MAX(intermediate_results[[#This Row], [Team1 laps '[laps']]:[Team9 laps '[laps']]]) - intermediate_results[[#This Row], [Team2 laps '[laps']]]</f>
        <v>0</v>
      </c>
      <c r="V114" s="3">
        <f>MAX(intermediate_results[[#This Row], [Team1 laps '[laps']]:[Team9 laps '[laps']]]) - intermediate_results[[#This Row], [Team3 laps '[laps']]]</f>
        <v>0</v>
      </c>
      <c r="W114" s="3">
        <f>MAX(intermediate_results[[#This Row], [Team1 laps '[laps']]:[Team9 laps '[laps']]]) - intermediate_results[[#This Row], [Team4 laps '[laps']]]</f>
        <v>0</v>
      </c>
      <c r="X114" s="3">
        <f>MAX(intermediate_results[[#This Row], [Team1 laps '[laps']]:[Team9 laps '[laps']]]) - intermediate_results[[#This Row], [Team5 laps '[laps']]]</f>
        <v>0</v>
      </c>
      <c r="Y114" s="3">
        <f>MAX(intermediate_results[[#This Row], [Team1 laps '[laps']]:[Team9 laps '[laps']]]) - intermediate_results[[#This Row], [Team6 laps '[laps']]]</f>
        <v>0</v>
      </c>
      <c r="Z114" s="3">
        <f>MAX(intermediate_results[[#This Row], [Team1 laps '[laps']]:[Team9 laps '[laps']]]) - intermediate_results[[#This Row], [Team7 laps '[laps']]]</f>
        <v>0</v>
      </c>
      <c r="AA114" s="3">
        <f>MAX(intermediate_results[[#This Row], [Team1 laps '[laps']]:[Team9 laps '[laps']]]) - intermediate_results[[#This Row], [Team8 laps '[laps']]]</f>
        <v>0</v>
      </c>
      <c r="AB114" s="3">
        <f>MAX(intermediate_results[[#This Row], [Team1 laps '[laps']]:[Team9 laps '[laps']]]) - intermediate_results[[#This Row], [Team9 laps '[laps']]]</f>
        <v>0</v>
      </c>
      <c r="AC114" s="3">
        <f>9 * intermediate_results[[#This Row], [All cumulative times '[sec']]] / SUM(intermediate_results[[#This Row], [Team1 laps '[laps']]:[Team9 laps '[laps']]])</f>
        <v>0</v>
      </c>
      <c r="AD114" s="3">
        <f>intermediate_results[[#This Row], [All cumulative times '[sec']]] / intermediate_results[[#This Row], [Team1 laps '[laps']]] - intermediate_results[[#This Row], [Total running average '[sec']]]</f>
        <v>0</v>
      </c>
      <c r="AE114" s="3">
        <f>intermediate_results[[#This Row], [All cumulative times '[sec']]] / intermediate_results[[#This Row], [Team2 laps '[laps']]] - intermediate_results[[#This Row], [Total running average '[sec']]]</f>
        <v>0</v>
      </c>
      <c r="AF114" s="3">
        <f>intermediate_results[[#This Row], [All cumulative times '[sec']]] / intermediate_results[[#This Row], [Team3 laps '[laps']]] - intermediate_results[[#This Row], [Total running average '[sec']]]</f>
        <v>0</v>
      </c>
      <c r="AG114" s="3">
        <f>intermediate_results[[#This Row], [All cumulative times '[sec']]] / intermediate_results[[#This Row], [Team4 laps '[laps']]] - intermediate_results[[#This Row], [Total running average '[sec']]]</f>
        <v>0</v>
      </c>
      <c r="AH114" s="3">
        <f>intermediate_results[[#This Row], [All cumulative times '[sec']]] / intermediate_results[[#This Row], [Team5 laps '[laps']]] - intermediate_results[[#This Row], [Total running average '[sec']]]</f>
        <v>0</v>
      </c>
      <c r="AI114" s="3">
        <f>intermediate_results[[#This Row], [All cumulative times '[sec']]] / intermediate_results[[#This Row], [Team6 laps '[laps']]] - intermediate_results[[#This Row], [Total running average '[sec']]]</f>
        <v>0</v>
      </c>
      <c r="AJ114" s="3">
        <f>intermediate_results[[#This Row], [All cumulative times '[sec']]] / intermediate_results[[#This Row], [Team7 laps '[laps']]] - intermediate_results[[#This Row], [Total running average '[sec']]]</f>
        <v>0</v>
      </c>
      <c r="AK114" s="3">
        <f>intermediate_results[[#This Row], [All cumulative times '[sec']]] / intermediate_results[[#This Row], [Team8 laps '[laps']]] - intermediate_results[[#This Row], [Total running average '[sec']]]</f>
        <v>0</v>
      </c>
      <c r="AL114" s="3">
        <f>intermediate_results[[#This Row], [All cumulative times '[sec']]] / intermediate_results[[#This Row], [Team9 laps '[laps']]] - intermediate_results[[#This Row], [Total running average '[sec']]]</f>
        <v>0</v>
      </c>
    </row>
    <row r="115" spans="1:38">
      <c r="A115" s="3">
        <v>717.6659999999999</v>
      </c>
      <c r="B11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5" s="3">
        <f>intermediate_results[[#This Row], [Team1 laps '[laps']]] - intermediate_results[[#This Row], [Team1 laps '[laps']]]</f>
        <v>0</v>
      </c>
      <c r="L115" s="3">
        <f>intermediate_results[[#This Row], [Team1 laps '[laps']]] - intermediate_results[[#This Row], [Team2 laps '[laps']]]</f>
        <v>0</v>
      </c>
      <c r="M115" s="3">
        <f>intermediate_results[[#This Row], [Team1 laps '[laps']]] - intermediate_results[[#This Row], [Team3 laps '[laps']]]</f>
        <v>0</v>
      </c>
      <c r="N115" s="3">
        <f>intermediate_results[[#This Row], [Team1 laps '[laps']]] - intermediate_results[[#This Row], [Team4 laps '[laps']]]</f>
        <v>0</v>
      </c>
      <c r="O115" s="3">
        <f>intermediate_results[[#This Row], [Team1 laps '[laps']]] - intermediate_results[[#This Row], [Team5 laps '[laps']]]</f>
        <v>0</v>
      </c>
      <c r="P115" s="3">
        <f>intermediate_results[[#This Row], [Team1 laps '[laps']]] - intermediate_results[[#This Row], [Team6 laps '[laps']]]</f>
        <v>0</v>
      </c>
      <c r="Q115" s="3">
        <f>intermediate_results[[#This Row], [Team1 laps '[laps']]] - intermediate_results[[#This Row], [Team7 laps '[laps']]]</f>
        <v>0</v>
      </c>
      <c r="R115" s="3">
        <f>intermediate_results[[#This Row], [Team1 laps '[laps']]] - intermediate_results[[#This Row], [Team8 laps '[laps']]]</f>
        <v>0</v>
      </c>
      <c r="S115" s="3">
        <f>intermediate_results[[#This Row], [Team1 laps '[laps']]] - intermediate_results[[#This Row], [Team9 laps '[laps']]]</f>
        <v>0</v>
      </c>
      <c r="T115" s="3">
        <f>MAX(intermediate_results[[#This Row], [Team1 laps '[laps']]:[Team9 laps '[laps']]]) - intermediate_results[[#This Row], [Team1 laps '[laps']]]</f>
        <v>0</v>
      </c>
      <c r="U115" s="3">
        <f>MAX(intermediate_results[[#This Row], [Team1 laps '[laps']]:[Team9 laps '[laps']]]) - intermediate_results[[#This Row], [Team2 laps '[laps']]]</f>
        <v>0</v>
      </c>
      <c r="V115" s="3">
        <f>MAX(intermediate_results[[#This Row], [Team1 laps '[laps']]:[Team9 laps '[laps']]]) - intermediate_results[[#This Row], [Team3 laps '[laps']]]</f>
        <v>0</v>
      </c>
      <c r="W115" s="3">
        <f>MAX(intermediate_results[[#This Row], [Team1 laps '[laps']]:[Team9 laps '[laps']]]) - intermediate_results[[#This Row], [Team4 laps '[laps']]]</f>
        <v>0</v>
      </c>
      <c r="X115" s="3">
        <f>MAX(intermediate_results[[#This Row], [Team1 laps '[laps']]:[Team9 laps '[laps']]]) - intermediate_results[[#This Row], [Team5 laps '[laps']]]</f>
        <v>0</v>
      </c>
      <c r="Y115" s="3">
        <f>MAX(intermediate_results[[#This Row], [Team1 laps '[laps']]:[Team9 laps '[laps']]]) - intermediate_results[[#This Row], [Team6 laps '[laps']]]</f>
        <v>0</v>
      </c>
      <c r="Z115" s="3">
        <f>MAX(intermediate_results[[#This Row], [Team1 laps '[laps']]:[Team9 laps '[laps']]]) - intermediate_results[[#This Row], [Team7 laps '[laps']]]</f>
        <v>0</v>
      </c>
      <c r="AA115" s="3">
        <f>MAX(intermediate_results[[#This Row], [Team1 laps '[laps']]:[Team9 laps '[laps']]]) - intermediate_results[[#This Row], [Team8 laps '[laps']]]</f>
        <v>0</v>
      </c>
      <c r="AB115" s="3">
        <f>MAX(intermediate_results[[#This Row], [Team1 laps '[laps']]:[Team9 laps '[laps']]]) - intermediate_results[[#This Row], [Team9 laps '[laps']]]</f>
        <v>0</v>
      </c>
      <c r="AC115" s="3">
        <f>9 * intermediate_results[[#This Row], [All cumulative times '[sec']]] / SUM(intermediate_results[[#This Row], [Team1 laps '[laps']]:[Team9 laps '[laps']]])</f>
        <v>0</v>
      </c>
      <c r="AD115" s="3">
        <f>intermediate_results[[#This Row], [All cumulative times '[sec']]] / intermediate_results[[#This Row], [Team1 laps '[laps']]] - intermediate_results[[#This Row], [Total running average '[sec']]]</f>
        <v>0</v>
      </c>
      <c r="AE115" s="3">
        <f>intermediate_results[[#This Row], [All cumulative times '[sec']]] / intermediate_results[[#This Row], [Team2 laps '[laps']]] - intermediate_results[[#This Row], [Total running average '[sec']]]</f>
        <v>0</v>
      </c>
      <c r="AF115" s="3">
        <f>intermediate_results[[#This Row], [All cumulative times '[sec']]] / intermediate_results[[#This Row], [Team3 laps '[laps']]] - intermediate_results[[#This Row], [Total running average '[sec']]]</f>
        <v>0</v>
      </c>
      <c r="AG115" s="3">
        <f>intermediate_results[[#This Row], [All cumulative times '[sec']]] / intermediate_results[[#This Row], [Team4 laps '[laps']]] - intermediate_results[[#This Row], [Total running average '[sec']]]</f>
        <v>0</v>
      </c>
      <c r="AH115" s="3">
        <f>intermediate_results[[#This Row], [All cumulative times '[sec']]] / intermediate_results[[#This Row], [Team5 laps '[laps']]] - intermediate_results[[#This Row], [Total running average '[sec']]]</f>
        <v>0</v>
      </c>
      <c r="AI115" s="3">
        <f>intermediate_results[[#This Row], [All cumulative times '[sec']]] / intermediate_results[[#This Row], [Team6 laps '[laps']]] - intermediate_results[[#This Row], [Total running average '[sec']]]</f>
        <v>0</v>
      </c>
      <c r="AJ115" s="3">
        <f>intermediate_results[[#This Row], [All cumulative times '[sec']]] / intermediate_results[[#This Row], [Team7 laps '[laps']]] - intermediate_results[[#This Row], [Total running average '[sec']]]</f>
        <v>0</v>
      </c>
      <c r="AK115" s="3">
        <f>intermediate_results[[#This Row], [All cumulative times '[sec']]] / intermediate_results[[#This Row], [Team8 laps '[laps']]] - intermediate_results[[#This Row], [Total running average '[sec']]]</f>
        <v>0</v>
      </c>
      <c r="AL115" s="3">
        <f>intermediate_results[[#This Row], [All cumulative times '[sec']]] / intermediate_results[[#This Row], [Team9 laps '[laps']]] - intermediate_results[[#This Row], [Total running average '[sec']]]</f>
        <v>0</v>
      </c>
    </row>
    <row r="116" spans="1:38">
      <c r="A116" s="3">
        <v>724.0410000000001</v>
      </c>
      <c r="B11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6" s="3">
        <f>intermediate_results[[#This Row], [Team1 laps '[laps']]] - intermediate_results[[#This Row], [Team1 laps '[laps']]]</f>
        <v>0</v>
      </c>
      <c r="L116" s="3">
        <f>intermediate_results[[#This Row], [Team1 laps '[laps']]] - intermediate_results[[#This Row], [Team2 laps '[laps']]]</f>
        <v>0</v>
      </c>
      <c r="M116" s="3">
        <f>intermediate_results[[#This Row], [Team1 laps '[laps']]] - intermediate_results[[#This Row], [Team3 laps '[laps']]]</f>
        <v>0</v>
      </c>
      <c r="N116" s="3">
        <f>intermediate_results[[#This Row], [Team1 laps '[laps']]] - intermediate_results[[#This Row], [Team4 laps '[laps']]]</f>
        <v>0</v>
      </c>
      <c r="O116" s="3">
        <f>intermediate_results[[#This Row], [Team1 laps '[laps']]] - intermediate_results[[#This Row], [Team5 laps '[laps']]]</f>
        <v>0</v>
      </c>
      <c r="P116" s="3">
        <f>intermediate_results[[#This Row], [Team1 laps '[laps']]] - intermediate_results[[#This Row], [Team6 laps '[laps']]]</f>
        <v>0</v>
      </c>
      <c r="Q116" s="3">
        <f>intermediate_results[[#This Row], [Team1 laps '[laps']]] - intermediate_results[[#This Row], [Team7 laps '[laps']]]</f>
        <v>0</v>
      </c>
      <c r="R116" s="3">
        <f>intermediate_results[[#This Row], [Team1 laps '[laps']]] - intermediate_results[[#This Row], [Team8 laps '[laps']]]</f>
        <v>0</v>
      </c>
      <c r="S116" s="3">
        <f>intermediate_results[[#This Row], [Team1 laps '[laps']]] - intermediate_results[[#This Row], [Team9 laps '[laps']]]</f>
        <v>0</v>
      </c>
      <c r="T116" s="3">
        <f>MAX(intermediate_results[[#This Row], [Team1 laps '[laps']]:[Team9 laps '[laps']]]) - intermediate_results[[#This Row], [Team1 laps '[laps']]]</f>
        <v>0</v>
      </c>
      <c r="U116" s="3">
        <f>MAX(intermediate_results[[#This Row], [Team1 laps '[laps']]:[Team9 laps '[laps']]]) - intermediate_results[[#This Row], [Team2 laps '[laps']]]</f>
        <v>0</v>
      </c>
      <c r="V116" s="3">
        <f>MAX(intermediate_results[[#This Row], [Team1 laps '[laps']]:[Team9 laps '[laps']]]) - intermediate_results[[#This Row], [Team3 laps '[laps']]]</f>
        <v>0</v>
      </c>
      <c r="W116" s="3">
        <f>MAX(intermediate_results[[#This Row], [Team1 laps '[laps']]:[Team9 laps '[laps']]]) - intermediate_results[[#This Row], [Team4 laps '[laps']]]</f>
        <v>0</v>
      </c>
      <c r="X116" s="3">
        <f>MAX(intermediate_results[[#This Row], [Team1 laps '[laps']]:[Team9 laps '[laps']]]) - intermediate_results[[#This Row], [Team5 laps '[laps']]]</f>
        <v>0</v>
      </c>
      <c r="Y116" s="3">
        <f>MAX(intermediate_results[[#This Row], [Team1 laps '[laps']]:[Team9 laps '[laps']]]) - intermediate_results[[#This Row], [Team6 laps '[laps']]]</f>
        <v>0</v>
      </c>
      <c r="Z116" s="3">
        <f>MAX(intermediate_results[[#This Row], [Team1 laps '[laps']]:[Team9 laps '[laps']]]) - intermediate_results[[#This Row], [Team7 laps '[laps']]]</f>
        <v>0</v>
      </c>
      <c r="AA116" s="3">
        <f>MAX(intermediate_results[[#This Row], [Team1 laps '[laps']]:[Team9 laps '[laps']]]) - intermediate_results[[#This Row], [Team8 laps '[laps']]]</f>
        <v>0</v>
      </c>
      <c r="AB116" s="3">
        <f>MAX(intermediate_results[[#This Row], [Team1 laps '[laps']]:[Team9 laps '[laps']]]) - intermediate_results[[#This Row], [Team9 laps '[laps']]]</f>
        <v>0</v>
      </c>
      <c r="AC116" s="3">
        <f>9 * intermediate_results[[#This Row], [All cumulative times '[sec']]] / SUM(intermediate_results[[#This Row], [Team1 laps '[laps']]:[Team9 laps '[laps']]])</f>
        <v>0</v>
      </c>
      <c r="AD116" s="3">
        <f>intermediate_results[[#This Row], [All cumulative times '[sec']]] / intermediate_results[[#This Row], [Team1 laps '[laps']]] - intermediate_results[[#This Row], [Total running average '[sec']]]</f>
        <v>0</v>
      </c>
      <c r="AE116" s="3">
        <f>intermediate_results[[#This Row], [All cumulative times '[sec']]] / intermediate_results[[#This Row], [Team2 laps '[laps']]] - intermediate_results[[#This Row], [Total running average '[sec']]]</f>
        <v>0</v>
      </c>
      <c r="AF116" s="3">
        <f>intermediate_results[[#This Row], [All cumulative times '[sec']]] / intermediate_results[[#This Row], [Team3 laps '[laps']]] - intermediate_results[[#This Row], [Total running average '[sec']]]</f>
        <v>0</v>
      </c>
      <c r="AG116" s="3">
        <f>intermediate_results[[#This Row], [All cumulative times '[sec']]] / intermediate_results[[#This Row], [Team4 laps '[laps']]] - intermediate_results[[#This Row], [Total running average '[sec']]]</f>
        <v>0</v>
      </c>
      <c r="AH116" s="3">
        <f>intermediate_results[[#This Row], [All cumulative times '[sec']]] / intermediate_results[[#This Row], [Team5 laps '[laps']]] - intermediate_results[[#This Row], [Total running average '[sec']]]</f>
        <v>0</v>
      </c>
      <c r="AI116" s="3">
        <f>intermediate_results[[#This Row], [All cumulative times '[sec']]] / intermediate_results[[#This Row], [Team6 laps '[laps']]] - intermediate_results[[#This Row], [Total running average '[sec']]]</f>
        <v>0</v>
      </c>
      <c r="AJ116" s="3">
        <f>intermediate_results[[#This Row], [All cumulative times '[sec']]] / intermediate_results[[#This Row], [Team7 laps '[laps']]] - intermediate_results[[#This Row], [Total running average '[sec']]]</f>
        <v>0</v>
      </c>
      <c r="AK116" s="3">
        <f>intermediate_results[[#This Row], [All cumulative times '[sec']]] / intermediate_results[[#This Row], [Team8 laps '[laps']]] - intermediate_results[[#This Row], [Total running average '[sec']]]</f>
        <v>0</v>
      </c>
      <c r="AL116" s="3">
        <f>intermediate_results[[#This Row], [All cumulative times '[sec']]] / intermediate_results[[#This Row], [Team9 laps '[laps']]] - intermediate_results[[#This Row], [Total running average '[sec']]]</f>
        <v>0</v>
      </c>
    </row>
    <row r="117" spans="1:38">
      <c r="A117" s="3">
        <v>733.6349999999999</v>
      </c>
      <c r="B11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7" s="3">
        <f>intermediate_results[[#This Row], [Team1 laps '[laps']]] - intermediate_results[[#This Row], [Team1 laps '[laps']]]</f>
        <v>0</v>
      </c>
      <c r="L117" s="3">
        <f>intermediate_results[[#This Row], [Team1 laps '[laps']]] - intermediate_results[[#This Row], [Team2 laps '[laps']]]</f>
        <v>0</v>
      </c>
      <c r="M117" s="3">
        <f>intermediate_results[[#This Row], [Team1 laps '[laps']]] - intermediate_results[[#This Row], [Team3 laps '[laps']]]</f>
        <v>0</v>
      </c>
      <c r="N117" s="3">
        <f>intermediate_results[[#This Row], [Team1 laps '[laps']]] - intermediate_results[[#This Row], [Team4 laps '[laps']]]</f>
        <v>0</v>
      </c>
      <c r="O117" s="3">
        <f>intermediate_results[[#This Row], [Team1 laps '[laps']]] - intermediate_results[[#This Row], [Team5 laps '[laps']]]</f>
        <v>0</v>
      </c>
      <c r="P117" s="3">
        <f>intermediate_results[[#This Row], [Team1 laps '[laps']]] - intermediate_results[[#This Row], [Team6 laps '[laps']]]</f>
        <v>0</v>
      </c>
      <c r="Q117" s="3">
        <f>intermediate_results[[#This Row], [Team1 laps '[laps']]] - intermediate_results[[#This Row], [Team7 laps '[laps']]]</f>
        <v>0</v>
      </c>
      <c r="R117" s="3">
        <f>intermediate_results[[#This Row], [Team1 laps '[laps']]] - intermediate_results[[#This Row], [Team8 laps '[laps']]]</f>
        <v>0</v>
      </c>
      <c r="S117" s="3">
        <f>intermediate_results[[#This Row], [Team1 laps '[laps']]] - intermediate_results[[#This Row], [Team9 laps '[laps']]]</f>
        <v>0</v>
      </c>
      <c r="T117" s="3">
        <f>MAX(intermediate_results[[#This Row], [Team1 laps '[laps']]:[Team9 laps '[laps']]]) - intermediate_results[[#This Row], [Team1 laps '[laps']]]</f>
        <v>0</v>
      </c>
      <c r="U117" s="3">
        <f>MAX(intermediate_results[[#This Row], [Team1 laps '[laps']]:[Team9 laps '[laps']]]) - intermediate_results[[#This Row], [Team2 laps '[laps']]]</f>
        <v>0</v>
      </c>
      <c r="V117" s="3">
        <f>MAX(intermediate_results[[#This Row], [Team1 laps '[laps']]:[Team9 laps '[laps']]]) - intermediate_results[[#This Row], [Team3 laps '[laps']]]</f>
        <v>0</v>
      </c>
      <c r="W117" s="3">
        <f>MAX(intermediate_results[[#This Row], [Team1 laps '[laps']]:[Team9 laps '[laps']]]) - intermediate_results[[#This Row], [Team4 laps '[laps']]]</f>
        <v>0</v>
      </c>
      <c r="X117" s="3">
        <f>MAX(intermediate_results[[#This Row], [Team1 laps '[laps']]:[Team9 laps '[laps']]]) - intermediate_results[[#This Row], [Team5 laps '[laps']]]</f>
        <v>0</v>
      </c>
      <c r="Y117" s="3">
        <f>MAX(intermediate_results[[#This Row], [Team1 laps '[laps']]:[Team9 laps '[laps']]]) - intermediate_results[[#This Row], [Team6 laps '[laps']]]</f>
        <v>0</v>
      </c>
      <c r="Z117" s="3">
        <f>MAX(intermediate_results[[#This Row], [Team1 laps '[laps']]:[Team9 laps '[laps']]]) - intermediate_results[[#This Row], [Team7 laps '[laps']]]</f>
        <v>0</v>
      </c>
      <c r="AA117" s="3">
        <f>MAX(intermediate_results[[#This Row], [Team1 laps '[laps']]:[Team9 laps '[laps']]]) - intermediate_results[[#This Row], [Team8 laps '[laps']]]</f>
        <v>0</v>
      </c>
      <c r="AB117" s="3">
        <f>MAX(intermediate_results[[#This Row], [Team1 laps '[laps']]:[Team9 laps '[laps']]]) - intermediate_results[[#This Row], [Team9 laps '[laps']]]</f>
        <v>0</v>
      </c>
      <c r="AC117" s="3">
        <f>9 * intermediate_results[[#This Row], [All cumulative times '[sec']]] / SUM(intermediate_results[[#This Row], [Team1 laps '[laps']]:[Team9 laps '[laps']]])</f>
        <v>0</v>
      </c>
      <c r="AD117" s="3">
        <f>intermediate_results[[#This Row], [All cumulative times '[sec']]] / intermediate_results[[#This Row], [Team1 laps '[laps']]] - intermediate_results[[#This Row], [Total running average '[sec']]]</f>
        <v>0</v>
      </c>
      <c r="AE117" s="3">
        <f>intermediate_results[[#This Row], [All cumulative times '[sec']]] / intermediate_results[[#This Row], [Team2 laps '[laps']]] - intermediate_results[[#This Row], [Total running average '[sec']]]</f>
        <v>0</v>
      </c>
      <c r="AF117" s="3">
        <f>intermediate_results[[#This Row], [All cumulative times '[sec']]] / intermediate_results[[#This Row], [Team3 laps '[laps']]] - intermediate_results[[#This Row], [Total running average '[sec']]]</f>
        <v>0</v>
      </c>
      <c r="AG117" s="3">
        <f>intermediate_results[[#This Row], [All cumulative times '[sec']]] / intermediate_results[[#This Row], [Team4 laps '[laps']]] - intermediate_results[[#This Row], [Total running average '[sec']]]</f>
        <v>0</v>
      </c>
      <c r="AH117" s="3">
        <f>intermediate_results[[#This Row], [All cumulative times '[sec']]] / intermediate_results[[#This Row], [Team5 laps '[laps']]] - intermediate_results[[#This Row], [Total running average '[sec']]]</f>
        <v>0</v>
      </c>
      <c r="AI117" s="3">
        <f>intermediate_results[[#This Row], [All cumulative times '[sec']]] / intermediate_results[[#This Row], [Team6 laps '[laps']]] - intermediate_results[[#This Row], [Total running average '[sec']]]</f>
        <v>0</v>
      </c>
      <c r="AJ117" s="3">
        <f>intermediate_results[[#This Row], [All cumulative times '[sec']]] / intermediate_results[[#This Row], [Team7 laps '[laps']]] - intermediate_results[[#This Row], [Total running average '[sec']]]</f>
        <v>0</v>
      </c>
      <c r="AK117" s="3">
        <f>intermediate_results[[#This Row], [All cumulative times '[sec']]] / intermediate_results[[#This Row], [Team8 laps '[laps']]] - intermediate_results[[#This Row], [Total running average '[sec']]]</f>
        <v>0</v>
      </c>
      <c r="AL117" s="3">
        <f>intermediate_results[[#This Row], [All cumulative times '[sec']]] / intermediate_results[[#This Row], [Team9 laps '[laps']]] - intermediate_results[[#This Row], [Total running average '[sec']]]</f>
        <v>0</v>
      </c>
    </row>
    <row r="118" spans="1:38">
      <c r="A118" s="3">
        <v>737.1329999999998</v>
      </c>
      <c r="B11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8" s="3">
        <f>intermediate_results[[#This Row], [Team1 laps '[laps']]] - intermediate_results[[#This Row], [Team1 laps '[laps']]]</f>
        <v>0</v>
      </c>
      <c r="L118" s="3">
        <f>intermediate_results[[#This Row], [Team1 laps '[laps']]] - intermediate_results[[#This Row], [Team2 laps '[laps']]]</f>
        <v>0</v>
      </c>
      <c r="M118" s="3">
        <f>intermediate_results[[#This Row], [Team1 laps '[laps']]] - intermediate_results[[#This Row], [Team3 laps '[laps']]]</f>
        <v>0</v>
      </c>
      <c r="N118" s="3">
        <f>intermediate_results[[#This Row], [Team1 laps '[laps']]] - intermediate_results[[#This Row], [Team4 laps '[laps']]]</f>
        <v>0</v>
      </c>
      <c r="O118" s="3">
        <f>intermediate_results[[#This Row], [Team1 laps '[laps']]] - intermediate_results[[#This Row], [Team5 laps '[laps']]]</f>
        <v>0</v>
      </c>
      <c r="P118" s="3">
        <f>intermediate_results[[#This Row], [Team1 laps '[laps']]] - intermediate_results[[#This Row], [Team6 laps '[laps']]]</f>
        <v>0</v>
      </c>
      <c r="Q118" s="3">
        <f>intermediate_results[[#This Row], [Team1 laps '[laps']]] - intermediate_results[[#This Row], [Team7 laps '[laps']]]</f>
        <v>0</v>
      </c>
      <c r="R118" s="3">
        <f>intermediate_results[[#This Row], [Team1 laps '[laps']]] - intermediate_results[[#This Row], [Team8 laps '[laps']]]</f>
        <v>0</v>
      </c>
      <c r="S118" s="3">
        <f>intermediate_results[[#This Row], [Team1 laps '[laps']]] - intermediate_results[[#This Row], [Team9 laps '[laps']]]</f>
        <v>0</v>
      </c>
      <c r="T118" s="3">
        <f>MAX(intermediate_results[[#This Row], [Team1 laps '[laps']]:[Team9 laps '[laps']]]) - intermediate_results[[#This Row], [Team1 laps '[laps']]]</f>
        <v>0</v>
      </c>
      <c r="U118" s="3">
        <f>MAX(intermediate_results[[#This Row], [Team1 laps '[laps']]:[Team9 laps '[laps']]]) - intermediate_results[[#This Row], [Team2 laps '[laps']]]</f>
        <v>0</v>
      </c>
      <c r="V118" s="3">
        <f>MAX(intermediate_results[[#This Row], [Team1 laps '[laps']]:[Team9 laps '[laps']]]) - intermediate_results[[#This Row], [Team3 laps '[laps']]]</f>
        <v>0</v>
      </c>
      <c r="W118" s="3">
        <f>MAX(intermediate_results[[#This Row], [Team1 laps '[laps']]:[Team9 laps '[laps']]]) - intermediate_results[[#This Row], [Team4 laps '[laps']]]</f>
        <v>0</v>
      </c>
      <c r="X118" s="3">
        <f>MAX(intermediate_results[[#This Row], [Team1 laps '[laps']]:[Team9 laps '[laps']]]) - intermediate_results[[#This Row], [Team5 laps '[laps']]]</f>
        <v>0</v>
      </c>
      <c r="Y118" s="3">
        <f>MAX(intermediate_results[[#This Row], [Team1 laps '[laps']]:[Team9 laps '[laps']]]) - intermediate_results[[#This Row], [Team6 laps '[laps']]]</f>
        <v>0</v>
      </c>
      <c r="Z118" s="3">
        <f>MAX(intermediate_results[[#This Row], [Team1 laps '[laps']]:[Team9 laps '[laps']]]) - intermediate_results[[#This Row], [Team7 laps '[laps']]]</f>
        <v>0</v>
      </c>
      <c r="AA118" s="3">
        <f>MAX(intermediate_results[[#This Row], [Team1 laps '[laps']]:[Team9 laps '[laps']]]) - intermediate_results[[#This Row], [Team8 laps '[laps']]]</f>
        <v>0</v>
      </c>
      <c r="AB118" s="3">
        <f>MAX(intermediate_results[[#This Row], [Team1 laps '[laps']]:[Team9 laps '[laps']]]) - intermediate_results[[#This Row], [Team9 laps '[laps']]]</f>
        <v>0</v>
      </c>
      <c r="AC118" s="3">
        <f>9 * intermediate_results[[#This Row], [All cumulative times '[sec']]] / SUM(intermediate_results[[#This Row], [Team1 laps '[laps']]:[Team9 laps '[laps']]])</f>
        <v>0</v>
      </c>
      <c r="AD118" s="3">
        <f>intermediate_results[[#This Row], [All cumulative times '[sec']]] / intermediate_results[[#This Row], [Team1 laps '[laps']]] - intermediate_results[[#This Row], [Total running average '[sec']]]</f>
        <v>0</v>
      </c>
      <c r="AE118" s="3">
        <f>intermediate_results[[#This Row], [All cumulative times '[sec']]] / intermediate_results[[#This Row], [Team2 laps '[laps']]] - intermediate_results[[#This Row], [Total running average '[sec']]]</f>
        <v>0</v>
      </c>
      <c r="AF118" s="3">
        <f>intermediate_results[[#This Row], [All cumulative times '[sec']]] / intermediate_results[[#This Row], [Team3 laps '[laps']]] - intermediate_results[[#This Row], [Total running average '[sec']]]</f>
        <v>0</v>
      </c>
      <c r="AG118" s="3">
        <f>intermediate_results[[#This Row], [All cumulative times '[sec']]] / intermediate_results[[#This Row], [Team4 laps '[laps']]] - intermediate_results[[#This Row], [Total running average '[sec']]]</f>
        <v>0</v>
      </c>
      <c r="AH118" s="3">
        <f>intermediate_results[[#This Row], [All cumulative times '[sec']]] / intermediate_results[[#This Row], [Team5 laps '[laps']]] - intermediate_results[[#This Row], [Total running average '[sec']]]</f>
        <v>0</v>
      </c>
      <c r="AI118" s="3">
        <f>intermediate_results[[#This Row], [All cumulative times '[sec']]] / intermediate_results[[#This Row], [Team6 laps '[laps']]] - intermediate_results[[#This Row], [Total running average '[sec']]]</f>
        <v>0</v>
      </c>
      <c r="AJ118" s="3">
        <f>intermediate_results[[#This Row], [All cumulative times '[sec']]] / intermediate_results[[#This Row], [Team7 laps '[laps']]] - intermediate_results[[#This Row], [Total running average '[sec']]]</f>
        <v>0</v>
      </c>
      <c r="AK118" s="3">
        <f>intermediate_results[[#This Row], [All cumulative times '[sec']]] / intermediate_results[[#This Row], [Team8 laps '[laps']]] - intermediate_results[[#This Row], [Total running average '[sec']]]</f>
        <v>0</v>
      </c>
      <c r="AL118" s="3">
        <f>intermediate_results[[#This Row], [All cumulative times '[sec']]] / intermediate_results[[#This Row], [Team9 laps '[laps']]] - intermediate_results[[#This Row], [Total running average '[sec']]]</f>
        <v>0</v>
      </c>
    </row>
    <row r="119" spans="1:38">
      <c r="A119" s="3">
        <v>741.7129999999999</v>
      </c>
      <c r="B11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1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1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1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1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1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1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1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1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19" s="3">
        <f>intermediate_results[[#This Row], [Team1 laps '[laps']]] - intermediate_results[[#This Row], [Team1 laps '[laps']]]</f>
        <v>0</v>
      </c>
      <c r="L119" s="3">
        <f>intermediate_results[[#This Row], [Team1 laps '[laps']]] - intermediate_results[[#This Row], [Team2 laps '[laps']]]</f>
        <v>0</v>
      </c>
      <c r="M119" s="3">
        <f>intermediate_results[[#This Row], [Team1 laps '[laps']]] - intermediate_results[[#This Row], [Team3 laps '[laps']]]</f>
        <v>0</v>
      </c>
      <c r="N119" s="3">
        <f>intermediate_results[[#This Row], [Team1 laps '[laps']]] - intermediate_results[[#This Row], [Team4 laps '[laps']]]</f>
        <v>0</v>
      </c>
      <c r="O119" s="3">
        <f>intermediate_results[[#This Row], [Team1 laps '[laps']]] - intermediate_results[[#This Row], [Team5 laps '[laps']]]</f>
        <v>0</v>
      </c>
      <c r="P119" s="3">
        <f>intermediate_results[[#This Row], [Team1 laps '[laps']]] - intermediate_results[[#This Row], [Team6 laps '[laps']]]</f>
        <v>0</v>
      </c>
      <c r="Q119" s="3">
        <f>intermediate_results[[#This Row], [Team1 laps '[laps']]] - intermediate_results[[#This Row], [Team7 laps '[laps']]]</f>
        <v>0</v>
      </c>
      <c r="R119" s="3">
        <f>intermediate_results[[#This Row], [Team1 laps '[laps']]] - intermediate_results[[#This Row], [Team8 laps '[laps']]]</f>
        <v>0</v>
      </c>
      <c r="S119" s="3">
        <f>intermediate_results[[#This Row], [Team1 laps '[laps']]] - intermediate_results[[#This Row], [Team9 laps '[laps']]]</f>
        <v>0</v>
      </c>
      <c r="T119" s="3">
        <f>MAX(intermediate_results[[#This Row], [Team1 laps '[laps']]:[Team9 laps '[laps']]]) - intermediate_results[[#This Row], [Team1 laps '[laps']]]</f>
        <v>0</v>
      </c>
      <c r="U119" s="3">
        <f>MAX(intermediate_results[[#This Row], [Team1 laps '[laps']]:[Team9 laps '[laps']]]) - intermediate_results[[#This Row], [Team2 laps '[laps']]]</f>
        <v>0</v>
      </c>
      <c r="V119" s="3">
        <f>MAX(intermediate_results[[#This Row], [Team1 laps '[laps']]:[Team9 laps '[laps']]]) - intermediate_results[[#This Row], [Team3 laps '[laps']]]</f>
        <v>0</v>
      </c>
      <c r="W119" s="3">
        <f>MAX(intermediate_results[[#This Row], [Team1 laps '[laps']]:[Team9 laps '[laps']]]) - intermediate_results[[#This Row], [Team4 laps '[laps']]]</f>
        <v>0</v>
      </c>
      <c r="X119" s="3">
        <f>MAX(intermediate_results[[#This Row], [Team1 laps '[laps']]:[Team9 laps '[laps']]]) - intermediate_results[[#This Row], [Team5 laps '[laps']]]</f>
        <v>0</v>
      </c>
      <c r="Y119" s="3">
        <f>MAX(intermediate_results[[#This Row], [Team1 laps '[laps']]:[Team9 laps '[laps']]]) - intermediate_results[[#This Row], [Team6 laps '[laps']]]</f>
        <v>0</v>
      </c>
      <c r="Z119" s="3">
        <f>MAX(intermediate_results[[#This Row], [Team1 laps '[laps']]:[Team9 laps '[laps']]]) - intermediate_results[[#This Row], [Team7 laps '[laps']]]</f>
        <v>0</v>
      </c>
      <c r="AA119" s="3">
        <f>MAX(intermediate_results[[#This Row], [Team1 laps '[laps']]:[Team9 laps '[laps']]]) - intermediate_results[[#This Row], [Team8 laps '[laps']]]</f>
        <v>0</v>
      </c>
      <c r="AB119" s="3">
        <f>MAX(intermediate_results[[#This Row], [Team1 laps '[laps']]:[Team9 laps '[laps']]]) - intermediate_results[[#This Row], [Team9 laps '[laps']]]</f>
        <v>0</v>
      </c>
      <c r="AC119" s="3">
        <f>9 * intermediate_results[[#This Row], [All cumulative times '[sec']]] / SUM(intermediate_results[[#This Row], [Team1 laps '[laps']]:[Team9 laps '[laps']]])</f>
        <v>0</v>
      </c>
      <c r="AD119" s="3">
        <f>intermediate_results[[#This Row], [All cumulative times '[sec']]] / intermediate_results[[#This Row], [Team1 laps '[laps']]] - intermediate_results[[#This Row], [Total running average '[sec']]]</f>
        <v>0</v>
      </c>
      <c r="AE119" s="3">
        <f>intermediate_results[[#This Row], [All cumulative times '[sec']]] / intermediate_results[[#This Row], [Team2 laps '[laps']]] - intermediate_results[[#This Row], [Total running average '[sec']]]</f>
        <v>0</v>
      </c>
      <c r="AF119" s="3">
        <f>intermediate_results[[#This Row], [All cumulative times '[sec']]] / intermediate_results[[#This Row], [Team3 laps '[laps']]] - intermediate_results[[#This Row], [Total running average '[sec']]]</f>
        <v>0</v>
      </c>
      <c r="AG119" s="3">
        <f>intermediate_results[[#This Row], [All cumulative times '[sec']]] / intermediate_results[[#This Row], [Team4 laps '[laps']]] - intermediate_results[[#This Row], [Total running average '[sec']]]</f>
        <v>0</v>
      </c>
      <c r="AH119" s="3">
        <f>intermediate_results[[#This Row], [All cumulative times '[sec']]] / intermediate_results[[#This Row], [Team5 laps '[laps']]] - intermediate_results[[#This Row], [Total running average '[sec']]]</f>
        <v>0</v>
      </c>
      <c r="AI119" s="3">
        <f>intermediate_results[[#This Row], [All cumulative times '[sec']]] / intermediate_results[[#This Row], [Team6 laps '[laps']]] - intermediate_results[[#This Row], [Total running average '[sec']]]</f>
        <v>0</v>
      </c>
      <c r="AJ119" s="3">
        <f>intermediate_results[[#This Row], [All cumulative times '[sec']]] / intermediate_results[[#This Row], [Team7 laps '[laps']]] - intermediate_results[[#This Row], [Total running average '[sec']]]</f>
        <v>0</v>
      </c>
      <c r="AK119" s="3">
        <f>intermediate_results[[#This Row], [All cumulative times '[sec']]] / intermediate_results[[#This Row], [Team8 laps '[laps']]] - intermediate_results[[#This Row], [Total running average '[sec']]]</f>
        <v>0</v>
      </c>
      <c r="AL119" s="3">
        <f>intermediate_results[[#This Row], [All cumulative times '[sec']]] / intermediate_results[[#This Row], [Team9 laps '[laps']]] - intermediate_results[[#This Row], [Total running average '[sec']]]</f>
        <v>0</v>
      </c>
    </row>
    <row r="120" spans="1:38">
      <c r="A120" s="3">
        <v>744.259</v>
      </c>
      <c r="B12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0" s="3">
        <f>intermediate_results[[#This Row], [Team1 laps '[laps']]] - intermediate_results[[#This Row], [Team1 laps '[laps']]]</f>
        <v>0</v>
      </c>
      <c r="L120" s="3">
        <f>intermediate_results[[#This Row], [Team1 laps '[laps']]] - intermediate_results[[#This Row], [Team2 laps '[laps']]]</f>
        <v>0</v>
      </c>
      <c r="M120" s="3">
        <f>intermediate_results[[#This Row], [Team1 laps '[laps']]] - intermediate_results[[#This Row], [Team3 laps '[laps']]]</f>
        <v>0</v>
      </c>
      <c r="N120" s="3">
        <f>intermediate_results[[#This Row], [Team1 laps '[laps']]] - intermediate_results[[#This Row], [Team4 laps '[laps']]]</f>
        <v>0</v>
      </c>
      <c r="O120" s="3">
        <f>intermediate_results[[#This Row], [Team1 laps '[laps']]] - intermediate_results[[#This Row], [Team5 laps '[laps']]]</f>
        <v>0</v>
      </c>
      <c r="P120" s="3">
        <f>intermediate_results[[#This Row], [Team1 laps '[laps']]] - intermediate_results[[#This Row], [Team6 laps '[laps']]]</f>
        <v>0</v>
      </c>
      <c r="Q120" s="3">
        <f>intermediate_results[[#This Row], [Team1 laps '[laps']]] - intermediate_results[[#This Row], [Team7 laps '[laps']]]</f>
        <v>0</v>
      </c>
      <c r="R120" s="3">
        <f>intermediate_results[[#This Row], [Team1 laps '[laps']]] - intermediate_results[[#This Row], [Team8 laps '[laps']]]</f>
        <v>0</v>
      </c>
      <c r="S120" s="3">
        <f>intermediate_results[[#This Row], [Team1 laps '[laps']]] - intermediate_results[[#This Row], [Team9 laps '[laps']]]</f>
        <v>0</v>
      </c>
      <c r="T120" s="3">
        <f>MAX(intermediate_results[[#This Row], [Team1 laps '[laps']]:[Team9 laps '[laps']]]) - intermediate_results[[#This Row], [Team1 laps '[laps']]]</f>
        <v>0</v>
      </c>
      <c r="U120" s="3">
        <f>MAX(intermediate_results[[#This Row], [Team1 laps '[laps']]:[Team9 laps '[laps']]]) - intermediate_results[[#This Row], [Team2 laps '[laps']]]</f>
        <v>0</v>
      </c>
      <c r="V120" s="3">
        <f>MAX(intermediate_results[[#This Row], [Team1 laps '[laps']]:[Team9 laps '[laps']]]) - intermediate_results[[#This Row], [Team3 laps '[laps']]]</f>
        <v>0</v>
      </c>
      <c r="W120" s="3">
        <f>MAX(intermediate_results[[#This Row], [Team1 laps '[laps']]:[Team9 laps '[laps']]]) - intermediate_results[[#This Row], [Team4 laps '[laps']]]</f>
        <v>0</v>
      </c>
      <c r="X120" s="3">
        <f>MAX(intermediate_results[[#This Row], [Team1 laps '[laps']]:[Team9 laps '[laps']]]) - intermediate_results[[#This Row], [Team5 laps '[laps']]]</f>
        <v>0</v>
      </c>
      <c r="Y120" s="3">
        <f>MAX(intermediate_results[[#This Row], [Team1 laps '[laps']]:[Team9 laps '[laps']]]) - intermediate_results[[#This Row], [Team6 laps '[laps']]]</f>
        <v>0</v>
      </c>
      <c r="Z120" s="3">
        <f>MAX(intermediate_results[[#This Row], [Team1 laps '[laps']]:[Team9 laps '[laps']]]) - intermediate_results[[#This Row], [Team7 laps '[laps']]]</f>
        <v>0</v>
      </c>
      <c r="AA120" s="3">
        <f>MAX(intermediate_results[[#This Row], [Team1 laps '[laps']]:[Team9 laps '[laps']]]) - intermediate_results[[#This Row], [Team8 laps '[laps']]]</f>
        <v>0</v>
      </c>
      <c r="AB120" s="3">
        <f>MAX(intermediate_results[[#This Row], [Team1 laps '[laps']]:[Team9 laps '[laps']]]) - intermediate_results[[#This Row], [Team9 laps '[laps']]]</f>
        <v>0</v>
      </c>
      <c r="AC120" s="3">
        <f>9 * intermediate_results[[#This Row], [All cumulative times '[sec']]] / SUM(intermediate_results[[#This Row], [Team1 laps '[laps']]:[Team9 laps '[laps']]])</f>
        <v>0</v>
      </c>
      <c r="AD120" s="3">
        <f>intermediate_results[[#This Row], [All cumulative times '[sec']]] / intermediate_results[[#This Row], [Team1 laps '[laps']]] - intermediate_results[[#This Row], [Total running average '[sec']]]</f>
        <v>0</v>
      </c>
      <c r="AE120" s="3">
        <f>intermediate_results[[#This Row], [All cumulative times '[sec']]] / intermediate_results[[#This Row], [Team2 laps '[laps']]] - intermediate_results[[#This Row], [Total running average '[sec']]]</f>
        <v>0</v>
      </c>
      <c r="AF120" s="3">
        <f>intermediate_results[[#This Row], [All cumulative times '[sec']]] / intermediate_results[[#This Row], [Team3 laps '[laps']]] - intermediate_results[[#This Row], [Total running average '[sec']]]</f>
        <v>0</v>
      </c>
      <c r="AG120" s="3">
        <f>intermediate_results[[#This Row], [All cumulative times '[sec']]] / intermediate_results[[#This Row], [Team4 laps '[laps']]] - intermediate_results[[#This Row], [Total running average '[sec']]]</f>
        <v>0</v>
      </c>
      <c r="AH120" s="3">
        <f>intermediate_results[[#This Row], [All cumulative times '[sec']]] / intermediate_results[[#This Row], [Team5 laps '[laps']]] - intermediate_results[[#This Row], [Total running average '[sec']]]</f>
        <v>0</v>
      </c>
      <c r="AI120" s="3">
        <f>intermediate_results[[#This Row], [All cumulative times '[sec']]] / intermediate_results[[#This Row], [Team6 laps '[laps']]] - intermediate_results[[#This Row], [Total running average '[sec']]]</f>
        <v>0</v>
      </c>
      <c r="AJ120" s="3">
        <f>intermediate_results[[#This Row], [All cumulative times '[sec']]] / intermediate_results[[#This Row], [Team7 laps '[laps']]] - intermediate_results[[#This Row], [Total running average '[sec']]]</f>
        <v>0</v>
      </c>
      <c r="AK120" s="3">
        <f>intermediate_results[[#This Row], [All cumulative times '[sec']]] / intermediate_results[[#This Row], [Team8 laps '[laps']]] - intermediate_results[[#This Row], [Total running average '[sec']]]</f>
        <v>0</v>
      </c>
      <c r="AL120" s="3">
        <f>intermediate_results[[#This Row], [All cumulative times '[sec']]] / intermediate_results[[#This Row], [Team9 laps '[laps']]] - intermediate_results[[#This Row], [Total running average '[sec']]]</f>
        <v>0</v>
      </c>
    </row>
    <row r="121" spans="1:38">
      <c r="A121" s="3">
        <v>754.4499999999999</v>
      </c>
      <c r="B12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1" s="3">
        <f>intermediate_results[[#This Row], [Team1 laps '[laps']]] - intermediate_results[[#This Row], [Team1 laps '[laps']]]</f>
        <v>0</v>
      </c>
      <c r="L121" s="3">
        <f>intermediate_results[[#This Row], [Team1 laps '[laps']]] - intermediate_results[[#This Row], [Team2 laps '[laps']]]</f>
        <v>0</v>
      </c>
      <c r="M121" s="3">
        <f>intermediate_results[[#This Row], [Team1 laps '[laps']]] - intermediate_results[[#This Row], [Team3 laps '[laps']]]</f>
        <v>0</v>
      </c>
      <c r="N121" s="3">
        <f>intermediate_results[[#This Row], [Team1 laps '[laps']]] - intermediate_results[[#This Row], [Team4 laps '[laps']]]</f>
        <v>0</v>
      </c>
      <c r="O121" s="3">
        <f>intermediate_results[[#This Row], [Team1 laps '[laps']]] - intermediate_results[[#This Row], [Team5 laps '[laps']]]</f>
        <v>0</v>
      </c>
      <c r="P121" s="3">
        <f>intermediate_results[[#This Row], [Team1 laps '[laps']]] - intermediate_results[[#This Row], [Team6 laps '[laps']]]</f>
        <v>0</v>
      </c>
      <c r="Q121" s="3">
        <f>intermediate_results[[#This Row], [Team1 laps '[laps']]] - intermediate_results[[#This Row], [Team7 laps '[laps']]]</f>
        <v>0</v>
      </c>
      <c r="R121" s="3">
        <f>intermediate_results[[#This Row], [Team1 laps '[laps']]] - intermediate_results[[#This Row], [Team8 laps '[laps']]]</f>
        <v>0</v>
      </c>
      <c r="S121" s="3">
        <f>intermediate_results[[#This Row], [Team1 laps '[laps']]] - intermediate_results[[#This Row], [Team9 laps '[laps']]]</f>
        <v>0</v>
      </c>
      <c r="T121" s="3">
        <f>MAX(intermediate_results[[#This Row], [Team1 laps '[laps']]:[Team9 laps '[laps']]]) - intermediate_results[[#This Row], [Team1 laps '[laps']]]</f>
        <v>0</v>
      </c>
      <c r="U121" s="3">
        <f>MAX(intermediate_results[[#This Row], [Team1 laps '[laps']]:[Team9 laps '[laps']]]) - intermediate_results[[#This Row], [Team2 laps '[laps']]]</f>
        <v>0</v>
      </c>
      <c r="V121" s="3">
        <f>MAX(intermediate_results[[#This Row], [Team1 laps '[laps']]:[Team9 laps '[laps']]]) - intermediate_results[[#This Row], [Team3 laps '[laps']]]</f>
        <v>0</v>
      </c>
      <c r="W121" s="3">
        <f>MAX(intermediate_results[[#This Row], [Team1 laps '[laps']]:[Team9 laps '[laps']]]) - intermediate_results[[#This Row], [Team4 laps '[laps']]]</f>
        <v>0</v>
      </c>
      <c r="X121" s="3">
        <f>MAX(intermediate_results[[#This Row], [Team1 laps '[laps']]:[Team9 laps '[laps']]]) - intermediate_results[[#This Row], [Team5 laps '[laps']]]</f>
        <v>0</v>
      </c>
      <c r="Y121" s="3">
        <f>MAX(intermediate_results[[#This Row], [Team1 laps '[laps']]:[Team9 laps '[laps']]]) - intermediate_results[[#This Row], [Team6 laps '[laps']]]</f>
        <v>0</v>
      </c>
      <c r="Z121" s="3">
        <f>MAX(intermediate_results[[#This Row], [Team1 laps '[laps']]:[Team9 laps '[laps']]]) - intermediate_results[[#This Row], [Team7 laps '[laps']]]</f>
        <v>0</v>
      </c>
      <c r="AA121" s="3">
        <f>MAX(intermediate_results[[#This Row], [Team1 laps '[laps']]:[Team9 laps '[laps']]]) - intermediate_results[[#This Row], [Team8 laps '[laps']]]</f>
        <v>0</v>
      </c>
      <c r="AB121" s="3">
        <f>MAX(intermediate_results[[#This Row], [Team1 laps '[laps']]:[Team9 laps '[laps']]]) - intermediate_results[[#This Row], [Team9 laps '[laps']]]</f>
        <v>0</v>
      </c>
      <c r="AC121" s="3">
        <f>9 * intermediate_results[[#This Row], [All cumulative times '[sec']]] / SUM(intermediate_results[[#This Row], [Team1 laps '[laps']]:[Team9 laps '[laps']]])</f>
        <v>0</v>
      </c>
      <c r="AD121" s="3">
        <f>intermediate_results[[#This Row], [All cumulative times '[sec']]] / intermediate_results[[#This Row], [Team1 laps '[laps']]] - intermediate_results[[#This Row], [Total running average '[sec']]]</f>
        <v>0</v>
      </c>
      <c r="AE121" s="3">
        <f>intermediate_results[[#This Row], [All cumulative times '[sec']]] / intermediate_results[[#This Row], [Team2 laps '[laps']]] - intermediate_results[[#This Row], [Total running average '[sec']]]</f>
        <v>0</v>
      </c>
      <c r="AF121" s="3">
        <f>intermediate_results[[#This Row], [All cumulative times '[sec']]] / intermediate_results[[#This Row], [Team3 laps '[laps']]] - intermediate_results[[#This Row], [Total running average '[sec']]]</f>
        <v>0</v>
      </c>
      <c r="AG121" s="3">
        <f>intermediate_results[[#This Row], [All cumulative times '[sec']]] / intermediate_results[[#This Row], [Team4 laps '[laps']]] - intermediate_results[[#This Row], [Total running average '[sec']]]</f>
        <v>0</v>
      </c>
      <c r="AH121" s="3">
        <f>intermediate_results[[#This Row], [All cumulative times '[sec']]] / intermediate_results[[#This Row], [Team5 laps '[laps']]] - intermediate_results[[#This Row], [Total running average '[sec']]]</f>
        <v>0</v>
      </c>
      <c r="AI121" s="3">
        <f>intermediate_results[[#This Row], [All cumulative times '[sec']]] / intermediate_results[[#This Row], [Team6 laps '[laps']]] - intermediate_results[[#This Row], [Total running average '[sec']]]</f>
        <v>0</v>
      </c>
      <c r="AJ121" s="3">
        <f>intermediate_results[[#This Row], [All cumulative times '[sec']]] / intermediate_results[[#This Row], [Team7 laps '[laps']]] - intermediate_results[[#This Row], [Total running average '[sec']]]</f>
        <v>0</v>
      </c>
      <c r="AK121" s="3">
        <f>intermediate_results[[#This Row], [All cumulative times '[sec']]] / intermediate_results[[#This Row], [Team8 laps '[laps']]] - intermediate_results[[#This Row], [Total running average '[sec']]]</f>
        <v>0</v>
      </c>
      <c r="AL121" s="3">
        <f>intermediate_results[[#This Row], [All cumulative times '[sec']]] / intermediate_results[[#This Row], [Team9 laps '[laps']]] - intermediate_results[[#This Row], [Total running average '[sec']]]</f>
        <v>0</v>
      </c>
    </row>
    <row r="122" spans="1:38">
      <c r="A122" s="3">
        <v>770.6559999999999</v>
      </c>
      <c r="B12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2" s="3">
        <f>intermediate_results[[#This Row], [Team1 laps '[laps']]] - intermediate_results[[#This Row], [Team1 laps '[laps']]]</f>
        <v>0</v>
      </c>
      <c r="L122" s="3">
        <f>intermediate_results[[#This Row], [Team1 laps '[laps']]] - intermediate_results[[#This Row], [Team2 laps '[laps']]]</f>
        <v>0</v>
      </c>
      <c r="M122" s="3">
        <f>intermediate_results[[#This Row], [Team1 laps '[laps']]] - intermediate_results[[#This Row], [Team3 laps '[laps']]]</f>
        <v>0</v>
      </c>
      <c r="N122" s="3">
        <f>intermediate_results[[#This Row], [Team1 laps '[laps']]] - intermediate_results[[#This Row], [Team4 laps '[laps']]]</f>
        <v>0</v>
      </c>
      <c r="O122" s="3">
        <f>intermediate_results[[#This Row], [Team1 laps '[laps']]] - intermediate_results[[#This Row], [Team5 laps '[laps']]]</f>
        <v>0</v>
      </c>
      <c r="P122" s="3">
        <f>intermediate_results[[#This Row], [Team1 laps '[laps']]] - intermediate_results[[#This Row], [Team6 laps '[laps']]]</f>
        <v>0</v>
      </c>
      <c r="Q122" s="3">
        <f>intermediate_results[[#This Row], [Team1 laps '[laps']]] - intermediate_results[[#This Row], [Team7 laps '[laps']]]</f>
        <v>0</v>
      </c>
      <c r="R122" s="3">
        <f>intermediate_results[[#This Row], [Team1 laps '[laps']]] - intermediate_results[[#This Row], [Team8 laps '[laps']]]</f>
        <v>0</v>
      </c>
      <c r="S122" s="3">
        <f>intermediate_results[[#This Row], [Team1 laps '[laps']]] - intermediate_results[[#This Row], [Team9 laps '[laps']]]</f>
        <v>0</v>
      </c>
      <c r="T122" s="3">
        <f>MAX(intermediate_results[[#This Row], [Team1 laps '[laps']]:[Team9 laps '[laps']]]) - intermediate_results[[#This Row], [Team1 laps '[laps']]]</f>
        <v>0</v>
      </c>
      <c r="U122" s="3">
        <f>MAX(intermediate_results[[#This Row], [Team1 laps '[laps']]:[Team9 laps '[laps']]]) - intermediate_results[[#This Row], [Team2 laps '[laps']]]</f>
        <v>0</v>
      </c>
      <c r="V122" s="3">
        <f>MAX(intermediate_results[[#This Row], [Team1 laps '[laps']]:[Team9 laps '[laps']]]) - intermediate_results[[#This Row], [Team3 laps '[laps']]]</f>
        <v>0</v>
      </c>
      <c r="W122" s="3">
        <f>MAX(intermediate_results[[#This Row], [Team1 laps '[laps']]:[Team9 laps '[laps']]]) - intermediate_results[[#This Row], [Team4 laps '[laps']]]</f>
        <v>0</v>
      </c>
      <c r="X122" s="3">
        <f>MAX(intermediate_results[[#This Row], [Team1 laps '[laps']]:[Team9 laps '[laps']]]) - intermediate_results[[#This Row], [Team5 laps '[laps']]]</f>
        <v>0</v>
      </c>
      <c r="Y122" s="3">
        <f>MAX(intermediate_results[[#This Row], [Team1 laps '[laps']]:[Team9 laps '[laps']]]) - intermediate_results[[#This Row], [Team6 laps '[laps']]]</f>
        <v>0</v>
      </c>
      <c r="Z122" s="3">
        <f>MAX(intermediate_results[[#This Row], [Team1 laps '[laps']]:[Team9 laps '[laps']]]) - intermediate_results[[#This Row], [Team7 laps '[laps']]]</f>
        <v>0</v>
      </c>
      <c r="AA122" s="3">
        <f>MAX(intermediate_results[[#This Row], [Team1 laps '[laps']]:[Team9 laps '[laps']]]) - intermediate_results[[#This Row], [Team8 laps '[laps']]]</f>
        <v>0</v>
      </c>
      <c r="AB122" s="3">
        <f>MAX(intermediate_results[[#This Row], [Team1 laps '[laps']]:[Team9 laps '[laps']]]) - intermediate_results[[#This Row], [Team9 laps '[laps']]]</f>
        <v>0</v>
      </c>
      <c r="AC122" s="3">
        <f>9 * intermediate_results[[#This Row], [All cumulative times '[sec']]] / SUM(intermediate_results[[#This Row], [Team1 laps '[laps']]:[Team9 laps '[laps']]])</f>
        <v>0</v>
      </c>
      <c r="AD122" s="3">
        <f>intermediate_results[[#This Row], [All cumulative times '[sec']]] / intermediate_results[[#This Row], [Team1 laps '[laps']]] - intermediate_results[[#This Row], [Total running average '[sec']]]</f>
        <v>0</v>
      </c>
      <c r="AE122" s="3">
        <f>intermediate_results[[#This Row], [All cumulative times '[sec']]] / intermediate_results[[#This Row], [Team2 laps '[laps']]] - intermediate_results[[#This Row], [Total running average '[sec']]]</f>
        <v>0</v>
      </c>
      <c r="AF122" s="3">
        <f>intermediate_results[[#This Row], [All cumulative times '[sec']]] / intermediate_results[[#This Row], [Team3 laps '[laps']]] - intermediate_results[[#This Row], [Total running average '[sec']]]</f>
        <v>0</v>
      </c>
      <c r="AG122" s="3">
        <f>intermediate_results[[#This Row], [All cumulative times '[sec']]] / intermediate_results[[#This Row], [Team4 laps '[laps']]] - intermediate_results[[#This Row], [Total running average '[sec']]]</f>
        <v>0</v>
      </c>
      <c r="AH122" s="3">
        <f>intermediate_results[[#This Row], [All cumulative times '[sec']]] / intermediate_results[[#This Row], [Team5 laps '[laps']]] - intermediate_results[[#This Row], [Total running average '[sec']]]</f>
        <v>0</v>
      </c>
      <c r="AI122" s="3">
        <f>intermediate_results[[#This Row], [All cumulative times '[sec']]] / intermediate_results[[#This Row], [Team6 laps '[laps']]] - intermediate_results[[#This Row], [Total running average '[sec']]]</f>
        <v>0</v>
      </c>
      <c r="AJ122" s="3">
        <f>intermediate_results[[#This Row], [All cumulative times '[sec']]] / intermediate_results[[#This Row], [Team7 laps '[laps']]] - intermediate_results[[#This Row], [Total running average '[sec']]]</f>
        <v>0</v>
      </c>
      <c r="AK122" s="3">
        <f>intermediate_results[[#This Row], [All cumulative times '[sec']]] / intermediate_results[[#This Row], [Team8 laps '[laps']]] - intermediate_results[[#This Row], [Total running average '[sec']]]</f>
        <v>0</v>
      </c>
      <c r="AL122" s="3">
        <f>intermediate_results[[#This Row], [All cumulative times '[sec']]] / intermediate_results[[#This Row], [Team9 laps '[laps']]] - intermediate_results[[#This Row], [Total running average '[sec']]]</f>
        <v>0</v>
      </c>
    </row>
    <row r="123" spans="1:38">
      <c r="A123" s="3">
        <v>770.7630000000001</v>
      </c>
      <c r="B12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3" s="3">
        <f>intermediate_results[[#This Row], [Team1 laps '[laps']]] - intermediate_results[[#This Row], [Team1 laps '[laps']]]</f>
        <v>0</v>
      </c>
      <c r="L123" s="3">
        <f>intermediate_results[[#This Row], [Team1 laps '[laps']]] - intermediate_results[[#This Row], [Team2 laps '[laps']]]</f>
        <v>0</v>
      </c>
      <c r="M123" s="3">
        <f>intermediate_results[[#This Row], [Team1 laps '[laps']]] - intermediate_results[[#This Row], [Team3 laps '[laps']]]</f>
        <v>0</v>
      </c>
      <c r="N123" s="3">
        <f>intermediate_results[[#This Row], [Team1 laps '[laps']]] - intermediate_results[[#This Row], [Team4 laps '[laps']]]</f>
        <v>0</v>
      </c>
      <c r="O123" s="3">
        <f>intermediate_results[[#This Row], [Team1 laps '[laps']]] - intermediate_results[[#This Row], [Team5 laps '[laps']]]</f>
        <v>0</v>
      </c>
      <c r="P123" s="3">
        <f>intermediate_results[[#This Row], [Team1 laps '[laps']]] - intermediate_results[[#This Row], [Team6 laps '[laps']]]</f>
        <v>0</v>
      </c>
      <c r="Q123" s="3">
        <f>intermediate_results[[#This Row], [Team1 laps '[laps']]] - intermediate_results[[#This Row], [Team7 laps '[laps']]]</f>
        <v>0</v>
      </c>
      <c r="R123" s="3">
        <f>intermediate_results[[#This Row], [Team1 laps '[laps']]] - intermediate_results[[#This Row], [Team8 laps '[laps']]]</f>
        <v>0</v>
      </c>
      <c r="S123" s="3">
        <f>intermediate_results[[#This Row], [Team1 laps '[laps']]] - intermediate_results[[#This Row], [Team9 laps '[laps']]]</f>
        <v>0</v>
      </c>
      <c r="T123" s="3">
        <f>MAX(intermediate_results[[#This Row], [Team1 laps '[laps']]:[Team9 laps '[laps']]]) - intermediate_results[[#This Row], [Team1 laps '[laps']]]</f>
        <v>0</v>
      </c>
      <c r="U123" s="3">
        <f>MAX(intermediate_results[[#This Row], [Team1 laps '[laps']]:[Team9 laps '[laps']]]) - intermediate_results[[#This Row], [Team2 laps '[laps']]]</f>
        <v>0</v>
      </c>
      <c r="V123" s="3">
        <f>MAX(intermediate_results[[#This Row], [Team1 laps '[laps']]:[Team9 laps '[laps']]]) - intermediate_results[[#This Row], [Team3 laps '[laps']]]</f>
        <v>0</v>
      </c>
      <c r="W123" s="3">
        <f>MAX(intermediate_results[[#This Row], [Team1 laps '[laps']]:[Team9 laps '[laps']]]) - intermediate_results[[#This Row], [Team4 laps '[laps']]]</f>
        <v>0</v>
      </c>
      <c r="X123" s="3">
        <f>MAX(intermediate_results[[#This Row], [Team1 laps '[laps']]:[Team9 laps '[laps']]]) - intermediate_results[[#This Row], [Team5 laps '[laps']]]</f>
        <v>0</v>
      </c>
      <c r="Y123" s="3">
        <f>MAX(intermediate_results[[#This Row], [Team1 laps '[laps']]:[Team9 laps '[laps']]]) - intermediate_results[[#This Row], [Team6 laps '[laps']]]</f>
        <v>0</v>
      </c>
      <c r="Z123" s="3">
        <f>MAX(intermediate_results[[#This Row], [Team1 laps '[laps']]:[Team9 laps '[laps']]]) - intermediate_results[[#This Row], [Team7 laps '[laps']]]</f>
        <v>0</v>
      </c>
      <c r="AA123" s="3">
        <f>MAX(intermediate_results[[#This Row], [Team1 laps '[laps']]:[Team9 laps '[laps']]]) - intermediate_results[[#This Row], [Team8 laps '[laps']]]</f>
        <v>0</v>
      </c>
      <c r="AB123" s="3">
        <f>MAX(intermediate_results[[#This Row], [Team1 laps '[laps']]:[Team9 laps '[laps']]]) - intermediate_results[[#This Row], [Team9 laps '[laps']]]</f>
        <v>0</v>
      </c>
      <c r="AC123" s="3">
        <f>9 * intermediate_results[[#This Row], [All cumulative times '[sec']]] / SUM(intermediate_results[[#This Row], [Team1 laps '[laps']]:[Team9 laps '[laps']]])</f>
        <v>0</v>
      </c>
      <c r="AD123" s="3">
        <f>intermediate_results[[#This Row], [All cumulative times '[sec']]] / intermediate_results[[#This Row], [Team1 laps '[laps']]] - intermediate_results[[#This Row], [Total running average '[sec']]]</f>
        <v>0</v>
      </c>
      <c r="AE123" s="3">
        <f>intermediate_results[[#This Row], [All cumulative times '[sec']]] / intermediate_results[[#This Row], [Team2 laps '[laps']]] - intermediate_results[[#This Row], [Total running average '[sec']]]</f>
        <v>0</v>
      </c>
      <c r="AF123" s="3">
        <f>intermediate_results[[#This Row], [All cumulative times '[sec']]] / intermediate_results[[#This Row], [Team3 laps '[laps']]] - intermediate_results[[#This Row], [Total running average '[sec']]]</f>
        <v>0</v>
      </c>
      <c r="AG123" s="3">
        <f>intermediate_results[[#This Row], [All cumulative times '[sec']]] / intermediate_results[[#This Row], [Team4 laps '[laps']]] - intermediate_results[[#This Row], [Total running average '[sec']]]</f>
        <v>0</v>
      </c>
      <c r="AH123" s="3">
        <f>intermediate_results[[#This Row], [All cumulative times '[sec']]] / intermediate_results[[#This Row], [Team5 laps '[laps']]] - intermediate_results[[#This Row], [Total running average '[sec']]]</f>
        <v>0</v>
      </c>
      <c r="AI123" s="3">
        <f>intermediate_results[[#This Row], [All cumulative times '[sec']]] / intermediate_results[[#This Row], [Team6 laps '[laps']]] - intermediate_results[[#This Row], [Total running average '[sec']]]</f>
        <v>0</v>
      </c>
      <c r="AJ123" s="3">
        <f>intermediate_results[[#This Row], [All cumulative times '[sec']]] / intermediate_results[[#This Row], [Team7 laps '[laps']]] - intermediate_results[[#This Row], [Total running average '[sec']]]</f>
        <v>0</v>
      </c>
      <c r="AK123" s="3">
        <f>intermediate_results[[#This Row], [All cumulative times '[sec']]] / intermediate_results[[#This Row], [Team8 laps '[laps']]] - intermediate_results[[#This Row], [Total running average '[sec']]]</f>
        <v>0</v>
      </c>
      <c r="AL123" s="3">
        <f>intermediate_results[[#This Row], [All cumulative times '[sec']]] / intermediate_results[[#This Row], [Team9 laps '[laps']]] - intermediate_results[[#This Row], [Total running average '[sec']]]</f>
        <v>0</v>
      </c>
    </row>
    <row r="124" spans="1:38">
      <c r="A124" s="3">
        <v>772.1369999999999</v>
      </c>
      <c r="B12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4" s="3">
        <f>intermediate_results[[#This Row], [Team1 laps '[laps']]] - intermediate_results[[#This Row], [Team1 laps '[laps']]]</f>
        <v>0</v>
      </c>
      <c r="L124" s="3">
        <f>intermediate_results[[#This Row], [Team1 laps '[laps']]] - intermediate_results[[#This Row], [Team2 laps '[laps']]]</f>
        <v>0</v>
      </c>
      <c r="M124" s="3">
        <f>intermediate_results[[#This Row], [Team1 laps '[laps']]] - intermediate_results[[#This Row], [Team3 laps '[laps']]]</f>
        <v>0</v>
      </c>
      <c r="N124" s="3">
        <f>intermediate_results[[#This Row], [Team1 laps '[laps']]] - intermediate_results[[#This Row], [Team4 laps '[laps']]]</f>
        <v>0</v>
      </c>
      <c r="O124" s="3">
        <f>intermediate_results[[#This Row], [Team1 laps '[laps']]] - intermediate_results[[#This Row], [Team5 laps '[laps']]]</f>
        <v>0</v>
      </c>
      <c r="P124" s="3">
        <f>intermediate_results[[#This Row], [Team1 laps '[laps']]] - intermediate_results[[#This Row], [Team6 laps '[laps']]]</f>
        <v>0</v>
      </c>
      <c r="Q124" s="3">
        <f>intermediate_results[[#This Row], [Team1 laps '[laps']]] - intermediate_results[[#This Row], [Team7 laps '[laps']]]</f>
        <v>0</v>
      </c>
      <c r="R124" s="3">
        <f>intermediate_results[[#This Row], [Team1 laps '[laps']]] - intermediate_results[[#This Row], [Team8 laps '[laps']]]</f>
        <v>0</v>
      </c>
      <c r="S124" s="3">
        <f>intermediate_results[[#This Row], [Team1 laps '[laps']]] - intermediate_results[[#This Row], [Team9 laps '[laps']]]</f>
        <v>0</v>
      </c>
      <c r="T124" s="3">
        <f>MAX(intermediate_results[[#This Row], [Team1 laps '[laps']]:[Team9 laps '[laps']]]) - intermediate_results[[#This Row], [Team1 laps '[laps']]]</f>
        <v>0</v>
      </c>
      <c r="U124" s="3">
        <f>MAX(intermediate_results[[#This Row], [Team1 laps '[laps']]:[Team9 laps '[laps']]]) - intermediate_results[[#This Row], [Team2 laps '[laps']]]</f>
        <v>0</v>
      </c>
      <c r="V124" s="3">
        <f>MAX(intermediate_results[[#This Row], [Team1 laps '[laps']]:[Team9 laps '[laps']]]) - intermediate_results[[#This Row], [Team3 laps '[laps']]]</f>
        <v>0</v>
      </c>
      <c r="W124" s="3">
        <f>MAX(intermediate_results[[#This Row], [Team1 laps '[laps']]:[Team9 laps '[laps']]]) - intermediate_results[[#This Row], [Team4 laps '[laps']]]</f>
        <v>0</v>
      </c>
      <c r="X124" s="3">
        <f>MAX(intermediate_results[[#This Row], [Team1 laps '[laps']]:[Team9 laps '[laps']]]) - intermediate_results[[#This Row], [Team5 laps '[laps']]]</f>
        <v>0</v>
      </c>
      <c r="Y124" s="3">
        <f>MAX(intermediate_results[[#This Row], [Team1 laps '[laps']]:[Team9 laps '[laps']]]) - intermediate_results[[#This Row], [Team6 laps '[laps']]]</f>
        <v>0</v>
      </c>
      <c r="Z124" s="3">
        <f>MAX(intermediate_results[[#This Row], [Team1 laps '[laps']]:[Team9 laps '[laps']]]) - intermediate_results[[#This Row], [Team7 laps '[laps']]]</f>
        <v>0</v>
      </c>
      <c r="AA124" s="3">
        <f>MAX(intermediate_results[[#This Row], [Team1 laps '[laps']]:[Team9 laps '[laps']]]) - intermediate_results[[#This Row], [Team8 laps '[laps']]]</f>
        <v>0</v>
      </c>
      <c r="AB124" s="3">
        <f>MAX(intermediate_results[[#This Row], [Team1 laps '[laps']]:[Team9 laps '[laps']]]) - intermediate_results[[#This Row], [Team9 laps '[laps']]]</f>
        <v>0</v>
      </c>
      <c r="AC124" s="3">
        <f>9 * intermediate_results[[#This Row], [All cumulative times '[sec']]] / SUM(intermediate_results[[#This Row], [Team1 laps '[laps']]:[Team9 laps '[laps']]])</f>
        <v>0</v>
      </c>
      <c r="AD124" s="3">
        <f>intermediate_results[[#This Row], [All cumulative times '[sec']]] / intermediate_results[[#This Row], [Team1 laps '[laps']]] - intermediate_results[[#This Row], [Total running average '[sec']]]</f>
        <v>0</v>
      </c>
      <c r="AE124" s="3">
        <f>intermediate_results[[#This Row], [All cumulative times '[sec']]] / intermediate_results[[#This Row], [Team2 laps '[laps']]] - intermediate_results[[#This Row], [Total running average '[sec']]]</f>
        <v>0</v>
      </c>
      <c r="AF124" s="3">
        <f>intermediate_results[[#This Row], [All cumulative times '[sec']]] / intermediate_results[[#This Row], [Team3 laps '[laps']]] - intermediate_results[[#This Row], [Total running average '[sec']]]</f>
        <v>0</v>
      </c>
      <c r="AG124" s="3">
        <f>intermediate_results[[#This Row], [All cumulative times '[sec']]] / intermediate_results[[#This Row], [Team4 laps '[laps']]] - intermediate_results[[#This Row], [Total running average '[sec']]]</f>
        <v>0</v>
      </c>
      <c r="AH124" s="3">
        <f>intermediate_results[[#This Row], [All cumulative times '[sec']]] / intermediate_results[[#This Row], [Team5 laps '[laps']]] - intermediate_results[[#This Row], [Total running average '[sec']]]</f>
        <v>0</v>
      </c>
      <c r="AI124" s="3">
        <f>intermediate_results[[#This Row], [All cumulative times '[sec']]] / intermediate_results[[#This Row], [Team6 laps '[laps']]] - intermediate_results[[#This Row], [Total running average '[sec']]]</f>
        <v>0</v>
      </c>
      <c r="AJ124" s="3">
        <f>intermediate_results[[#This Row], [All cumulative times '[sec']]] / intermediate_results[[#This Row], [Team7 laps '[laps']]] - intermediate_results[[#This Row], [Total running average '[sec']]]</f>
        <v>0</v>
      </c>
      <c r="AK124" s="3">
        <f>intermediate_results[[#This Row], [All cumulative times '[sec']]] / intermediate_results[[#This Row], [Team8 laps '[laps']]] - intermediate_results[[#This Row], [Total running average '[sec']]]</f>
        <v>0</v>
      </c>
      <c r="AL124" s="3">
        <f>intermediate_results[[#This Row], [All cumulative times '[sec']]] / intermediate_results[[#This Row], [Team9 laps '[laps']]] - intermediate_results[[#This Row], [Total running average '[sec']]]</f>
        <v>0</v>
      </c>
    </row>
    <row r="125" spans="1:38">
      <c r="A125" s="3">
        <v>779.1840000000001</v>
      </c>
      <c r="B12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5" s="3">
        <f>intermediate_results[[#This Row], [Team1 laps '[laps']]] - intermediate_results[[#This Row], [Team1 laps '[laps']]]</f>
        <v>0</v>
      </c>
      <c r="L125" s="3">
        <f>intermediate_results[[#This Row], [Team1 laps '[laps']]] - intermediate_results[[#This Row], [Team2 laps '[laps']]]</f>
        <v>0</v>
      </c>
      <c r="M125" s="3">
        <f>intermediate_results[[#This Row], [Team1 laps '[laps']]] - intermediate_results[[#This Row], [Team3 laps '[laps']]]</f>
        <v>0</v>
      </c>
      <c r="N125" s="3">
        <f>intermediate_results[[#This Row], [Team1 laps '[laps']]] - intermediate_results[[#This Row], [Team4 laps '[laps']]]</f>
        <v>0</v>
      </c>
      <c r="O125" s="3">
        <f>intermediate_results[[#This Row], [Team1 laps '[laps']]] - intermediate_results[[#This Row], [Team5 laps '[laps']]]</f>
        <v>0</v>
      </c>
      <c r="P125" s="3">
        <f>intermediate_results[[#This Row], [Team1 laps '[laps']]] - intermediate_results[[#This Row], [Team6 laps '[laps']]]</f>
        <v>0</v>
      </c>
      <c r="Q125" s="3">
        <f>intermediate_results[[#This Row], [Team1 laps '[laps']]] - intermediate_results[[#This Row], [Team7 laps '[laps']]]</f>
        <v>0</v>
      </c>
      <c r="R125" s="3">
        <f>intermediate_results[[#This Row], [Team1 laps '[laps']]] - intermediate_results[[#This Row], [Team8 laps '[laps']]]</f>
        <v>0</v>
      </c>
      <c r="S125" s="3">
        <f>intermediate_results[[#This Row], [Team1 laps '[laps']]] - intermediate_results[[#This Row], [Team9 laps '[laps']]]</f>
        <v>0</v>
      </c>
      <c r="T125" s="3">
        <f>MAX(intermediate_results[[#This Row], [Team1 laps '[laps']]:[Team9 laps '[laps']]]) - intermediate_results[[#This Row], [Team1 laps '[laps']]]</f>
        <v>0</v>
      </c>
      <c r="U125" s="3">
        <f>MAX(intermediate_results[[#This Row], [Team1 laps '[laps']]:[Team9 laps '[laps']]]) - intermediate_results[[#This Row], [Team2 laps '[laps']]]</f>
        <v>0</v>
      </c>
      <c r="V125" s="3">
        <f>MAX(intermediate_results[[#This Row], [Team1 laps '[laps']]:[Team9 laps '[laps']]]) - intermediate_results[[#This Row], [Team3 laps '[laps']]]</f>
        <v>0</v>
      </c>
      <c r="W125" s="3">
        <f>MAX(intermediate_results[[#This Row], [Team1 laps '[laps']]:[Team9 laps '[laps']]]) - intermediate_results[[#This Row], [Team4 laps '[laps']]]</f>
        <v>0</v>
      </c>
      <c r="X125" s="3">
        <f>MAX(intermediate_results[[#This Row], [Team1 laps '[laps']]:[Team9 laps '[laps']]]) - intermediate_results[[#This Row], [Team5 laps '[laps']]]</f>
        <v>0</v>
      </c>
      <c r="Y125" s="3">
        <f>MAX(intermediate_results[[#This Row], [Team1 laps '[laps']]:[Team9 laps '[laps']]]) - intermediate_results[[#This Row], [Team6 laps '[laps']]]</f>
        <v>0</v>
      </c>
      <c r="Z125" s="3">
        <f>MAX(intermediate_results[[#This Row], [Team1 laps '[laps']]:[Team9 laps '[laps']]]) - intermediate_results[[#This Row], [Team7 laps '[laps']]]</f>
        <v>0</v>
      </c>
      <c r="AA125" s="3">
        <f>MAX(intermediate_results[[#This Row], [Team1 laps '[laps']]:[Team9 laps '[laps']]]) - intermediate_results[[#This Row], [Team8 laps '[laps']]]</f>
        <v>0</v>
      </c>
      <c r="AB125" s="3">
        <f>MAX(intermediate_results[[#This Row], [Team1 laps '[laps']]:[Team9 laps '[laps']]]) - intermediate_results[[#This Row], [Team9 laps '[laps']]]</f>
        <v>0</v>
      </c>
      <c r="AC125" s="3">
        <f>9 * intermediate_results[[#This Row], [All cumulative times '[sec']]] / SUM(intermediate_results[[#This Row], [Team1 laps '[laps']]:[Team9 laps '[laps']]])</f>
        <v>0</v>
      </c>
      <c r="AD125" s="3">
        <f>intermediate_results[[#This Row], [All cumulative times '[sec']]] / intermediate_results[[#This Row], [Team1 laps '[laps']]] - intermediate_results[[#This Row], [Total running average '[sec']]]</f>
        <v>0</v>
      </c>
      <c r="AE125" s="3">
        <f>intermediate_results[[#This Row], [All cumulative times '[sec']]] / intermediate_results[[#This Row], [Team2 laps '[laps']]] - intermediate_results[[#This Row], [Total running average '[sec']]]</f>
        <v>0</v>
      </c>
      <c r="AF125" s="3">
        <f>intermediate_results[[#This Row], [All cumulative times '[sec']]] / intermediate_results[[#This Row], [Team3 laps '[laps']]] - intermediate_results[[#This Row], [Total running average '[sec']]]</f>
        <v>0</v>
      </c>
      <c r="AG125" s="3">
        <f>intermediate_results[[#This Row], [All cumulative times '[sec']]] / intermediate_results[[#This Row], [Team4 laps '[laps']]] - intermediate_results[[#This Row], [Total running average '[sec']]]</f>
        <v>0</v>
      </c>
      <c r="AH125" s="3">
        <f>intermediate_results[[#This Row], [All cumulative times '[sec']]] / intermediate_results[[#This Row], [Team5 laps '[laps']]] - intermediate_results[[#This Row], [Total running average '[sec']]]</f>
        <v>0</v>
      </c>
      <c r="AI125" s="3">
        <f>intermediate_results[[#This Row], [All cumulative times '[sec']]] / intermediate_results[[#This Row], [Team6 laps '[laps']]] - intermediate_results[[#This Row], [Total running average '[sec']]]</f>
        <v>0</v>
      </c>
      <c r="AJ125" s="3">
        <f>intermediate_results[[#This Row], [All cumulative times '[sec']]] / intermediate_results[[#This Row], [Team7 laps '[laps']]] - intermediate_results[[#This Row], [Total running average '[sec']]]</f>
        <v>0</v>
      </c>
      <c r="AK125" s="3">
        <f>intermediate_results[[#This Row], [All cumulative times '[sec']]] / intermediate_results[[#This Row], [Team8 laps '[laps']]] - intermediate_results[[#This Row], [Total running average '[sec']]]</f>
        <v>0</v>
      </c>
      <c r="AL125" s="3">
        <f>intermediate_results[[#This Row], [All cumulative times '[sec']]] / intermediate_results[[#This Row], [Team9 laps '[laps']]] - intermediate_results[[#This Row], [Total running average '[sec']]]</f>
        <v>0</v>
      </c>
    </row>
    <row r="126" spans="1:38">
      <c r="A126" s="3">
        <v>789.3359999999999</v>
      </c>
      <c r="B12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6" s="3">
        <f>intermediate_results[[#This Row], [Team1 laps '[laps']]] - intermediate_results[[#This Row], [Team1 laps '[laps']]]</f>
        <v>0</v>
      </c>
      <c r="L126" s="3">
        <f>intermediate_results[[#This Row], [Team1 laps '[laps']]] - intermediate_results[[#This Row], [Team2 laps '[laps']]]</f>
        <v>0</v>
      </c>
      <c r="M126" s="3">
        <f>intermediate_results[[#This Row], [Team1 laps '[laps']]] - intermediate_results[[#This Row], [Team3 laps '[laps']]]</f>
        <v>0</v>
      </c>
      <c r="N126" s="3">
        <f>intermediate_results[[#This Row], [Team1 laps '[laps']]] - intermediate_results[[#This Row], [Team4 laps '[laps']]]</f>
        <v>0</v>
      </c>
      <c r="O126" s="3">
        <f>intermediate_results[[#This Row], [Team1 laps '[laps']]] - intermediate_results[[#This Row], [Team5 laps '[laps']]]</f>
        <v>0</v>
      </c>
      <c r="P126" s="3">
        <f>intermediate_results[[#This Row], [Team1 laps '[laps']]] - intermediate_results[[#This Row], [Team6 laps '[laps']]]</f>
        <v>0</v>
      </c>
      <c r="Q126" s="3">
        <f>intermediate_results[[#This Row], [Team1 laps '[laps']]] - intermediate_results[[#This Row], [Team7 laps '[laps']]]</f>
        <v>0</v>
      </c>
      <c r="R126" s="3">
        <f>intermediate_results[[#This Row], [Team1 laps '[laps']]] - intermediate_results[[#This Row], [Team8 laps '[laps']]]</f>
        <v>0</v>
      </c>
      <c r="S126" s="3">
        <f>intermediate_results[[#This Row], [Team1 laps '[laps']]] - intermediate_results[[#This Row], [Team9 laps '[laps']]]</f>
        <v>0</v>
      </c>
      <c r="T126" s="3">
        <f>MAX(intermediate_results[[#This Row], [Team1 laps '[laps']]:[Team9 laps '[laps']]]) - intermediate_results[[#This Row], [Team1 laps '[laps']]]</f>
        <v>0</v>
      </c>
      <c r="U126" s="3">
        <f>MAX(intermediate_results[[#This Row], [Team1 laps '[laps']]:[Team9 laps '[laps']]]) - intermediate_results[[#This Row], [Team2 laps '[laps']]]</f>
        <v>0</v>
      </c>
      <c r="V126" s="3">
        <f>MAX(intermediate_results[[#This Row], [Team1 laps '[laps']]:[Team9 laps '[laps']]]) - intermediate_results[[#This Row], [Team3 laps '[laps']]]</f>
        <v>0</v>
      </c>
      <c r="W126" s="3">
        <f>MAX(intermediate_results[[#This Row], [Team1 laps '[laps']]:[Team9 laps '[laps']]]) - intermediate_results[[#This Row], [Team4 laps '[laps']]]</f>
        <v>0</v>
      </c>
      <c r="X126" s="3">
        <f>MAX(intermediate_results[[#This Row], [Team1 laps '[laps']]:[Team9 laps '[laps']]]) - intermediate_results[[#This Row], [Team5 laps '[laps']]]</f>
        <v>0</v>
      </c>
      <c r="Y126" s="3">
        <f>MAX(intermediate_results[[#This Row], [Team1 laps '[laps']]:[Team9 laps '[laps']]]) - intermediate_results[[#This Row], [Team6 laps '[laps']]]</f>
        <v>0</v>
      </c>
      <c r="Z126" s="3">
        <f>MAX(intermediate_results[[#This Row], [Team1 laps '[laps']]:[Team9 laps '[laps']]]) - intermediate_results[[#This Row], [Team7 laps '[laps']]]</f>
        <v>0</v>
      </c>
      <c r="AA126" s="3">
        <f>MAX(intermediate_results[[#This Row], [Team1 laps '[laps']]:[Team9 laps '[laps']]]) - intermediate_results[[#This Row], [Team8 laps '[laps']]]</f>
        <v>0</v>
      </c>
      <c r="AB126" s="3">
        <f>MAX(intermediate_results[[#This Row], [Team1 laps '[laps']]:[Team9 laps '[laps']]]) - intermediate_results[[#This Row], [Team9 laps '[laps']]]</f>
        <v>0</v>
      </c>
      <c r="AC126" s="3">
        <f>9 * intermediate_results[[#This Row], [All cumulative times '[sec']]] / SUM(intermediate_results[[#This Row], [Team1 laps '[laps']]:[Team9 laps '[laps']]])</f>
        <v>0</v>
      </c>
      <c r="AD126" s="3">
        <f>intermediate_results[[#This Row], [All cumulative times '[sec']]] / intermediate_results[[#This Row], [Team1 laps '[laps']]] - intermediate_results[[#This Row], [Total running average '[sec']]]</f>
        <v>0</v>
      </c>
      <c r="AE126" s="3">
        <f>intermediate_results[[#This Row], [All cumulative times '[sec']]] / intermediate_results[[#This Row], [Team2 laps '[laps']]] - intermediate_results[[#This Row], [Total running average '[sec']]]</f>
        <v>0</v>
      </c>
      <c r="AF126" s="3">
        <f>intermediate_results[[#This Row], [All cumulative times '[sec']]] / intermediate_results[[#This Row], [Team3 laps '[laps']]] - intermediate_results[[#This Row], [Total running average '[sec']]]</f>
        <v>0</v>
      </c>
      <c r="AG126" s="3">
        <f>intermediate_results[[#This Row], [All cumulative times '[sec']]] / intermediate_results[[#This Row], [Team4 laps '[laps']]] - intermediate_results[[#This Row], [Total running average '[sec']]]</f>
        <v>0</v>
      </c>
      <c r="AH126" s="3">
        <f>intermediate_results[[#This Row], [All cumulative times '[sec']]] / intermediate_results[[#This Row], [Team5 laps '[laps']]] - intermediate_results[[#This Row], [Total running average '[sec']]]</f>
        <v>0</v>
      </c>
      <c r="AI126" s="3">
        <f>intermediate_results[[#This Row], [All cumulative times '[sec']]] / intermediate_results[[#This Row], [Team6 laps '[laps']]] - intermediate_results[[#This Row], [Total running average '[sec']]]</f>
        <v>0</v>
      </c>
      <c r="AJ126" s="3">
        <f>intermediate_results[[#This Row], [All cumulative times '[sec']]] / intermediate_results[[#This Row], [Team7 laps '[laps']]] - intermediate_results[[#This Row], [Total running average '[sec']]]</f>
        <v>0</v>
      </c>
      <c r="AK126" s="3">
        <f>intermediate_results[[#This Row], [All cumulative times '[sec']]] / intermediate_results[[#This Row], [Team8 laps '[laps']]] - intermediate_results[[#This Row], [Total running average '[sec']]]</f>
        <v>0</v>
      </c>
      <c r="AL126" s="3">
        <f>intermediate_results[[#This Row], [All cumulative times '[sec']]] / intermediate_results[[#This Row], [Team9 laps '[laps']]] - intermediate_results[[#This Row], [Total running average '[sec']]]</f>
        <v>0</v>
      </c>
    </row>
    <row r="127" spans="1:38">
      <c r="A127" s="3">
        <v>794.0309999999998</v>
      </c>
      <c r="B12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7" s="3">
        <f>intermediate_results[[#This Row], [Team1 laps '[laps']]] - intermediate_results[[#This Row], [Team1 laps '[laps']]]</f>
        <v>0</v>
      </c>
      <c r="L127" s="3">
        <f>intermediate_results[[#This Row], [Team1 laps '[laps']]] - intermediate_results[[#This Row], [Team2 laps '[laps']]]</f>
        <v>0</v>
      </c>
      <c r="M127" s="3">
        <f>intermediate_results[[#This Row], [Team1 laps '[laps']]] - intermediate_results[[#This Row], [Team3 laps '[laps']]]</f>
        <v>0</v>
      </c>
      <c r="N127" s="3">
        <f>intermediate_results[[#This Row], [Team1 laps '[laps']]] - intermediate_results[[#This Row], [Team4 laps '[laps']]]</f>
        <v>0</v>
      </c>
      <c r="O127" s="3">
        <f>intermediate_results[[#This Row], [Team1 laps '[laps']]] - intermediate_results[[#This Row], [Team5 laps '[laps']]]</f>
        <v>0</v>
      </c>
      <c r="P127" s="3">
        <f>intermediate_results[[#This Row], [Team1 laps '[laps']]] - intermediate_results[[#This Row], [Team6 laps '[laps']]]</f>
        <v>0</v>
      </c>
      <c r="Q127" s="3">
        <f>intermediate_results[[#This Row], [Team1 laps '[laps']]] - intermediate_results[[#This Row], [Team7 laps '[laps']]]</f>
        <v>0</v>
      </c>
      <c r="R127" s="3">
        <f>intermediate_results[[#This Row], [Team1 laps '[laps']]] - intermediate_results[[#This Row], [Team8 laps '[laps']]]</f>
        <v>0</v>
      </c>
      <c r="S127" s="3">
        <f>intermediate_results[[#This Row], [Team1 laps '[laps']]] - intermediate_results[[#This Row], [Team9 laps '[laps']]]</f>
        <v>0</v>
      </c>
      <c r="T127" s="3">
        <f>MAX(intermediate_results[[#This Row], [Team1 laps '[laps']]:[Team9 laps '[laps']]]) - intermediate_results[[#This Row], [Team1 laps '[laps']]]</f>
        <v>0</v>
      </c>
      <c r="U127" s="3">
        <f>MAX(intermediate_results[[#This Row], [Team1 laps '[laps']]:[Team9 laps '[laps']]]) - intermediate_results[[#This Row], [Team2 laps '[laps']]]</f>
        <v>0</v>
      </c>
      <c r="V127" s="3">
        <f>MAX(intermediate_results[[#This Row], [Team1 laps '[laps']]:[Team9 laps '[laps']]]) - intermediate_results[[#This Row], [Team3 laps '[laps']]]</f>
        <v>0</v>
      </c>
      <c r="W127" s="3">
        <f>MAX(intermediate_results[[#This Row], [Team1 laps '[laps']]:[Team9 laps '[laps']]]) - intermediate_results[[#This Row], [Team4 laps '[laps']]]</f>
        <v>0</v>
      </c>
      <c r="X127" s="3">
        <f>MAX(intermediate_results[[#This Row], [Team1 laps '[laps']]:[Team9 laps '[laps']]]) - intermediate_results[[#This Row], [Team5 laps '[laps']]]</f>
        <v>0</v>
      </c>
      <c r="Y127" s="3">
        <f>MAX(intermediate_results[[#This Row], [Team1 laps '[laps']]:[Team9 laps '[laps']]]) - intermediate_results[[#This Row], [Team6 laps '[laps']]]</f>
        <v>0</v>
      </c>
      <c r="Z127" s="3">
        <f>MAX(intermediate_results[[#This Row], [Team1 laps '[laps']]:[Team9 laps '[laps']]]) - intermediate_results[[#This Row], [Team7 laps '[laps']]]</f>
        <v>0</v>
      </c>
      <c r="AA127" s="3">
        <f>MAX(intermediate_results[[#This Row], [Team1 laps '[laps']]:[Team9 laps '[laps']]]) - intermediate_results[[#This Row], [Team8 laps '[laps']]]</f>
        <v>0</v>
      </c>
      <c r="AB127" s="3">
        <f>MAX(intermediate_results[[#This Row], [Team1 laps '[laps']]:[Team9 laps '[laps']]]) - intermediate_results[[#This Row], [Team9 laps '[laps']]]</f>
        <v>0</v>
      </c>
      <c r="AC127" s="3">
        <f>9 * intermediate_results[[#This Row], [All cumulative times '[sec']]] / SUM(intermediate_results[[#This Row], [Team1 laps '[laps']]:[Team9 laps '[laps']]])</f>
        <v>0</v>
      </c>
      <c r="AD127" s="3">
        <f>intermediate_results[[#This Row], [All cumulative times '[sec']]] / intermediate_results[[#This Row], [Team1 laps '[laps']]] - intermediate_results[[#This Row], [Total running average '[sec']]]</f>
        <v>0</v>
      </c>
      <c r="AE127" s="3">
        <f>intermediate_results[[#This Row], [All cumulative times '[sec']]] / intermediate_results[[#This Row], [Team2 laps '[laps']]] - intermediate_results[[#This Row], [Total running average '[sec']]]</f>
        <v>0</v>
      </c>
      <c r="AF127" s="3">
        <f>intermediate_results[[#This Row], [All cumulative times '[sec']]] / intermediate_results[[#This Row], [Team3 laps '[laps']]] - intermediate_results[[#This Row], [Total running average '[sec']]]</f>
        <v>0</v>
      </c>
      <c r="AG127" s="3">
        <f>intermediate_results[[#This Row], [All cumulative times '[sec']]] / intermediate_results[[#This Row], [Team4 laps '[laps']]] - intermediate_results[[#This Row], [Total running average '[sec']]]</f>
        <v>0</v>
      </c>
      <c r="AH127" s="3">
        <f>intermediate_results[[#This Row], [All cumulative times '[sec']]] / intermediate_results[[#This Row], [Team5 laps '[laps']]] - intermediate_results[[#This Row], [Total running average '[sec']]]</f>
        <v>0</v>
      </c>
      <c r="AI127" s="3">
        <f>intermediate_results[[#This Row], [All cumulative times '[sec']]] / intermediate_results[[#This Row], [Team6 laps '[laps']]] - intermediate_results[[#This Row], [Total running average '[sec']]]</f>
        <v>0</v>
      </c>
      <c r="AJ127" s="3">
        <f>intermediate_results[[#This Row], [All cumulative times '[sec']]] / intermediate_results[[#This Row], [Team7 laps '[laps']]] - intermediate_results[[#This Row], [Total running average '[sec']]]</f>
        <v>0</v>
      </c>
      <c r="AK127" s="3">
        <f>intermediate_results[[#This Row], [All cumulative times '[sec']]] / intermediate_results[[#This Row], [Team8 laps '[laps']]] - intermediate_results[[#This Row], [Total running average '[sec']]]</f>
        <v>0</v>
      </c>
      <c r="AL127" s="3">
        <f>intermediate_results[[#This Row], [All cumulative times '[sec']]] / intermediate_results[[#This Row], [Team9 laps '[laps']]] - intermediate_results[[#This Row], [Total running average '[sec']]]</f>
        <v>0</v>
      </c>
    </row>
    <row r="128" spans="1:38">
      <c r="A128" s="3">
        <v>794.5029999999998</v>
      </c>
      <c r="B12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8" s="3">
        <f>intermediate_results[[#This Row], [Team1 laps '[laps']]] - intermediate_results[[#This Row], [Team1 laps '[laps']]]</f>
        <v>0</v>
      </c>
      <c r="L128" s="3">
        <f>intermediate_results[[#This Row], [Team1 laps '[laps']]] - intermediate_results[[#This Row], [Team2 laps '[laps']]]</f>
        <v>0</v>
      </c>
      <c r="M128" s="3">
        <f>intermediate_results[[#This Row], [Team1 laps '[laps']]] - intermediate_results[[#This Row], [Team3 laps '[laps']]]</f>
        <v>0</v>
      </c>
      <c r="N128" s="3">
        <f>intermediate_results[[#This Row], [Team1 laps '[laps']]] - intermediate_results[[#This Row], [Team4 laps '[laps']]]</f>
        <v>0</v>
      </c>
      <c r="O128" s="3">
        <f>intermediate_results[[#This Row], [Team1 laps '[laps']]] - intermediate_results[[#This Row], [Team5 laps '[laps']]]</f>
        <v>0</v>
      </c>
      <c r="P128" s="3">
        <f>intermediate_results[[#This Row], [Team1 laps '[laps']]] - intermediate_results[[#This Row], [Team6 laps '[laps']]]</f>
        <v>0</v>
      </c>
      <c r="Q128" s="3">
        <f>intermediate_results[[#This Row], [Team1 laps '[laps']]] - intermediate_results[[#This Row], [Team7 laps '[laps']]]</f>
        <v>0</v>
      </c>
      <c r="R128" s="3">
        <f>intermediate_results[[#This Row], [Team1 laps '[laps']]] - intermediate_results[[#This Row], [Team8 laps '[laps']]]</f>
        <v>0</v>
      </c>
      <c r="S128" s="3">
        <f>intermediate_results[[#This Row], [Team1 laps '[laps']]] - intermediate_results[[#This Row], [Team9 laps '[laps']]]</f>
        <v>0</v>
      </c>
      <c r="T128" s="3">
        <f>MAX(intermediate_results[[#This Row], [Team1 laps '[laps']]:[Team9 laps '[laps']]]) - intermediate_results[[#This Row], [Team1 laps '[laps']]]</f>
        <v>0</v>
      </c>
      <c r="U128" s="3">
        <f>MAX(intermediate_results[[#This Row], [Team1 laps '[laps']]:[Team9 laps '[laps']]]) - intermediate_results[[#This Row], [Team2 laps '[laps']]]</f>
        <v>0</v>
      </c>
      <c r="V128" s="3">
        <f>MAX(intermediate_results[[#This Row], [Team1 laps '[laps']]:[Team9 laps '[laps']]]) - intermediate_results[[#This Row], [Team3 laps '[laps']]]</f>
        <v>0</v>
      </c>
      <c r="W128" s="3">
        <f>MAX(intermediate_results[[#This Row], [Team1 laps '[laps']]:[Team9 laps '[laps']]]) - intermediate_results[[#This Row], [Team4 laps '[laps']]]</f>
        <v>0</v>
      </c>
      <c r="X128" s="3">
        <f>MAX(intermediate_results[[#This Row], [Team1 laps '[laps']]:[Team9 laps '[laps']]]) - intermediate_results[[#This Row], [Team5 laps '[laps']]]</f>
        <v>0</v>
      </c>
      <c r="Y128" s="3">
        <f>MAX(intermediate_results[[#This Row], [Team1 laps '[laps']]:[Team9 laps '[laps']]]) - intermediate_results[[#This Row], [Team6 laps '[laps']]]</f>
        <v>0</v>
      </c>
      <c r="Z128" s="3">
        <f>MAX(intermediate_results[[#This Row], [Team1 laps '[laps']]:[Team9 laps '[laps']]]) - intermediate_results[[#This Row], [Team7 laps '[laps']]]</f>
        <v>0</v>
      </c>
      <c r="AA128" s="3">
        <f>MAX(intermediate_results[[#This Row], [Team1 laps '[laps']]:[Team9 laps '[laps']]]) - intermediate_results[[#This Row], [Team8 laps '[laps']]]</f>
        <v>0</v>
      </c>
      <c r="AB128" s="3">
        <f>MAX(intermediate_results[[#This Row], [Team1 laps '[laps']]:[Team9 laps '[laps']]]) - intermediate_results[[#This Row], [Team9 laps '[laps']]]</f>
        <v>0</v>
      </c>
      <c r="AC128" s="3">
        <f>9 * intermediate_results[[#This Row], [All cumulative times '[sec']]] / SUM(intermediate_results[[#This Row], [Team1 laps '[laps']]:[Team9 laps '[laps']]])</f>
        <v>0</v>
      </c>
      <c r="AD128" s="3">
        <f>intermediate_results[[#This Row], [All cumulative times '[sec']]] / intermediate_results[[#This Row], [Team1 laps '[laps']]] - intermediate_results[[#This Row], [Total running average '[sec']]]</f>
        <v>0</v>
      </c>
      <c r="AE128" s="3">
        <f>intermediate_results[[#This Row], [All cumulative times '[sec']]] / intermediate_results[[#This Row], [Team2 laps '[laps']]] - intermediate_results[[#This Row], [Total running average '[sec']]]</f>
        <v>0</v>
      </c>
      <c r="AF128" s="3">
        <f>intermediate_results[[#This Row], [All cumulative times '[sec']]] / intermediate_results[[#This Row], [Team3 laps '[laps']]] - intermediate_results[[#This Row], [Total running average '[sec']]]</f>
        <v>0</v>
      </c>
      <c r="AG128" s="3">
        <f>intermediate_results[[#This Row], [All cumulative times '[sec']]] / intermediate_results[[#This Row], [Team4 laps '[laps']]] - intermediate_results[[#This Row], [Total running average '[sec']]]</f>
        <v>0</v>
      </c>
      <c r="AH128" s="3">
        <f>intermediate_results[[#This Row], [All cumulative times '[sec']]] / intermediate_results[[#This Row], [Team5 laps '[laps']]] - intermediate_results[[#This Row], [Total running average '[sec']]]</f>
        <v>0</v>
      </c>
      <c r="AI128" s="3">
        <f>intermediate_results[[#This Row], [All cumulative times '[sec']]] / intermediate_results[[#This Row], [Team6 laps '[laps']]] - intermediate_results[[#This Row], [Total running average '[sec']]]</f>
        <v>0</v>
      </c>
      <c r="AJ128" s="3">
        <f>intermediate_results[[#This Row], [All cumulative times '[sec']]] / intermediate_results[[#This Row], [Team7 laps '[laps']]] - intermediate_results[[#This Row], [Total running average '[sec']]]</f>
        <v>0</v>
      </c>
      <c r="AK128" s="3">
        <f>intermediate_results[[#This Row], [All cumulative times '[sec']]] / intermediate_results[[#This Row], [Team8 laps '[laps']]] - intermediate_results[[#This Row], [Total running average '[sec']]]</f>
        <v>0</v>
      </c>
      <c r="AL128" s="3">
        <f>intermediate_results[[#This Row], [All cumulative times '[sec']]] / intermediate_results[[#This Row], [Team9 laps '[laps']]] - intermediate_results[[#This Row], [Total running average '[sec']]]</f>
        <v>0</v>
      </c>
    </row>
    <row r="129" spans="1:38">
      <c r="A129" s="3">
        <v>797.929</v>
      </c>
      <c r="B12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2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2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2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2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2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2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2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2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29" s="3">
        <f>intermediate_results[[#This Row], [Team1 laps '[laps']]] - intermediate_results[[#This Row], [Team1 laps '[laps']]]</f>
        <v>0</v>
      </c>
      <c r="L129" s="3">
        <f>intermediate_results[[#This Row], [Team1 laps '[laps']]] - intermediate_results[[#This Row], [Team2 laps '[laps']]]</f>
        <v>0</v>
      </c>
      <c r="M129" s="3">
        <f>intermediate_results[[#This Row], [Team1 laps '[laps']]] - intermediate_results[[#This Row], [Team3 laps '[laps']]]</f>
        <v>0</v>
      </c>
      <c r="N129" s="3">
        <f>intermediate_results[[#This Row], [Team1 laps '[laps']]] - intermediate_results[[#This Row], [Team4 laps '[laps']]]</f>
        <v>0</v>
      </c>
      <c r="O129" s="3">
        <f>intermediate_results[[#This Row], [Team1 laps '[laps']]] - intermediate_results[[#This Row], [Team5 laps '[laps']]]</f>
        <v>0</v>
      </c>
      <c r="P129" s="3">
        <f>intermediate_results[[#This Row], [Team1 laps '[laps']]] - intermediate_results[[#This Row], [Team6 laps '[laps']]]</f>
        <v>0</v>
      </c>
      <c r="Q129" s="3">
        <f>intermediate_results[[#This Row], [Team1 laps '[laps']]] - intermediate_results[[#This Row], [Team7 laps '[laps']]]</f>
        <v>0</v>
      </c>
      <c r="R129" s="3">
        <f>intermediate_results[[#This Row], [Team1 laps '[laps']]] - intermediate_results[[#This Row], [Team8 laps '[laps']]]</f>
        <v>0</v>
      </c>
      <c r="S129" s="3">
        <f>intermediate_results[[#This Row], [Team1 laps '[laps']]] - intermediate_results[[#This Row], [Team9 laps '[laps']]]</f>
        <v>0</v>
      </c>
      <c r="T129" s="3">
        <f>MAX(intermediate_results[[#This Row], [Team1 laps '[laps']]:[Team9 laps '[laps']]]) - intermediate_results[[#This Row], [Team1 laps '[laps']]]</f>
        <v>0</v>
      </c>
      <c r="U129" s="3">
        <f>MAX(intermediate_results[[#This Row], [Team1 laps '[laps']]:[Team9 laps '[laps']]]) - intermediate_results[[#This Row], [Team2 laps '[laps']]]</f>
        <v>0</v>
      </c>
      <c r="V129" s="3">
        <f>MAX(intermediate_results[[#This Row], [Team1 laps '[laps']]:[Team9 laps '[laps']]]) - intermediate_results[[#This Row], [Team3 laps '[laps']]]</f>
        <v>0</v>
      </c>
      <c r="W129" s="3">
        <f>MAX(intermediate_results[[#This Row], [Team1 laps '[laps']]:[Team9 laps '[laps']]]) - intermediate_results[[#This Row], [Team4 laps '[laps']]]</f>
        <v>0</v>
      </c>
      <c r="X129" s="3">
        <f>MAX(intermediate_results[[#This Row], [Team1 laps '[laps']]:[Team9 laps '[laps']]]) - intermediate_results[[#This Row], [Team5 laps '[laps']]]</f>
        <v>0</v>
      </c>
      <c r="Y129" s="3">
        <f>MAX(intermediate_results[[#This Row], [Team1 laps '[laps']]:[Team9 laps '[laps']]]) - intermediate_results[[#This Row], [Team6 laps '[laps']]]</f>
        <v>0</v>
      </c>
      <c r="Z129" s="3">
        <f>MAX(intermediate_results[[#This Row], [Team1 laps '[laps']]:[Team9 laps '[laps']]]) - intermediate_results[[#This Row], [Team7 laps '[laps']]]</f>
        <v>0</v>
      </c>
      <c r="AA129" s="3">
        <f>MAX(intermediate_results[[#This Row], [Team1 laps '[laps']]:[Team9 laps '[laps']]]) - intermediate_results[[#This Row], [Team8 laps '[laps']]]</f>
        <v>0</v>
      </c>
      <c r="AB129" s="3">
        <f>MAX(intermediate_results[[#This Row], [Team1 laps '[laps']]:[Team9 laps '[laps']]]) - intermediate_results[[#This Row], [Team9 laps '[laps']]]</f>
        <v>0</v>
      </c>
      <c r="AC129" s="3">
        <f>9 * intermediate_results[[#This Row], [All cumulative times '[sec']]] / SUM(intermediate_results[[#This Row], [Team1 laps '[laps']]:[Team9 laps '[laps']]])</f>
        <v>0</v>
      </c>
      <c r="AD129" s="3">
        <f>intermediate_results[[#This Row], [All cumulative times '[sec']]] / intermediate_results[[#This Row], [Team1 laps '[laps']]] - intermediate_results[[#This Row], [Total running average '[sec']]]</f>
        <v>0</v>
      </c>
      <c r="AE129" s="3">
        <f>intermediate_results[[#This Row], [All cumulative times '[sec']]] / intermediate_results[[#This Row], [Team2 laps '[laps']]] - intermediate_results[[#This Row], [Total running average '[sec']]]</f>
        <v>0</v>
      </c>
      <c r="AF129" s="3">
        <f>intermediate_results[[#This Row], [All cumulative times '[sec']]] / intermediate_results[[#This Row], [Team3 laps '[laps']]] - intermediate_results[[#This Row], [Total running average '[sec']]]</f>
        <v>0</v>
      </c>
      <c r="AG129" s="3">
        <f>intermediate_results[[#This Row], [All cumulative times '[sec']]] / intermediate_results[[#This Row], [Team4 laps '[laps']]] - intermediate_results[[#This Row], [Total running average '[sec']]]</f>
        <v>0</v>
      </c>
      <c r="AH129" s="3">
        <f>intermediate_results[[#This Row], [All cumulative times '[sec']]] / intermediate_results[[#This Row], [Team5 laps '[laps']]] - intermediate_results[[#This Row], [Total running average '[sec']]]</f>
        <v>0</v>
      </c>
      <c r="AI129" s="3">
        <f>intermediate_results[[#This Row], [All cumulative times '[sec']]] / intermediate_results[[#This Row], [Team6 laps '[laps']]] - intermediate_results[[#This Row], [Total running average '[sec']]]</f>
        <v>0</v>
      </c>
      <c r="AJ129" s="3">
        <f>intermediate_results[[#This Row], [All cumulative times '[sec']]] / intermediate_results[[#This Row], [Team7 laps '[laps']]] - intermediate_results[[#This Row], [Total running average '[sec']]]</f>
        <v>0</v>
      </c>
      <c r="AK129" s="3">
        <f>intermediate_results[[#This Row], [All cumulative times '[sec']]] / intermediate_results[[#This Row], [Team8 laps '[laps']]] - intermediate_results[[#This Row], [Total running average '[sec']]]</f>
        <v>0</v>
      </c>
      <c r="AL129" s="3">
        <f>intermediate_results[[#This Row], [All cumulative times '[sec']]] / intermediate_results[[#This Row], [Team9 laps '[laps']]] - intermediate_results[[#This Row], [Total running average '[sec']]]</f>
        <v>0</v>
      </c>
    </row>
    <row r="130" spans="1:38">
      <c r="A130" s="3">
        <v>808.1039999999999</v>
      </c>
      <c r="B13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0" s="3">
        <f>intermediate_results[[#This Row], [Team1 laps '[laps']]] - intermediate_results[[#This Row], [Team1 laps '[laps']]]</f>
        <v>0</v>
      </c>
      <c r="L130" s="3">
        <f>intermediate_results[[#This Row], [Team1 laps '[laps']]] - intermediate_results[[#This Row], [Team2 laps '[laps']]]</f>
        <v>0</v>
      </c>
      <c r="M130" s="3">
        <f>intermediate_results[[#This Row], [Team1 laps '[laps']]] - intermediate_results[[#This Row], [Team3 laps '[laps']]]</f>
        <v>0</v>
      </c>
      <c r="N130" s="3">
        <f>intermediate_results[[#This Row], [Team1 laps '[laps']]] - intermediate_results[[#This Row], [Team4 laps '[laps']]]</f>
        <v>0</v>
      </c>
      <c r="O130" s="3">
        <f>intermediate_results[[#This Row], [Team1 laps '[laps']]] - intermediate_results[[#This Row], [Team5 laps '[laps']]]</f>
        <v>0</v>
      </c>
      <c r="P130" s="3">
        <f>intermediate_results[[#This Row], [Team1 laps '[laps']]] - intermediate_results[[#This Row], [Team6 laps '[laps']]]</f>
        <v>0</v>
      </c>
      <c r="Q130" s="3">
        <f>intermediate_results[[#This Row], [Team1 laps '[laps']]] - intermediate_results[[#This Row], [Team7 laps '[laps']]]</f>
        <v>0</v>
      </c>
      <c r="R130" s="3">
        <f>intermediate_results[[#This Row], [Team1 laps '[laps']]] - intermediate_results[[#This Row], [Team8 laps '[laps']]]</f>
        <v>0</v>
      </c>
      <c r="S130" s="3">
        <f>intermediate_results[[#This Row], [Team1 laps '[laps']]] - intermediate_results[[#This Row], [Team9 laps '[laps']]]</f>
        <v>0</v>
      </c>
      <c r="T130" s="3">
        <f>MAX(intermediate_results[[#This Row], [Team1 laps '[laps']]:[Team9 laps '[laps']]]) - intermediate_results[[#This Row], [Team1 laps '[laps']]]</f>
        <v>0</v>
      </c>
      <c r="U130" s="3">
        <f>MAX(intermediate_results[[#This Row], [Team1 laps '[laps']]:[Team9 laps '[laps']]]) - intermediate_results[[#This Row], [Team2 laps '[laps']]]</f>
        <v>0</v>
      </c>
      <c r="V130" s="3">
        <f>MAX(intermediate_results[[#This Row], [Team1 laps '[laps']]:[Team9 laps '[laps']]]) - intermediate_results[[#This Row], [Team3 laps '[laps']]]</f>
        <v>0</v>
      </c>
      <c r="W130" s="3">
        <f>MAX(intermediate_results[[#This Row], [Team1 laps '[laps']]:[Team9 laps '[laps']]]) - intermediate_results[[#This Row], [Team4 laps '[laps']]]</f>
        <v>0</v>
      </c>
      <c r="X130" s="3">
        <f>MAX(intermediate_results[[#This Row], [Team1 laps '[laps']]:[Team9 laps '[laps']]]) - intermediate_results[[#This Row], [Team5 laps '[laps']]]</f>
        <v>0</v>
      </c>
      <c r="Y130" s="3">
        <f>MAX(intermediate_results[[#This Row], [Team1 laps '[laps']]:[Team9 laps '[laps']]]) - intermediate_results[[#This Row], [Team6 laps '[laps']]]</f>
        <v>0</v>
      </c>
      <c r="Z130" s="3">
        <f>MAX(intermediate_results[[#This Row], [Team1 laps '[laps']]:[Team9 laps '[laps']]]) - intermediate_results[[#This Row], [Team7 laps '[laps']]]</f>
        <v>0</v>
      </c>
      <c r="AA130" s="3">
        <f>MAX(intermediate_results[[#This Row], [Team1 laps '[laps']]:[Team9 laps '[laps']]]) - intermediate_results[[#This Row], [Team8 laps '[laps']]]</f>
        <v>0</v>
      </c>
      <c r="AB130" s="3">
        <f>MAX(intermediate_results[[#This Row], [Team1 laps '[laps']]:[Team9 laps '[laps']]]) - intermediate_results[[#This Row], [Team9 laps '[laps']]]</f>
        <v>0</v>
      </c>
      <c r="AC130" s="3">
        <f>9 * intermediate_results[[#This Row], [All cumulative times '[sec']]] / SUM(intermediate_results[[#This Row], [Team1 laps '[laps']]:[Team9 laps '[laps']]])</f>
        <v>0</v>
      </c>
      <c r="AD130" s="3">
        <f>intermediate_results[[#This Row], [All cumulative times '[sec']]] / intermediate_results[[#This Row], [Team1 laps '[laps']]] - intermediate_results[[#This Row], [Total running average '[sec']]]</f>
        <v>0</v>
      </c>
      <c r="AE130" s="3">
        <f>intermediate_results[[#This Row], [All cumulative times '[sec']]] / intermediate_results[[#This Row], [Team2 laps '[laps']]] - intermediate_results[[#This Row], [Total running average '[sec']]]</f>
        <v>0</v>
      </c>
      <c r="AF130" s="3">
        <f>intermediate_results[[#This Row], [All cumulative times '[sec']]] / intermediate_results[[#This Row], [Team3 laps '[laps']]] - intermediate_results[[#This Row], [Total running average '[sec']]]</f>
        <v>0</v>
      </c>
      <c r="AG130" s="3">
        <f>intermediate_results[[#This Row], [All cumulative times '[sec']]] / intermediate_results[[#This Row], [Team4 laps '[laps']]] - intermediate_results[[#This Row], [Total running average '[sec']]]</f>
        <v>0</v>
      </c>
      <c r="AH130" s="3">
        <f>intermediate_results[[#This Row], [All cumulative times '[sec']]] / intermediate_results[[#This Row], [Team5 laps '[laps']]] - intermediate_results[[#This Row], [Total running average '[sec']]]</f>
        <v>0</v>
      </c>
      <c r="AI130" s="3">
        <f>intermediate_results[[#This Row], [All cumulative times '[sec']]] / intermediate_results[[#This Row], [Team6 laps '[laps']]] - intermediate_results[[#This Row], [Total running average '[sec']]]</f>
        <v>0</v>
      </c>
      <c r="AJ130" s="3">
        <f>intermediate_results[[#This Row], [All cumulative times '[sec']]] / intermediate_results[[#This Row], [Team7 laps '[laps']]] - intermediate_results[[#This Row], [Total running average '[sec']]]</f>
        <v>0</v>
      </c>
      <c r="AK130" s="3">
        <f>intermediate_results[[#This Row], [All cumulative times '[sec']]] / intermediate_results[[#This Row], [Team8 laps '[laps']]] - intermediate_results[[#This Row], [Total running average '[sec']]]</f>
        <v>0</v>
      </c>
      <c r="AL130" s="3">
        <f>intermediate_results[[#This Row], [All cumulative times '[sec']]] / intermediate_results[[#This Row], [Team9 laps '[laps']]] - intermediate_results[[#This Row], [Total running average '[sec']]]</f>
        <v>0</v>
      </c>
    </row>
    <row r="131" spans="1:38">
      <c r="A131" s="3">
        <v>825.7009999999999</v>
      </c>
      <c r="B13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1" s="3">
        <f>intermediate_results[[#This Row], [Team1 laps '[laps']]] - intermediate_results[[#This Row], [Team1 laps '[laps']]]</f>
        <v>0</v>
      </c>
      <c r="L131" s="3">
        <f>intermediate_results[[#This Row], [Team1 laps '[laps']]] - intermediate_results[[#This Row], [Team2 laps '[laps']]]</f>
        <v>0</v>
      </c>
      <c r="M131" s="3">
        <f>intermediate_results[[#This Row], [Team1 laps '[laps']]] - intermediate_results[[#This Row], [Team3 laps '[laps']]]</f>
        <v>0</v>
      </c>
      <c r="N131" s="3">
        <f>intermediate_results[[#This Row], [Team1 laps '[laps']]] - intermediate_results[[#This Row], [Team4 laps '[laps']]]</f>
        <v>0</v>
      </c>
      <c r="O131" s="3">
        <f>intermediate_results[[#This Row], [Team1 laps '[laps']]] - intermediate_results[[#This Row], [Team5 laps '[laps']]]</f>
        <v>0</v>
      </c>
      <c r="P131" s="3">
        <f>intermediate_results[[#This Row], [Team1 laps '[laps']]] - intermediate_results[[#This Row], [Team6 laps '[laps']]]</f>
        <v>0</v>
      </c>
      <c r="Q131" s="3">
        <f>intermediate_results[[#This Row], [Team1 laps '[laps']]] - intermediate_results[[#This Row], [Team7 laps '[laps']]]</f>
        <v>0</v>
      </c>
      <c r="R131" s="3">
        <f>intermediate_results[[#This Row], [Team1 laps '[laps']]] - intermediate_results[[#This Row], [Team8 laps '[laps']]]</f>
        <v>0</v>
      </c>
      <c r="S131" s="3">
        <f>intermediate_results[[#This Row], [Team1 laps '[laps']]] - intermediate_results[[#This Row], [Team9 laps '[laps']]]</f>
        <v>0</v>
      </c>
      <c r="T131" s="3">
        <f>MAX(intermediate_results[[#This Row], [Team1 laps '[laps']]:[Team9 laps '[laps']]]) - intermediate_results[[#This Row], [Team1 laps '[laps']]]</f>
        <v>0</v>
      </c>
      <c r="U131" s="3">
        <f>MAX(intermediate_results[[#This Row], [Team1 laps '[laps']]:[Team9 laps '[laps']]]) - intermediate_results[[#This Row], [Team2 laps '[laps']]]</f>
        <v>0</v>
      </c>
      <c r="V131" s="3">
        <f>MAX(intermediate_results[[#This Row], [Team1 laps '[laps']]:[Team9 laps '[laps']]]) - intermediate_results[[#This Row], [Team3 laps '[laps']]]</f>
        <v>0</v>
      </c>
      <c r="W131" s="3">
        <f>MAX(intermediate_results[[#This Row], [Team1 laps '[laps']]:[Team9 laps '[laps']]]) - intermediate_results[[#This Row], [Team4 laps '[laps']]]</f>
        <v>0</v>
      </c>
      <c r="X131" s="3">
        <f>MAX(intermediate_results[[#This Row], [Team1 laps '[laps']]:[Team9 laps '[laps']]]) - intermediate_results[[#This Row], [Team5 laps '[laps']]]</f>
        <v>0</v>
      </c>
      <c r="Y131" s="3">
        <f>MAX(intermediate_results[[#This Row], [Team1 laps '[laps']]:[Team9 laps '[laps']]]) - intermediate_results[[#This Row], [Team6 laps '[laps']]]</f>
        <v>0</v>
      </c>
      <c r="Z131" s="3">
        <f>MAX(intermediate_results[[#This Row], [Team1 laps '[laps']]:[Team9 laps '[laps']]]) - intermediate_results[[#This Row], [Team7 laps '[laps']]]</f>
        <v>0</v>
      </c>
      <c r="AA131" s="3">
        <f>MAX(intermediate_results[[#This Row], [Team1 laps '[laps']]:[Team9 laps '[laps']]]) - intermediate_results[[#This Row], [Team8 laps '[laps']]]</f>
        <v>0</v>
      </c>
      <c r="AB131" s="3">
        <f>MAX(intermediate_results[[#This Row], [Team1 laps '[laps']]:[Team9 laps '[laps']]]) - intermediate_results[[#This Row], [Team9 laps '[laps']]]</f>
        <v>0</v>
      </c>
      <c r="AC131" s="3">
        <f>9 * intermediate_results[[#This Row], [All cumulative times '[sec']]] / SUM(intermediate_results[[#This Row], [Team1 laps '[laps']]:[Team9 laps '[laps']]])</f>
        <v>0</v>
      </c>
      <c r="AD131" s="3">
        <f>intermediate_results[[#This Row], [All cumulative times '[sec']]] / intermediate_results[[#This Row], [Team1 laps '[laps']]] - intermediate_results[[#This Row], [Total running average '[sec']]]</f>
        <v>0</v>
      </c>
      <c r="AE131" s="3">
        <f>intermediate_results[[#This Row], [All cumulative times '[sec']]] / intermediate_results[[#This Row], [Team2 laps '[laps']]] - intermediate_results[[#This Row], [Total running average '[sec']]]</f>
        <v>0</v>
      </c>
      <c r="AF131" s="3">
        <f>intermediate_results[[#This Row], [All cumulative times '[sec']]] / intermediate_results[[#This Row], [Team3 laps '[laps']]] - intermediate_results[[#This Row], [Total running average '[sec']]]</f>
        <v>0</v>
      </c>
      <c r="AG131" s="3">
        <f>intermediate_results[[#This Row], [All cumulative times '[sec']]] / intermediate_results[[#This Row], [Team4 laps '[laps']]] - intermediate_results[[#This Row], [Total running average '[sec']]]</f>
        <v>0</v>
      </c>
      <c r="AH131" s="3">
        <f>intermediate_results[[#This Row], [All cumulative times '[sec']]] / intermediate_results[[#This Row], [Team5 laps '[laps']]] - intermediate_results[[#This Row], [Total running average '[sec']]]</f>
        <v>0</v>
      </c>
      <c r="AI131" s="3">
        <f>intermediate_results[[#This Row], [All cumulative times '[sec']]] / intermediate_results[[#This Row], [Team6 laps '[laps']]] - intermediate_results[[#This Row], [Total running average '[sec']]]</f>
        <v>0</v>
      </c>
      <c r="AJ131" s="3">
        <f>intermediate_results[[#This Row], [All cumulative times '[sec']]] / intermediate_results[[#This Row], [Team7 laps '[laps']]] - intermediate_results[[#This Row], [Total running average '[sec']]]</f>
        <v>0</v>
      </c>
      <c r="AK131" s="3">
        <f>intermediate_results[[#This Row], [All cumulative times '[sec']]] / intermediate_results[[#This Row], [Team8 laps '[laps']]] - intermediate_results[[#This Row], [Total running average '[sec']]]</f>
        <v>0</v>
      </c>
      <c r="AL131" s="3">
        <f>intermediate_results[[#This Row], [All cumulative times '[sec']]] / intermediate_results[[#This Row], [Team9 laps '[laps']]] - intermediate_results[[#This Row], [Total running average '[sec']]]</f>
        <v>0</v>
      </c>
    </row>
    <row r="132" spans="1:38">
      <c r="A132" s="3">
        <v>826.4490000000002</v>
      </c>
      <c r="B13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2" s="3">
        <f>intermediate_results[[#This Row], [Team1 laps '[laps']]] - intermediate_results[[#This Row], [Team1 laps '[laps']]]</f>
        <v>0</v>
      </c>
      <c r="L132" s="3">
        <f>intermediate_results[[#This Row], [Team1 laps '[laps']]] - intermediate_results[[#This Row], [Team2 laps '[laps']]]</f>
        <v>0</v>
      </c>
      <c r="M132" s="3">
        <f>intermediate_results[[#This Row], [Team1 laps '[laps']]] - intermediate_results[[#This Row], [Team3 laps '[laps']]]</f>
        <v>0</v>
      </c>
      <c r="N132" s="3">
        <f>intermediate_results[[#This Row], [Team1 laps '[laps']]] - intermediate_results[[#This Row], [Team4 laps '[laps']]]</f>
        <v>0</v>
      </c>
      <c r="O132" s="3">
        <f>intermediate_results[[#This Row], [Team1 laps '[laps']]] - intermediate_results[[#This Row], [Team5 laps '[laps']]]</f>
        <v>0</v>
      </c>
      <c r="P132" s="3">
        <f>intermediate_results[[#This Row], [Team1 laps '[laps']]] - intermediate_results[[#This Row], [Team6 laps '[laps']]]</f>
        <v>0</v>
      </c>
      <c r="Q132" s="3">
        <f>intermediate_results[[#This Row], [Team1 laps '[laps']]] - intermediate_results[[#This Row], [Team7 laps '[laps']]]</f>
        <v>0</v>
      </c>
      <c r="R132" s="3">
        <f>intermediate_results[[#This Row], [Team1 laps '[laps']]] - intermediate_results[[#This Row], [Team8 laps '[laps']]]</f>
        <v>0</v>
      </c>
      <c r="S132" s="3">
        <f>intermediate_results[[#This Row], [Team1 laps '[laps']]] - intermediate_results[[#This Row], [Team9 laps '[laps']]]</f>
        <v>0</v>
      </c>
      <c r="T132" s="3">
        <f>MAX(intermediate_results[[#This Row], [Team1 laps '[laps']]:[Team9 laps '[laps']]]) - intermediate_results[[#This Row], [Team1 laps '[laps']]]</f>
        <v>0</v>
      </c>
      <c r="U132" s="3">
        <f>MAX(intermediate_results[[#This Row], [Team1 laps '[laps']]:[Team9 laps '[laps']]]) - intermediate_results[[#This Row], [Team2 laps '[laps']]]</f>
        <v>0</v>
      </c>
      <c r="V132" s="3">
        <f>MAX(intermediate_results[[#This Row], [Team1 laps '[laps']]:[Team9 laps '[laps']]]) - intermediate_results[[#This Row], [Team3 laps '[laps']]]</f>
        <v>0</v>
      </c>
      <c r="W132" s="3">
        <f>MAX(intermediate_results[[#This Row], [Team1 laps '[laps']]:[Team9 laps '[laps']]]) - intermediate_results[[#This Row], [Team4 laps '[laps']]]</f>
        <v>0</v>
      </c>
      <c r="X132" s="3">
        <f>MAX(intermediate_results[[#This Row], [Team1 laps '[laps']]:[Team9 laps '[laps']]]) - intermediate_results[[#This Row], [Team5 laps '[laps']]]</f>
        <v>0</v>
      </c>
      <c r="Y132" s="3">
        <f>MAX(intermediate_results[[#This Row], [Team1 laps '[laps']]:[Team9 laps '[laps']]]) - intermediate_results[[#This Row], [Team6 laps '[laps']]]</f>
        <v>0</v>
      </c>
      <c r="Z132" s="3">
        <f>MAX(intermediate_results[[#This Row], [Team1 laps '[laps']]:[Team9 laps '[laps']]]) - intermediate_results[[#This Row], [Team7 laps '[laps']]]</f>
        <v>0</v>
      </c>
      <c r="AA132" s="3">
        <f>MAX(intermediate_results[[#This Row], [Team1 laps '[laps']]:[Team9 laps '[laps']]]) - intermediate_results[[#This Row], [Team8 laps '[laps']]]</f>
        <v>0</v>
      </c>
      <c r="AB132" s="3">
        <f>MAX(intermediate_results[[#This Row], [Team1 laps '[laps']]:[Team9 laps '[laps']]]) - intermediate_results[[#This Row], [Team9 laps '[laps']]]</f>
        <v>0</v>
      </c>
      <c r="AC132" s="3">
        <f>9 * intermediate_results[[#This Row], [All cumulative times '[sec']]] / SUM(intermediate_results[[#This Row], [Team1 laps '[laps']]:[Team9 laps '[laps']]])</f>
        <v>0</v>
      </c>
      <c r="AD132" s="3">
        <f>intermediate_results[[#This Row], [All cumulative times '[sec']]] / intermediate_results[[#This Row], [Team1 laps '[laps']]] - intermediate_results[[#This Row], [Total running average '[sec']]]</f>
        <v>0</v>
      </c>
      <c r="AE132" s="3">
        <f>intermediate_results[[#This Row], [All cumulative times '[sec']]] / intermediate_results[[#This Row], [Team2 laps '[laps']]] - intermediate_results[[#This Row], [Total running average '[sec']]]</f>
        <v>0</v>
      </c>
      <c r="AF132" s="3">
        <f>intermediate_results[[#This Row], [All cumulative times '[sec']]] / intermediate_results[[#This Row], [Team3 laps '[laps']]] - intermediate_results[[#This Row], [Total running average '[sec']]]</f>
        <v>0</v>
      </c>
      <c r="AG132" s="3">
        <f>intermediate_results[[#This Row], [All cumulative times '[sec']]] / intermediate_results[[#This Row], [Team4 laps '[laps']]] - intermediate_results[[#This Row], [Total running average '[sec']]]</f>
        <v>0</v>
      </c>
      <c r="AH132" s="3">
        <f>intermediate_results[[#This Row], [All cumulative times '[sec']]] / intermediate_results[[#This Row], [Team5 laps '[laps']]] - intermediate_results[[#This Row], [Total running average '[sec']]]</f>
        <v>0</v>
      </c>
      <c r="AI132" s="3">
        <f>intermediate_results[[#This Row], [All cumulative times '[sec']]] / intermediate_results[[#This Row], [Team6 laps '[laps']]] - intermediate_results[[#This Row], [Total running average '[sec']]]</f>
        <v>0</v>
      </c>
      <c r="AJ132" s="3">
        <f>intermediate_results[[#This Row], [All cumulative times '[sec']]] / intermediate_results[[#This Row], [Team7 laps '[laps']]] - intermediate_results[[#This Row], [Total running average '[sec']]]</f>
        <v>0</v>
      </c>
      <c r="AK132" s="3">
        <f>intermediate_results[[#This Row], [All cumulative times '[sec']]] / intermediate_results[[#This Row], [Team8 laps '[laps']]] - intermediate_results[[#This Row], [Total running average '[sec']]]</f>
        <v>0</v>
      </c>
      <c r="AL132" s="3">
        <f>intermediate_results[[#This Row], [All cumulative times '[sec']]] / intermediate_results[[#This Row], [Team9 laps '[laps']]] - intermediate_results[[#This Row], [Total running average '[sec']]]</f>
        <v>0</v>
      </c>
    </row>
    <row r="133" spans="1:38">
      <c r="A133" s="3">
        <v>826.54</v>
      </c>
      <c r="B13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3" s="3">
        <f>intermediate_results[[#This Row], [Team1 laps '[laps']]] - intermediate_results[[#This Row], [Team1 laps '[laps']]]</f>
        <v>0</v>
      </c>
      <c r="L133" s="3">
        <f>intermediate_results[[#This Row], [Team1 laps '[laps']]] - intermediate_results[[#This Row], [Team2 laps '[laps']]]</f>
        <v>0</v>
      </c>
      <c r="M133" s="3">
        <f>intermediate_results[[#This Row], [Team1 laps '[laps']]] - intermediate_results[[#This Row], [Team3 laps '[laps']]]</f>
        <v>0</v>
      </c>
      <c r="N133" s="3">
        <f>intermediate_results[[#This Row], [Team1 laps '[laps']]] - intermediate_results[[#This Row], [Team4 laps '[laps']]]</f>
        <v>0</v>
      </c>
      <c r="O133" s="3">
        <f>intermediate_results[[#This Row], [Team1 laps '[laps']]] - intermediate_results[[#This Row], [Team5 laps '[laps']]]</f>
        <v>0</v>
      </c>
      <c r="P133" s="3">
        <f>intermediate_results[[#This Row], [Team1 laps '[laps']]] - intermediate_results[[#This Row], [Team6 laps '[laps']]]</f>
        <v>0</v>
      </c>
      <c r="Q133" s="3">
        <f>intermediate_results[[#This Row], [Team1 laps '[laps']]] - intermediate_results[[#This Row], [Team7 laps '[laps']]]</f>
        <v>0</v>
      </c>
      <c r="R133" s="3">
        <f>intermediate_results[[#This Row], [Team1 laps '[laps']]] - intermediate_results[[#This Row], [Team8 laps '[laps']]]</f>
        <v>0</v>
      </c>
      <c r="S133" s="3">
        <f>intermediate_results[[#This Row], [Team1 laps '[laps']]] - intermediate_results[[#This Row], [Team9 laps '[laps']]]</f>
        <v>0</v>
      </c>
      <c r="T133" s="3">
        <f>MAX(intermediate_results[[#This Row], [Team1 laps '[laps']]:[Team9 laps '[laps']]]) - intermediate_results[[#This Row], [Team1 laps '[laps']]]</f>
        <v>0</v>
      </c>
      <c r="U133" s="3">
        <f>MAX(intermediate_results[[#This Row], [Team1 laps '[laps']]:[Team9 laps '[laps']]]) - intermediate_results[[#This Row], [Team2 laps '[laps']]]</f>
        <v>0</v>
      </c>
      <c r="V133" s="3">
        <f>MAX(intermediate_results[[#This Row], [Team1 laps '[laps']]:[Team9 laps '[laps']]]) - intermediate_results[[#This Row], [Team3 laps '[laps']]]</f>
        <v>0</v>
      </c>
      <c r="W133" s="3">
        <f>MAX(intermediate_results[[#This Row], [Team1 laps '[laps']]:[Team9 laps '[laps']]]) - intermediate_results[[#This Row], [Team4 laps '[laps']]]</f>
        <v>0</v>
      </c>
      <c r="X133" s="3">
        <f>MAX(intermediate_results[[#This Row], [Team1 laps '[laps']]:[Team9 laps '[laps']]]) - intermediate_results[[#This Row], [Team5 laps '[laps']]]</f>
        <v>0</v>
      </c>
      <c r="Y133" s="3">
        <f>MAX(intermediate_results[[#This Row], [Team1 laps '[laps']]:[Team9 laps '[laps']]]) - intermediate_results[[#This Row], [Team6 laps '[laps']]]</f>
        <v>0</v>
      </c>
      <c r="Z133" s="3">
        <f>MAX(intermediate_results[[#This Row], [Team1 laps '[laps']]:[Team9 laps '[laps']]]) - intermediate_results[[#This Row], [Team7 laps '[laps']]]</f>
        <v>0</v>
      </c>
      <c r="AA133" s="3">
        <f>MAX(intermediate_results[[#This Row], [Team1 laps '[laps']]:[Team9 laps '[laps']]]) - intermediate_results[[#This Row], [Team8 laps '[laps']]]</f>
        <v>0</v>
      </c>
      <c r="AB133" s="3">
        <f>MAX(intermediate_results[[#This Row], [Team1 laps '[laps']]:[Team9 laps '[laps']]]) - intermediate_results[[#This Row], [Team9 laps '[laps']]]</f>
        <v>0</v>
      </c>
      <c r="AC133" s="3">
        <f>9 * intermediate_results[[#This Row], [All cumulative times '[sec']]] / SUM(intermediate_results[[#This Row], [Team1 laps '[laps']]:[Team9 laps '[laps']]])</f>
        <v>0</v>
      </c>
      <c r="AD133" s="3">
        <f>intermediate_results[[#This Row], [All cumulative times '[sec']]] / intermediate_results[[#This Row], [Team1 laps '[laps']]] - intermediate_results[[#This Row], [Total running average '[sec']]]</f>
        <v>0</v>
      </c>
      <c r="AE133" s="3">
        <f>intermediate_results[[#This Row], [All cumulative times '[sec']]] / intermediate_results[[#This Row], [Team2 laps '[laps']]] - intermediate_results[[#This Row], [Total running average '[sec']]]</f>
        <v>0</v>
      </c>
      <c r="AF133" s="3">
        <f>intermediate_results[[#This Row], [All cumulative times '[sec']]] / intermediate_results[[#This Row], [Team3 laps '[laps']]] - intermediate_results[[#This Row], [Total running average '[sec']]]</f>
        <v>0</v>
      </c>
      <c r="AG133" s="3">
        <f>intermediate_results[[#This Row], [All cumulative times '[sec']]] / intermediate_results[[#This Row], [Team4 laps '[laps']]] - intermediate_results[[#This Row], [Total running average '[sec']]]</f>
        <v>0</v>
      </c>
      <c r="AH133" s="3">
        <f>intermediate_results[[#This Row], [All cumulative times '[sec']]] / intermediate_results[[#This Row], [Team5 laps '[laps']]] - intermediate_results[[#This Row], [Total running average '[sec']]]</f>
        <v>0</v>
      </c>
      <c r="AI133" s="3">
        <f>intermediate_results[[#This Row], [All cumulative times '[sec']]] / intermediate_results[[#This Row], [Team6 laps '[laps']]] - intermediate_results[[#This Row], [Total running average '[sec']]]</f>
        <v>0</v>
      </c>
      <c r="AJ133" s="3">
        <f>intermediate_results[[#This Row], [All cumulative times '[sec']]] / intermediate_results[[#This Row], [Team7 laps '[laps']]] - intermediate_results[[#This Row], [Total running average '[sec']]]</f>
        <v>0</v>
      </c>
      <c r="AK133" s="3">
        <f>intermediate_results[[#This Row], [All cumulative times '[sec']]] / intermediate_results[[#This Row], [Team8 laps '[laps']]] - intermediate_results[[#This Row], [Total running average '[sec']]]</f>
        <v>0</v>
      </c>
      <c r="AL133" s="3">
        <f>intermediate_results[[#This Row], [All cumulative times '[sec']]] / intermediate_results[[#This Row], [Team9 laps '[laps']]] - intermediate_results[[#This Row], [Total running average '[sec']]]</f>
        <v>0</v>
      </c>
    </row>
    <row r="134" spans="1:38">
      <c r="A134" s="3">
        <v>834.335</v>
      </c>
      <c r="B13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4" s="3">
        <f>intermediate_results[[#This Row], [Team1 laps '[laps']]] - intermediate_results[[#This Row], [Team1 laps '[laps']]]</f>
        <v>0</v>
      </c>
      <c r="L134" s="3">
        <f>intermediate_results[[#This Row], [Team1 laps '[laps']]] - intermediate_results[[#This Row], [Team2 laps '[laps']]]</f>
        <v>0</v>
      </c>
      <c r="M134" s="3">
        <f>intermediate_results[[#This Row], [Team1 laps '[laps']]] - intermediate_results[[#This Row], [Team3 laps '[laps']]]</f>
        <v>0</v>
      </c>
      <c r="N134" s="3">
        <f>intermediate_results[[#This Row], [Team1 laps '[laps']]] - intermediate_results[[#This Row], [Team4 laps '[laps']]]</f>
        <v>0</v>
      </c>
      <c r="O134" s="3">
        <f>intermediate_results[[#This Row], [Team1 laps '[laps']]] - intermediate_results[[#This Row], [Team5 laps '[laps']]]</f>
        <v>0</v>
      </c>
      <c r="P134" s="3">
        <f>intermediate_results[[#This Row], [Team1 laps '[laps']]] - intermediate_results[[#This Row], [Team6 laps '[laps']]]</f>
        <v>0</v>
      </c>
      <c r="Q134" s="3">
        <f>intermediate_results[[#This Row], [Team1 laps '[laps']]] - intermediate_results[[#This Row], [Team7 laps '[laps']]]</f>
        <v>0</v>
      </c>
      <c r="R134" s="3">
        <f>intermediate_results[[#This Row], [Team1 laps '[laps']]] - intermediate_results[[#This Row], [Team8 laps '[laps']]]</f>
        <v>0</v>
      </c>
      <c r="S134" s="3">
        <f>intermediate_results[[#This Row], [Team1 laps '[laps']]] - intermediate_results[[#This Row], [Team9 laps '[laps']]]</f>
        <v>0</v>
      </c>
      <c r="T134" s="3">
        <f>MAX(intermediate_results[[#This Row], [Team1 laps '[laps']]:[Team9 laps '[laps']]]) - intermediate_results[[#This Row], [Team1 laps '[laps']]]</f>
        <v>0</v>
      </c>
      <c r="U134" s="3">
        <f>MAX(intermediate_results[[#This Row], [Team1 laps '[laps']]:[Team9 laps '[laps']]]) - intermediate_results[[#This Row], [Team2 laps '[laps']]]</f>
        <v>0</v>
      </c>
      <c r="V134" s="3">
        <f>MAX(intermediate_results[[#This Row], [Team1 laps '[laps']]:[Team9 laps '[laps']]]) - intermediate_results[[#This Row], [Team3 laps '[laps']]]</f>
        <v>0</v>
      </c>
      <c r="W134" s="3">
        <f>MAX(intermediate_results[[#This Row], [Team1 laps '[laps']]:[Team9 laps '[laps']]]) - intermediate_results[[#This Row], [Team4 laps '[laps']]]</f>
        <v>0</v>
      </c>
      <c r="X134" s="3">
        <f>MAX(intermediate_results[[#This Row], [Team1 laps '[laps']]:[Team9 laps '[laps']]]) - intermediate_results[[#This Row], [Team5 laps '[laps']]]</f>
        <v>0</v>
      </c>
      <c r="Y134" s="3">
        <f>MAX(intermediate_results[[#This Row], [Team1 laps '[laps']]:[Team9 laps '[laps']]]) - intermediate_results[[#This Row], [Team6 laps '[laps']]]</f>
        <v>0</v>
      </c>
      <c r="Z134" s="3">
        <f>MAX(intermediate_results[[#This Row], [Team1 laps '[laps']]:[Team9 laps '[laps']]]) - intermediate_results[[#This Row], [Team7 laps '[laps']]]</f>
        <v>0</v>
      </c>
      <c r="AA134" s="3">
        <f>MAX(intermediate_results[[#This Row], [Team1 laps '[laps']]:[Team9 laps '[laps']]]) - intermediate_results[[#This Row], [Team8 laps '[laps']]]</f>
        <v>0</v>
      </c>
      <c r="AB134" s="3">
        <f>MAX(intermediate_results[[#This Row], [Team1 laps '[laps']]:[Team9 laps '[laps']]]) - intermediate_results[[#This Row], [Team9 laps '[laps']]]</f>
        <v>0</v>
      </c>
      <c r="AC134" s="3">
        <f>9 * intermediate_results[[#This Row], [All cumulative times '[sec']]] / SUM(intermediate_results[[#This Row], [Team1 laps '[laps']]:[Team9 laps '[laps']]])</f>
        <v>0</v>
      </c>
      <c r="AD134" s="3">
        <f>intermediate_results[[#This Row], [All cumulative times '[sec']]] / intermediate_results[[#This Row], [Team1 laps '[laps']]] - intermediate_results[[#This Row], [Total running average '[sec']]]</f>
        <v>0</v>
      </c>
      <c r="AE134" s="3">
        <f>intermediate_results[[#This Row], [All cumulative times '[sec']]] / intermediate_results[[#This Row], [Team2 laps '[laps']]] - intermediate_results[[#This Row], [Total running average '[sec']]]</f>
        <v>0</v>
      </c>
      <c r="AF134" s="3">
        <f>intermediate_results[[#This Row], [All cumulative times '[sec']]] / intermediate_results[[#This Row], [Team3 laps '[laps']]] - intermediate_results[[#This Row], [Total running average '[sec']]]</f>
        <v>0</v>
      </c>
      <c r="AG134" s="3">
        <f>intermediate_results[[#This Row], [All cumulative times '[sec']]] / intermediate_results[[#This Row], [Team4 laps '[laps']]] - intermediate_results[[#This Row], [Total running average '[sec']]]</f>
        <v>0</v>
      </c>
      <c r="AH134" s="3">
        <f>intermediate_results[[#This Row], [All cumulative times '[sec']]] / intermediate_results[[#This Row], [Team5 laps '[laps']]] - intermediate_results[[#This Row], [Total running average '[sec']]]</f>
        <v>0</v>
      </c>
      <c r="AI134" s="3">
        <f>intermediate_results[[#This Row], [All cumulative times '[sec']]] / intermediate_results[[#This Row], [Team6 laps '[laps']]] - intermediate_results[[#This Row], [Total running average '[sec']]]</f>
        <v>0</v>
      </c>
      <c r="AJ134" s="3">
        <f>intermediate_results[[#This Row], [All cumulative times '[sec']]] / intermediate_results[[#This Row], [Team7 laps '[laps']]] - intermediate_results[[#This Row], [Total running average '[sec']]]</f>
        <v>0</v>
      </c>
      <c r="AK134" s="3">
        <f>intermediate_results[[#This Row], [All cumulative times '[sec']]] / intermediate_results[[#This Row], [Team8 laps '[laps']]] - intermediate_results[[#This Row], [Total running average '[sec']]]</f>
        <v>0</v>
      </c>
      <c r="AL134" s="3">
        <f>intermediate_results[[#This Row], [All cumulative times '[sec']]] / intermediate_results[[#This Row], [Team9 laps '[laps']]] - intermediate_results[[#This Row], [Total running average '[sec']]]</f>
        <v>0</v>
      </c>
    </row>
    <row r="135" spans="1:38">
      <c r="A135" s="3">
        <v>845.6689999999999</v>
      </c>
      <c r="B13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5" s="3">
        <f>intermediate_results[[#This Row], [Team1 laps '[laps']]] - intermediate_results[[#This Row], [Team1 laps '[laps']]]</f>
        <v>0</v>
      </c>
      <c r="L135" s="3">
        <f>intermediate_results[[#This Row], [Team1 laps '[laps']]] - intermediate_results[[#This Row], [Team2 laps '[laps']]]</f>
        <v>0</v>
      </c>
      <c r="M135" s="3">
        <f>intermediate_results[[#This Row], [Team1 laps '[laps']]] - intermediate_results[[#This Row], [Team3 laps '[laps']]]</f>
        <v>0</v>
      </c>
      <c r="N135" s="3">
        <f>intermediate_results[[#This Row], [Team1 laps '[laps']]] - intermediate_results[[#This Row], [Team4 laps '[laps']]]</f>
        <v>0</v>
      </c>
      <c r="O135" s="3">
        <f>intermediate_results[[#This Row], [Team1 laps '[laps']]] - intermediate_results[[#This Row], [Team5 laps '[laps']]]</f>
        <v>0</v>
      </c>
      <c r="P135" s="3">
        <f>intermediate_results[[#This Row], [Team1 laps '[laps']]] - intermediate_results[[#This Row], [Team6 laps '[laps']]]</f>
        <v>0</v>
      </c>
      <c r="Q135" s="3">
        <f>intermediate_results[[#This Row], [Team1 laps '[laps']]] - intermediate_results[[#This Row], [Team7 laps '[laps']]]</f>
        <v>0</v>
      </c>
      <c r="R135" s="3">
        <f>intermediate_results[[#This Row], [Team1 laps '[laps']]] - intermediate_results[[#This Row], [Team8 laps '[laps']]]</f>
        <v>0</v>
      </c>
      <c r="S135" s="3">
        <f>intermediate_results[[#This Row], [Team1 laps '[laps']]] - intermediate_results[[#This Row], [Team9 laps '[laps']]]</f>
        <v>0</v>
      </c>
      <c r="T135" s="3">
        <f>MAX(intermediate_results[[#This Row], [Team1 laps '[laps']]:[Team9 laps '[laps']]]) - intermediate_results[[#This Row], [Team1 laps '[laps']]]</f>
        <v>0</v>
      </c>
      <c r="U135" s="3">
        <f>MAX(intermediate_results[[#This Row], [Team1 laps '[laps']]:[Team9 laps '[laps']]]) - intermediate_results[[#This Row], [Team2 laps '[laps']]]</f>
        <v>0</v>
      </c>
      <c r="V135" s="3">
        <f>MAX(intermediate_results[[#This Row], [Team1 laps '[laps']]:[Team9 laps '[laps']]]) - intermediate_results[[#This Row], [Team3 laps '[laps']]]</f>
        <v>0</v>
      </c>
      <c r="W135" s="3">
        <f>MAX(intermediate_results[[#This Row], [Team1 laps '[laps']]:[Team9 laps '[laps']]]) - intermediate_results[[#This Row], [Team4 laps '[laps']]]</f>
        <v>0</v>
      </c>
      <c r="X135" s="3">
        <f>MAX(intermediate_results[[#This Row], [Team1 laps '[laps']]:[Team9 laps '[laps']]]) - intermediate_results[[#This Row], [Team5 laps '[laps']]]</f>
        <v>0</v>
      </c>
      <c r="Y135" s="3">
        <f>MAX(intermediate_results[[#This Row], [Team1 laps '[laps']]:[Team9 laps '[laps']]]) - intermediate_results[[#This Row], [Team6 laps '[laps']]]</f>
        <v>0</v>
      </c>
      <c r="Z135" s="3">
        <f>MAX(intermediate_results[[#This Row], [Team1 laps '[laps']]:[Team9 laps '[laps']]]) - intermediate_results[[#This Row], [Team7 laps '[laps']]]</f>
        <v>0</v>
      </c>
      <c r="AA135" s="3">
        <f>MAX(intermediate_results[[#This Row], [Team1 laps '[laps']]:[Team9 laps '[laps']]]) - intermediate_results[[#This Row], [Team8 laps '[laps']]]</f>
        <v>0</v>
      </c>
      <c r="AB135" s="3">
        <f>MAX(intermediate_results[[#This Row], [Team1 laps '[laps']]:[Team9 laps '[laps']]]) - intermediate_results[[#This Row], [Team9 laps '[laps']]]</f>
        <v>0</v>
      </c>
      <c r="AC135" s="3">
        <f>9 * intermediate_results[[#This Row], [All cumulative times '[sec']]] / SUM(intermediate_results[[#This Row], [Team1 laps '[laps']]:[Team9 laps '[laps']]])</f>
        <v>0</v>
      </c>
      <c r="AD135" s="3">
        <f>intermediate_results[[#This Row], [All cumulative times '[sec']]] / intermediate_results[[#This Row], [Team1 laps '[laps']]] - intermediate_results[[#This Row], [Total running average '[sec']]]</f>
        <v>0</v>
      </c>
      <c r="AE135" s="3">
        <f>intermediate_results[[#This Row], [All cumulative times '[sec']]] / intermediate_results[[#This Row], [Team2 laps '[laps']]] - intermediate_results[[#This Row], [Total running average '[sec']]]</f>
        <v>0</v>
      </c>
      <c r="AF135" s="3">
        <f>intermediate_results[[#This Row], [All cumulative times '[sec']]] / intermediate_results[[#This Row], [Team3 laps '[laps']]] - intermediate_results[[#This Row], [Total running average '[sec']]]</f>
        <v>0</v>
      </c>
      <c r="AG135" s="3">
        <f>intermediate_results[[#This Row], [All cumulative times '[sec']]] / intermediate_results[[#This Row], [Team4 laps '[laps']]] - intermediate_results[[#This Row], [Total running average '[sec']]]</f>
        <v>0</v>
      </c>
      <c r="AH135" s="3">
        <f>intermediate_results[[#This Row], [All cumulative times '[sec']]] / intermediate_results[[#This Row], [Team5 laps '[laps']]] - intermediate_results[[#This Row], [Total running average '[sec']]]</f>
        <v>0</v>
      </c>
      <c r="AI135" s="3">
        <f>intermediate_results[[#This Row], [All cumulative times '[sec']]] / intermediate_results[[#This Row], [Team6 laps '[laps']]] - intermediate_results[[#This Row], [Total running average '[sec']]]</f>
        <v>0</v>
      </c>
      <c r="AJ135" s="3">
        <f>intermediate_results[[#This Row], [All cumulative times '[sec']]] / intermediate_results[[#This Row], [Team7 laps '[laps']]] - intermediate_results[[#This Row], [Total running average '[sec']]]</f>
        <v>0</v>
      </c>
      <c r="AK135" s="3">
        <f>intermediate_results[[#This Row], [All cumulative times '[sec']]] / intermediate_results[[#This Row], [Team8 laps '[laps']]] - intermediate_results[[#This Row], [Total running average '[sec']]]</f>
        <v>0</v>
      </c>
      <c r="AL135" s="3">
        <f>intermediate_results[[#This Row], [All cumulative times '[sec']]] / intermediate_results[[#This Row], [Team9 laps '[laps']]] - intermediate_results[[#This Row], [Total running average '[sec']]]</f>
        <v>0</v>
      </c>
    </row>
    <row r="136" spans="1:38">
      <c r="A136" s="3">
        <v>846.6819999999998</v>
      </c>
      <c r="B13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6" s="3">
        <f>intermediate_results[[#This Row], [Team1 laps '[laps']]] - intermediate_results[[#This Row], [Team1 laps '[laps']]]</f>
        <v>0</v>
      </c>
      <c r="L136" s="3">
        <f>intermediate_results[[#This Row], [Team1 laps '[laps']]] - intermediate_results[[#This Row], [Team2 laps '[laps']]]</f>
        <v>0</v>
      </c>
      <c r="M136" s="3">
        <f>intermediate_results[[#This Row], [Team1 laps '[laps']]] - intermediate_results[[#This Row], [Team3 laps '[laps']]]</f>
        <v>0</v>
      </c>
      <c r="N136" s="3">
        <f>intermediate_results[[#This Row], [Team1 laps '[laps']]] - intermediate_results[[#This Row], [Team4 laps '[laps']]]</f>
        <v>0</v>
      </c>
      <c r="O136" s="3">
        <f>intermediate_results[[#This Row], [Team1 laps '[laps']]] - intermediate_results[[#This Row], [Team5 laps '[laps']]]</f>
        <v>0</v>
      </c>
      <c r="P136" s="3">
        <f>intermediate_results[[#This Row], [Team1 laps '[laps']]] - intermediate_results[[#This Row], [Team6 laps '[laps']]]</f>
        <v>0</v>
      </c>
      <c r="Q136" s="3">
        <f>intermediate_results[[#This Row], [Team1 laps '[laps']]] - intermediate_results[[#This Row], [Team7 laps '[laps']]]</f>
        <v>0</v>
      </c>
      <c r="R136" s="3">
        <f>intermediate_results[[#This Row], [Team1 laps '[laps']]] - intermediate_results[[#This Row], [Team8 laps '[laps']]]</f>
        <v>0</v>
      </c>
      <c r="S136" s="3">
        <f>intermediate_results[[#This Row], [Team1 laps '[laps']]] - intermediate_results[[#This Row], [Team9 laps '[laps']]]</f>
        <v>0</v>
      </c>
      <c r="T136" s="3">
        <f>MAX(intermediate_results[[#This Row], [Team1 laps '[laps']]:[Team9 laps '[laps']]]) - intermediate_results[[#This Row], [Team1 laps '[laps']]]</f>
        <v>0</v>
      </c>
      <c r="U136" s="3">
        <f>MAX(intermediate_results[[#This Row], [Team1 laps '[laps']]:[Team9 laps '[laps']]]) - intermediate_results[[#This Row], [Team2 laps '[laps']]]</f>
        <v>0</v>
      </c>
      <c r="V136" s="3">
        <f>MAX(intermediate_results[[#This Row], [Team1 laps '[laps']]:[Team9 laps '[laps']]]) - intermediate_results[[#This Row], [Team3 laps '[laps']]]</f>
        <v>0</v>
      </c>
      <c r="W136" s="3">
        <f>MAX(intermediate_results[[#This Row], [Team1 laps '[laps']]:[Team9 laps '[laps']]]) - intermediate_results[[#This Row], [Team4 laps '[laps']]]</f>
        <v>0</v>
      </c>
      <c r="X136" s="3">
        <f>MAX(intermediate_results[[#This Row], [Team1 laps '[laps']]:[Team9 laps '[laps']]]) - intermediate_results[[#This Row], [Team5 laps '[laps']]]</f>
        <v>0</v>
      </c>
      <c r="Y136" s="3">
        <f>MAX(intermediate_results[[#This Row], [Team1 laps '[laps']]:[Team9 laps '[laps']]]) - intermediate_results[[#This Row], [Team6 laps '[laps']]]</f>
        <v>0</v>
      </c>
      <c r="Z136" s="3">
        <f>MAX(intermediate_results[[#This Row], [Team1 laps '[laps']]:[Team9 laps '[laps']]]) - intermediate_results[[#This Row], [Team7 laps '[laps']]]</f>
        <v>0</v>
      </c>
      <c r="AA136" s="3">
        <f>MAX(intermediate_results[[#This Row], [Team1 laps '[laps']]:[Team9 laps '[laps']]]) - intermediate_results[[#This Row], [Team8 laps '[laps']]]</f>
        <v>0</v>
      </c>
      <c r="AB136" s="3">
        <f>MAX(intermediate_results[[#This Row], [Team1 laps '[laps']]:[Team9 laps '[laps']]]) - intermediate_results[[#This Row], [Team9 laps '[laps']]]</f>
        <v>0</v>
      </c>
      <c r="AC136" s="3">
        <f>9 * intermediate_results[[#This Row], [All cumulative times '[sec']]] / SUM(intermediate_results[[#This Row], [Team1 laps '[laps']]:[Team9 laps '[laps']]])</f>
        <v>0</v>
      </c>
      <c r="AD136" s="3">
        <f>intermediate_results[[#This Row], [All cumulative times '[sec']]] / intermediate_results[[#This Row], [Team1 laps '[laps']]] - intermediate_results[[#This Row], [Total running average '[sec']]]</f>
        <v>0</v>
      </c>
      <c r="AE136" s="3">
        <f>intermediate_results[[#This Row], [All cumulative times '[sec']]] / intermediate_results[[#This Row], [Team2 laps '[laps']]] - intermediate_results[[#This Row], [Total running average '[sec']]]</f>
        <v>0</v>
      </c>
      <c r="AF136" s="3">
        <f>intermediate_results[[#This Row], [All cumulative times '[sec']]] / intermediate_results[[#This Row], [Team3 laps '[laps']]] - intermediate_results[[#This Row], [Total running average '[sec']]]</f>
        <v>0</v>
      </c>
      <c r="AG136" s="3">
        <f>intermediate_results[[#This Row], [All cumulative times '[sec']]] / intermediate_results[[#This Row], [Team4 laps '[laps']]] - intermediate_results[[#This Row], [Total running average '[sec']]]</f>
        <v>0</v>
      </c>
      <c r="AH136" s="3">
        <f>intermediate_results[[#This Row], [All cumulative times '[sec']]] / intermediate_results[[#This Row], [Team5 laps '[laps']]] - intermediate_results[[#This Row], [Total running average '[sec']]]</f>
        <v>0</v>
      </c>
      <c r="AI136" s="3">
        <f>intermediate_results[[#This Row], [All cumulative times '[sec']]] / intermediate_results[[#This Row], [Team6 laps '[laps']]] - intermediate_results[[#This Row], [Total running average '[sec']]]</f>
        <v>0</v>
      </c>
      <c r="AJ136" s="3">
        <f>intermediate_results[[#This Row], [All cumulative times '[sec']]] / intermediate_results[[#This Row], [Team7 laps '[laps']]] - intermediate_results[[#This Row], [Total running average '[sec']]]</f>
        <v>0</v>
      </c>
      <c r="AK136" s="3">
        <f>intermediate_results[[#This Row], [All cumulative times '[sec']]] / intermediate_results[[#This Row], [Team8 laps '[laps']]] - intermediate_results[[#This Row], [Total running average '[sec']]]</f>
        <v>0</v>
      </c>
      <c r="AL136" s="3">
        <f>intermediate_results[[#This Row], [All cumulative times '[sec']]] / intermediate_results[[#This Row], [Team9 laps '[laps']]] - intermediate_results[[#This Row], [Total running average '[sec']]]</f>
        <v>0</v>
      </c>
    </row>
    <row r="137" spans="1:38">
      <c r="A137" s="3">
        <v>850.2489999999998</v>
      </c>
      <c r="B13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7" s="3">
        <f>intermediate_results[[#This Row], [Team1 laps '[laps']]] - intermediate_results[[#This Row], [Team1 laps '[laps']]]</f>
        <v>0</v>
      </c>
      <c r="L137" s="3">
        <f>intermediate_results[[#This Row], [Team1 laps '[laps']]] - intermediate_results[[#This Row], [Team2 laps '[laps']]]</f>
        <v>0</v>
      </c>
      <c r="M137" s="3">
        <f>intermediate_results[[#This Row], [Team1 laps '[laps']]] - intermediate_results[[#This Row], [Team3 laps '[laps']]]</f>
        <v>0</v>
      </c>
      <c r="N137" s="3">
        <f>intermediate_results[[#This Row], [Team1 laps '[laps']]] - intermediate_results[[#This Row], [Team4 laps '[laps']]]</f>
        <v>0</v>
      </c>
      <c r="O137" s="3">
        <f>intermediate_results[[#This Row], [Team1 laps '[laps']]] - intermediate_results[[#This Row], [Team5 laps '[laps']]]</f>
        <v>0</v>
      </c>
      <c r="P137" s="3">
        <f>intermediate_results[[#This Row], [Team1 laps '[laps']]] - intermediate_results[[#This Row], [Team6 laps '[laps']]]</f>
        <v>0</v>
      </c>
      <c r="Q137" s="3">
        <f>intermediate_results[[#This Row], [Team1 laps '[laps']]] - intermediate_results[[#This Row], [Team7 laps '[laps']]]</f>
        <v>0</v>
      </c>
      <c r="R137" s="3">
        <f>intermediate_results[[#This Row], [Team1 laps '[laps']]] - intermediate_results[[#This Row], [Team8 laps '[laps']]]</f>
        <v>0</v>
      </c>
      <c r="S137" s="3">
        <f>intermediate_results[[#This Row], [Team1 laps '[laps']]] - intermediate_results[[#This Row], [Team9 laps '[laps']]]</f>
        <v>0</v>
      </c>
      <c r="T137" s="3">
        <f>MAX(intermediate_results[[#This Row], [Team1 laps '[laps']]:[Team9 laps '[laps']]]) - intermediate_results[[#This Row], [Team1 laps '[laps']]]</f>
        <v>0</v>
      </c>
      <c r="U137" s="3">
        <f>MAX(intermediate_results[[#This Row], [Team1 laps '[laps']]:[Team9 laps '[laps']]]) - intermediate_results[[#This Row], [Team2 laps '[laps']]]</f>
        <v>0</v>
      </c>
      <c r="V137" s="3">
        <f>MAX(intermediate_results[[#This Row], [Team1 laps '[laps']]:[Team9 laps '[laps']]]) - intermediate_results[[#This Row], [Team3 laps '[laps']]]</f>
        <v>0</v>
      </c>
      <c r="W137" s="3">
        <f>MAX(intermediate_results[[#This Row], [Team1 laps '[laps']]:[Team9 laps '[laps']]]) - intermediate_results[[#This Row], [Team4 laps '[laps']]]</f>
        <v>0</v>
      </c>
      <c r="X137" s="3">
        <f>MAX(intermediate_results[[#This Row], [Team1 laps '[laps']]:[Team9 laps '[laps']]]) - intermediate_results[[#This Row], [Team5 laps '[laps']]]</f>
        <v>0</v>
      </c>
      <c r="Y137" s="3">
        <f>MAX(intermediate_results[[#This Row], [Team1 laps '[laps']]:[Team9 laps '[laps']]]) - intermediate_results[[#This Row], [Team6 laps '[laps']]]</f>
        <v>0</v>
      </c>
      <c r="Z137" s="3">
        <f>MAX(intermediate_results[[#This Row], [Team1 laps '[laps']]:[Team9 laps '[laps']]]) - intermediate_results[[#This Row], [Team7 laps '[laps']]]</f>
        <v>0</v>
      </c>
      <c r="AA137" s="3">
        <f>MAX(intermediate_results[[#This Row], [Team1 laps '[laps']]:[Team9 laps '[laps']]]) - intermediate_results[[#This Row], [Team8 laps '[laps']]]</f>
        <v>0</v>
      </c>
      <c r="AB137" s="3">
        <f>MAX(intermediate_results[[#This Row], [Team1 laps '[laps']]:[Team9 laps '[laps']]]) - intermediate_results[[#This Row], [Team9 laps '[laps']]]</f>
        <v>0</v>
      </c>
      <c r="AC137" s="3">
        <f>9 * intermediate_results[[#This Row], [All cumulative times '[sec']]] / SUM(intermediate_results[[#This Row], [Team1 laps '[laps']]:[Team9 laps '[laps']]])</f>
        <v>0</v>
      </c>
      <c r="AD137" s="3">
        <f>intermediate_results[[#This Row], [All cumulative times '[sec']]] / intermediate_results[[#This Row], [Team1 laps '[laps']]] - intermediate_results[[#This Row], [Total running average '[sec']]]</f>
        <v>0</v>
      </c>
      <c r="AE137" s="3">
        <f>intermediate_results[[#This Row], [All cumulative times '[sec']]] / intermediate_results[[#This Row], [Team2 laps '[laps']]] - intermediate_results[[#This Row], [Total running average '[sec']]]</f>
        <v>0</v>
      </c>
      <c r="AF137" s="3">
        <f>intermediate_results[[#This Row], [All cumulative times '[sec']]] / intermediate_results[[#This Row], [Team3 laps '[laps']]] - intermediate_results[[#This Row], [Total running average '[sec']]]</f>
        <v>0</v>
      </c>
      <c r="AG137" s="3">
        <f>intermediate_results[[#This Row], [All cumulative times '[sec']]] / intermediate_results[[#This Row], [Team4 laps '[laps']]] - intermediate_results[[#This Row], [Total running average '[sec']]]</f>
        <v>0</v>
      </c>
      <c r="AH137" s="3">
        <f>intermediate_results[[#This Row], [All cumulative times '[sec']]] / intermediate_results[[#This Row], [Team5 laps '[laps']]] - intermediate_results[[#This Row], [Total running average '[sec']]]</f>
        <v>0</v>
      </c>
      <c r="AI137" s="3">
        <f>intermediate_results[[#This Row], [All cumulative times '[sec']]] / intermediate_results[[#This Row], [Team6 laps '[laps']]] - intermediate_results[[#This Row], [Total running average '[sec']]]</f>
        <v>0</v>
      </c>
      <c r="AJ137" s="3">
        <f>intermediate_results[[#This Row], [All cumulative times '[sec']]] / intermediate_results[[#This Row], [Team7 laps '[laps']]] - intermediate_results[[#This Row], [Total running average '[sec']]]</f>
        <v>0</v>
      </c>
      <c r="AK137" s="3">
        <f>intermediate_results[[#This Row], [All cumulative times '[sec']]] / intermediate_results[[#This Row], [Team8 laps '[laps']]] - intermediate_results[[#This Row], [Total running average '[sec']]]</f>
        <v>0</v>
      </c>
      <c r="AL137" s="3">
        <f>intermediate_results[[#This Row], [All cumulative times '[sec']]] / intermediate_results[[#This Row], [Team9 laps '[laps']]] - intermediate_results[[#This Row], [Total running average '[sec']]]</f>
        <v>0</v>
      </c>
    </row>
    <row r="138" spans="1:38">
      <c r="A138" s="3">
        <v>851.0599999999999</v>
      </c>
      <c r="B13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8" s="3">
        <f>intermediate_results[[#This Row], [Team1 laps '[laps']]] - intermediate_results[[#This Row], [Team1 laps '[laps']]]</f>
        <v>0</v>
      </c>
      <c r="L138" s="3">
        <f>intermediate_results[[#This Row], [Team1 laps '[laps']]] - intermediate_results[[#This Row], [Team2 laps '[laps']]]</f>
        <v>0</v>
      </c>
      <c r="M138" s="3">
        <f>intermediate_results[[#This Row], [Team1 laps '[laps']]] - intermediate_results[[#This Row], [Team3 laps '[laps']]]</f>
        <v>0</v>
      </c>
      <c r="N138" s="3">
        <f>intermediate_results[[#This Row], [Team1 laps '[laps']]] - intermediate_results[[#This Row], [Team4 laps '[laps']]]</f>
        <v>0</v>
      </c>
      <c r="O138" s="3">
        <f>intermediate_results[[#This Row], [Team1 laps '[laps']]] - intermediate_results[[#This Row], [Team5 laps '[laps']]]</f>
        <v>0</v>
      </c>
      <c r="P138" s="3">
        <f>intermediate_results[[#This Row], [Team1 laps '[laps']]] - intermediate_results[[#This Row], [Team6 laps '[laps']]]</f>
        <v>0</v>
      </c>
      <c r="Q138" s="3">
        <f>intermediate_results[[#This Row], [Team1 laps '[laps']]] - intermediate_results[[#This Row], [Team7 laps '[laps']]]</f>
        <v>0</v>
      </c>
      <c r="R138" s="3">
        <f>intermediate_results[[#This Row], [Team1 laps '[laps']]] - intermediate_results[[#This Row], [Team8 laps '[laps']]]</f>
        <v>0</v>
      </c>
      <c r="S138" s="3">
        <f>intermediate_results[[#This Row], [Team1 laps '[laps']]] - intermediate_results[[#This Row], [Team9 laps '[laps']]]</f>
        <v>0</v>
      </c>
      <c r="T138" s="3">
        <f>MAX(intermediate_results[[#This Row], [Team1 laps '[laps']]:[Team9 laps '[laps']]]) - intermediate_results[[#This Row], [Team1 laps '[laps']]]</f>
        <v>0</v>
      </c>
      <c r="U138" s="3">
        <f>MAX(intermediate_results[[#This Row], [Team1 laps '[laps']]:[Team9 laps '[laps']]]) - intermediate_results[[#This Row], [Team2 laps '[laps']]]</f>
        <v>0</v>
      </c>
      <c r="V138" s="3">
        <f>MAX(intermediate_results[[#This Row], [Team1 laps '[laps']]:[Team9 laps '[laps']]]) - intermediate_results[[#This Row], [Team3 laps '[laps']]]</f>
        <v>0</v>
      </c>
      <c r="W138" s="3">
        <f>MAX(intermediate_results[[#This Row], [Team1 laps '[laps']]:[Team9 laps '[laps']]]) - intermediate_results[[#This Row], [Team4 laps '[laps']]]</f>
        <v>0</v>
      </c>
      <c r="X138" s="3">
        <f>MAX(intermediate_results[[#This Row], [Team1 laps '[laps']]:[Team9 laps '[laps']]]) - intermediate_results[[#This Row], [Team5 laps '[laps']]]</f>
        <v>0</v>
      </c>
      <c r="Y138" s="3">
        <f>MAX(intermediate_results[[#This Row], [Team1 laps '[laps']]:[Team9 laps '[laps']]]) - intermediate_results[[#This Row], [Team6 laps '[laps']]]</f>
        <v>0</v>
      </c>
      <c r="Z138" s="3">
        <f>MAX(intermediate_results[[#This Row], [Team1 laps '[laps']]:[Team9 laps '[laps']]]) - intermediate_results[[#This Row], [Team7 laps '[laps']]]</f>
        <v>0</v>
      </c>
      <c r="AA138" s="3">
        <f>MAX(intermediate_results[[#This Row], [Team1 laps '[laps']]:[Team9 laps '[laps']]]) - intermediate_results[[#This Row], [Team8 laps '[laps']]]</f>
        <v>0</v>
      </c>
      <c r="AB138" s="3">
        <f>MAX(intermediate_results[[#This Row], [Team1 laps '[laps']]:[Team9 laps '[laps']]]) - intermediate_results[[#This Row], [Team9 laps '[laps']]]</f>
        <v>0</v>
      </c>
      <c r="AC138" s="3">
        <f>9 * intermediate_results[[#This Row], [All cumulative times '[sec']]] / SUM(intermediate_results[[#This Row], [Team1 laps '[laps']]:[Team9 laps '[laps']]])</f>
        <v>0</v>
      </c>
      <c r="AD138" s="3">
        <f>intermediate_results[[#This Row], [All cumulative times '[sec']]] / intermediate_results[[#This Row], [Team1 laps '[laps']]] - intermediate_results[[#This Row], [Total running average '[sec']]]</f>
        <v>0</v>
      </c>
      <c r="AE138" s="3">
        <f>intermediate_results[[#This Row], [All cumulative times '[sec']]] / intermediate_results[[#This Row], [Team2 laps '[laps']]] - intermediate_results[[#This Row], [Total running average '[sec']]]</f>
        <v>0</v>
      </c>
      <c r="AF138" s="3">
        <f>intermediate_results[[#This Row], [All cumulative times '[sec']]] / intermediate_results[[#This Row], [Team3 laps '[laps']]] - intermediate_results[[#This Row], [Total running average '[sec']]]</f>
        <v>0</v>
      </c>
      <c r="AG138" s="3">
        <f>intermediate_results[[#This Row], [All cumulative times '[sec']]] / intermediate_results[[#This Row], [Team4 laps '[laps']]] - intermediate_results[[#This Row], [Total running average '[sec']]]</f>
        <v>0</v>
      </c>
      <c r="AH138" s="3">
        <f>intermediate_results[[#This Row], [All cumulative times '[sec']]] / intermediate_results[[#This Row], [Team5 laps '[laps']]] - intermediate_results[[#This Row], [Total running average '[sec']]]</f>
        <v>0</v>
      </c>
      <c r="AI138" s="3">
        <f>intermediate_results[[#This Row], [All cumulative times '[sec']]] / intermediate_results[[#This Row], [Team6 laps '[laps']]] - intermediate_results[[#This Row], [Total running average '[sec']]]</f>
        <v>0</v>
      </c>
      <c r="AJ138" s="3">
        <f>intermediate_results[[#This Row], [All cumulative times '[sec']]] / intermediate_results[[#This Row], [Team7 laps '[laps']]] - intermediate_results[[#This Row], [Total running average '[sec']]]</f>
        <v>0</v>
      </c>
      <c r="AK138" s="3">
        <f>intermediate_results[[#This Row], [All cumulative times '[sec']]] / intermediate_results[[#This Row], [Team8 laps '[laps']]] - intermediate_results[[#This Row], [Total running average '[sec']]]</f>
        <v>0</v>
      </c>
      <c r="AL138" s="3">
        <f>intermediate_results[[#This Row], [All cumulative times '[sec']]] / intermediate_results[[#This Row], [Team9 laps '[laps']]] - intermediate_results[[#This Row], [Total running average '[sec']]]</f>
        <v>0</v>
      </c>
    </row>
    <row r="139" spans="1:38">
      <c r="A139" s="3">
        <v>862.0069999999999</v>
      </c>
      <c r="B13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3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3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3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3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3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3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3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3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39" s="3">
        <f>intermediate_results[[#This Row], [Team1 laps '[laps']]] - intermediate_results[[#This Row], [Team1 laps '[laps']]]</f>
        <v>0</v>
      </c>
      <c r="L139" s="3">
        <f>intermediate_results[[#This Row], [Team1 laps '[laps']]] - intermediate_results[[#This Row], [Team2 laps '[laps']]]</f>
        <v>0</v>
      </c>
      <c r="M139" s="3">
        <f>intermediate_results[[#This Row], [Team1 laps '[laps']]] - intermediate_results[[#This Row], [Team3 laps '[laps']]]</f>
        <v>0</v>
      </c>
      <c r="N139" s="3">
        <f>intermediate_results[[#This Row], [Team1 laps '[laps']]] - intermediate_results[[#This Row], [Team4 laps '[laps']]]</f>
        <v>0</v>
      </c>
      <c r="O139" s="3">
        <f>intermediate_results[[#This Row], [Team1 laps '[laps']]] - intermediate_results[[#This Row], [Team5 laps '[laps']]]</f>
        <v>0</v>
      </c>
      <c r="P139" s="3">
        <f>intermediate_results[[#This Row], [Team1 laps '[laps']]] - intermediate_results[[#This Row], [Team6 laps '[laps']]]</f>
        <v>0</v>
      </c>
      <c r="Q139" s="3">
        <f>intermediate_results[[#This Row], [Team1 laps '[laps']]] - intermediate_results[[#This Row], [Team7 laps '[laps']]]</f>
        <v>0</v>
      </c>
      <c r="R139" s="3">
        <f>intermediate_results[[#This Row], [Team1 laps '[laps']]] - intermediate_results[[#This Row], [Team8 laps '[laps']]]</f>
        <v>0</v>
      </c>
      <c r="S139" s="3">
        <f>intermediate_results[[#This Row], [Team1 laps '[laps']]] - intermediate_results[[#This Row], [Team9 laps '[laps']]]</f>
        <v>0</v>
      </c>
      <c r="T139" s="3">
        <f>MAX(intermediate_results[[#This Row], [Team1 laps '[laps']]:[Team9 laps '[laps']]]) - intermediate_results[[#This Row], [Team1 laps '[laps']]]</f>
        <v>0</v>
      </c>
      <c r="U139" s="3">
        <f>MAX(intermediate_results[[#This Row], [Team1 laps '[laps']]:[Team9 laps '[laps']]]) - intermediate_results[[#This Row], [Team2 laps '[laps']]]</f>
        <v>0</v>
      </c>
      <c r="V139" s="3">
        <f>MAX(intermediate_results[[#This Row], [Team1 laps '[laps']]:[Team9 laps '[laps']]]) - intermediate_results[[#This Row], [Team3 laps '[laps']]]</f>
        <v>0</v>
      </c>
      <c r="W139" s="3">
        <f>MAX(intermediate_results[[#This Row], [Team1 laps '[laps']]:[Team9 laps '[laps']]]) - intermediate_results[[#This Row], [Team4 laps '[laps']]]</f>
        <v>0</v>
      </c>
      <c r="X139" s="3">
        <f>MAX(intermediate_results[[#This Row], [Team1 laps '[laps']]:[Team9 laps '[laps']]]) - intermediate_results[[#This Row], [Team5 laps '[laps']]]</f>
        <v>0</v>
      </c>
      <c r="Y139" s="3">
        <f>MAX(intermediate_results[[#This Row], [Team1 laps '[laps']]:[Team9 laps '[laps']]]) - intermediate_results[[#This Row], [Team6 laps '[laps']]]</f>
        <v>0</v>
      </c>
      <c r="Z139" s="3">
        <f>MAX(intermediate_results[[#This Row], [Team1 laps '[laps']]:[Team9 laps '[laps']]]) - intermediate_results[[#This Row], [Team7 laps '[laps']]]</f>
        <v>0</v>
      </c>
      <c r="AA139" s="3">
        <f>MAX(intermediate_results[[#This Row], [Team1 laps '[laps']]:[Team9 laps '[laps']]]) - intermediate_results[[#This Row], [Team8 laps '[laps']]]</f>
        <v>0</v>
      </c>
      <c r="AB139" s="3">
        <f>MAX(intermediate_results[[#This Row], [Team1 laps '[laps']]:[Team9 laps '[laps']]]) - intermediate_results[[#This Row], [Team9 laps '[laps']]]</f>
        <v>0</v>
      </c>
      <c r="AC139" s="3">
        <f>9 * intermediate_results[[#This Row], [All cumulative times '[sec']]] / SUM(intermediate_results[[#This Row], [Team1 laps '[laps']]:[Team9 laps '[laps']]])</f>
        <v>0</v>
      </c>
      <c r="AD139" s="3">
        <f>intermediate_results[[#This Row], [All cumulative times '[sec']]] / intermediate_results[[#This Row], [Team1 laps '[laps']]] - intermediate_results[[#This Row], [Total running average '[sec']]]</f>
        <v>0</v>
      </c>
      <c r="AE139" s="3">
        <f>intermediate_results[[#This Row], [All cumulative times '[sec']]] / intermediate_results[[#This Row], [Team2 laps '[laps']]] - intermediate_results[[#This Row], [Total running average '[sec']]]</f>
        <v>0</v>
      </c>
      <c r="AF139" s="3">
        <f>intermediate_results[[#This Row], [All cumulative times '[sec']]] / intermediate_results[[#This Row], [Team3 laps '[laps']]] - intermediate_results[[#This Row], [Total running average '[sec']]]</f>
        <v>0</v>
      </c>
      <c r="AG139" s="3">
        <f>intermediate_results[[#This Row], [All cumulative times '[sec']]] / intermediate_results[[#This Row], [Team4 laps '[laps']]] - intermediate_results[[#This Row], [Total running average '[sec']]]</f>
        <v>0</v>
      </c>
      <c r="AH139" s="3">
        <f>intermediate_results[[#This Row], [All cumulative times '[sec']]] / intermediate_results[[#This Row], [Team5 laps '[laps']]] - intermediate_results[[#This Row], [Total running average '[sec']]]</f>
        <v>0</v>
      </c>
      <c r="AI139" s="3">
        <f>intermediate_results[[#This Row], [All cumulative times '[sec']]] / intermediate_results[[#This Row], [Team6 laps '[laps']]] - intermediate_results[[#This Row], [Total running average '[sec']]]</f>
        <v>0</v>
      </c>
      <c r="AJ139" s="3">
        <f>intermediate_results[[#This Row], [All cumulative times '[sec']]] / intermediate_results[[#This Row], [Team7 laps '[laps']]] - intermediate_results[[#This Row], [Total running average '[sec']]]</f>
        <v>0</v>
      </c>
      <c r="AK139" s="3">
        <f>intermediate_results[[#This Row], [All cumulative times '[sec']]] / intermediate_results[[#This Row], [Team8 laps '[laps']]] - intermediate_results[[#This Row], [Total running average '[sec']]]</f>
        <v>0</v>
      </c>
      <c r="AL139" s="3">
        <f>intermediate_results[[#This Row], [All cumulative times '[sec']]] / intermediate_results[[#This Row], [Team9 laps '[laps']]] - intermediate_results[[#This Row], [Total running average '[sec']]]</f>
        <v>0</v>
      </c>
    </row>
    <row r="140" spans="1:38">
      <c r="A140" s="3">
        <v>879.5059999999999</v>
      </c>
      <c r="B14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0" s="3">
        <f>intermediate_results[[#This Row], [Team1 laps '[laps']]] - intermediate_results[[#This Row], [Team1 laps '[laps']]]</f>
        <v>0</v>
      </c>
      <c r="L140" s="3">
        <f>intermediate_results[[#This Row], [Team1 laps '[laps']]] - intermediate_results[[#This Row], [Team2 laps '[laps']]]</f>
        <v>0</v>
      </c>
      <c r="M140" s="3">
        <f>intermediate_results[[#This Row], [Team1 laps '[laps']]] - intermediate_results[[#This Row], [Team3 laps '[laps']]]</f>
        <v>0</v>
      </c>
      <c r="N140" s="3">
        <f>intermediate_results[[#This Row], [Team1 laps '[laps']]] - intermediate_results[[#This Row], [Team4 laps '[laps']]]</f>
        <v>0</v>
      </c>
      <c r="O140" s="3">
        <f>intermediate_results[[#This Row], [Team1 laps '[laps']]] - intermediate_results[[#This Row], [Team5 laps '[laps']]]</f>
        <v>0</v>
      </c>
      <c r="P140" s="3">
        <f>intermediate_results[[#This Row], [Team1 laps '[laps']]] - intermediate_results[[#This Row], [Team6 laps '[laps']]]</f>
        <v>0</v>
      </c>
      <c r="Q140" s="3">
        <f>intermediate_results[[#This Row], [Team1 laps '[laps']]] - intermediate_results[[#This Row], [Team7 laps '[laps']]]</f>
        <v>0</v>
      </c>
      <c r="R140" s="3">
        <f>intermediate_results[[#This Row], [Team1 laps '[laps']]] - intermediate_results[[#This Row], [Team8 laps '[laps']]]</f>
        <v>0</v>
      </c>
      <c r="S140" s="3">
        <f>intermediate_results[[#This Row], [Team1 laps '[laps']]] - intermediate_results[[#This Row], [Team9 laps '[laps']]]</f>
        <v>0</v>
      </c>
      <c r="T140" s="3">
        <f>MAX(intermediate_results[[#This Row], [Team1 laps '[laps']]:[Team9 laps '[laps']]]) - intermediate_results[[#This Row], [Team1 laps '[laps']]]</f>
        <v>0</v>
      </c>
      <c r="U140" s="3">
        <f>MAX(intermediate_results[[#This Row], [Team1 laps '[laps']]:[Team9 laps '[laps']]]) - intermediate_results[[#This Row], [Team2 laps '[laps']]]</f>
        <v>0</v>
      </c>
      <c r="V140" s="3">
        <f>MAX(intermediate_results[[#This Row], [Team1 laps '[laps']]:[Team9 laps '[laps']]]) - intermediate_results[[#This Row], [Team3 laps '[laps']]]</f>
        <v>0</v>
      </c>
      <c r="W140" s="3">
        <f>MAX(intermediate_results[[#This Row], [Team1 laps '[laps']]:[Team9 laps '[laps']]]) - intermediate_results[[#This Row], [Team4 laps '[laps']]]</f>
        <v>0</v>
      </c>
      <c r="X140" s="3">
        <f>MAX(intermediate_results[[#This Row], [Team1 laps '[laps']]:[Team9 laps '[laps']]]) - intermediate_results[[#This Row], [Team5 laps '[laps']]]</f>
        <v>0</v>
      </c>
      <c r="Y140" s="3">
        <f>MAX(intermediate_results[[#This Row], [Team1 laps '[laps']]:[Team9 laps '[laps']]]) - intermediate_results[[#This Row], [Team6 laps '[laps']]]</f>
        <v>0</v>
      </c>
      <c r="Z140" s="3">
        <f>MAX(intermediate_results[[#This Row], [Team1 laps '[laps']]:[Team9 laps '[laps']]]) - intermediate_results[[#This Row], [Team7 laps '[laps']]]</f>
        <v>0</v>
      </c>
      <c r="AA140" s="3">
        <f>MAX(intermediate_results[[#This Row], [Team1 laps '[laps']]:[Team9 laps '[laps']]]) - intermediate_results[[#This Row], [Team8 laps '[laps']]]</f>
        <v>0</v>
      </c>
      <c r="AB140" s="3">
        <f>MAX(intermediate_results[[#This Row], [Team1 laps '[laps']]:[Team9 laps '[laps']]]) - intermediate_results[[#This Row], [Team9 laps '[laps']]]</f>
        <v>0</v>
      </c>
      <c r="AC140" s="3">
        <f>9 * intermediate_results[[#This Row], [All cumulative times '[sec']]] / SUM(intermediate_results[[#This Row], [Team1 laps '[laps']]:[Team9 laps '[laps']]])</f>
        <v>0</v>
      </c>
      <c r="AD140" s="3">
        <f>intermediate_results[[#This Row], [All cumulative times '[sec']]] / intermediate_results[[#This Row], [Team1 laps '[laps']]] - intermediate_results[[#This Row], [Total running average '[sec']]]</f>
        <v>0</v>
      </c>
      <c r="AE140" s="3">
        <f>intermediate_results[[#This Row], [All cumulative times '[sec']]] / intermediate_results[[#This Row], [Team2 laps '[laps']]] - intermediate_results[[#This Row], [Total running average '[sec']]]</f>
        <v>0</v>
      </c>
      <c r="AF140" s="3">
        <f>intermediate_results[[#This Row], [All cumulative times '[sec']]] / intermediate_results[[#This Row], [Team3 laps '[laps']]] - intermediate_results[[#This Row], [Total running average '[sec']]]</f>
        <v>0</v>
      </c>
      <c r="AG140" s="3">
        <f>intermediate_results[[#This Row], [All cumulative times '[sec']]] / intermediate_results[[#This Row], [Team4 laps '[laps']]] - intermediate_results[[#This Row], [Total running average '[sec']]]</f>
        <v>0</v>
      </c>
      <c r="AH140" s="3">
        <f>intermediate_results[[#This Row], [All cumulative times '[sec']]] / intermediate_results[[#This Row], [Team5 laps '[laps']]] - intermediate_results[[#This Row], [Total running average '[sec']]]</f>
        <v>0</v>
      </c>
      <c r="AI140" s="3">
        <f>intermediate_results[[#This Row], [All cumulative times '[sec']]] / intermediate_results[[#This Row], [Team6 laps '[laps']]] - intermediate_results[[#This Row], [Total running average '[sec']]]</f>
        <v>0</v>
      </c>
      <c r="AJ140" s="3">
        <f>intermediate_results[[#This Row], [All cumulative times '[sec']]] / intermediate_results[[#This Row], [Team7 laps '[laps']]] - intermediate_results[[#This Row], [Total running average '[sec']]]</f>
        <v>0</v>
      </c>
      <c r="AK140" s="3">
        <f>intermediate_results[[#This Row], [All cumulative times '[sec']]] / intermediate_results[[#This Row], [Team8 laps '[laps']]] - intermediate_results[[#This Row], [Total running average '[sec']]]</f>
        <v>0</v>
      </c>
      <c r="AL140" s="3">
        <f>intermediate_results[[#This Row], [All cumulative times '[sec']]] / intermediate_results[[#This Row], [Team9 laps '[laps']]] - intermediate_results[[#This Row], [Total running average '[sec']]]</f>
        <v>0</v>
      </c>
    </row>
    <row r="141" spans="1:38">
      <c r="A141" s="3">
        <v>880.3339999999999</v>
      </c>
      <c r="B14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1" s="3">
        <f>intermediate_results[[#This Row], [Team1 laps '[laps']]] - intermediate_results[[#This Row], [Team1 laps '[laps']]]</f>
        <v>0</v>
      </c>
      <c r="L141" s="3">
        <f>intermediate_results[[#This Row], [Team1 laps '[laps']]] - intermediate_results[[#This Row], [Team2 laps '[laps']]]</f>
        <v>0</v>
      </c>
      <c r="M141" s="3">
        <f>intermediate_results[[#This Row], [Team1 laps '[laps']]] - intermediate_results[[#This Row], [Team3 laps '[laps']]]</f>
        <v>0</v>
      </c>
      <c r="N141" s="3">
        <f>intermediate_results[[#This Row], [Team1 laps '[laps']]] - intermediate_results[[#This Row], [Team4 laps '[laps']]]</f>
        <v>0</v>
      </c>
      <c r="O141" s="3">
        <f>intermediate_results[[#This Row], [Team1 laps '[laps']]] - intermediate_results[[#This Row], [Team5 laps '[laps']]]</f>
        <v>0</v>
      </c>
      <c r="P141" s="3">
        <f>intermediate_results[[#This Row], [Team1 laps '[laps']]] - intermediate_results[[#This Row], [Team6 laps '[laps']]]</f>
        <v>0</v>
      </c>
      <c r="Q141" s="3">
        <f>intermediate_results[[#This Row], [Team1 laps '[laps']]] - intermediate_results[[#This Row], [Team7 laps '[laps']]]</f>
        <v>0</v>
      </c>
      <c r="R141" s="3">
        <f>intermediate_results[[#This Row], [Team1 laps '[laps']]] - intermediate_results[[#This Row], [Team8 laps '[laps']]]</f>
        <v>0</v>
      </c>
      <c r="S141" s="3">
        <f>intermediate_results[[#This Row], [Team1 laps '[laps']]] - intermediate_results[[#This Row], [Team9 laps '[laps']]]</f>
        <v>0</v>
      </c>
      <c r="T141" s="3">
        <f>MAX(intermediate_results[[#This Row], [Team1 laps '[laps']]:[Team9 laps '[laps']]]) - intermediate_results[[#This Row], [Team1 laps '[laps']]]</f>
        <v>0</v>
      </c>
      <c r="U141" s="3">
        <f>MAX(intermediate_results[[#This Row], [Team1 laps '[laps']]:[Team9 laps '[laps']]]) - intermediate_results[[#This Row], [Team2 laps '[laps']]]</f>
        <v>0</v>
      </c>
      <c r="V141" s="3">
        <f>MAX(intermediate_results[[#This Row], [Team1 laps '[laps']]:[Team9 laps '[laps']]]) - intermediate_results[[#This Row], [Team3 laps '[laps']]]</f>
        <v>0</v>
      </c>
      <c r="W141" s="3">
        <f>MAX(intermediate_results[[#This Row], [Team1 laps '[laps']]:[Team9 laps '[laps']]]) - intermediate_results[[#This Row], [Team4 laps '[laps']]]</f>
        <v>0</v>
      </c>
      <c r="X141" s="3">
        <f>MAX(intermediate_results[[#This Row], [Team1 laps '[laps']]:[Team9 laps '[laps']]]) - intermediate_results[[#This Row], [Team5 laps '[laps']]]</f>
        <v>0</v>
      </c>
      <c r="Y141" s="3">
        <f>MAX(intermediate_results[[#This Row], [Team1 laps '[laps']]:[Team9 laps '[laps']]]) - intermediate_results[[#This Row], [Team6 laps '[laps']]]</f>
        <v>0</v>
      </c>
      <c r="Z141" s="3">
        <f>MAX(intermediate_results[[#This Row], [Team1 laps '[laps']]:[Team9 laps '[laps']]]) - intermediate_results[[#This Row], [Team7 laps '[laps']]]</f>
        <v>0</v>
      </c>
      <c r="AA141" s="3">
        <f>MAX(intermediate_results[[#This Row], [Team1 laps '[laps']]:[Team9 laps '[laps']]]) - intermediate_results[[#This Row], [Team8 laps '[laps']]]</f>
        <v>0</v>
      </c>
      <c r="AB141" s="3">
        <f>MAX(intermediate_results[[#This Row], [Team1 laps '[laps']]:[Team9 laps '[laps']]]) - intermediate_results[[#This Row], [Team9 laps '[laps']]]</f>
        <v>0</v>
      </c>
      <c r="AC141" s="3">
        <f>9 * intermediate_results[[#This Row], [All cumulative times '[sec']]] / SUM(intermediate_results[[#This Row], [Team1 laps '[laps']]:[Team9 laps '[laps']]])</f>
        <v>0</v>
      </c>
      <c r="AD141" s="3">
        <f>intermediate_results[[#This Row], [All cumulative times '[sec']]] / intermediate_results[[#This Row], [Team1 laps '[laps']]] - intermediate_results[[#This Row], [Total running average '[sec']]]</f>
        <v>0</v>
      </c>
      <c r="AE141" s="3">
        <f>intermediate_results[[#This Row], [All cumulative times '[sec']]] / intermediate_results[[#This Row], [Team2 laps '[laps']]] - intermediate_results[[#This Row], [Total running average '[sec']]]</f>
        <v>0</v>
      </c>
      <c r="AF141" s="3">
        <f>intermediate_results[[#This Row], [All cumulative times '[sec']]] / intermediate_results[[#This Row], [Team3 laps '[laps']]] - intermediate_results[[#This Row], [Total running average '[sec']]]</f>
        <v>0</v>
      </c>
      <c r="AG141" s="3">
        <f>intermediate_results[[#This Row], [All cumulative times '[sec']]] / intermediate_results[[#This Row], [Team4 laps '[laps']]] - intermediate_results[[#This Row], [Total running average '[sec']]]</f>
        <v>0</v>
      </c>
      <c r="AH141" s="3">
        <f>intermediate_results[[#This Row], [All cumulative times '[sec']]] / intermediate_results[[#This Row], [Team5 laps '[laps']]] - intermediate_results[[#This Row], [Total running average '[sec']]]</f>
        <v>0</v>
      </c>
      <c r="AI141" s="3">
        <f>intermediate_results[[#This Row], [All cumulative times '[sec']]] / intermediate_results[[#This Row], [Team6 laps '[laps']]] - intermediate_results[[#This Row], [Total running average '[sec']]]</f>
        <v>0</v>
      </c>
      <c r="AJ141" s="3">
        <f>intermediate_results[[#This Row], [All cumulative times '[sec']]] / intermediate_results[[#This Row], [Team7 laps '[laps']]] - intermediate_results[[#This Row], [Total running average '[sec']]]</f>
        <v>0</v>
      </c>
      <c r="AK141" s="3">
        <f>intermediate_results[[#This Row], [All cumulative times '[sec']]] / intermediate_results[[#This Row], [Team8 laps '[laps']]] - intermediate_results[[#This Row], [Total running average '[sec']]]</f>
        <v>0</v>
      </c>
      <c r="AL141" s="3">
        <f>intermediate_results[[#This Row], [All cumulative times '[sec']]] / intermediate_results[[#This Row], [Team9 laps '[laps']]] - intermediate_results[[#This Row], [Total running average '[sec']]]</f>
        <v>0</v>
      </c>
    </row>
    <row r="142" spans="1:38">
      <c r="A142" s="3">
        <v>880.3800000000002</v>
      </c>
      <c r="B14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2" s="3">
        <f>intermediate_results[[#This Row], [Team1 laps '[laps']]] - intermediate_results[[#This Row], [Team1 laps '[laps']]]</f>
        <v>0</v>
      </c>
      <c r="L142" s="3">
        <f>intermediate_results[[#This Row], [Team1 laps '[laps']]] - intermediate_results[[#This Row], [Team2 laps '[laps']]]</f>
        <v>0</v>
      </c>
      <c r="M142" s="3">
        <f>intermediate_results[[#This Row], [Team1 laps '[laps']]] - intermediate_results[[#This Row], [Team3 laps '[laps']]]</f>
        <v>0</v>
      </c>
      <c r="N142" s="3">
        <f>intermediate_results[[#This Row], [Team1 laps '[laps']]] - intermediate_results[[#This Row], [Team4 laps '[laps']]]</f>
        <v>0</v>
      </c>
      <c r="O142" s="3">
        <f>intermediate_results[[#This Row], [Team1 laps '[laps']]] - intermediate_results[[#This Row], [Team5 laps '[laps']]]</f>
        <v>0</v>
      </c>
      <c r="P142" s="3">
        <f>intermediate_results[[#This Row], [Team1 laps '[laps']]] - intermediate_results[[#This Row], [Team6 laps '[laps']]]</f>
        <v>0</v>
      </c>
      <c r="Q142" s="3">
        <f>intermediate_results[[#This Row], [Team1 laps '[laps']]] - intermediate_results[[#This Row], [Team7 laps '[laps']]]</f>
        <v>0</v>
      </c>
      <c r="R142" s="3">
        <f>intermediate_results[[#This Row], [Team1 laps '[laps']]] - intermediate_results[[#This Row], [Team8 laps '[laps']]]</f>
        <v>0</v>
      </c>
      <c r="S142" s="3">
        <f>intermediate_results[[#This Row], [Team1 laps '[laps']]] - intermediate_results[[#This Row], [Team9 laps '[laps']]]</f>
        <v>0</v>
      </c>
      <c r="T142" s="3">
        <f>MAX(intermediate_results[[#This Row], [Team1 laps '[laps']]:[Team9 laps '[laps']]]) - intermediate_results[[#This Row], [Team1 laps '[laps']]]</f>
        <v>0</v>
      </c>
      <c r="U142" s="3">
        <f>MAX(intermediate_results[[#This Row], [Team1 laps '[laps']]:[Team9 laps '[laps']]]) - intermediate_results[[#This Row], [Team2 laps '[laps']]]</f>
        <v>0</v>
      </c>
      <c r="V142" s="3">
        <f>MAX(intermediate_results[[#This Row], [Team1 laps '[laps']]:[Team9 laps '[laps']]]) - intermediate_results[[#This Row], [Team3 laps '[laps']]]</f>
        <v>0</v>
      </c>
      <c r="W142" s="3">
        <f>MAX(intermediate_results[[#This Row], [Team1 laps '[laps']]:[Team9 laps '[laps']]]) - intermediate_results[[#This Row], [Team4 laps '[laps']]]</f>
        <v>0</v>
      </c>
      <c r="X142" s="3">
        <f>MAX(intermediate_results[[#This Row], [Team1 laps '[laps']]:[Team9 laps '[laps']]]) - intermediate_results[[#This Row], [Team5 laps '[laps']]]</f>
        <v>0</v>
      </c>
      <c r="Y142" s="3">
        <f>MAX(intermediate_results[[#This Row], [Team1 laps '[laps']]:[Team9 laps '[laps']]]) - intermediate_results[[#This Row], [Team6 laps '[laps']]]</f>
        <v>0</v>
      </c>
      <c r="Z142" s="3">
        <f>MAX(intermediate_results[[#This Row], [Team1 laps '[laps']]:[Team9 laps '[laps']]]) - intermediate_results[[#This Row], [Team7 laps '[laps']]]</f>
        <v>0</v>
      </c>
      <c r="AA142" s="3">
        <f>MAX(intermediate_results[[#This Row], [Team1 laps '[laps']]:[Team9 laps '[laps']]]) - intermediate_results[[#This Row], [Team8 laps '[laps']]]</f>
        <v>0</v>
      </c>
      <c r="AB142" s="3">
        <f>MAX(intermediate_results[[#This Row], [Team1 laps '[laps']]:[Team9 laps '[laps']]]) - intermediate_results[[#This Row], [Team9 laps '[laps']]]</f>
        <v>0</v>
      </c>
      <c r="AC142" s="3">
        <f>9 * intermediate_results[[#This Row], [All cumulative times '[sec']]] / SUM(intermediate_results[[#This Row], [Team1 laps '[laps']]:[Team9 laps '[laps']]])</f>
        <v>0</v>
      </c>
      <c r="AD142" s="3">
        <f>intermediate_results[[#This Row], [All cumulative times '[sec']]] / intermediate_results[[#This Row], [Team1 laps '[laps']]] - intermediate_results[[#This Row], [Total running average '[sec']]]</f>
        <v>0</v>
      </c>
      <c r="AE142" s="3">
        <f>intermediate_results[[#This Row], [All cumulative times '[sec']]] / intermediate_results[[#This Row], [Team2 laps '[laps']]] - intermediate_results[[#This Row], [Total running average '[sec']]]</f>
        <v>0</v>
      </c>
      <c r="AF142" s="3">
        <f>intermediate_results[[#This Row], [All cumulative times '[sec']]] / intermediate_results[[#This Row], [Team3 laps '[laps']]] - intermediate_results[[#This Row], [Total running average '[sec']]]</f>
        <v>0</v>
      </c>
      <c r="AG142" s="3">
        <f>intermediate_results[[#This Row], [All cumulative times '[sec']]] / intermediate_results[[#This Row], [Team4 laps '[laps']]] - intermediate_results[[#This Row], [Total running average '[sec']]]</f>
        <v>0</v>
      </c>
      <c r="AH142" s="3">
        <f>intermediate_results[[#This Row], [All cumulative times '[sec']]] / intermediate_results[[#This Row], [Team5 laps '[laps']]] - intermediate_results[[#This Row], [Total running average '[sec']]]</f>
        <v>0</v>
      </c>
      <c r="AI142" s="3">
        <f>intermediate_results[[#This Row], [All cumulative times '[sec']]] / intermediate_results[[#This Row], [Team6 laps '[laps']]] - intermediate_results[[#This Row], [Total running average '[sec']]]</f>
        <v>0</v>
      </c>
      <c r="AJ142" s="3">
        <f>intermediate_results[[#This Row], [All cumulative times '[sec']]] / intermediate_results[[#This Row], [Team7 laps '[laps']]] - intermediate_results[[#This Row], [Total running average '[sec']]]</f>
        <v>0</v>
      </c>
      <c r="AK142" s="3">
        <f>intermediate_results[[#This Row], [All cumulative times '[sec']]] / intermediate_results[[#This Row], [Team8 laps '[laps']]] - intermediate_results[[#This Row], [Total running average '[sec']]]</f>
        <v>0</v>
      </c>
      <c r="AL142" s="3">
        <f>intermediate_results[[#This Row], [All cumulative times '[sec']]] / intermediate_results[[#This Row], [Team9 laps '[laps']]] - intermediate_results[[#This Row], [Total running average '[sec']]]</f>
        <v>0</v>
      </c>
    </row>
    <row r="143" spans="1:38">
      <c r="A143" s="3">
        <v>889.133</v>
      </c>
      <c r="B14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3" s="3">
        <f>intermediate_results[[#This Row], [Team1 laps '[laps']]] - intermediate_results[[#This Row], [Team1 laps '[laps']]]</f>
        <v>0</v>
      </c>
      <c r="L143" s="3">
        <f>intermediate_results[[#This Row], [Team1 laps '[laps']]] - intermediate_results[[#This Row], [Team2 laps '[laps']]]</f>
        <v>0</v>
      </c>
      <c r="M143" s="3">
        <f>intermediate_results[[#This Row], [Team1 laps '[laps']]] - intermediate_results[[#This Row], [Team3 laps '[laps']]]</f>
        <v>0</v>
      </c>
      <c r="N143" s="3">
        <f>intermediate_results[[#This Row], [Team1 laps '[laps']]] - intermediate_results[[#This Row], [Team4 laps '[laps']]]</f>
        <v>0</v>
      </c>
      <c r="O143" s="3">
        <f>intermediate_results[[#This Row], [Team1 laps '[laps']]] - intermediate_results[[#This Row], [Team5 laps '[laps']]]</f>
        <v>0</v>
      </c>
      <c r="P143" s="3">
        <f>intermediate_results[[#This Row], [Team1 laps '[laps']]] - intermediate_results[[#This Row], [Team6 laps '[laps']]]</f>
        <v>0</v>
      </c>
      <c r="Q143" s="3">
        <f>intermediate_results[[#This Row], [Team1 laps '[laps']]] - intermediate_results[[#This Row], [Team7 laps '[laps']]]</f>
        <v>0</v>
      </c>
      <c r="R143" s="3">
        <f>intermediate_results[[#This Row], [Team1 laps '[laps']]] - intermediate_results[[#This Row], [Team8 laps '[laps']]]</f>
        <v>0</v>
      </c>
      <c r="S143" s="3">
        <f>intermediate_results[[#This Row], [Team1 laps '[laps']]] - intermediate_results[[#This Row], [Team9 laps '[laps']]]</f>
        <v>0</v>
      </c>
      <c r="T143" s="3">
        <f>MAX(intermediate_results[[#This Row], [Team1 laps '[laps']]:[Team9 laps '[laps']]]) - intermediate_results[[#This Row], [Team1 laps '[laps']]]</f>
        <v>0</v>
      </c>
      <c r="U143" s="3">
        <f>MAX(intermediate_results[[#This Row], [Team1 laps '[laps']]:[Team9 laps '[laps']]]) - intermediate_results[[#This Row], [Team2 laps '[laps']]]</f>
        <v>0</v>
      </c>
      <c r="V143" s="3">
        <f>MAX(intermediate_results[[#This Row], [Team1 laps '[laps']]:[Team9 laps '[laps']]]) - intermediate_results[[#This Row], [Team3 laps '[laps']]]</f>
        <v>0</v>
      </c>
      <c r="W143" s="3">
        <f>MAX(intermediate_results[[#This Row], [Team1 laps '[laps']]:[Team9 laps '[laps']]]) - intermediate_results[[#This Row], [Team4 laps '[laps']]]</f>
        <v>0</v>
      </c>
      <c r="X143" s="3">
        <f>MAX(intermediate_results[[#This Row], [Team1 laps '[laps']]:[Team9 laps '[laps']]]) - intermediate_results[[#This Row], [Team5 laps '[laps']]]</f>
        <v>0</v>
      </c>
      <c r="Y143" s="3">
        <f>MAX(intermediate_results[[#This Row], [Team1 laps '[laps']]:[Team9 laps '[laps']]]) - intermediate_results[[#This Row], [Team6 laps '[laps']]]</f>
        <v>0</v>
      </c>
      <c r="Z143" s="3">
        <f>MAX(intermediate_results[[#This Row], [Team1 laps '[laps']]:[Team9 laps '[laps']]]) - intermediate_results[[#This Row], [Team7 laps '[laps']]]</f>
        <v>0</v>
      </c>
      <c r="AA143" s="3">
        <f>MAX(intermediate_results[[#This Row], [Team1 laps '[laps']]:[Team9 laps '[laps']]]) - intermediate_results[[#This Row], [Team8 laps '[laps']]]</f>
        <v>0</v>
      </c>
      <c r="AB143" s="3">
        <f>MAX(intermediate_results[[#This Row], [Team1 laps '[laps']]:[Team9 laps '[laps']]]) - intermediate_results[[#This Row], [Team9 laps '[laps']]]</f>
        <v>0</v>
      </c>
      <c r="AC143" s="3">
        <f>9 * intermediate_results[[#This Row], [All cumulative times '[sec']]] / SUM(intermediate_results[[#This Row], [Team1 laps '[laps']]:[Team9 laps '[laps']]])</f>
        <v>0</v>
      </c>
      <c r="AD143" s="3">
        <f>intermediate_results[[#This Row], [All cumulative times '[sec']]] / intermediate_results[[#This Row], [Team1 laps '[laps']]] - intermediate_results[[#This Row], [Total running average '[sec']]]</f>
        <v>0</v>
      </c>
      <c r="AE143" s="3">
        <f>intermediate_results[[#This Row], [All cumulative times '[sec']]] / intermediate_results[[#This Row], [Team2 laps '[laps']]] - intermediate_results[[#This Row], [Total running average '[sec']]]</f>
        <v>0</v>
      </c>
      <c r="AF143" s="3">
        <f>intermediate_results[[#This Row], [All cumulative times '[sec']]] / intermediate_results[[#This Row], [Team3 laps '[laps']]] - intermediate_results[[#This Row], [Total running average '[sec']]]</f>
        <v>0</v>
      </c>
      <c r="AG143" s="3">
        <f>intermediate_results[[#This Row], [All cumulative times '[sec']]] / intermediate_results[[#This Row], [Team4 laps '[laps']]] - intermediate_results[[#This Row], [Total running average '[sec']]]</f>
        <v>0</v>
      </c>
      <c r="AH143" s="3">
        <f>intermediate_results[[#This Row], [All cumulative times '[sec']]] / intermediate_results[[#This Row], [Team5 laps '[laps']]] - intermediate_results[[#This Row], [Total running average '[sec']]]</f>
        <v>0</v>
      </c>
      <c r="AI143" s="3">
        <f>intermediate_results[[#This Row], [All cumulative times '[sec']]] / intermediate_results[[#This Row], [Team6 laps '[laps']]] - intermediate_results[[#This Row], [Total running average '[sec']]]</f>
        <v>0</v>
      </c>
      <c r="AJ143" s="3">
        <f>intermediate_results[[#This Row], [All cumulative times '[sec']]] / intermediate_results[[#This Row], [Team7 laps '[laps']]] - intermediate_results[[#This Row], [Total running average '[sec']]]</f>
        <v>0</v>
      </c>
      <c r="AK143" s="3">
        <f>intermediate_results[[#This Row], [All cumulative times '[sec']]] / intermediate_results[[#This Row], [Team8 laps '[laps']]] - intermediate_results[[#This Row], [Total running average '[sec']]]</f>
        <v>0</v>
      </c>
      <c r="AL143" s="3">
        <f>intermediate_results[[#This Row], [All cumulative times '[sec']]] / intermediate_results[[#This Row], [Team9 laps '[laps']]] - intermediate_results[[#This Row], [Total running average '[sec']]]</f>
        <v>0</v>
      </c>
    </row>
    <row r="144" spans="1:38">
      <c r="A144" s="3">
        <v>899.1349999999998</v>
      </c>
      <c r="B14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4" s="3">
        <f>intermediate_results[[#This Row], [Team1 laps '[laps']]] - intermediate_results[[#This Row], [Team1 laps '[laps']]]</f>
        <v>0</v>
      </c>
      <c r="L144" s="3">
        <f>intermediate_results[[#This Row], [Team1 laps '[laps']]] - intermediate_results[[#This Row], [Team2 laps '[laps']]]</f>
        <v>0</v>
      </c>
      <c r="M144" s="3">
        <f>intermediate_results[[#This Row], [Team1 laps '[laps']]] - intermediate_results[[#This Row], [Team3 laps '[laps']]]</f>
        <v>0</v>
      </c>
      <c r="N144" s="3">
        <f>intermediate_results[[#This Row], [Team1 laps '[laps']]] - intermediate_results[[#This Row], [Team4 laps '[laps']]]</f>
        <v>0</v>
      </c>
      <c r="O144" s="3">
        <f>intermediate_results[[#This Row], [Team1 laps '[laps']]] - intermediate_results[[#This Row], [Team5 laps '[laps']]]</f>
        <v>0</v>
      </c>
      <c r="P144" s="3">
        <f>intermediate_results[[#This Row], [Team1 laps '[laps']]] - intermediate_results[[#This Row], [Team6 laps '[laps']]]</f>
        <v>0</v>
      </c>
      <c r="Q144" s="3">
        <f>intermediate_results[[#This Row], [Team1 laps '[laps']]] - intermediate_results[[#This Row], [Team7 laps '[laps']]]</f>
        <v>0</v>
      </c>
      <c r="R144" s="3">
        <f>intermediate_results[[#This Row], [Team1 laps '[laps']]] - intermediate_results[[#This Row], [Team8 laps '[laps']]]</f>
        <v>0</v>
      </c>
      <c r="S144" s="3">
        <f>intermediate_results[[#This Row], [Team1 laps '[laps']]] - intermediate_results[[#This Row], [Team9 laps '[laps']]]</f>
        <v>0</v>
      </c>
      <c r="T144" s="3">
        <f>MAX(intermediate_results[[#This Row], [Team1 laps '[laps']]:[Team9 laps '[laps']]]) - intermediate_results[[#This Row], [Team1 laps '[laps']]]</f>
        <v>0</v>
      </c>
      <c r="U144" s="3">
        <f>MAX(intermediate_results[[#This Row], [Team1 laps '[laps']]:[Team9 laps '[laps']]]) - intermediate_results[[#This Row], [Team2 laps '[laps']]]</f>
        <v>0</v>
      </c>
      <c r="V144" s="3">
        <f>MAX(intermediate_results[[#This Row], [Team1 laps '[laps']]:[Team9 laps '[laps']]]) - intermediate_results[[#This Row], [Team3 laps '[laps']]]</f>
        <v>0</v>
      </c>
      <c r="W144" s="3">
        <f>MAX(intermediate_results[[#This Row], [Team1 laps '[laps']]:[Team9 laps '[laps']]]) - intermediate_results[[#This Row], [Team4 laps '[laps']]]</f>
        <v>0</v>
      </c>
      <c r="X144" s="3">
        <f>MAX(intermediate_results[[#This Row], [Team1 laps '[laps']]:[Team9 laps '[laps']]]) - intermediate_results[[#This Row], [Team5 laps '[laps']]]</f>
        <v>0</v>
      </c>
      <c r="Y144" s="3">
        <f>MAX(intermediate_results[[#This Row], [Team1 laps '[laps']]:[Team9 laps '[laps']]]) - intermediate_results[[#This Row], [Team6 laps '[laps']]]</f>
        <v>0</v>
      </c>
      <c r="Z144" s="3">
        <f>MAX(intermediate_results[[#This Row], [Team1 laps '[laps']]:[Team9 laps '[laps']]]) - intermediate_results[[#This Row], [Team7 laps '[laps']]]</f>
        <v>0</v>
      </c>
      <c r="AA144" s="3">
        <f>MAX(intermediate_results[[#This Row], [Team1 laps '[laps']]:[Team9 laps '[laps']]]) - intermediate_results[[#This Row], [Team8 laps '[laps']]]</f>
        <v>0</v>
      </c>
      <c r="AB144" s="3">
        <f>MAX(intermediate_results[[#This Row], [Team1 laps '[laps']]:[Team9 laps '[laps']]]) - intermediate_results[[#This Row], [Team9 laps '[laps']]]</f>
        <v>0</v>
      </c>
      <c r="AC144" s="3">
        <f>9 * intermediate_results[[#This Row], [All cumulative times '[sec']]] / SUM(intermediate_results[[#This Row], [Team1 laps '[laps']]:[Team9 laps '[laps']]])</f>
        <v>0</v>
      </c>
      <c r="AD144" s="3">
        <f>intermediate_results[[#This Row], [All cumulative times '[sec']]] / intermediate_results[[#This Row], [Team1 laps '[laps']]] - intermediate_results[[#This Row], [Total running average '[sec']]]</f>
        <v>0</v>
      </c>
      <c r="AE144" s="3">
        <f>intermediate_results[[#This Row], [All cumulative times '[sec']]] / intermediate_results[[#This Row], [Team2 laps '[laps']]] - intermediate_results[[#This Row], [Total running average '[sec']]]</f>
        <v>0</v>
      </c>
      <c r="AF144" s="3">
        <f>intermediate_results[[#This Row], [All cumulative times '[sec']]] / intermediate_results[[#This Row], [Team3 laps '[laps']]] - intermediate_results[[#This Row], [Total running average '[sec']]]</f>
        <v>0</v>
      </c>
      <c r="AG144" s="3">
        <f>intermediate_results[[#This Row], [All cumulative times '[sec']]] / intermediate_results[[#This Row], [Team4 laps '[laps']]] - intermediate_results[[#This Row], [Total running average '[sec']]]</f>
        <v>0</v>
      </c>
      <c r="AH144" s="3">
        <f>intermediate_results[[#This Row], [All cumulative times '[sec']]] / intermediate_results[[#This Row], [Team5 laps '[laps']]] - intermediate_results[[#This Row], [Total running average '[sec']]]</f>
        <v>0</v>
      </c>
      <c r="AI144" s="3">
        <f>intermediate_results[[#This Row], [All cumulative times '[sec']]] / intermediate_results[[#This Row], [Team6 laps '[laps']]] - intermediate_results[[#This Row], [Total running average '[sec']]]</f>
        <v>0</v>
      </c>
      <c r="AJ144" s="3">
        <f>intermediate_results[[#This Row], [All cumulative times '[sec']]] / intermediate_results[[#This Row], [Team7 laps '[laps']]] - intermediate_results[[#This Row], [Total running average '[sec']]]</f>
        <v>0</v>
      </c>
      <c r="AK144" s="3">
        <f>intermediate_results[[#This Row], [All cumulative times '[sec']]] / intermediate_results[[#This Row], [Team8 laps '[laps']]] - intermediate_results[[#This Row], [Total running average '[sec']]]</f>
        <v>0</v>
      </c>
      <c r="AL144" s="3">
        <f>intermediate_results[[#This Row], [All cumulative times '[sec']]] / intermediate_results[[#This Row], [Team9 laps '[laps']]] - intermediate_results[[#This Row], [Total running average '[sec']]]</f>
        <v>0</v>
      </c>
    </row>
    <row r="145" spans="1:38">
      <c r="A145" s="3">
        <v>902.0849999999998</v>
      </c>
      <c r="B14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5" s="3">
        <f>intermediate_results[[#This Row], [Team1 laps '[laps']]] - intermediate_results[[#This Row], [Team1 laps '[laps']]]</f>
        <v>0</v>
      </c>
      <c r="L145" s="3">
        <f>intermediate_results[[#This Row], [Team1 laps '[laps']]] - intermediate_results[[#This Row], [Team2 laps '[laps']]]</f>
        <v>0</v>
      </c>
      <c r="M145" s="3">
        <f>intermediate_results[[#This Row], [Team1 laps '[laps']]] - intermediate_results[[#This Row], [Team3 laps '[laps']]]</f>
        <v>0</v>
      </c>
      <c r="N145" s="3">
        <f>intermediate_results[[#This Row], [Team1 laps '[laps']]] - intermediate_results[[#This Row], [Team4 laps '[laps']]]</f>
        <v>0</v>
      </c>
      <c r="O145" s="3">
        <f>intermediate_results[[#This Row], [Team1 laps '[laps']]] - intermediate_results[[#This Row], [Team5 laps '[laps']]]</f>
        <v>0</v>
      </c>
      <c r="P145" s="3">
        <f>intermediate_results[[#This Row], [Team1 laps '[laps']]] - intermediate_results[[#This Row], [Team6 laps '[laps']]]</f>
        <v>0</v>
      </c>
      <c r="Q145" s="3">
        <f>intermediate_results[[#This Row], [Team1 laps '[laps']]] - intermediate_results[[#This Row], [Team7 laps '[laps']]]</f>
        <v>0</v>
      </c>
      <c r="R145" s="3">
        <f>intermediate_results[[#This Row], [Team1 laps '[laps']]] - intermediate_results[[#This Row], [Team8 laps '[laps']]]</f>
        <v>0</v>
      </c>
      <c r="S145" s="3">
        <f>intermediate_results[[#This Row], [Team1 laps '[laps']]] - intermediate_results[[#This Row], [Team9 laps '[laps']]]</f>
        <v>0</v>
      </c>
      <c r="T145" s="3">
        <f>MAX(intermediate_results[[#This Row], [Team1 laps '[laps']]:[Team9 laps '[laps']]]) - intermediate_results[[#This Row], [Team1 laps '[laps']]]</f>
        <v>0</v>
      </c>
      <c r="U145" s="3">
        <f>MAX(intermediate_results[[#This Row], [Team1 laps '[laps']]:[Team9 laps '[laps']]]) - intermediate_results[[#This Row], [Team2 laps '[laps']]]</f>
        <v>0</v>
      </c>
      <c r="V145" s="3">
        <f>MAX(intermediate_results[[#This Row], [Team1 laps '[laps']]:[Team9 laps '[laps']]]) - intermediate_results[[#This Row], [Team3 laps '[laps']]]</f>
        <v>0</v>
      </c>
      <c r="W145" s="3">
        <f>MAX(intermediate_results[[#This Row], [Team1 laps '[laps']]:[Team9 laps '[laps']]]) - intermediate_results[[#This Row], [Team4 laps '[laps']]]</f>
        <v>0</v>
      </c>
      <c r="X145" s="3">
        <f>MAX(intermediate_results[[#This Row], [Team1 laps '[laps']]:[Team9 laps '[laps']]]) - intermediate_results[[#This Row], [Team5 laps '[laps']]]</f>
        <v>0</v>
      </c>
      <c r="Y145" s="3">
        <f>MAX(intermediate_results[[#This Row], [Team1 laps '[laps']]:[Team9 laps '[laps']]]) - intermediate_results[[#This Row], [Team6 laps '[laps']]]</f>
        <v>0</v>
      </c>
      <c r="Z145" s="3">
        <f>MAX(intermediate_results[[#This Row], [Team1 laps '[laps']]:[Team9 laps '[laps']]]) - intermediate_results[[#This Row], [Team7 laps '[laps']]]</f>
        <v>0</v>
      </c>
      <c r="AA145" s="3">
        <f>MAX(intermediate_results[[#This Row], [Team1 laps '[laps']]:[Team9 laps '[laps']]]) - intermediate_results[[#This Row], [Team8 laps '[laps']]]</f>
        <v>0</v>
      </c>
      <c r="AB145" s="3">
        <f>MAX(intermediate_results[[#This Row], [Team1 laps '[laps']]:[Team9 laps '[laps']]]) - intermediate_results[[#This Row], [Team9 laps '[laps']]]</f>
        <v>0</v>
      </c>
      <c r="AC145" s="3">
        <f>9 * intermediate_results[[#This Row], [All cumulative times '[sec']]] / SUM(intermediate_results[[#This Row], [Team1 laps '[laps']]:[Team9 laps '[laps']]])</f>
        <v>0</v>
      </c>
      <c r="AD145" s="3">
        <f>intermediate_results[[#This Row], [All cumulative times '[sec']]] / intermediate_results[[#This Row], [Team1 laps '[laps']]] - intermediate_results[[#This Row], [Total running average '[sec']]]</f>
        <v>0</v>
      </c>
      <c r="AE145" s="3">
        <f>intermediate_results[[#This Row], [All cumulative times '[sec']]] / intermediate_results[[#This Row], [Team2 laps '[laps']]] - intermediate_results[[#This Row], [Total running average '[sec']]]</f>
        <v>0</v>
      </c>
      <c r="AF145" s="3">
        <f>intermediate_results[[#This Row], [All cumulative times '[sec']]] / intermediate_results[[#This Row], [Team3 laps '[laps']]] - intermediate_results[[#This Row], [Total running average '[sec']]]</f>
        <v>0</v>
      </c>
      <c r="AG145" s="3">
        <f>intermediate_results[[#This Row], [All cumulative times '[sec']]] / intermediate_results[[#This Row], [Team4 laps '[laps']]] - intermediate_results[[#This Row], [Total running average '[sec']]]</f>
        <v>0</v>
      </c>
      <c r="AH145" s="3">
        <f>intermediate_results[[#This Row], [All cumulative times '[sec']]] / intermediate_results[[#This Row], [Team5 laps '[laps']]] - intermediate_results[[#This Row], [Total running average '[sec']]]</f>
        <v>0</v>
      </c>
      <c r="AI145" s="3">
        <f>intermediate_results[[#This Row], [All cumulative times '[sec']]] / intermediate_results[[#This Row], [Team6 laps '[laps']]] - intermediate_results[[#This Row], [Total running average '[sec']]]</f>
        <v>0</v>
      </c>
      <c r="AJ145" s="3">
        <f>intermediate_results[[#This Row], [All cumulative times '[sec']]] / intermediate_results[[#This Row], [Team7 laps '[laps']]] - intermediate_results[[#This Row], [Total running average '[sec']]]</f>
        <v>0</v>
      </c>
      <c r="AK145" s="3">
        <f>intermediate_results[[#This Row], [All cumulative times '[sec']]] / intermediate_results[[#This Row], [Team8 laps '[laps']]] - intermediate_results[[#This Row], [Total running average '[sec']]]</f>
        <v>0</v>
      </c>
      <c r="AL145" s="3">
        <f>intermediate_results[[#This Row], [All cumulative times '[sec']]] / intermediate_results[[#This Row], [Team9 laps '[laps']]] - intermediate_results[[#This Row], [Total running average '[sec']]]</f>
        <v>0</v>
      </c>
    </row>
    <row r="146" spans="1:38">
      <c r="A146" s="3">
        <v>903.8979999999999</v>
      </c>
      <c r="B14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6" s="3">
        <f>intermediate_results[[#This Row], [Team1 laps '[laps']]] - intermediate_results[[#This Row], [Team1 laps '[laps']]]</f>
        <v>0</v>
      </c>
      <c r="L146" s="3">
        <f>intermediate_results[[#This Row], [Team1 laps '[laps']]] - intermediate_results[[#This Row], [Team2 laps '[laps']]]</f>
        <v>0</v>
      </c>
      <c r="M146" s="3">
        <f>intermediate_results[[#This Row], [Team1 laps '[laps']]] - intermediate_results[[#This Row], [Team3 laps '[laps']]]</f>
        <v>0</v>
      </c>
      <c r="N146" s="3">
        <f>intermediate_results[[#This Row], [Team1 laps '[laps']]] - intermediate_results[[#This Row], [Team4 laps '[laps']]]</f>
        <v>0</v>
      </c>
      <c r="O146" s="3">
        <f>intermediate_results[[#This Row], [Team1 laps '[laps']]] - intermediate_results[[#This Row], [Team5 laps '[laps']]]</f>
        <v>0</v>
      </c>
      <c r="P146" s="3">
        <f>intermediate_results[[#This Row], [Team1 laps '[laps']]] - intermediate_results[[#This Row], [Team6 laps '[laps']]]</f>
        <v>0</v>
      </c>
      <c r="Q146" s="3">
        <f>intermediate_results[[#This Row], [Team1 laps '[laps']]] - intermediate_results[[#This Row], [Team7 laps '[laps']]]</f>
        <v>0</v>
      </c>
      <c r="R146" s="3">
        <f>intermediate_results[[#This Row], [Team1 laps '[laps']]] - intermediate_results[[#This Row], [Team8 laps '[laps']]]</f>
        <v>0</v>
      </c>
      <c r="S146" s="3">
        <f>intermediate_results[[#This Row], [Team1 laps '[laps']]] - intermediate_results[[#This Row], [Team9 laps '[laps']]]</f>
        <v>0</v>
      </c>
      <c r="T146" s="3">
        <f>MAX(intermediate_results[[#This Row], [Team1 laps '[laps']]:[Team9 laps '[laps']]]) - intermediate_results[[#This Row], [Team1 laps '[laps']]]</f>
        <v>0</v>
      </c>
      <c r="U146" s="3">
        <f>MAX(intermediate_results[[#This Row], [Team1 laps '[laps']]:[Team9 laps '[laps']]]) - intermediate_results[[#This Row], [Team2 laps '[laps']]]</f>
        <v>0</v>
      </c>
      <c r="V146" s="3">
        <f>MAX(intermediate_results[[#This Row], [Team1 laps '[laps']]:[Team9 laps '[laps']]]) - intermediate_results[[#This Row], [Team3 laps '[laps']]]</f>
        <v>0</v>
      </c>
      <c r="W146" s="3">
        <f>MAX(intermediate_results[[#This Row], [Team1 laps '[laps']]:[Team9 laps '[laps']]]) - intermediate_results[[#This Row], [Team4 laps '[laps']]]</f>
        <v>0</v>
      </c>
      <c r="X146" s="3">
        <f>MAX(intermediate_results[[#This Row], [Team1 laps '[laps']]:[Team9 laps '[laps']]]) - intermediate_results[[#This Row], [Team5 laps '[laps']]]</f>
        <v>0</v>
      </c>
      <c r="Y146" s="3">
        <f>MAX(intermediate_results[[#This Row], [Team1 laps '[laps']]:[Team9 laps '[laps']]]) - intermediate_results[[#This Row], [Team6 laps '[laps']]]</f>
        <v>0</v>
      </c>
      <c r="Z146" s="3">
        <f>MAX(intermediate_results[[#This Row], [Team1 laps '[laps']]:[Team9 laps '[laps']]]) - intermediate_results[[#This Row], [Team7 laps '[laps']]]</f>
        <v>0</v>
      </c>
      <c r="AA146" s="3">
        <f>MAX(intermediate_results[[#This Row], [Team1 laps '[laps']]:[Team9 laps '[laps']]]) - intermediate_results[[#This Row], [Team8 laps '[laps']]]</f>
        <v>0</v>
      </c>
      <c r="AB146" s="3">
        <f>MAX(intermediate_results[[#This Row], [Team1 laps '[laps']]:[Team9 laps '[laps']]]) - intermediate_results[[#This Row], [Team9 laps '[laps']]]</f>
        <v>0</v>
      </c>
      <c r="AC146" s="3">
        <f>9 * intermediate_results[[#This Row], [All cumulative times '[sec']]] / SUM(intermediate_results[[#This Row], [Team1 laps '[laps']]:[Team9 laps '[laps']]])</f>
        <v>0</v>
      </c>
      <c r="AD146" s="3">
        <f>intermediate_results[[#This Row], [All cumulative times '[sec']]] / intermediate_results[[#This Row], [Team1 laps '[laps']]] - intermediate_results[[#This Row], [Total running average '[sec']]]</f>
        <v>0</v>
      </c>
      <c r="AE146" s="3">
        <f>intermediate_results[[#This Row], [All cumulative times '[sec']]] / intermediate_results[[#This Row], [Team2 laps '[laps']]] - intermediate_results[[#This Row], [Total running average '[sec']]]</f>
        <v>0</v>
      </c>
      <c r="AF146" s="3">
        <f>intermediate_results[[#This Row], [All cumulative times '[sec']]] / intermediate_results[[#This Row], [Team3 laps '[laps']]] - intermediate_results[[#This Row], [Total running average '[sec']]]</f>
        <v>0</v>
      </c>
      <c r="AG146" s="3">
        <f>intermediate_results[[#This Row], [All cumulative times '[sec']]] / intermediate_results[[#This Row], [Team4 laps '[laps']]] - intermediate_results[[#This Row], [Total running average '[sec']]]</f>
        <v>0</v>
      </c>
      <c r="AH146" s="3">
        <f>intermediate_results[[#This Row], [All cumulative times '[sec']]] / intermediate_results[[#This Row], [Team5 laps '[laps']]] - intermediate_results[[#This Row], [Total running average '[sec']]]</f>
        <v>0</v>
      </c>
      <c r="AI146" s="3">
        <f>intermediate_results[[#This Row], [All cumulative times '[sec']]] / intermediate_results[[#This Row], [Team6 laps '[laps']]] - intermediate_results[[#This Row], [Total running average '[sec']]]</f>
        <v>0</v>
      </c>
      <c r="AJ146" s="3">
        <f>intermediate_results[[#This Row], [All cumulative times '[sec']]] / intermediate_results[[#This Row], [Team7 laps '[laps']]] - intermediate_results[[#This Row], [Total running average '[sec']]]</f>
        <v>0</v>
      </c>
      <c r="AK146" s="3">
        <f>intermediate_results[[#This Row], [All cumulative times '[sec']]] / intermediate_results[[#This Row], [Team8 laps '[laps']]] - intermediate_results[[#This Row], [Total running average '[sec']]]</f>
        <v>0</v>
      </c>
      <c r="AL146" s="3">
        <f>intermediate_results[[#This Row], [All cumulative times '[sec']]] / intermediate_results[[#This Row], [Team9 laps '[laps']]] - intermediate_results[[#This Row], [Total running average '[sec']]]</f>
        <v>0</v>
      </c>
    </row>
    <row r="147" spans="1:38">
      <c r="A147" s="3">
        <v>905.2339999999998</v>
      </c>
      <c r="B14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7" s="3">
        <f>intermediate_results[[#This Row], [Team1 laps '[laps']]] - intermediate_results[[#This Row], [Team1 laps '[laps']]]</f>
        <v>0</v>
      </c>
      <c r="L147" s="3">
        <f>intermediate_results[[#This Row], [Team1 laps '[laps']]] - intermediate_results[[#This Row], [Team2 laps '[laps']]]</f>
        <v>0</v>
      </c>
      <c r="M147" s="3">
        <f>intermediate_results[[#This Row], [Team1 laps '[laps']]] - intermediate_results[[#This Row], [Team3 laps '[laps']]]</f>
        <v>0</v>
      </c>
      <c r="N147" s="3">
        <f>intermediate_results[[#This Row], [Team1 laps '[laps']]] - intermediate_results[[#This Row], [Team4 laps '[laps']]]</f>
        <v>0</v>
      </c>
      <c r="O147" s="3">
        <f>intermediate_results[[#This Row], [Team1 laps '[laps']]] - intermediate_results[[#This Row], [Team5 laps '[laps']]]</f>
        <v>0</v>
      </c>
      <c r="P147" s="3">
        <f>intermediate_results[[#This Row], [Team1 laps '[laps']]] - intermediate_results[[#This Row], [Team6 laps '[laps']]]</f>
        <v>0</v>
      </c>
      <c r="Q147" s="3">
        <f>intermediate_results[[#This Row], [Team1 laps '[laps']]] - intermediate_results[[#This Row], [Team7 laps '[laps']]]</f>
        <v>0</v>
      </c>
      <c r="R147" s="3">
        <f>intermediate_results[[#This Row], [Team1 laps '[laps']]] - intermediate_results[[#This Row], [Team8 laps '[laps']]]</f>
        <v>0</v>
      </c>
      <c r="S147" s="3">
        <f>intermediate_results[[#This Row], [Team1 laps '[laps']]] - intermediate_results[[#This Row], [Team9 laps '[laps']]]</f>
        <v>0</v>
      </c>
      <c r="T147" s="3">
        <f>MAX(intermediate_results[[#This Row], [Team1 laps '[laps']]:[Team9 laps '[laps']]]) - intermediate_results[[#This Row], [Team1 laps '[laps']]]</f>
        <v>0</v>
      </c>
      <c r="U147" s="3">
        <f>MAX(intermediate_results[[#This Row], [Team1 laps '[laps']]:[Team9 laps '[laps']]]) - intermediate_results[[#This Row], [Team2 laps '[laps']]]</f>
        <v>0</v>
      </c>
      <c r="V147" s="3">
        <f>MAX(intermediate_results[[#This Row], [Team1 laps '[laps']]:[Team9 laps '[laps']]]) - intermediate_results[[#This Row], [Team3 laps '[laps']]]</f>
        <v>0</v>
      </c>
      <c r="W147" s="3">
        <f>MAX(intermediate_results[[#This Row], [Team1 laps '[laps']]:[Team9 laps '[laps']]]) - intermediate_results[[#This Row], [Team4 laps '[laps']]]</f>
        <v>0</v>
      </c>
      <c r="X147" s="3">
        <f>MAX(intermediate_results[[#This Row], [Team1 laps '[laps']]:[Team9 laps '[laps']]]) - intermediate_results[[#This Row], [Team5 laps '[laps']]]</f>
        <v>0</v>
      </c>
      <c r="Y147" s="3">
        <f>MAX(intermediate_results[[#This Row], [Team1 laps '[laps']]:[Team9 laps '[laps']]]) - intermediate_results[[#This Row], [Team6 laps '[laps']]]</f>
        <v>0</v>
      </c>
      <c r="Z147" s="3">
        <f>MAX(intermediate_results[[#This Row], [Team1 laps '[laps']]:[Team9 laps '[laps']]]) - intermediate_results[[#This Row], [Team7 laps '[laps']]]</f>
        <v>0</v>
      </c>
      <c r="AA147" s="3">
        <f>MAX(intermediate_results[[#This Row], [Team1 laps '[laps']]:[Team9 laps '[laps']]]) - intermediate_results[[#This Row], [Team8 laps '[laps']]]</f>
        <v>0</v>
      </c>
      <c r="AB147" s="3">
        <f>MAX(intermediate_results[[#This Row], [Team1 laps '[laps']]:[Team9 laps '[laps']]]) - intermediate_results[[#This Row], [Team9 laps '[laps']]]</f>
        <v>0</v>
      </c>
      <c r="AC147" s="3">
        <f>9 * intermediate_results[[#This Row], [All cumulative times '[sec']]] / SUM(intermediate_results[[#This Row], [Team1 laps '[laps']]:[Team9 laps '[laps']]])</f>
        <v>0</v>
      </c>
      <c r="AD147" s="3">
        <f>intermediate_results[[#This Row], [All cumulative times '[sec']]] / intermediate_results[[#This Row], [Team1 laps '[laps']]] - intermediate_results[[#This Row], [Total running average '[sec']]]</f>
        <v>0</v>
      </c>
      <c r="AE147" s="3">
        <f>intermediate_results[[#This Row], [All cumulative times '[sec']]] / intermediate_results[[#This Row], [Team2 laps '[laps']]] - intermediate_results[[#This Row], [Total running average '[sec']]]</f>
        <v>0</v>
      </c>
      <c r="AF147" s="3">
        <f>intermediate_results[[#This Row], [All cumulative times '[sec']]] / intermediate_results[[#This Row], [Team3 laps '[laps']]] - intermediate_results[[#This Row], [Total running average '[sec']]]</f>
        <v>0</v>
      </c>
      <c r="AG147" s="3">
        <f>intermediate_results[[#This Row], [All cumulative times '[sec']]] / intermediate_results[[#This Row], [Team4 laps '[laps']]] - intermediate_results[[#This Row], [Total running average '[sec']]]</f>
        <v>0</v>
      </c>
      <c r="AH147" s="3">
        <f>intermediate_results[[#This Row], [All cumulative times '[sec']]] / intermediate_results[[#This Row], [Team5 laps '[laps']]] - intermediate_results[[#This Row], [Total running average '[sec']]]</f>
        <v>0</v>
      </c>
      <c r="AI147" s="3">
        <f>intermediate_results[[#This Row], [All cumulative times '[sec']]] / intermediate_results[[#This Row], [Team6 laps '[laps']]] - intermediate_results[[#This Row], [Total running average '[sec']]]</f>
        <v>0</v>
      </c>
      <c r="AJ147" s="3">
        <f>intermediate_results[[#This Row], [All cumulative times '[sec']]] / intermediate_results[[#This Row], [Team7 laps '[laps']]] - intermediate_results[[#This Row], [Total running average '[sec']]]</f>
        <v>0</v>
      </c>
      <c r="AK147" s="3">
        <f>intermediate_results[[#This Row], [All cumulative times '[sec']]] / intermediate_results[[#This Row], [Team8 laps '[laps']]] - intermediate_results[[#This Row], [Total running average '[sec']]]</f>
        <v>0</v>
      </c>
      <c r="AL147" s="3">
        <f>intermediate_results[[#This Row], [All cumulative times '[sec']]] / intermediate_results[[#This Row], [Team9 laps '[laps']]] - intermediate_results[[#This Row], [Total running average '[sec']]]</f>
        <v>0</v>
      </c>
    </row>
    <row r="148" spans="1:38">
      <c r="A148" s="3">
        <v>914.929</v>
      </c>
      <c r="B14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8" s="3">
        <f>intermediate_results[[#This Row], [Team1 laps '[laps']]] - intermediate_results[[#This Row], [Team1 laps '[laps']]]</f>
        <v>0</v>
      </c>
      <c r="L148" s="3">
        <f>intermediate_results[[#This Row], [Team1 laps '[laps']]] - intermediate_results[[#This Row], [Team2 laps '[laps']]]</f>
        <v>0</v>
      </c>
      <c r="M148" s="3">
        <f>intermediate_results[[#This Row], [Team1 laps '[laps']]] - intermediate_results[[#This Row], [Team3 laps '[laps']]]</f>
        <v>0</v>
      </c>
      <c r="N148" s="3">
        <f>intermediate_results[[#This Row], [Team1 laps '[laps']]] - intermediate_results[[#This Row], [Team4 laps '[laps']]]</f>
        <v>0</v>
      </c>
      <c r="O148" s="3">
        <f>intermediate_results[[#This Row], [Team1 laps '[laps']]] - intermediate_results[[#This Row], [Team5 laps '[laps']]]</f>
        <v>0</v>
      </c>
      <c r="P148" s="3">
        <f>intermediate_results[[#This Row], [Team1 laps '[laps']]] - intermediate_results[[#This Row], [Team6 laps '[laps']]]</f>
        <v>0</v>
      </c>
      <c r="Q148" s="3">
        <f>intermediate_results[[#This Row], [Team1 laps '[laps']]] - intermediate_results[[#This Row], [Team7 laps '[laps']]]</f>
        <v>0</v>
      </c>
      <c r="R148" s="3">
        <f>intermediate_results[[#This Row], [Team1 laps '[laps']]] - intermediate_results[[#This Row], [Team8 laps '[laps']]]</f>
        <v>0</v>
      </c>
      <c r="S148" s="3">
        <f>intermediate_results[[#This Row], [Team1 laps '[laps']]] - intermediate_results[[#This Row], [Team9 laps '[laps']]]</f>
        <v>0</v>
      </c>
      <c r="T148" s="3">
        <f>MAX(intermediate_results[[#This Row], [Team1 laps '[laps']]:[Team9 laps '[laps']]]) - intermediate_results[[#This Row], [Team1 laps '[laps']]]</f>
        <v>0</v>
      </c>
      <c r="U148" s="3">
        <f>MAX(intermediate_results[[#This Row], [Team1 laps '[laps']]:[Team9 laps '[laps']]]) - intermediate_results[[#This Row], [Team2 laps '[laps']]]</f>
        <v>0</v>
      </c>
      <c r="V148" s="3">
        <f>MAX(intermediate_results[[#This Row], [Team1 laps '[laps']]:[Team9 laps '[laps']]]) - intermediate_results[[#This Row], [Team3 laps '[laps']]]</f>
        <v>0</v>
      </c>
      <c r="W148" s="3">
        <f>MAX(intermediate_results[[#This Row], [Team1 laps '[laps']]:[Team9 laps '[laps']]]) - intermediate_results[[#This Row], [Team4 laps '[laps']]]</f>
        <v>0</v>
      </c>
      <c r="X148" s="3">
        <f>MAX(intermediate_results[[#This Row], [Team1 laps '[laps']]:[Team9 laps '[laps']]]) - intermediate_results[[#This Row], [Team5 laps '[laps']]]</f>
        <v>0</v>
      </c>
      <c r="Y148" s="3">
        <f>MAX(intermediate_results[[#This Row], [Team1 laps '[laps']]:[Team9 laps '[laps']]]) - intermediate_results[[#This Row], [Team6 laps '[laps']]]</f>
        <v>0</v>
      </c>
      <c r="Z148" s="3">
        <f>MAX(intermediate_results[[#This Row], [Team1 laps '[laps']]:[Team9 laps '[laps']]]) - intermediate_results[[#This Row], [Team7 laps '[laps']]]</f>
        <v>0</v>
      </c>
      <c r="AA148" s="3">
        <f>MAX(intermediate_results[[#This Row], [Team1 laps '[laps']]:[Team9 laps '[laps']]]) - intermediate_results[[#This Row], [Team8 laps '[laps']]]</f>
        <v>0</v>
      </c>
      <c r="AB148" s="3">
        <f>MAX(intermediate_results[[#This Row], [Team1 laps '[laps']]:[Team9 laps '[laps']]]) - intermediate_results[[#This Row], [Team9 laps '[laps']]]</f>
        <v>0</v>
      </c>
      <c r="AC148" s="3">
        <f>9 * intermediate_results[[#This Row], [All cumulative times '[sec']]] / SUM(intermediate_results[[#This Row], [Team1 laps '[laps']]:[Team9 laps '[laps']]])</f>
        <v>0</v>
      </c>
      <c r="AD148" s="3">
        <f>intermediate_results[[#This Row], [All cumulative times '[sec']]] / intermediate_results[[#This Row], [Team1 laps '[laps']]] - intermediate_results[[#This Row], [Total running average '[sec']]]</f>
        <v>0</v>
      </c>
      <c r="AE148" s="3">
        <f>intermediate_results[[#This Row], [All cumulative times '[sec']]] / intermediate_results[[#This Row], [Team2 laps '[laps']]] - intermediate_results[[#This Row], [Total running average '[sec']]]</f>
        <v>0</v>
      </c>
      <c r="AF148" s="3">
        <f>intermediate_results[[#This Row], [All cumulative times '[sec']]] / intermediate_results[[#This Row], [Team3 laps '[laps']]] - intermediate_results[[#This Row], [Total running average '[sec']]]</f>
        <v>0</v>
      </c>
      <c r="AG148" s="3">
        <f>intermediate_results[[#This Row], [All cumulative times '[sec']]] / intermediate_results[[#This Row], [Team4 laps '[laps']]] - intermediate_results[[#This Row], [Total running average '[sec']]]</f>
        <v>0</v>
      </c>
      <c r="AH148" s="3">
        <f>intermediate_results[[#This Row], [All cumulative times '[sec']]] / intermediate_results[[#This Row], [Team5 laps '[laps']]] - intermediate_results[[#This Row], [Total running average '[sec']]]</f>
        <v>0</v>
      </c>
      <c r="AI148" s="3">
        <f>intermediate_results[[#This Row], [All cumulative times '[sec']]] / intermediate_results[[#This Row], [Team6 laps '[laps']]] - intermediate_results[[#This Row], [Total running average '[sec']]]</f>
        <v>0</v>
      </c>
      <c r="AJ148" s="3">
        <f>intermediate_results[[#This Row], [All cumulative times '[sec']]] / intermediate_results[[#This Row], [Team7 laps '[laps']]] - intermediate_results[[#This Row], [Total running average '[sec']]]</f>
        <v>0</v>
      </c>
      <c r="AK148" s="3">
        <f>intermediate_results[[#This Row], [All cumulative times '[sec']]] / intermediate_results[[#This Row], [Team8 laps '[laps']]] - intermediate_results[[#This Row], [Total running average '[sec']]]</f>
        <v>0</v>
      </c>
      <c r="AL148" s="3">
        <f>intermediate_results[[#This Row], [All cumulative times '[sec']]] / intermediate_results[[#This Row], [Team9 laps '[laps']]] - intermediate_results[[#This Row], [Total running average '[sec']]]</f>
        <v>0</v>
      </c>
    </row>
    <row r="149" spans="1:38">
      <c r="A149" s="3">
        <v>933.4669999999999</v>
      </c>
      <c r="B14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4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4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4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4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4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4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4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4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49" s="3">
        <f>intermediate_results[[#This Row], [Team1 laps '[laps']]] - intermediate_results[[#This Row], [Team1 laps '[laps']]]</f>
        <v>0</v>
      </c>
      <c r="L149" s="3">
        <f>intermediate_results[[#This Row], [Team1 laps '[laps']]] - intermediate_results[[#This Row], [Team2 laps '[laps']]]</f>
        <v>0</v>
      </c>
      <c r="M149" s="3">
        <f>intermediate_results[[#This Row], [Team1 laps '[laps']]] - intermediate_results[[#This Row], [Team3 laps '[laps']]]</f>
        <v>0</v>
      </c>
      <c r="N149" s="3">
        <f>intermediate_results[[#This Row], [Team1 laps '[laps']]] - intermediate_results[[#This Row], [Team4 laps '[laps']]]</f>
        <v>0</v>
      </c>
      <c r="O149" s="3">
        <f>intermediate_results[[#This Row], [Team1 laps '[laps']]] - intermediate_results[[#This Row], [Team5 laps '[laps']]]</f>
        <v>0</v>
      </c>
      <c r="P149" s="3">
        <f>intermediate_results[[#This Row], [Team1 laps '[laps']]] - intermediate_results[[#This Row], [Team6 laps '[laps']]]</f>
        <v>0</v>
      </c>
      <c r="Q149" s="3">
        <f>intermediate_results[[#This Row], [Team1 laps '[laps']]] - intermediate_results[[#This Row], [Team7 laps '[laps']]]</f>
        <v>0</v>
      </c>
      <c r="R149" s="3">
        <f>intermediate_results[[#This Row], [Team1 laps '[laps']]] - intermediate_results[[#This Row], [Team8 laps '[laps']]]</f>
        <v>0</v>
      </c>
      <c r="S149" s="3">
        <f>intermediate_results[[#This Row], [Team1 laps '[laps']]] - intermediate_results[[#This Row], [Team9 laps '[laps']]]</f>
        <v>0</v>
      </c>
      <c r="T149" s="3">
        <f>MAX(intermediate_results[[#This Row], [Team1 laps '[laps']]:[Team9 laps '[laps']]]) - intermediate_results[[#This Row], [Team1 laps '[laps']]]</f>
        <v>0</v>
      </c>
      <c r="U149" s="3">
        <f>MAX(intermediate_results[[#This Row], [Team1 laps '[laps']]:[Team9 laps '[laps']]]) - intermediate_results[[#This Row], [Team2 laps '[laps']]]</f>
        <v>0</v>
      </c>
      <c r="V149" s="3">
        <f>MAX(intermediate_results[[#This Row], [Team1 laps '[laps']]:[Team9 laps '[laps']]]) - intermediate_results[[#This Row], [Team3 laps '[laps']]]</f>
        <v>0</v>
      </c>
      <c r="W149" s="3">
        <f>MAX(intermediate_results[[#This Row], [Team1 laps '[laps']]:[Team9 laps '[laps']]]) - intermediate_results[[#This Row], [Team4 laps '[laps']]]</f>
        <v>0</v>
      </c>
      <c r="X149" s="3">
        <f>MAX(intermediate_results[[#This Row], [Team1 laps '[laps']]:[Team9 laps '[laps']]]) - intermediate_results[[#This Row], [Team5 laps '[laps']]]</f>
        <v>0</v>
      </c>
      <c r="Y149" s="3">
        <f>MAX(intermediate_results[[#This Row], [Team1 laps '[laps']]:[Team9 laps '[laps']]]) - intermediate_results[[#This Row], [Team6 laps '[laps']]]</f>
        <v>0</v>
      </c>
      <c r="Z149" s="3">
        <f>MAX(intermediate_results[[#This Row], [Team1 laps '[laps']]:[Team9 laps '[laps']]]) - intermediate_results[[#This Row], [Team7 laps '[laps']]]</f>
        <v>0</v>
      </c>
      <c r="AA149" s="3">
        <f>MAX(intermediate_results[[#This Row], [Team1 laps '[laps']]:[Team9 laps '[laps']]]) - intermediate_results[[#This Row], [Team8 laps '[laps']]]</f>
        <v>0</v>
      </c>
      <c r="AB149" s="3">
        <f>MAX(intermediate_results[[#This Row], [Team1 laps '[laps']]:[Team9 laps '[laps']]]) - intermediate_results[[#This Row], [Team9 laps '[laps']]]</f>
        <v>0</v>
      </c>
      <c r="AC149" s="3">
        <f>9 * intermediate_results[[#This Row], [All cumulative times '[sec']]] / SUM(intermediate_results[[#This Row], [Team1 laps '[laps']]:[Team9 laps '[laps']]])</f>
        <v>0</v>
      </c>
      <c r="AD149" s="3">
        <f>intermediate_results[[#This Row], [All cumulative times '[sec']]] / intermediate_results[[#This Row], [Team1 laps '[laps']]] - intermediate_results[[#This Row], [Total running average '[sec']]]</f>
        <v>0</v>
      </c>
      <c r="AE149" s="3">
        <f>intermediate_results[[#This Row], [All cumulative times '[sec']]] / intermediate_results[[#This Row], [Team2 laps '[laps']]] - intermediate_results[[#This Row], [Total running average '[sec']]]</f>
        <v>0</v>
      </c>
      <c r="AF149" s="3">
        <f>intermediate_results[[#This Row], [All cumulative times '[sec']]] / intermediate_results[[#This Row], [Team3 laps '[laps']]] - intermediate_results[[#This Row], [Total running average '[sec']]]</f>
        <v>0</v>
      </c>
      <c r="AG149" s="3">
        <f>intermediate_results[[#This Row], [All cumulative times '[sec']]] / intermediate_results[[#This Row], [Team4 laps '[laps']]] - intermediate_results[[#This Row], [Total running average '[sec']]]</f>
        <v>0</v>
      </c>
      <c r="AH149" s="3">
        <f>intermediate_results[[#This Row], [All cumulative times '[sec']]] / intermediate_results[[#This Row], [Team5 laps '[laps']]] - intermediate_results[[#This Row], [Total running average '[sec']]]</f>
        <v>0</v>
      </c>
      <c r="AI149" s="3">
        <f>intermediate_results[[#This Row], [All cumulative times '[sec']]] / intermediate_results[[#This Row], [Team6 laps '[laps']]] - intermediate_results[[#This Row], [Total running average '[sec']]]</f>
        <v>0</v>
      </c>
      <c r="AJ149" s="3">
        <f>intermediate_results[[#This Row], [All cumulative times '[sec']]] / intermediate_results[[#This Row], [Team7 laps '[laps']]] - intermediate_results[[#This Row], [Total running average '[sec']]]</f>
        <v>0</v>
      </c>
      <c r="AK149" s="3">
        <f>intermediate_results[[#This Row], [All cumulative times '[sec']]] / intermediate_results[[#This Row], [Team8 laps '[laps']]] - intermediate_results[[#This Row], [Total running average '[sec']]]</f>
        <v>0</v>
      </c>
      <c r="AL149" s="3">
        <f>intermediate_results[[#This Row], [All cumulative times '[sec']]] / intermediate_results[[#This Row], [Team9 laps '[laps']]] - intermediate_results[[#This Row], [Total running average '[sec']]]</f>
        <v>0</v>
      </c>
    </row>
    <row r="150" spans="1:38">
      <c r="A150" s="3">
        <v>934.0619999999999</v>
      </c>
      <c r="B15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0" s="3">
        <f>intermediate_results[[#This Row], [Team1 laps '[laps']]] - intermediate_results[[#This Row], [Team1 laps '[laps']]]</f>
        <v>0</v>
      </c>
      <c r="L150" s="3">
        <f>intermediate_results[[#This Row], [Team1 laps '[laps']]] - intermediate_results[[#This Row], [Team2 laps '[laps']]]</f>
        <v>0</v>
      </c>
      <c r="M150" s="3">
        <f>intermediate_results[[#This Row], [Team1 laps '[laps']]] - intermediate_results[[#This Row], [Team3 laps '[laps']]]</f>
        <v>0</v>
      </c>
      <c r="N150" s="3">
        <f>intermediate_results[[#This Row], [Team1 laps '[laps']]] - intermediate_results[[#This Row], [Team4 laps '[laps']]]</f>
        <v>0</v>
      </c>
      <c r="O150" s="3">
        <f>intermediate_results[[#This Row], [Team1 laps '[laps']]] - intermediate_results[[#This Row], [Team5 laps '[laps']]]</f>
        <v>0</v>
      </c>
      <c r="P150" s="3">
        <f>intermediate_results[[#This Row], [Team1 laps '[laps']]] - intermediate_results[[#This Row], [Team6 laps '[laps']]]</f>
        <v>0</v>
      </c>
      <c r="Q150" s="3">
        <f>intermediate_results[[#This Row], [Team1 laps '[laps']]] - intermediate_results[[#This Row], [Team7 laps '[laps']]]</f>
        <v>0</v>
      </c>
      <c r="R150" s="3">
        <f>intermediate_results[[#This Row], [Team1 laps '[laps']]] - intermediate_results[[#This Row], [Team8 laps '[laps']]]</f>
        <v>0</v>
      </c>
      <c r="S150" s="3">
        <f>intermediate_results[[#This Row], [Team1 laps '[laps']]] - intermediate_results[[#This Row], [Team9 laps '[laps']]]</f>
        <v>0</v>
      </c>
      <c r="T150" s="3">
        <f>MAX(intermediate_results[[#This Row], [Team1 laps '[laps']]:[Team9 laps '[laps']]]) - intermediate_results[[#This Row], [Team1 laps '[laps']]]</f>
        <v>0</v>
      </c>
      <c r="U150" s="3">
        <f>MAX(intermediate_results[[#This Row], [Team1 laps '[laps']]:[Team9 laps '[laps']]]) - intermediate_results[[#This Row], [Team2 laps '[laps']]]</f>
        <v>0</v>
      </c>
      <c r="V150" s="3">
        <f>MAX(intermediate_results[[#This Row], [Team1 laps '[laps']]:[Team9 laps '[laps']]]) - intermediate_results[[#This Row], [Team3 laps '[laps']]]</f>
        <v>0</v>
      </c>
      <c r="W150" s="3">
        <f>MAX(intermediate_results[[#This Row], [Team1 laps '[laps']]:[Team9 laps '[laps']]]) - intermediate_results[[#This Row], [Team4 laps '[laps']]]</f>
        <v>0</v>
      </c>
      <c r="X150" s="3">
        <f>MAX(intermediate_results[[#This Row], [Team1 laps '[laps']]:[Team9 laps '[laps']]]) - intermediate_results[[#This Row], [Team5 laps '[laps']]]</f>
        <v>0</v>
      </c>
      <c r="Y150" s="3">
        <f>MAX(intermediate_results[[#This Row], [Team1 laps '[laps']]:[Team9 laps '[laps']]]) - intermediate_results[[#This Row], [Team6 laps '[laps']]]</f>
        <v>0</v>
      </c>
      <c r="Z150" s="3">
        <f>MAX(intermediate_results[[#This Row], [Team1 laps '[laps']]:[Team9 laps '[laps']]]) - intermediate_results[[#This Row], [Team7 laps '[laps']]]</f>
        <v>0</v>
      </c>
      <c r="AA150" s="3">
        <f>MAX(intermediate_results[[#This Row], [Team1 laps '[laps']]:[Team9 laps '[laps']]]) - intermediate_results[[#This Row], [Team8 laps '[laps']]]</f>
        <v>0</v>
      </c>
      <c r="AB150" s="3">
        <f>MAX(intermediate_results[[#This Row], [Team1 laps '[laps']]:[Team9 laps '[laps']]]) - intermediate_results[[#This Row], [Team9 laps '[laps']]]</f>
        <v>0</v>
      </c>
      <c r="AC150" s="3">
        <f>9 * intermediate_results[[#This Row], [All cumulative times '[sec']]] / SUM(intermediate_results[[#This Row], [Team1 laps '[laps']]:[Team9 laps '[laps']]])</f>
        <v>0</v>
      </c>
      <c r="AD150" s="3">
        <f>intermediate_results[[#This Row], [All cumulative times '[sec']]] / intermediate_results[[#This Row], [Team1 laps '[laps']]] - intermediate_results[[#This Row], [Total running average '[sec']]]</f>
        <v>0</v>
      </c>
      <c r="AE150" s="3">
        <f>intermediate_results[[#This Row], [All cumulative times '[sec']]] / intermediate_results[[#This Row], [Team2 laps '[laps']]] - intermediate_results[[#This Row], [Total running average '[sec']]]</f>
        <v>0</v>
      </c>
      <c r="AF150" s="3">
        <f>intermediate_results[[#This Row], [All cumulative times '[sec']]] / intermediate_results[[#This Row], [Team3 laps '[laps']]] - intermediate_results[[#This Row], [Total running average '[sec']]]</f>
        <v>0</v>
      </c>
      <c r="AG150" s="3">
        <f>intermediate_results[[#This Row], [All cumulative times '[sec']]] / intermediate_results[[#This Row], [Team4 laps '[laps']]] - intermediate_results[[#This Row], [Total running average '[sec']]]</f>
        <v>0</v>
      </c>
      <c r="AH150" s="3">
        <f>intermediate_results[[#This Row], [All cumulative times '[sec']]] / intermediate_results[[#This Row], [Team5 laps '[laps']]] - intermediate_results[[#This Row], [Total running average '[sec']]]</f>
        <v>0</v>
      </c>
      <c r="AI150" s="3">
        <f>intermediate_results[[#This Row], [All cumulative times '[sec']]] / intermediate_results[[#This Row], [Team6 laps '[laps']]] - intermediate_results[[#This Row], [Total running average '[sec']]]</f>
        <v>0</v>
      </c>
      <c r="AJ150" s="3">
        <f>intermediate_results[[#This Row], [All cumulative times '[sec']]] / intermediate_results[[#This Row], [Team7 laps '[laps']]] - intermediate_results[[#This Row], [Total running average '[sec']]]</f>
        <v>0</v>
      </c>
      <c r="AK150" s="3">
        <f>intermediate_results[[#This Row], [All cumulative times '[sec']]] / intermediate_results[[#This Row], [Team8 laps '[laps']]] - intermediate_results[[#This Row], [Total running average '[sec']]]</f>
        <v>0</v>
      </c>
      <c r="AL150" s="3">
        <f>intermediate_results[[#This Row], [All cumulative times '[sec']]] / intermediate_results[[#This Row], [Team9 laps '[laps']]] - intermediate_results[[#This Row], [Total running average '[sec']]]</f>
        <v>0</v>
      </c>
    </row>
    <row r="151" spans="1:38">
      <c r="A151" s="3">
        <v>934.2380000000002</v>
      </c>
      <c r="B15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1" s="3">
        <f>intermediate_results[[#This Row], [Team1 laps '[laps']]] - intermediate_results[[#This Row], [Team1 laps '[laps']]]</f>
        <v>0</v>
      </c>
      <c r="L151" s="3">
        <f>intermediate_results[[#This Row], [Team1 laps '[laps']]] - intermediate_results[[#This Row], [Team2 laps '[laps']]]</f>
        <v>0</v>
      </c>
      <c r="M151" s="3">
        <f>intermediate_results[[#This Row], [Team1 laps '[laps']]] - intermediate_results[[#This Row], [Team3 laps '[laps']]]</f>
        <v>0</v>
      </c>
      <c r="N151" s="3">
        <f>intermediate_results[[#This Row], [Team1 laps '[laps']]] - intermediate_results[[#This Row], [Team4 laps '[laps']]]</f>
        <v>0</v>
      </c>
      <c r="O151" s="3">
        <f>intermediate_results[[#This Row], [Team1 laps '[laps']]] - intermediate_results[[#This Row], [Team5 laps '[laps']]]</f>
        <v>0</v>
      </c>
      <c r="P151" s="3">
        <f>intermediate_results[[#This Row], [Team1 laps '[laps']]] - intermediate_results[[#This Row], [Team6 laps '[laps']]]</f>
        <v>0</v>
      </c>
      <c r="Q151" s="3">
        <f>intermediate_results[[#This Row], [Team1 laps '[laps']]] - intermediate_results[[#This Row], [Team7 laps '[laps']]]</f>
        <v>0</v>
      </c>
      <c r="R151" s="3">
        <f>intermediate_results[[#This Row], [Team1 laps '[laps']]] - intermediate_results[[#This Row], [Team8 laps '[laps']]]</f>
        <v>0</v>
      </c>
      <c r="S151" s="3">
        <f>intermediate_results[[#This Row], [Team1 laps '[laps']]] - intermediate_results[[#This Row], [Team9 laps '[laps']]]</f>
        <v>0</v>
      </c>
      <c r="T151" s="3">
        <f>MAX(intermediate_results[[#This Row], [Team1 laps '[laps']]:[Team9 laps '[laps']]]) - intermediate_results[[#This Row], [Team1 laps '[laps']]]</f>
        <v>0</v>
      </c>
      <c r="U151" s="3">
        <f>MAX(intermediate_results[[#This Row], [Team1 laps '[laps']]:[Team9 laps '[laps']]]) - intermediate_results[[#This Row], [Team2 laps '[laps']]]</f>
        <v>0</v>
      </c>
      <c r="V151" s="3">
        <f>MAX(intermediate_results[[#This Row], [Team1 laps '[laps']]:[Team9 laps '[laps']]]) - intermediate_results[[#This Row], [Team3 laps '[laps']]]</f>
        <v>0</v>
      </c>
      <c r="W151" s="3">
        <f>MAX(intermediate_results[[#This Row], [Team1 laps '[laps']]:[Team9 laps '[laps']]]) - intermediate_results[[#This Row], [Team4 laps '[laps']]]</f>
        <v>0</v>
      </c>
      <c r="X151" s="3">
        <f>MAX(intermediate_results[[#This Row], [Team1 laps '[laps']]:[Team9 laps '[laps']]]) - intermediate_results[[#This Row], [Team5 laps '[laps']]]</f>
        <v>0</v>
      </c>
      <c r="Y151" s="3">
        <f>MAX(intermediate_results[[#This Row], [Team1 laps '[laps']]:[Team9 laps '[laps']]]) - intermediate_results[[#This Row], [Team6 laps '[laps']]]</f>
        <v>0</v>
      </c>
      <c r="Z151" s="3">
        <f>MAX(intermediate_results[[#This Row], [Team1 laps '[laps']]:[Team9 laps '[laps']]]) - intermediate_results[[#This Row], [Team7 laps '[laps']]]</f>
        <v>0</v>
      </c>
      <c r="AA151" s="3">
        <f>MAX(intermediate_results[[#This Row], [Team1 laps '[laps']]:[Team9 laps '[laps']]]) - intermediate_results[[#This Row], [Team8 laps '[laps']]]</f>
        <v>0</v>
      </c>
      <c r="AB151" s="3">
        <f>MAX(intermediate_results[[#This Row], [Team1 laps '[laps']]:[Team9 laps '[laps']]]) - intermediate_results[[#This Row], [Team9 laps '[laps']]]</f>
        <v>0</v>
      </c>
      <c r="AC151" s="3">
        <f>9 * intermediate_results[[#This Row], [All cumulative times '[sec']]] / SUM(intermediate_results[[#This Row], [Team1 laps '[laps']]:[Team9 laps '[laps']]])</f>
        <v>0</v>
      </c>
      <c r="AD151" s="3">
        <f>intermediate_results[[#This Row], [All cumulative times '[sec']]] / intermediate_results[[#This Row], [Team1 laps '[laps']]] - intermediate_results[[#This Row], [Total running average '[sec']]]</f>
        <v>0</v>
      </c>
      <c r="AE151" s="3">
        <f>intermediate_results[[#This Row], [All cumulative times '[sec']]] / intermediate_results[[#This Row], [Team2 laps '[laps']]] - intermediate_results[[#This Row], [Total running average '[sec']]]</f>
        <v>0</v>
      </c>
      <c r="AF151" s="3">
        <f>intermediate_results[[#This Row], [All cumulative times '[sec']]] / intermediate_results[[#This Row], [Team3 laps '[laps']]] - intermediate_results[[#This Row], [Total running average '[sec']]]</f>
        <v>0</v>
      </c>
      <c r="AG151" s="3">
        <f>intermediate_results[[#This Row], [All cumulative times '[sec']]] / intermediate_results[[#This Row], [Team4 laps '[laps']]] - intermediate_results[[#This Row], [Total running average '[sec']]]</f>
        <v>0</v>
      </c>
      <c r="AH151" s="3">
        <f>intermediate_results[[#This Row], [All cumulative times '[sec']]] / intermediate_results[[#This Row], [Team5 laps '[laps']]] - intermediate_results[[#This Row], [Total running average '[sec']]]</f>
        <v>0</v>
      </c>
      <c r="AI151" s="3">
        <f>intermediate_results[[#This Row], [All cumulative times '[sec']]] / intermediate_results[[#This Row], [Team6 laps '[laps']]] - intermediate_results[[#This Row], [Total running average '[sec']]]</f>
        <v>0</v>
      </c>
      <c r="AJ151" s="3">
        <f>intermediate_results[[#This Row], [All cumulative times '[sec']]] / intermediate_results[[#This Row], [Team7 laps '[laps']]] - intermediate_results[[#This Row], [Total running average '[sec']]]</f>
        <v>0</v>
      </c>
      <c r="AK151" s="3">
        <f>intermediate_results[[#This Row], [All cumulative times '[sec']]] / intermediate_results[[#This Row], [Team8 laps '[laps']]] - intermediate_results[[#This Row], [Total running average '[sec']]]</f>
        <v>0</v>
      </c>
      <c r="AL151" s="3">
        <f>intermediate_results[[#This Row], [All cumulative times '[sec']]] / intermediate_results[[#This Row], [Team9 laps '[laps']]] - intermediate_results[[#This Row], [Total running average '[sec']]]</f>
        <v>0</v>
      </c>
    </row>
    <row r="152" spans="1:38">
      <c r="A152" s="3">
        <v>944.414</v>
      </c>
      <c r="B15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2" s="3">
        <f>intermediate_results[[#This Row], [Team1 laps '[laps']]] - intermediate_results[[#This Row], [Team1 laps '[laps']]]</f>
        <v>0</v>
      </c>
      <c r="L152" s="3">
        <f>intermediate_results[[#This Row], [Team1 laps '[laps']]] - intermediate_results[[#This Row], [Team2 laps '[laps']]]</f>
        <v>0</v>
      </c>
      <c r="M152" s="3">
        <f>intermediate_results[[#This Row], [Team1 laps '[laps']]] - intermediate_results[[#This Row], [Team3 laps '[laps']]]</f>
        <v>0</v>
      </c>
      <c r="N152" s="3">
        <f>intermediate_results[[#This Row], [Team1 laps '[laps']]] - intermediate_results[[#This Row], [Team4 laps '[laps']]]</f>
        <v>0</v>
      </c>
      <c r="O152" s="3">
        <f>intermediate_results[[#This Row], [Team1 laps '[laps']]] - intermediate_results[[#This Row], [Team5 laps '[laps']]]</f>
        <v>0</v>
      </c>
      <c r="P152" s="3">
        <f>intermediate_results[[#This Row], [Team1 laps '[laps']]] - intermediate_results[[#This Row], [Team6 laps '[laps']]]</f>
        <v>0</v>
      </c>
      <c r="Q152" s="3">
        <f>intermediate_results[[#This Row], [Team1 laps '[laps']]] - intermediate_results[[#This Row], [Team7 laps '[laps']]]</f>
        <v>0</v>
      </c>
      <c r="R152" s="3">
        <f>intermediate_results[[#This Row], [Team1 laps '[laps']]] - intermediate_results[[#This Row], [Team8 laps '[laps']]]</f>
        <v>0</v>
      </c>
      <c r="S152" s="3">
        <f>intermediate_results[[#This Row], [Team1 laps '[laps']]] - intermediate_results[[#This Row], [Team9 laps '[laps']]]</f>
        <v>0</v>
      </c>
      <c r="T152" s="3">
        <f>MAX(intermediate_results[[#This Row], [Team1 laps '[laps']]:[Team9 laps '[laps']]]) - intermediate_results[[#This Row], [Team1 laps '[laps']]]</f>
        <v>0</v>
      </c>
      <c r="U152" s="3">
        <f>MAX(intermediate_results[[#This Row], [Team1 laps '[laps']]:[Team9 laps '[laps']]]) - intermediate_results[[#This Row], [Team2 laps '[laps']]]</f>
        <v>0</v>
      </c>
      <c r="V152" s="3">
        <f>MAX(intermediate_results[[#This Row], [Team1 laps '[laps']]:[Team9 laps '[laps']]]) - intermediate_results[[#This Row], [Team3 laps '[laps']]]</f>
        <v>0</v>
      </c>
      <c r="W152" s="3">
        <f>MAX(intermediate_results[[#This Row], [Team1 laps '[laps']]:[Team9 laps '[laps']]]) - intermediate_results[[#This Row], [Team4 laps '[laps']]]</f>
        <v>0</v>
      </c>
      <c r="X152" s="3">
        <f>MAX(intermediate_results[[#This Row], [Team1 laps '[laps']]:[Team9 laps '[laps']]]) - intermediate_results[[#This Row], [Team5 laps '[laps']]]</f>
        <v>0</v>
      </c>
      <c r="Y152" s="3">
        <f>MAX(intermediate_results[[#This Row], [Team1 laps '[laps']]:[Team9 laps '[laps']]]) - intermediate_results[[#This Row], [Team6 laps '[laps']]]</f>
        <v>0</v>
      </c>
      <c r="Z152" s="3">
        <f>MAX(intermediate_results[[#This Row], [Team1 laps '[laps']]:[Team9 laps '[laps']]]) - intermediate_results[[#This Row], [Team7 laps '[laps']]]</f>
        <v>0</v>
      </c>
      <c r="AA152" s="3">
        <f>MAX(intermediate_results[[#This Row], [Team1 laps '[laps']]:[Team9 laps '[laps']]]) - intermediate_results[[#This Row], [Team8 laps '[laps']]]</f>
        <v>0</v>
      </c>
      <c r="AB152" s="3">
        <f>MAX(intermediate_results[[#This Row], [Team1 laps '[laps']]:[Team9 laps '[laps']]]) - intermediate_results[[#This Row], [Team9 laps '[laps']]]</f>
        <v>0</v>
      </c>
      <c r="AC152" s="3">
        <f>9 * intermediate_results[[#This Row], [All cumulative times '[sec']]] / SUM(intermediate_results[[#This Row], [Team1 laps '[laps']]:[Team9 laps '[laps']]])</f>
        <v>0</v>
      </c>
      <c r="AD152" s="3">
        <f>intermediate_results[[#This Row], [All cumulative times '[sec']]] / intermediate_results[[#This Row], [Team1 laps '[laps']]] - intermediate_results[[#This Row], [Total running average '[sec']]]</f>
        <v>0</v>
      </c>
      <c r="AE152" s="3">
        <f>intermediate_results[[#This Row], [All cumulative times '[sec']]] / intermediate_results[[#This Row], [Team2 laps '[laps']]] - intermediate_results[[#This Row], [Total running average '[sec']]]</f>
        <v>0</v>
      </c>
      <c r="AF152" s="3">
        <f>intermediate_results[[#This Row], [All cumulative times '[sec']]] / intermediate_results[[#This Row], [Team3 laps '[laps']]] - intermediate_results[[#This Row], [Total running average '[sec']]]</f>
        <v>0</v>
      </c>
      <c r="AG152" s="3">
        <f>intermediate_results[[#This Row], [All cumulative times '[sec']]] / intermediate_results[[#This Row], [Team4 laps '[laps']]] - intermediate_results[[#This Row], [Total running average '[sec']]]</f>
        <v>0</v>
      </c>
      <c r="AH152" s="3">
        <f>intermediate_results[[#This Row], [All cumulative times '[sec']]] / intermediate_results[[#This Row], [Team5 laps '[laps']]] - intermediate_results[[#This Row], [Total running average '[sec']]]</f>
        <v>0</v>
      </c>
      <c r="AI152" s="3">
        <f>intermediate_results[[#This Row], [All cumulative times '[sec']]] / intermediate_results[[#This Row], [Team6 laps '[laps']]] - intermediate_results[[#This Row], [Total running average '[sec']]]</f>
        <v>0</v>
      </c>
      <c r="AJ152" s="3">
        <f>intermediate_results[[#This Row], [All cumulative times '[sec']]] / intermediate_results[[#This Row], [Team7 laps '[laps']]] - intermediate_results[[#This Row], [Total running average '[sec']]]</f>
        <v>0</v>
      </c>
      <c r="AK152" s="3">
        <f>intermediate_results[[#This Row], [All cumulative times '[sec']]] / intermediate_results[[#This Row], [Team8 laps '[laps']]] - intermediate_results[[#This Row], [Total running average '[sec']]]</f>
        <v>0</v>
      </c>
      <c r="AL152" s="3">
        <f>intermediate_results[[#This Row], [All cumulative times '[sec']]] / intermediate_results[[#This Row], [Team9 laps '[laps']]] - intermediate_results[[#This Row], [Total running average '[sec']]]</f>
        <v>0</v>
      </c>
    </row>
    <row r="153" spans="1:38">
      <c r="A153" s="3">
        <v>951.7549999999998</v>
      </c>
      <c r="B15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3" s="3">
        <f>intermediate_results[[#This Row], [Team1 laps '[laps']]] - intermediate_results[[#This Row], [Team1 laps '[laps']]]</f>
        <v>0</v>
      </c>
      <c r="L153" s="3">
        <f>intermediate_results[[#This Row], [Team1 laps '[laps']]] - intermediate_results[[#This Row], [Team2 laps '[laps']]]</f>
        <v>0</v>
      </c>
      <c r="M153" s="3">
        <f>intermediate_results[[#This Row], [Team1 laps '[laps']]] - intermediate_results[[#This Row], [Team3 laps '[laps']]]</f>
        <v>0</v>
      </c>
      <c r="N153" s="3">
        <f>intermediate_results[[#This Row], [Team1 laps '[laps']]] - intermediate_results[[#This Row], [Team4 laps '[laps']]]</f>
        <v>0</v>
      </c>
      <c r="O153" s="3">
        <f>intermediate_results[[#This Row], [Team1 laps '[laps']]] - intermediate_results[[#This Row], [Team5 laps '[laps']]]</f>
        <v>0</v>
      </c>
      <c r="P153" s="3">
        <f>intermediate_results[[#This Row], [Team1 laps '[laps']]] - intermediate_results[[#This Row], [Team6 laps '[laps']]]</f>
        <v>0</v>
      </c>
      <c r="Q153" s="3">
        <f>intermediate_results[[#This Row], [Team1 laps '[laps']]] - intermediate_results[[#This Row], [Team7 laps '[laps']]]</f>
        <v>0</v>
      </c>
      <c r="R153" s="3">
        <f>intermediate_results[[#This Row], [Team1 laps '[laps']]] - intermediate_results[[#This Row], [Team8 laps '[laps']]]</f>
        <v>0</v>
      </c>
      <c r="S153" s="3">
        <f>intermediate_results[[#This Row], [Team1 laps '[laps']]] - intermediate_results[[#This Row], [Team9 laps '[laps']]]</f>
        <v>0</v>
      </c>
      <c r="T153" s="3">
        <f>MAX(intermediate_results[[#This Row], [Team1 laps '[laps']]:[Team9 laps '[laps']]]) - intermediate_results[[#This Row], [Team1 laps '[laps']]]</f>
        <v>0</v>
      </c>
      <c r="U153" s="3">
        <f>MAX(intermediate_results[[#This Row], [Team1 laps '[laps']]:[Team9 laps '[laps']]]) - intermediate_results[[#This Row], [Team2 laps '[laps']]]</f>
        <v>0</v>
      </c>
      <c r="V153" s="3">
        <f>MAX(intermediate_results[[#This Row], [Team1 laps '[laps']]:[Team9 laps '[laps']]]) - intermediate_results[[#This Row], [Team3 laps '[laps']]]</f>
        <v>0</v>
      </c>
      <c r="W153" s="3">
        <f>MAX(intermediate_results[[#This Row], [Team1 laps '[laps']]:[Team9 laps '[laps']]]) - intermediate_results[[#This Row], [Team4 laps '[laps']]]</f>
        <v>0</v>
      </c>
      <c r="X153" s="3">
        <f>MAX(intermediate_results[[#This Row], [Team1 laps '[laps']]:[Team9 laps '[laps']]]) - intermediate_results[[#This Row], [Team5 laps '[laps']]]</f>
        <v>0</v>
      </c>
      <c r="Y153" s="3">
        <f>MAX(intermediate_results[[#This Row], [Team1 laps '[laps']]:[Team9 laps '[laps']]]) - intermediate_results[[#This Row], [Team6 laps '[laps']]]</f>
        <v>0</v>
      </c>
      <c r="Z153" s="3">
        <f>MAX(intermediate_results[[#This Row], [Team1 laps '[laps']]:[Team9 laps '[laps']]]) - intermediate_results[[#This Row], [Team7 laps '[laps']]]</f>
        <v>0</v>
      </c>
      <c r="AA153" s="3">
        <f>MAX(intermediate_results[[#This Row], [Team1 laps '[laps']]:[Team9 laps '[laps']]]) - intermediate_results[[#This Row], [Team8 laps '[laps']]]</f>
        <v>0</v>
      </c>
      <c r="AB153" s="3">
        <f>MAX(intermediate_results[[#This Row], [Team1 laps '[laps']]:[Team9 laps '[laps']]]) - intermediate_results[[#This Row], [Team9 laps '[laps']]]</f>
        <v>0</v>
      </c>
      <c r="AC153" s="3">
        <f>9 * intermediate_results[[#This Row], [All cumulative times '[sec']]] / SUM(intermediate_results[[#This Row], [Team1 laps '[laps']]:[Team9 laps '[laps']]])</f>
        <v>0</v>
      </c>
      <c r="AD153" s="3">
        <f>intermediate_results[[#This Row], [All cumulative times '[sec']]] / intermediate_results[[#This Row], [Team1 laps '[laps']]] - intermediate_results[[#This Row], [Total running average '[sec']]]</f>
        <v>0</v>
      </c>
      <c r="AE153" s="3">
        <f>intermediate_results[[#This Row], [All cumulative times '[sec']]] / intermediate_results[[#This Row], [Team2 laps '[laps']]] - intermediate_results[[#This Row], [Total running average '[sec']]]</f>
        <v>0</v>
      </c>
      <c r="AF153" s="3">
        <f>intermediate_results[[#This Row], [All cumulative times '[sec']]] / intermediate_results[[#This Row], [Team3 laps '[laps']]] - intermediate_results[[#This Row], [Total running average '[sec']]]</f>
        <v>0</v>
      </c>
      <c r="AG153" s="3">
        <f>intermediate_results[[#This Row], [All cumulative times '[sec']]] / intermediate_results[[#This Row], [Team4 laps '[laps']]] - intermediate_results[[#This Row], [Total running average '[sec']]]</f>
        <v>0</v>
      </c>
      <c r="AH153" s="3">
        <f>intermediate_results[[#This Row], [All cumulative times '[sec']]] / intermediate_results[[#This Row], [Team5 laps '[laps']]] - intermediate_results[[#This Row], [Total running average '[sec']]]</f>
        <v>0</v>
      </c>
      <c r="AI153" s="3">
        <f>intermediate_results[[#This Row], [All cumulative times '[sec']]] / intermediate_results[[#This Row], [Team6 laps '[laps']]] - intermediate_results[[#This Row], [Total running average '[sec']]]</f>
        <v>0</v>
      </c>
      <c r="AJ153" s="3">
        <f>intermediate_results[[#This Row], [All cumulative times '[sec']]] / intermediate_results[[#This Row], [Team7 laps '[laps']]] - intermediate_results[[#This Row], [Total running average '[sec']]]</f>
        <v>0</v>
      </c>
      <c r="AK153" s="3">
        <f>intermediate_results[[#This Row], [All cumulative times '[sec']]] / intermediate_results[[#This Row], [Team8 laps '[laps']]] - intermediate_results[[#This Row], [Total running average '[sec']]]</f>
        <v>0</v>
      </c>
      <c r="AL153" s="3">
        <f>intermediate_results[[#This Row], [All cumulative times '[sec']]] / intermediate_results[[#This Row], [Team9 laps '[laps']]] - intermediate_results[[#This Row], [Total running average '[sec']]]</f>
        <v>0</v>
      </c>
    </row>
    <row r="154" spans="1:38">
      <c r="A154" s="3">
        <v>956.579</v>
      </c>
      <c r="B15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4" s="3">
        <f>intermediate_results[[#This Row], [Team1 laps '[laps']]] - intermediate_results[[#This Row], [Team1 laps '[laps']]]</f>
        <v>0</v>
      </c>
      <c r="L154" s="3">
        <f>intermediate_results[[#This Row], [Team1 laps '[laps']]] - intermediate_results[[#This Row], [Team2 laps '[laps']]]</f>
        <v>0</v>
      </c>
      <c r="M154" s="3">
        <f>intermediate_results[[#This Row], [Team1 laps '[laps']]] - intermediate_results[[#This Row], [Team3 laps '[laps']]]</f>
        <v>0</v>
      </c>
      <c r="N154" s="3">
        <f>intermediate_results[[#This Row], [Team1 laps '[laps']]] - intermediate_results[[#This Row], [Team4 laps '[laps']]]</f>
        <v>0</v>
      </c>
      <c r="O154" s="3">
        <f>intermediate_results[[#This Row], [Team1 laps '[laps']]] - intermediate_results[[#This Row], [Team5 laps '[laps']]]</f>
        <v>0</v>
      </c>
      <c r="P154" s="3">
        <f>intermediate_results[[#This Row], [Team1 laps '[laps']]] - intermediate_results[[#This Row], [Team6 laps '[laps']]]</f>
        <v>0</v>
      </c>
      <c r="Q154" s="3">
        <f>intermediate_results[[#This Row], [Team1 laps '[laps']]] - intermediate_results[[#This Row], [Team7 laps '[laps']]]</f>
        <v>0</v>
      </c>
      <c r="R154" s="3">
        <f>intermediate_results[[#This Row], [Team1 laps '[laps']]] - intermediate_results[[#This Row], [Team8 laps '[laps']]]</f>
        <v>0</v>
      </c>
      <c r="S154" s="3">
        <f>intermediate_results[[#This Row], [Team1 laps '[laps']]] - intermediate_results[[#This Row], [Team9 laps '[laps']]]</f>
        <v>0</v>
      </c>
      <c r="T154" s="3">
        <f>MAX(intermediate_results[[#This Row], [Team1 laps '[laps']]:[Team9 laps '[laps']]]) - intermediate_results[[#This Row], [Team1 laps '[laps']]]</f>
        <v>0</v>
      </c>
      <c r="U154" s="3">
        <f>MAX(intermediate_results[[#This Row], [Team1 laps '[laps']]:[Team9 laps '[laps']]]) - intermediate_results[[#This Row], [Team2 laps '[laps']]]</f>
        <v>0</v>
      </c>
      <c r="V154" s="3">
        <f>MAX(intermediate_results[[#This Row], [Team1 laps '[laps']]:[Team9 laps '[laps']]]) - intermediate_results[[#This Row], [Team3 laps '[laps']]]</f>
        <v>0</v>
      </c>
      <c r="W154" s="3">
        <f>MAX(intermediate_results[[#This Row], [Team1 laps '[laps']]:[Team9 laps '[laps']]]) - intermediate_results[[#This Row], [Team4 laps '[laps']]]</f>
        <v>0</v>
      </c>
      <c r="X154" s="3">
        <f>MAX(intermediate_results[[#This Row], [Team1 laps '[laps']]:[Team9 laps '[laps']]]) - intermediate_results[[#This Row], [Team5 laps '[laps']]]</f>
        <v>0</v>
      </c>
      <c r="Y154" s="3">
        <f>MAX(intermediate_results[[#This Row], [Team1 laps '[laps']]:[Team9 laps '[laps']]]) - intermediate_results[[#This Row], [Team6 laps '[laps']]]</f>
        <v>0</v>
      </c>
      <c r="Z154" s="3">
        <f>MAX(intermediate_results[[#This Row], [Team1 laps '[laps']]:[Team9 laps '[laps']]]) - intermediate_results[[#This Row], [Team7 laps '[laps']]]</f>
        <v>0</v>
      </c>
      <c r="AA154" s="3">
        <f>MAX(intermediate_results[[#This Row], [Team1 laps '[laps']]:[Team9 laps '[laps']]]) - intermediate_results[[#This Row], [Team8 laps '[laps']]]</f>
        <v>0</v>
      </c>
      <c r="AB154" s="3">
        <f>MAX(intermediate_results[[#This Row], [Team1 laps '[laps']]:[Team9 laps '[laps']]]) - intermediate_results[[#This Row], [Team9 laps '[laps']]]</f>
        <v>0</v>
      </c>
      <c r="AC154" s="3">
        <f>9 * intermediate_results[[#This Row], [All cumulative times '[sec']]] / SUM(intermediate_results[[#This Row], [Team1 laps '[laps']]:[Team9 laps '[laps']]])</f>
        <v>0</v>
      </c>
      <c r="AD154" s="3">
        <f>intermediate_results[[#This Row], [All cumulative times '[sec']]] / intermediate_results[[#This Row], [Team1 laps '[laps']]] - intermediate_results[[#This Row], [Total running average '[sec']]]</f>
        <v>0</v>
      </c>
      <c r="AE154" s="3">
        <f>intermediate_results[[#This Row], [All cumulative times '[sec']]] / intermediate_results[[#This Row], [Team2 laps '[laps']]] - intermediate_results[[#This Row], [Total running average '[sec']]]</f>
        <v>0</v>
      </c>
      <c r="AF154" s="3">
        <f>intermediate_results[[#This Row], [All cumulative times '[sec']]] / intermediate_results[[#This Row], [Team3 laps '[laps']]] - intermediate_results[[#This Row], [Total running average '[sec']]]</f>
        <v>0</v>
      </c>
      <c r="AG154" s="3">
        <f>intermediate_results[[#This Row], [All cumulative times '[sec']]] / intermediate_results[[#This Row], [Team4 laps '[laps']]] - intermediate_results[[#This Row], [Total running average '[sec']]]</f>
        <v>0</v>
      </c>
      <c r="AH154" s="3">
        <f>intermediate_results[[#This Row], [All cumulative times '[sec']]] / intermediate_results[[#This Row], [Team5 laps '[laps']]] - intermediate_results[[#This Row], [Total running average '[sec']]]</f>
        <v>0</v>
      </c>
      <c r="AI154" s="3">
        <f>intermediate_results[[#This Row], [All cumulative times '[sec']]] / intermediate_results[[#This Row], [Team6 laps '[laps']]] - intermediate_results[[#This Row], [Total running average '[sec']]]</f>
        <v>0</v>
      </c>
      <c r="AJ154" s="3">
        <f>intermediate_results[[#This Row], [All cumulative times '[sec']]] / intermediate_results[[#This Row], [Team7 laps '[laps']]] - intermediate_results[[#This Row], [Total running average '[sec']]]</f>
        <v>0</v>
      </c>
      <c r="AK154" s="3">
        <f>intermediate_results[[#This Row], [All cumulative times '[sec']]] / intermediate_results[[#This Row], [Team8 laps '[laps']]] - intermediate_results[[#This Row], [Total running average '[sec']]]</f>
        <v>0</v>
      </c>
      <c r="AL154" s="3">
        <f>intermediate_results[[#This Row], [All cumulative times '[sec']]] / intermediate_results[[#This Row], [Team9 laps '[laps']]] - intermediate_results[[#This Row], [Total running average '[sec']]]</f>
        <v>0</v>
      </c>
    </row>
    <row r="155" spans="1:38">
      <c r="A155" s="3">
        <v>959.0069999999998</v>
      </c>
      <c r="B15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5" s="3">
        <f>intermediate_results[[#This Row], [Team1 laps '[laps']]] - intermediate_results[[#This Row], [Team1 laps '[laps']]]</f>
        <v>0</v>
      </c>
      <c r="L155" s="3">
        <f>intermediate_results[[#This Row], [Team1 laps '[laps']]] - intermediate_results[[#This Row], [Team2 laps '[laps']]]</f>
        <v>0</v>
      </c>
      <c r="M155" s="3">
        <f>intermediate_results[[#This Row], [Team1 laps '[laps']]] - intermediate_results[[#This Row], [Team3 laps '[laps']]]</f>
        <v>0</v>
      </c>
      <c r="N155" s="3">
        <f>intermediate_results[[#This Row], [Team1 laps '[laps']]] - intermediate_results[[#This Row], [Team4 laps '[laps']]]</f>
        <v>0</v>
      </c>
      <c r="O155" s="3">
        <f>intermediate_results[[#This Row], [Team1 laps '[laps']]] - intermediate_results[[#This Row], [Team5 laps '[laps']]]</f>
        <v>0</v>
      </c>
      <c r="P155" s="3">
        <f>intermediate_results[[#This Row], [Team1 laps '[laps']]] - intermediate_results[[#This Row], [Team6 laps '[laps']]]</f>
        <v>0</v>
      </c>
      <c r="Q155" s="3">
        <f>intermediate_results[[#This Row], [Team1 laps '[laps']]] - intermediate_results[[#This Row], [Team7 laps '[laps']]]</f>
        <v>0</v>
      </c>
      <c r="R155" s="3">
        <f>intermediate_results[[#This Row], [Team1 laps '[laps']]] - intermediate_results[[#This Row], [Team8 laps '[laps']]]</f>
        <v>0</v>
      </c>
      <c r="S155" s="3">
        <f>intermediate_results[[#This Row], [Team1 laps '[laps']]] - intermediate_results[[#This Row], [Team9 laps '[laps']]]</f>
        <v>0</v>
      </c>
      <c r="T155" s="3">
        <f>MAX(intermediate_results[[#This Row], [Team1 laps '[laps']]:[Team9 laps '[laps']]]) - intermediate_results[[#This Row], [Team1 laps '[laps']]]</f>
        <v>0</v>
      </c>
      <c r="U155" s="3">
        <f>MAX(intermediate_results[[#This Row], [Team1 laps '[laps']]:[Team9 laps '[laps']]]) - intermediate_results[[#This Row], [Team2 laps '[laps']]]</f>
        <v>0</v>
      </c>
      <c r="V155" s="3">
        <f>MAX(intermediate_results[[#This Row], [Team1 laps '[laps']]:[Team9 laps '[laps']]]) - intermediate_results[[#This Row], [Team3 laps '[laps']]]</f>
        <v>0</v>
      </c>
      <c r="W155" s="3">
        <f>MAX(intermediate_results[[#This Row], [Team1 laps '[laps']]:[Team9 laps '[laps']]]) - intermediate_results[[#This Row], [Team4 laps '[laps']]]</f>
        <v>0</v>
      </c>
      <c r="X155" s="3">
        <f>MAX(intermediate_results[[#This Row], [Team1 laps '[laps']]:[Team9 laps '[laps']]]) - intermediate_results[[#This Row], [Team5 laps '[laps']]]</f>
        <v>0</v>
      </c>
      <c r="Y155" s="3">
        <f>MAX(intermediate_results[[#This Row], [Team1 laps '[laps']]:[Team9 laps '[laps']]]) - intermediate_results[[#This Row], [Team6 laps '[laps']]]</f>
        <v>0</v>
      </c>
      <c r="Z155" s="3">
        <f>MAX(intermediate_results[[#This Row], [Team1 laps '[laps']]:[Team9 laps '[laps']]]) - intermediate_results[[#This Row], [Team7 laps '[laps']]]</f>
        <v>0</v>
      </c>
      <c r="AA155" s="3">
        <f>MAX(intermediate_results[[#This Row], [Team1 laps '[laps']]:[Team9 laps '[laps']]]) - intermediate_results[[#This Row], [Team8 laps '[laps']]]</f>
        <v>0</v>
      </c>
      <c r="AB155" s="3">
        <f>MAX(intermediate_results[[#This Row], [Team1 laps '[laps']]:[Team9 laps '[laps']]]) - intermediate_results[[#This Row], [Team9 laps '[laps']]]</f>
        <v>0</v>
      </c>
      <c r="AC155" s="3">
        <f>9 * intermediate_results[[#This Row], [All cumulative times '[sec']]] / SUM(intermediate_results[[#This Row], [Team1 laps '[laps']]:[Team9 laps '[laps']]])</f>
        <v>0</v>
      </c>
      <c r="AD155" s="3">
        <f>intermediate_results[[#This Row], [All cumulative times '[sec']]] / intermediate_results[[#This Row], [Team1 laps '[laps']]] - intermediate_results[[#This Row], [Total running average '[sec']]]</f>
        <v>0</v>
      </c>
      <c r="AE155" s="3">
        <f>intermediate_results[[#This Row], [All cumulative times '[sec']]] / intermediate_results[[#This Row], [Team2 laps '[laps']]] - intermediate_results[[#This Row], [Total running average '[sec']]]</f>
        <v>0</v>
      </c>
      <c r="AF155" s="3">
        <f>intermediate_results[[#This Row], [All cumulative times '[sec']]] / intermediate_results[[#This Row], [Team3 laps '[laps']]] - intermediate_results[[#This Row], [Total running average '[sec']]]</f>
        <v>0</v>
      </c>
      <c r="AG155" s="3">
        <f>intermediate_results[[#This Row], [All cumulative times '[sec']]] / intermediate_results[[#This Row], [Team4 laps '[laps']]] - intermediate_results[[#This Row], [Total running average '[sec']]]</f>
        <v>0</v>
      </c>
      <c r="AH155" s="3">
        <f>intermediate_results[[#This Row], [All cumulative times '[sec']]] / intermediate_results[[#This Row], [Team5 laps '[laps']]] - intermediate_results[[#This Row], [Total running average '[sec']]]</f>
        <v>0</v>
      </c>
      <c r="AI155" s="3">
        <f>intermediate_results[[#This Row], [All cumulative times '[sec']]] / intermediate_results[[#This Row], [Team6 laps '[laps']]] - intermediate_results[[#This Row], [Total running average '[sec']]]</f>
        <v>0</v>
      </c>
      <c r="AJ155" s="3">
        <f>intermediate_results[[#This Row], [All cumulative times '[sec']]] / intermediate_results[[#This Row], [Team7 laps '[laps']]] - intermediate_results[[#This Row], [Total running average '[sec']]]</f>
        <v>0</v>
      </c>
      <c r="AK155" s="3">
        <f>intermediate_results[[#This Row], [All cumulative times '[sec']]] / intermediate_results[[#This Row], [Team8 laps '[laps']]] - intermediate_results[[#This Row], [Total running average '[sec']]]</f>
        <v>0</v>
      </c>
      <c r="AL155" s="3">
        <f>intermediate_results[[#This Row], [All cumulative times '[sec']]] / intermediate_results[[#This Row], [Team9 laps '[laps']]] - intermediate_results[[#This Row], [Total running average '[sec']]]</f>
        <v>0</v>
      </c>
    </row>
    <row r="156" spans="1:38">
      <c r="A156" s="3">
        <v>960.3619999999999</v>
      </c>
      <c r="B15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6" s="3">
        <f>intermediate_results[[#This Row], [Team1 laps '[laps']]] - intermediate_results[[#This Row], [Team1 laps '[laps']]]</f>
        <v>0</v>
      </c>
      <c r="L156" s="3">
        <f>intermediate_results[[#This Row], [Team1 laps '[laps']]] - intermediate_results[[#This Row], [Team2 laps '[laps']]]</f>
        <v>0</v>
      </c>
      <c r="M156" s="3">
        <f>intermediate_results[[#This Row], [Team1 laps '[laps']]] - intermediate_results[[#This Row], [Team3 laps '[laps']]]</f>
        <v>0</v>
      </c>
      <c r="N156" s="3">
        <f>intermediate_results[[#This Row], [Team1 laps '[laps']]] - intermediate_results[[#This Row], [Team4 laps '[laps']]]</f>
        <v>0</v>
      </c>
      <c r="O156" s="3">
        <f>intermediate_results[[#This Row], [Team1 laps '[laps']]] - intermediate_results[[#This Row], [Team5 laps '[laps']]]</f>
        <v>0</v>
      </c>
      <c r="P156" s="3">
        <f>intermediate_results[[#This Row], [Team1 laps '[laps']]] - intermediate_results[[#This Row], [Team6 laps '[laps']]]</f>
        <v>0</v>
      </c>
      <c r="Q156" s="3">
        <f>intermediate_results[[#This Row], [Team1 laps '[laps']]] - intermediate_results[[#This Row], [Team7 laps '[laps']]]</f>
        <v>0</v>
      </c>
      <c r="R156" s="3">
        <f>intermediate_results[[#This Row], [Team1 laps '[laps']]] - intermediate_results[[#This Row], [Team8 laps '[laps']]]</f>
        <v>0</v>
      </c>
      <c r="S156" s="3">
        <f>intermediate_results[[#This Row], [Team1 laps '[laps']]] - intermediate_results[[#This Row], [Team9 laps '[laps']]]</f>
        <v>0</v>
      </c>
      <c r="T156" s="3">
        <f>MAX(intermediate_results[[#This Row], [Team1 laps '[laps']]:[Team9 laps '[laps']]]) - intermediate_results[[#This Row], [Team1 laps '[laps']]]</f>
        <v>0</v>
      </c>
      <c r="U156" s="3">
        <f>MAX(intermediate_results[[#This Row], [Team1 laps '[laps']]:[Team9 laps '[laps']]]) - intermediate_results[[#This Row], [Team2 laps '[laps']]]</f>
        <v>0</v>
      </c>
      <c r="V156" s="3">
        <f>MAX(intermediate_results[[#This Row], [Team1 laps '[laps']]:[Team9 laps '[laps']]]) - intermediate_results[[#This Row], [Team3 laps '[laps']]]</f>
        <v>0</v>
      </c>
      <c r="W156" s="3">
        <f>MAX(intermediate_results[[#This Row], [Team1 laps '[laps']]:[Team9 laps '[laps']]]) - intermediate_results[[#This Row], [Team4 laps '[laps']]]</f>
        <v>0</v>
      </c>
      <c r="X156" s="3">
        <f>MAX(intermediate_results[[#This Row], [Team1 laps '[laps']]:[Team9 laps '[laps']]]) - intermediate_results[[#This Row], [Team5 laps '[laps']]]</f>
        <v>0</v>
      </c>
      <c r="Y156" s="3">
        <f>MAX(intermediate_results[[#This Row], [Team1 laps '[laps']]:[Team9 laps '[laps']]]) - intermediate_results[[#This Row], [Team6 laps '[laps']]]</f>
        <v>0</v>
      </c>
      <c r="Z156" s="3">
        <f>MAX(intermediate_results[[#This Row], [Team1 laps '[laps']]:[Team9 laps '[laps']]]) - intermediate_results[[#This Row], [Team7 laps '[laps']]]</f>
        <v>0</v>
      </c>
      <c r="AA156" s="3">
        <f>MAX(intermediate_results[[#This Row], [Team1 laps '[laps']]:[Team9 laps '[laps']]]) - intermediate_results[[#This Row], [Team8 laps '[laps']]]</f>
        <v>0</v>
      </c>
      <c r="AB156" s="3">
        <f>MAX(intermediate_results[[#This Row], [Team1 laps '[laps']]:[Team9 laps '[laps']]]) - intermediate_results[[#This Row], [Team9 laps '[laps']]]</f>
        <v>0</v>
      </c>
      <c r="AC156" s="3">
        <f>9 * intermediate_results[[#This Row], [All cumulative times '[sec']]] / SUM(intermediate_results[[#This Row], [Team1 laps '[laps']]:[Team9 laps '[laps']]])</f>
        <v>0</v>
      </c>
      <c r="AD156" s="3">
        <f>intermediate_results[[#This Row], [All cumulative times '[sec']]] / intermediate_results[[#This Row], [Team1 laps '[laps']]] - intermediate_results[[#This Row], [Total running average '[sec']]]</f>
        <v>0</v>
      </c>
      <c r="AE156" s="3">
        <f>intermediate_results[[#This Row], [All cumulative times '[sec']]] / intermediate_results[[#This Row], [Team2 laps '[laps']]] - intermediate_results[[#This Row], [Total running average '[sec']]]</f>
        <v>0</v>
      </c>
      <c r="AF156" s="3">
        <f>intermediate_results[[#This Row], [All cumulative times '[sec']]] / intermediate_results[[#This Row], [Team3 laps '[laps']]] - intermediate_results[[#This Row], [Total running average '[sec']]]</f>
        <v>0</v>
      </c>
      <c r="AG156" s="3">
        <f>intermediate_results[[#This Row], [All cumulative times '[sec']]] / intermediate_results[[#This Row], [Team4 laps '[laps']]] - intermediate_results[[#This Row], [Total running average '[sec']]]</f>
        <v>0</v>
      </c>
      <c r="AH156" s="3">
        <f>intermediate_results[[#This Row], [All cumulative times '[sec']]] / intermediate_results[[#This Row], [Team5 laps '[laps']]] - intermediate_results[[#This Row], [Total running average '[sec']]]</f>
        <v>0</v>
      </c>
      <c r="AI156" s="3">
        <f>intermediate_results[[#This Row], [All cumulative times '[sec']]] / intermediate_results[[#This Row], [Team6 laps '[laps']]] - intermediate_results[[#This Row], [Total running average '[sec']]]</f>
        <v>0</v>
      </c>
      <c r="AJ156" s="3">
        <f>intermediate_results[[#This Row], [All cumulative times '[sec']]] / intermediate_results[[#This Row], [Team7 laps '[laps']]] - intermediate_results[[#This Row], [Total running average '[sec']]]</f>
        <v>0</v>
      </c>
      <c r="AK156" s="3">
        <f>intermediate_results[[#This Row], [All cumulative times '[sec']]] / intermediate_results[[#This Row], [Team8 laps '[laps']]] - intermediate_results[[#This Row], [Total running average '[sec']]]</f>
        <v>0</v>
      </c>
      <c r="AL156" s="3">
        <f>intermediate_results[[#This Row], [All cumulative times '[sec']]] / intermediate_results[[#This Row], [Team9 laps '[laps']]] - intermediate_results[[#This Row], [Total running average '[sec']]]</f>
        <v>0</v>
      </c>
    </row>
    <row r="157" spans="1:38">
      <c r="A157" s="3">
        <v>968.2769999999999</v>
      </c>
      <c r="B15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7" s="3">
        <f>intermediate_results[[#This Row], [Team1 laps '[laps']]] - intermediate_results[[#This Row], [Team1 laps '[laps']]]</f>
        <v>0</v>
      </c>
      <c r="L157" s="3">
        <f>intermediate_results[[#This Row], [Team1 laps '[laps']]] - intermediate_results[[#This Row], [Team2 laps '[laps']]]</f>
        <v>0</v>
      </c>
      <c r="M157" s="3">
        <f>intermediate_results[[#This Row], [Team1 laps '[laps']]] - intermediate_results[[#This Row], [Team3 laps '[laps']]]</f>
        <v>0</v>
      </c>
      <c r="N157" s="3">
        <f>intermediate_results[[#This Row], [Team1 laps '[laps']]] - intermediate_results[[#This Row], [Team4 laps '[laps']]]</f>
        <v>0</v>
      </c>
      <c r="O157" s="3">
        <f>intermediate_results[[#This Row], [Team1 laps '[laps']]] - intermediate_results[[#This Row], [Team5 laps '[laps']]]</f>
        <v>0</v>
      </c>
      <c r="P157" s="3">
        <f>intermediate_results[[#This Row], [Team1 laps '[laps']]] - intermediate_results[[#This Row], [Team6 laps '[laps']]]</f>
        <v>0</v>
      </c>
      <c r="Q157" s="3">
        <f>intermediate_results[[#This Row], [Team1 laps '[laps']]] - intermediate_results[[#This Row], [Team7 laps '[laps']]]</f>
        <v>0</v>
      </c>
      <c r="R157" s="3">
        <f>intermediate_results[[#This Row], [Team1 laps '[laps']]] - intermediate_results[[#This Row], [Team8 laps '[laps']]]</f>
        <v>0</v>
      </c>
      <c r="S157" s="3">
        <f>intermediate_results[[#This Row], [Team1 laps '[laps']]] - intermediate_results[[#This Row], [Team9 laps '[laps']]]</f>
        <v>0</v>
      </c>
      <c r="T157" s="3">
        <f>MAX(intermediate_results[[#This Row], [Team1 laps '[laps']]:[Team9 laps '[laps']]]) - intermediate_results[[#This Row], [Team1 laps '[laps']]]</f>
        <v>0</v>
      </c>
      <c r="U157" s="3">
        <f>MAX(intermediate_results[[#This Row], [Team1 laps '[laps']]:[Team9 laps '[laps']]]) - intermediate_results[[#This Row], [Team2 laps '[laps']]]</f>
        <v>0</v>
      </c>
      <c r="V157" s="3">
        <f>MAX(intermediate_results[[#This Row], [Team1 laps '[laps']]:[Team9 laps '[laps']]]) - intermediate_results[[#This Row], [Team3 laps '[laps']]]</f>
        <v>0</v>
      </c>
      <c r="W157" s="3">
        <f>MAX(intermediate_results[[#This Row], [Team1 laps '[laps']]:[Team9 laps '[laps']]]) - intermediate_results[[#This Row], [Team4 laps '[laps']]]</f>
        <v>0</v>
      </c>
      <c r="X157" s="3">
        <f>MAX(intermediate_results[[#This Row], [Team1 laps '[laps']]:[Team9 laps '[laps']]]) - intermediate_results[[#This Row], [Team5 laps '[laps']]]</f>
        <v>0</v>
      </c>
      <c r="Y157" s="3">
        <f>MAX(intermediate_results[[#This Row], [Team1 laps '[laps']]:[Team9 laps '[laps']]]) - intermediate_results[[#This Row], [Team6 laps '[laps']]]</f>
        <v>0</v>
      </c>
      <c r="Z157" s="3">
        <f>MAX(intermediate_results[[#This Row], [Team1 laps '[laps']]:[Team9 laps '[laps']]]) - intermediate_results[[#This Row], [Team7 laps '[laps']]]</f>
        <v>0</v>
      </c>
      <c r="AA157" s="3">
        <f>MAX(intermediate_results[[#This Row], [Team1 laps '[laps']]:[Team9 laps '[laps']]]) - intermediate_results[[#This Row], [Team8 laps '[laps']]]</f>
        <v>0</v>
      </c>
      <c r="AB157" s="3">
        <f>MAX(intermediate_results[[#This Row], [Team1 laps '[laps']]:[Team9 laps '[laps']]]) - intermediate_results[[#This Row], [Team9 laps '[laps']]]</f>
        <v>0</v>
      </c>
      <c r="AC157" s="3">
        <f>9 * intermediate_results[[#This Row], [All cumulative times '[sec']]] / SUM(intermediate_results[[#This Row], [Team1 laps '[laps']]:[Team9 laps '[laps']]])</f>
        <v>0</v>
      </c>
      <c r="AD157" s="3">
        <f>intermediate_results[[#This Row], [All cumulative times '[sec']]] / intermediate_results[[#This Row], [Team1 laps '[laps']]] - intermediate_results[[#This Row], [Total running average '[sec']]]</f>
        <v>0</v>
      </c>
      <c r="AE157" s="3">
        <f>intermediate_results[[#This Row], [All cumulative times '[sec']]] / intermediate_results[[#This Row], [Team2 laps '[laps']]] - intermediate_results[[#This Row], [Total running average '[sec']]]</f>
        <v>0</v>
      </c>
      <c r="AF157" s="3">
        <f>intermediate_results[[#This Row], [All cumulative times '[sec']]] / intermediate_results[[#This Row], [Team3 laps '[laps']]] - intermediate_results[[#This Row], [Total running average '[sec']]]</f>
        <v>0</v>
      </c>
      <c r="AG157" s="3">
        <f>intermediate_results[[#This Row], [All cumulative times '[sec']]] / intermediate_results[[#This Row], [Team4 laps '[laps']]] - intermediate_results[[#This Row], [Total running average '[sec']]]</f>
        <v>0</v>
      </c>
      <c r="AH157" s="3">
        <f>intermediate_results[[#This Row], [All cumulative times '[sec']]] / intermediate_results[[#This Row], [Team5 laps '[laps']]] - intermediate_results[[#This Row], [Total running average '[sec']]]</f>
        <v>0</v>
      </c>
      <c r="AI157" s="3">
        <f>intermediate_results[[#This Row], [All cumulative times '[sec']]] / intermediate_results[[#This Row], [Team6 laps '[laps']]] - intermediate_results[[#This Row], [Total running average '[sec']]]</f>
        <v>0</v>
      </c>
      <c r="AJ157" s="3">
        <f>intermediate_results[[#This Row], [All cumulative times '[sec']]] / intermediate_results[[#This Row], [Team7 laps '[laps']]] - intermediate_results[[#This Row], [Total running average '[sec']]]</f>
        <v>0</v>
      </c>
      <c r="AK157" s="3">
        <f>intermediate_results[[#This Row], [All cumulative times '[sec']]] / intermediate_results[[#This Row], [Team8 laps '[laps']]] - intermediate_results[[#This Row], [Total running average '[sec']]]</f>
        <v>0</v>
      </c>
      <c r="AL157" s="3">
        <f>intermediate_results[[#This Row], [All cumulative times '[sec']]] / intermediate_results[[#This Row], [Team9 laps '[laps']]] - intermediate_results[[#This Row], [Total running average '[sec']]]</f>
        <v>0</v>
      </c>
    </row>
    <row r="158" spans="1:38">
      <c r="A158" s="3">
        <v>987.4059999999998</v>
      </c>
      <c r="B15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8" s="3">
        <f>intermediate_results[[#This Row], [Team1 laps '[laps']]] - intermediate_results[[#This Row], [Team1 laps '[laps']]]</f>
        <v>0</v>
      </c>
      <c r="L158" s="3">
        <f>intermediate_results[[#This Row], [Team1 laps '[laps']]] - intermediate_results[[#This Row], [Team2 laps '[laps']]]</f>
        <v>0</v>
      </c>
      <c r="M158" s="3">
        <f>intermediate_results[[#This Row], [Team1 laps '[laps']]] - intermediate_results[[#This Row], [Team3 laps '[laps']]]</f>
        <v>0</v>
      </c>
      <c r="N158" s="3">
        <f>intermediate_results[[#This Row], [Team1 laps '[laps']]] - intermediate_results[[#This Row], [Team4 laps '[laps']]]</f>
        <v>0</v>
      </c>
      <c r="O158" s="3">
        <f>intermediate_results[[#This Row], [Team1 laps '[laps']]] - intermediate_results[[#This Row], [Team5 laps '[laps']]]</f>
        <v>0</v>
      </c>
      <c r="P158" s="3">
        <f>intermediate_results[[#This Row], [Team1 laps '[laps']]] - intermediate_results[[#This Row], [Team6 laps '[laps']]]</f>
        <v>0</v>
      </c>
      <c r="Q158" s="3">
        <f>intermediate_results[[#This Row], [Team1 laps '[laps']]] - intermediate_results[[#This Row], [Team7 laps '[laps']]]</f>
        <v>0</v>
      </c>
      <c r="R158" s="3">
        <f>intermediate_results[[#This Row], [Team1 laps '[laps']]] - intermediate_results[[#This Row], [Team8 laps '[laps']]]</f>
        <v>0</v>
      </c>
      <c r="S158" s="3">
        <f>intermediate_results[[#This Row], [Team1 laps '[laps']]] - intermediate_results[[#This Row], [Team9 laps '[laps']]]</f>
        <v>0</v>
      </c>
      <c r="T158" s="3">
        <f>MAX(intermediate_results[[#This Row], [Team1 laps '[laps']]:[Team9 laps '[laps']]]) - intermediate_results[[#This Row], [Team1 laps '[laps']]]</f>
        <v>0</v>
      </c>
      <c r="U158" s="3">
        <f>MAX(intermediate_results[[#This Row], [Team1 laps '[laps']]:[Team9 laps '[laps']]]) - intermediate_results[[#This Row], [Team2 laps '[laps']]]</f>
        <v>0</v>
      </c>
      <c r="V158" s="3">
        <f>MAX(intermediate_results[[#This Row], [Team1 laps '[laps']]:[Team9 laps '[laps']]]) - intermediate_results[[#This Row], [Team3 laps '[laps']]]</f>
        <v>0</v>
      </c>
      <c r="W158" s="3">
        <f>MAX(intermediate_results[[#This Row], [Team1 laps '[laps']]:[Team9 laps '[laps']]]) - intermediate_results[[#This Row], [Team4 laps '[laps']]]</f>
        <v>0</v>
      </c>
      <c r="X158" s="3">
        <f>MAX(intermediate_results[[#This Row], [Team1 laps '[laps']]:[Team9 laps '[laps']]]) - intermediate_results[[#This Row], [Team5 laps '[laps']]]</f>
        <v>0</v>
      </c>
      <c r="Y158" s="3">
        <f>MAX(intermediate_results[[#This Row], [Team1 laps '[laps']]:[Team9 laps '[laps']]]) - intermediate_results[[#This Row], [Team6 laps '[laps']]]</f>
        <v>0</v>
      </c>
      <c r="Z158" s="3">
        <f>MAX(intermediate_results[[#This Row], [Team1 laps '[laps']]:[Team9 laps '[laps']]]) - intermediate_results[[#This Row], [Team7 laps '[laps']]]</f>
        <v>0</v>
      </c>
      <c r="AA158" s="3">
        <f>MAX(intermediate_results[[#This Row], [Team1 laps '[laps']]:[Team9 laps '[laps']]]) - intermediate_results[[#This Row], [Team8 laps '[laps']]]</f>
        <v>0</v>
      </c>
      <c r="AB158" s="3">
        <f>MAX(intermediate_results[[#This Row], [Team1 laps '[laps']]:[Team9 laps '[laps']]]) - intermediate_results[[#This Row], [Team9 laps '[laps']]]</f>
        <v>0</v>
      </c>
      <c r="AC158" s="3">
        <f>9 * intermediate_results[[#This Row], [All cumulative times '[sec']]] / SUM(intermediate_results[[#This Row], [Team1 laps '[laps']]:[Team9 laps '[laps']]])</f>
        <v>0</v>
      </c>
      <c r="AD158" s="3">
        <f>intermediate_results[[#This Row], [All cumulative times '[sec']]] / intermediate_results[[#This Row], [Team1 laps '[laps']]] - intermediate_results[[#This Row], [Total running average '[sec']]]</f>
        <v>0</v>
      </c>
      <c r="AE158" s="3">
        <f>intermediate_results[[#This Row], [All cumulative times '[sec']]] / intermediate_results[[#This Row], [Team2 laps '[laps']]] - intermediate_results[[#This Row], [Total running average '[sec']]]</f>
        <v>0</v>
      </c>
      <c r="AF158" s="3">
        <f>intermediate_results[[#This Row], [All cumulative times '[sec']]] / intermediate_results[[#This Row], [Team3 laps '[laps']]] - intermediate_results[[#This Row], [Total running average '[sec']]]</f>
        <v>0</v>
      </c>
      <c r="AG158" s="3">
        <f>intermediate_results[[#This Row], [All cumulative times '[sec']]] / intermediate_results[[#This Row], [Team4 laps '[laps']]] - intermediate_results[[#This Row], [Total running average '[sec']]]</f>
        <v>0</v>
      </c>
      <c r="AH158" s="3">
        <f>intermediate_results[[#This Row], [All cumulative times '[sec']]] / intermediate_results[[#This Row], [Team5 laps '[laps']]] - intermediate_results[[#This Row], [Total running average '[sec']]]</f>
        <v>0</v>
      </c>
      <c r="AI158" s="3">
        <f>intermediate_results[[#This Row], [All cumulative times '[sec']]] / intermediate_results[[#This Row], [Team6 laps '[laps']]] - intermediate_results[[#This Row], [Total running average '[sec']]]</f>
        <v>0</v>
      </c>
      <c r="AJ158" s="3">
        <f>intermediate_results[[#This Row], [All cumulative times '[sec']]] / intermediate_results[[#This Row], [Team7 laps '[laps']]] - intermediate_results[[#This Row], [Total running average '[sec']]]</f>
        <v>0</v>
      </c>
      <c r="AK158" s="3">
        <f>intermediate_results[[#This Row], [All cumulative times '[sec']]] / intermediate_results[[#This Row], [Team8 laps '[laps']]] - intermediate_results[[#This Row], [Total running average '[sec']]]</f>
        <v>0</v>
      </c>
      <c r="AL158" s="3">
        <f>intermediate_results[[#This Row], [All cumulative times '[sec']]] / intermediate_results[[#This Row], [Team9 laps '[laps']]] - intermediate_results[[#This Row], [Total running average '[sec']]]</f>
        <v>0</v>
      </c>
    </row>
    <row r="159" spans="1:38">
      <c r="A159" s="3">
        <v>988.2829999999999</v>
      </c>
      <c r="B15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5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5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5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5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5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5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5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5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59" s="3">
        <f>intermediate_results[[#This Row], [Team1 laps '[laps']]] - intermediate_results[[#This Row], [Team1 laps '[laps']]]</f>
        <v>0</v>
      </c>
      <c r="L159" s="3">
        <f>intermediate_results[[#This Row], [Team1 laps '[laps']]] - intermediate_results[[#This Row], [Team2 laps '[laps']]]</f>
        <v>0</v>
      </c>
      <c r="M159" s="3">
        <f>intermediate_results[[#This Row], [Team1 laps '[laps']]] - intermediate_results[[#This Row], [Team3 laps '[laps']]]</f>
        <v>0</v>
      </c>
      <c r="N159" s="3">
        <f>intermediate_results[[#This Row], [Team1 laps '[laps']]] - intermediate_results[[#This Row], [Team4 laps '[laps']]]</f>
        <v>0</v>
      </c>
      <c r="O159" s="3">
        <f>intermediate_results[[#This Row], [Team1 laps '[laps']]] - intermediate_results[[#This Row], [Team5 laps '[laps']]]</f>
        <v>0</v>
      </c>
      <c r="P159" s="3">
        <f>intermediate_results[[#This Row], [Team1 laps '[laps']]] - intermediate_results[[#This Row], [Team6 laps '[laps']]]</f>
        <v>0</v>
      </c>
      <c r="Q159" s="3">
        <f>intermediate_results[[#This Row], [Team1 laps '[laps']]] - intermediate_results[[#This Row], [Team7 laps '[laps']]]</f>
        <v>0</v>
      </c>
      <c r="R159" s="3">
        <f>intermediate_results[[#This Row], [Team1 laps '[laps']]] - intermediate_results[[#This Row], [Team8 laps '[laps']]]</f>
        <v>0</v>
      </c>
      <c r="S159" s="3">
        <f>intermediate_results[[#This Row], [Team1 laps '[laps']]] - intermediate_results[[#This Row], [Team9 laps '[laps']]]</f>
        <v>0</v>
      </c>
      <c r="T159" s="3">
        <f>MAX(intermediate_results[[#This Row], [Team1 laps '[laps']]:[Team9 laps '[laps']]]) - intermediate_results[[#This Row], [Team1 laps '[laps']]]</f>
        <v>0</v>
      </c>
      <c r="U159" s="3">
        <f>MAX(intermediate_results[[#This Row], [Team1 laps '[laps']]:[Team9 laps '[laps']]]) - intermediate_results[[#This Row], [Team2 laps '[laps']]]</f>
        <v>0</v>
      </c>
      <c r="V159" s="3">
        <f>MAX(intermediate_results[[#This Row], [Team1 laps '[laps']]:[Team9 laps '[laps']]]) - intermediate_results[[#This Row], [Team3 laps '[laps']]]</f>
        <v>0</v>
      </c>
      <c r="W159" s="3">
        <f>MAX(intermediate_results[[#This Row], [Team1 laps '[laps']]:[Team9 laps '[laps']]]) - intermediate_results[[#This Row], [Team4 laps '[laps']]]</f>
        <v>0</v>
      </c>
      <c r="X159" s="3">
        <f>MAX(intermediate_results[[#This Row], [Team1 laps '[laps']]:[Team9 laps '[laps']]]) - intermediate_results[[#This Row], [Team5 laps '[laps']]]</f>
        <v>0</v>
      </c>
      <c r="Y159" s="3">
        <f>MAX(intermediate_results[[#This Row], [Team1 laps '[laps']]:[Team9 laps '[laps']]]) - intermediate_results[[#This Row], [Team6 laps '[laps']]]</f>
        <v>0</v>
      </c>
      <c r="Z159" s="3">
        <f>MAX(intermediate_results[[#This Row], [Team1 laps '[laps']]:[Team9 laps '[laps']]]) - intermediate_results[[#This Row], [Team7 laps '[laps']]]</f>
        <v>0</v>
      </c>
      <c r="AA159" s="3">
        <f>MAX(intermediate_results[[#This Row], [Team1 laps '[laps']]:[Team9 laps '[laps']]]) - intermediate_results[[#This Row], [Team8 laps '[laps']]]</f>
        <v>0</v>
      </c>
      <c r="AB159" s="3">
        <f>MAX(intermediate_results[[#This Row], [Team1 laps '[laps']]:[Team9 laps '[laps']]]) - intermediate_results[[#This Row], [Team9 laps '[laps']]]</f>
        <v>0</v>
      </c>
      <c r="AC159" s="3">
        <f>9 * intermediate_results[[#This Row], [All cumulative times '[sec']]] / SUM(intermediate_results[[#This Row], [Team1 laps '[laps']]:[Team9 laps '[laps']]])</f>
        <v>0</v>
      </c>
      <c r="AD159" s="3">
        <f>intermediate_results[[#This Row], [All cumulative times '[sec']]] / intermediate_results[[#This Row], [Team1 laps '[laps']]] - intermediate_results[[#This Row], [Total running average '[sec']]]</f>
        <v>0</v>
      </c>
      <c r="AE159" s="3">
        <f>intermediate_results[[#This Row], [All cumulative times '[sec']]] / intermediate_results[[#This Row], [Team2 laps '[laps']]] - intermediate_results[[#This Row], [Total running average '[sec']]]</f>
        <v>0</v>
      </c>
      <c r="AF159" s="3">
        <f>intermediate_results[[#This Row], [All cumulative times '[sec']]] / intermediate_results[[#This Row], [Team3 laps '[laps']]] - intermediate_results[[#This Row], [Total running average '[sec']]]</f>
        <v>0</v>
      </c>
      <c r="AG159" s="3">
        <f>intermediate_results[[#This Row], [All cumulative times '[sec']]] / intermediate_results[[#This Row], [Team4 laps '[laps']]] - intermediate_results[[#This Row], [Total running average '[sec']]]</f>
        <v>0</v>
      </c>
      <c r="AH159" s="3">
        <f>intermediate_results[[#This Row], [All cumulative times '[sec']]] / intermediate_results[[#This Row], [Team5 laps '[laps']]] - intermediate_results[[#This Row], [Total running average '[sec']]]</f>
        <v>0</v>
      </c>
      <c r="AI159" s="3">
        <f>intermediate_results[[#This Row], [All cumulative times '[sec']]] / intermediate_results[[#This Row], [Team6 laps '[laps']]] - intermediate_results[[#This Row], [Total running average '[sec']]]</f>
        <v>0</v>
      </c>
      <c r="AJ159" s="3">
        <f>intermediate_results[[#This Row], [All cumulative times '[sec']]] / intermediate_results[[#This Row], [Team7 laps '[laps']]] - intermediate_results[[#This Row], [Total running average '[sec']]]</f>
        <v>0</v>
      </c>
      <c r="AK159" s="3">
        <f>intermediate_results[[#This Row], [All cumulative times '[sec']]] / intermediate_results[[#This Row], [Team8 laps '[laps']]] - intermediate_results[[#This Row], [Total running average '[sec']]]</f>
        <v>0</v>
      </c>
      <c r="AL159" s="3">
        <f>intermediate_results[[#This Row], [All cumulative times '[sec']]] / intermediate_results[[#This Row], [Team9 laps '[laps']]] - intermediate_results[[#This Row], [Total running average '[sec']]]</f>
        <v>0</v>
      </c>
    </row>
    <row r="160" spans="1:38">
      <c r="A160" s="3">
        <v>988.2930000000001</v>
      </c>
      <c r="B16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0" s="3">
        <f>intermediate_results[[#This Row], [Team1 laps '[laps']]] - intermediate_results[[#This Row], [Team1 laps '[laps']]]</f>
        <v>0</v>
      </c>
      <c r="L160" s="3">
        <f>intermediate_results[[#This Row], [Team1 laps '[laps']]] - intermediate_results[[#This Row], [Team2 laps '[laps']]]</f>
        <v>0</v>
      </c>
      <c r="M160" s="3">
        <f>intermediate_results[[#This Row], [Team1 laps '[laps']]] - intermediate_results[[#This Row], [Team3 laps '[laps']]]</f>
        <v>0</v>
      </c>
      <c r="N160" s="3">
        <f>intermediate_results[[#This Row], [Team1 laps '[laps']]] - intermediate_results[[#This Row], [Team4 laps '[laps']]]</f>
        <v>0</v>
      </c>
      <c r="O160" s="3">
        <f>intermediate_results[[#This Row], [Team1 laps '[laps']]] - intermediate_results[[#This Row], [Team5 laps '[laps']]]</f>
        <v>0</v>
      </c>
      <c r="P160" s="3">
        <f>intermediate_results[[#This Row], [Team1 laps '[laps']]] - intermediate_results[[#This Row], [Team6 laps '[laps']]]</f>
        <v>0</v>
      </c>
      <c r="Q160" s="3">
        <f>intermediate_results[[#This Row], [Team1 laps '[laps']]] - intermediate_results[[#This Row], [Team7 laps '[laps']]]</f>
        <v>0</v>
      </c>
      <c r="R160" s="3">
        <f>intermediate_results[[#This Row], [Team1 laps '[laps']]] - intermediate_results[[#This Row], [Team8 laps '[laps']]]</f>
        <v>0</v>
      </c>
      <c r="S160" s="3">
        <f>intermediate_results[[#This Row], [Team1 laps '[laps']]] - intermediate_results[[#This Row], [Team9 laps '[laps']]]</f>
        <v>0</v>
      </c>
      <c r="T160" s="3">
        <f>MAX(intermediate_results[[#This Row], [Team1 laps '[laps']]:[Team9 laps '[laps']]]) - intermediate_results[[#This Row], [Team1 laps '[laps']]]</f>
        <v>0</v>
      </c>
      <c r="U160" s="3">
        <f>MAX(intermediate_results[[#This Row], [Team1 laps '[laps']]:[Team9 laps '[laps']]]) - intermediate_results[[#This Row], [Team2 laps '[laps']]]</f>
        <v>0</v>
      </c>
      <c r="V160" s="3">
        <f>MAX(intermediate_results[[#This Row], [Team1 laps '[laps']]:[Team9 laps '[laps']]]) - intermediate_results[[#This Row], [Team3 laps '[laps']]]</f>
        <v>0</v>
      </c>
      <c r="W160" s="3">
        <f>MAX(intermediate_results[[#This Row], [Team1 laps '[laps']]:[Team9 laps '[laps']]]) - intermediate_results[[#This Row], [Team4 laps '[laps']]]</f>
        <v>0</v>
      </c>
      <c r="X160" s="3">
        <f>MAX(intermediate_results[[#This Row], [Team1 laps '[laps']]:[Team9 laps '[laps']]]) - intermediate_results[[#This Row], [Team5 laps '[laps']]]</f>
        <v>0</v>
      </c>
      <c r="Y160" s="3">
        <f>MAX(intermediate_results[[#This Row], [Team1 laps '[laps']]:[Team9 laps '[laps']]]) - intermediate_results[[#This Row], [Team6 laps '[laps']]]</f>
        <v>0</v>
      </c>
      <c r="Z160" s="3">
        <f>MAX(intermediate_results[[#This Row], [Team1 laps '[laps']]:[Team9 laps '[laps']]]) - intermediate_results[[#This Row], [Team7 laps '[laps']]]</f>
        <v>0</v>
      </c>
      <c r="AA160" s="3">
        <f>MAX(intermediate_results[[#This Row], [Team1 laps '[laps']]:[Team9 laps '[laps']]]) - intermediate_results[[#This Row], [Team8 laps '[laps']]]</f>
        <v>0</v>
      </c>
      <c r="AB160" s="3">
        <f>MAX(intermediate_results[[#This Row], [Team1 laps '[laps']]:[Team9 laps '[laps']]]) - intermediate_results[[#This Row], [Team9 laps '[laps']]]</f>
        <v>0</v>
      </c>
      <c r="AC160" s="3">
        <f>9 * intermediate_results[[#This Row], [All cumulative times '[sec']]] / SUM(intermediate_results[[#This Row], [Team1 laps '[laps']]:[Team9 laps '[laps']]])</f>
        <v>0</v>
      </c>
      <c r="AD160" s="3">
        <f>intermediate_results[[#This Row], [All cumulative times '[sec']]] / intermediate_results[[#This Row], [Team1 laps '[laps']]] - intermediate_results[[#This Row], [Total running average '[sec']]]</f>
        <v>0</v>
      </c>
      <c r="AE160" s="3">
        <f>intermediate_results[[#This Row], [All cumulative times '[sec']]] / intermediate_results[[#This Row], [Team2 laps '[laps']]] - intermediate_results[[#This Row], [Total running average '[sec']]]</f>
        <v>0</v>
      </c>
      <c r="AF160" s="3">
        <f>intermediate_results[[#This Row], [All cumulative times '[sec']]] / intermediate_results[[#This Row], [Team3 laps '[laps']]] - intermediate_results[[#This Row], [Total running average '[sec']]]</f>
        <v>0</v>
      </c>
      <c r="AG160" s="3">
        <f>intermediate_results[[#This Row], [All cumulative times '[sec']]] / intermediate_results[[#This Row], [Team4 laps '[laps']]] - intermediate_results[[#This Row], [Total running average '[sec']]]</f>
        <v>0</v>
      </c>
      <c r="AH160" s="3">
        <f>intermediate_results[[#This Row], [All cumulative times '[sec']]] / intermediate_results[[#This Row], [Team5 laps '[laps']]] - intermediate_results[[#This Row], [Total running average '[sec']]]</f>
        <v>0</v>
      </c>
      <c r="AI160" s="3">
        <f>intermediate_results[[#This Row], [All cumulative times '[sec']]] / intermediate_results[[#This Row], [Team6 laps '[laps']]] - intermediate_results[[#This Row], [Total running average '[sec']]]</f>
        <v>0</v>
      </c>
      <c r="AJ160" s="3">
        <f>intermediate_results[[#This Row], [All cumulative times '[sec']]] / intermediate_results[[#This Row], [Team7 laps '[laps']]] - intermediate_results[[#This Row], [Total running average '[sec']]]</f>
        <v>0</v>
      </c>
      <c r="AK160" s="3">
        <f>intermediate_results[[#This Row], [All cumulative times '[sec']]] / intermediate_results[[#This Row], [Team8 laps '[laps']]] - intermediate_results[[#This Row], [Total running average '[sec']]]</f>
        <v>0</v>
      </c>
      <c r="AL160" s="3">
        <f>intermediate_results[[#This Row], [All cumulative times '[sec']]] / intermediate_results[[#This Row], [Team9 laps '[laps']]] - intermediate_results[[#This Row], [Total running average '[sec']]]</f>
        <v>0</v>
      </c>
    </row>
    <row r="161" spans="1:38">
      <c r="A161" s="3">
        <v>1000.082</v>
      </c>
      <c r="B16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1" s="3">
        <f>intermediate_results[[#This Row], [Team1 laps '[laps']]] - intermediate_results[[#This Row], [Team1 laps '[laps']]]</f>
        <v>0</v>
      </c>
      <c r="L161" s="3">
        <f>intermediate_results[[#This Row], [Team1 laps '[laps']]] - intermediate_results[[#This Row], [Team2 laps '[laps']]]</f>
        <v>0</v>
      </c>
      <c r="M161" s="3">
        <f>intermediate_results[[#This Row], [Team1 laps '[laps']]] - intermediate_results[[#This Row], [Team3 laps '[laps']]]</f>
        <v>0</v>
      </c>
      <c r="N161" s="3">
        <f>intermediate_results[[#This Row], [Team1 laps '[laps']]] - intermediate_results[[#This Row], [Team4 laps '[laps']]]</f>
        <v>0</v>
      </c>
      <c r="O161" s="3">
        <f>intermediate_results[[#This Row], [Team1 laps '[laps']]] - intermediate_results[[#This Row], [Team5 laps '[laps']]]</f>
        <v>0</v>
      </c>
      <c r="P161" s="3">
        <f>intermediate_results[[#This Row], [Team1 laps '[laps']]] - intermediate_results[[#This Row], [Team6 laps '[laps']]]</f>
        <v>0</v>
      </c>
      <c r="Q161" s="3">
        <f>intermediate_results[[#This Row], [Team1 laps '[laps']]] - intermediate_results[[#This Row], [Team7 laps '[laps']]]</f>
        <v>0</v>
      </c>
      <c r="R161" s="3">
        <f>intermediate_results[[#This Row], [Team1 laps '[laps']]] - intermediate_results[[#This Row], [Team8 laps '[laps']]]</f>
        <v>0</v>
      </c>
      <c r="S161" s="3">
        <f>intermediate_results[[#This Row], [Team1 laps '[laps']]] - intermediate_results[[#This Row], [Team9 laps '[laps']]]</f>
        <v>0</v>
      </c>
      <c r="T161" s="3">
        <f>MAX(intermediate_results[[#This Row], [Team1 laps '[laps']]:[Team9 laps '[laps']]]) - intermediate_results[[#This Row], [Team1 laps '[laps']]]</f>
        <v>0</v>
      </c>
      <c r="U161" s="3">
        <f>MAX(intermediate_results[[#This Row], [Team1 laps '[laps']]:[Team9 laps '[laps']]]) - intermediate_results[[#This Row], [Team2 laps '[laps']]]</f>
        <v>0</v>
      </c>
      <c r="V161" s="3">
        <f>MAX(intermediate_results[[#This Row], [Team1 laps '[laps']]:[Team9 laps '[laps']]]) - intermediate_results[[#This Row], [Team3 laps '[laps']]]</f>
        <v>0</v>
      </c>
      <c r="W161" s="3">
        <f>MAX(intermediate_results[[#This Row], [Team1 laps '[laps']]:[Team9 laps '[laps']]]) - intermediate_results[[#This Row], [Team4 laps '[laps']]]</f>
        <v>0</v>
      </c>
      <c r="X161" s="3">
        <f>MAX(intermediate_results[[#This Row], [Team1 laps '[laps']]:[Team9 laps '[laps']]]) - intermediate_results[[#This Row], [Team5 laps '[laps']]]</f>
        <v>0</v>
      </c>
      <c r="Y161" s="3">
        <f>MAX(intermediate_results[[#This Row], [Team1 laps '[laps']]:[Team9 laps '[laps']]]) - intermediate_results[[#This Row], [Team6 laps '[laps']]]</f>
        <v>0</v>
      </c>
      <c r="Z161" s="3">
        <f>MAX(intermediate_results[[#This Row], [Team1 laps '[laps']]:[Team9 laps '[laps']]]) - intermediate_results[[#This Row], [Team7 laps '[laps']]]</f>
        <v>0</v>
      </c>
      <c r="AA161" s="3">
        <f>MAX(intermediate_results[[#This Row], [Team1 laps '[laps']]:[Team9 laps '[laps']]]) - intermediate_results[[#This Row], [Team8 laps '[laps']]]</f>
        <v>0</v>
      </c>
      <c r="AB161" s="3">
        <f>MAX(intermediate_results[[#This Row], [Team1 laps '[laps']]:[Team9 laps '[laps']]]) - intermediate_results[[#This Row], [Team9 laps '[laps']]]</f>
        <v>0</v>
      </c>
      <c r="AC161" s="3">
        <f>9 * intermediate_results[[#This Row], [All cumulative times '[sec']]] / SUM(intermediate_results[[#This Row], [Team1 laps '[laps']]:[Team9 laps '[laps']]])</f>
        <v>0</v>
      </c>
      <c r="AD161" s="3">
        <f>intermediate_results[[#This Row], [All cumulative times '[sec']]] / intermediate_results[[#This Row], [Team1 laps '[laps']]] - intermediate_results[[#This Row], [Total running average '[sec']]]</f>
        <v>0</v>
      </c>
      <c r="AE161" s="3">
        <f>intermediate_results[[#This Row], [All cumulative times '[sec']]] / intermediate_results[[#This Row], [Team2 laps '[laps']]] - intermediate_results[[#This Row], [Total running average '[sec']]]</f>
        <v>0</v>
      </c>
      <c r="AF161" s="3">
        <f>intermediate_results[[#This Row], [All cumulative times '[sec']]] / intermediate_results[[#This Row], [Team3 laps '[laps']]] - intermediate_results[[#This Row], [Total running average '[sec']]]</f>
        <v>0</v>
      </c>
      <c r="AG161" s="3">
        <f>intermediate_results[[#This Row], [All cumulative times '[sec']]] / intermediate_results[[#This Row], [Team4 laps '[laps']]] - intermediate_results[[#This Row], [Total running average '[sec']]]</f>
        <v>0</v>
      </c>
      <c r="AH161" s="3">
        <f>intermediate_results[[#This Row], [All cumulative times '[sec']]] / intermediate_results[[#This Row], [Team5 laps '[laps']]] - intermediate_results[[#This Row], [Total running average '[sec']]]</f>
        <v>0</v>
      </c>
      <c r="AI161" s="3">
        <f>intermediate_results[[#This Row], [All cumulative times '[sec']]] / intermediate_results[[#This Row], [Team6 laps '[laps']]] - intermediate_results[[#This Row], [Total running average '[sec']]]</f>
        <v>0</v>
      </c>
      <c r="AJ161" s="3">
        <f>intermediate_results[[#This Row], [All cumulative times '[sec']]] / intermediate_results[[#This Row], [Team7 laps '[laps']]] - intermediate_results[[#This Row], [Total running average '[sec']]]</f>
        <v>0</v>
      </c>
      <c r="AK161" s="3">
        <f>intermediate_results[[#This Row], [All cumulative times '[sec']]] / intermediate_results[[#This Row], [Team8 laps '[laps']]] - intermediate_results[[#This Row], [Total running average '[sec']]]</f>
        <v>0</v>
      </c>
      <c r="AL161" s="3">
        <f>intermediate_results[[#This Row], [All cumulative times '[sec']]] / intermediate_results[[#This Row], [Team9 laps '[laps']]] - intermediate_results[[#This Row], [Total running average '[sec']]]</f>
        <v>0</v>
      </c>
    </row>
    <row r="162" spans="1:38">
      <c r="A162" s="3">
        <v>1004.273</v>
      </c>
      <c r="B16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2" s="3">
        <f>intermediate_results[[#This Row], [Team1 laps '[laps']]] - intermediate_results[[#This Row], [Team1 laps '[laps']]]</f>
        <v>0</v>
      </c>
      <c r="L162" s="3">
        <f>intermediate_results[[#This Row], [Team1 laps '[laps']]] - intermediate_results[[#This Row], [Team2 laps '[laps']]]</f>
        <v>0</v>
      </c>
      <c r="M162" s="3">
        <f>intermediate_results[[#This Row], [Team1 laps '[laps']]] - intermediate_results[[#This Row], [Team3 laps '[laps']]]</f>
        <v>0</v>
      </c>
      <c r="N162" s="3">
        <f>intermediate_results[[#This Row], [Team1 laps '[laps']]] - intermediate_results[[#This Row], [Team4 laps '[laps']]]</f>
        <v>0</v>
      </c>
      <c r="O162" s="3">
        <f>intermediate_results[[#This Row], [Team1 laps '[laps']]] - intermediate_results[[#This Row], [Team5 laps '[laps']]]</f>
        <v>0</v>
      </c>
      <c r="P162" s="3">
        <f>intermediate_results[[#This Row], [Team1 laps '[laps']]] - intermediate_results[[#This Row], [Team6 laps '[laps']]]</f>
        <v>0</v>
      </c>
      <c r="Q162" s="3">
        <f>intermediate_results[[#This Row], [Team1 laps '[laps']]] - intermediate_results[[#This Row], [Team7 laps '[laps']]]</f>
        <v>0</v>
      </c>
      <c r="R162" s="3">
        <f>intermediate_results[[#This Row], [Team1 laps '[laps']]] - intermediate_results[[#This Row], [Team8 laps '[laps']]]</f>
        <v>0</v>
      </c>
      <c r="S162" s="3">
        <f>intermediate_results[[#This Row], [Team1 laps '[laps']]] - intermediate_results[[#This Row], [Team9 laps '[laps']]]</f>
        <v>0</v>
      </c>
      <c r="T162" s="3">
        <f>MAX(intermediate_results[[#This Row], [Team1 laps '[laps']]:[Team9 laps '[laps']]]) - intermediate_results[[#This Row], [Team1 laps '[laps']]]</f>
        <v>0</v>
      </c>
      <c r="U162" s="3">
        <f>MAX(intermediate_results[[#This Row], [Team1 laps '[laps']]:[Team9 laps '[laps']]]) - intermediate_results[[#This Row], [Team2 laps '[laps']]]</f>
        <v>0</v>
      </c>
      <c r="V162" s="3">
        <f>MAX(intermediate_results[[#This Row], [Team1 laps '[laps']]:[Team9 laps '[laps']]]) - intermediate_results[[#This Row], [Team3 laps '[laps']]]</f>
        <v>0</v>
      </c>
      <c r="W162" s="3">
        <f>MAX(intermediate_results[[#This Row], [Team1 laps '[laps']]:[Team9 laps '[laps']]]) - intermediate_results[[#This Row], [Team4 laps '[laps']]]</f>
        <v>0</v>
      </c>
      <c r="X162" s="3">
        <f>MAX(intermediate_results[[#This Row], [Team1 laps '[laps']]:[Team9 laps '[laps']]]) - intermediate_results[[#This Row], [Team5 laps '[laps']]]</f>
        <v>0</v>
      </c>
      <c r="Y162" s="3">
        <f>MAX(intermediate_results[[#This Row], [Team1 laps '[laps']]:[Team9 laps '[laps']]]) - intermediate_results[[#This Row], [Team6 laps '[laps']]]</f>
        <v>0</v>
      </c>
      <c r="Z162" s="3">
        <f>MAX(intermediate_results[[#This Row], [Team1 laps '[laps']]:[Team9 laps '[laps']]]) - intermediate_results[[#This Row], [Team7 laps '[laps']]]</f>
        <v>0</v>
      </c>
      <c r="AA162" s="3">
        <f>MAX(intermediate_results[[#This Row], [Team1 laps '[laps']]:[Team9 laps '[laps']]]) - intermediate_results[[#This Row], [Team8 laps '[laps']]]</f>
        <v>0</v>
      </c>
      <c r="AB162" s="3">
        <f>MAX(intermediate_results[[#This Row], [Team1 laps '[laps']]:[Team9 laps '[laps']]]) - intermediate_results[[#This Row], [Team9 laps '[laps']]]</f>
        <v>0</v>
      </c>
      <c r="AC162" s="3">
        <f>9 * intermediate_results[[#This Row], [All cumulative times '[sec']]] / SUM(intermediate_results[[#This Row], [Team1 laps '[laps']]:[Team9 laps '[laps']]])</f>
        <v>0</v>
      </c>
      <c r="AD162" s="3">
        <f>intermediate_results[[#This Row], [All cumulative times '[sec']]] / intermediate_results[[#This Row], [Team1 laps '[laps']]] - intermediate_results[[#This Row], [Total running average '[sec']]]</f>
        <v>0</v>
      </c>
      <c r="AE162" s="3">
        <f>intermediate_results[[#This Row], [All cumulative times '[sec']]] / intermediate_results[[#This Row], [Team2 laps '[laps']]] - intermediate_results[[#This Row], [Total running average '[sec']]]</f>
        <v>0</v>
      </c>
      <c r="AF162" s="3">
        <f>intermediate_results[[#This Row], [All cumulative times '[sec']]] / intermediate_results[[#This Row], [Team3 laps '[laps']]] - intermediate_results[[#This Row], [Total running average '[sec']]]</f>
        <v>0</v>
      </c>
      <c r="AG162" s="3">
        <f>intermediate_results[[#This Row], [All cumulative times '[sec']]] / intermediate_results[[#This Row], [Team4 laps '[laps']]] - intermediate_results[[#This Row], [Total running average '[sec']]]</f>
        <v>0</v>
      </c>
      <c r="AH162" s="3">
        <f>intermediate_results[[#This Row], [All cumulative times '[sec']]] / intermediate_results[[#This Row], [Team5 laps '[laps']]] - intermediate_results[[#This Row], [Total running average '[sec']]]</f>
        <v>0</v>
      </c>
      <c r="AI162" s="3">
        <f>intermediate_results[[#This Row], [All cumulative times '[sec']]] / intermediate_results[[#This Row], [Team6 laps '[laps']]] - intermediate_results[[#This Row], [Total running average '[sec']]]</f>
        <v>0</v>
      </c>
      <c r="AJ162" s="3">
        <f>intermediate_results[[#This Row], [All cumulative times '[sec']]] / intermediate_results[[#This Row], [Team7 laps '[laps']]] - intermediate_results[[#This Row], [Total running average '[sec']]]</f>
        <v>0</v>
      </c>
      <c r="AK162" s="3">
        <f>intermediate_results[[#This Row], [All cumulative times '[sec']]] / intermediate_results[[#This Row], [Team8 laps '[laps']]] - intermediate_results[[#This Row], [Total running average '[sec']]]</f>
        <v>0</v>
      </c>
      <c r="AL162" s="3">
        <f>intermediate_results[[#This Row], [All cumulative times '[sec']]] / intermediate_results[[#This Row], [Team9 laps '[laps']]] - intermediate_results[[#This Row], [Total running average '[sec']]]</f>
        <v>0</v>
      </c>
    </row>
    <row r="163" spans="1:38">
      <c r="A163" s="3">
        <v>1009.982</v>
      </c>
      <c r="B16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3" s="3">
        <f>intermediate_results[[#This Row], [Team1 laps '[laps']]] - intermediate_results[[#This Row], [Team1 laps '[laps']]]</f>
        <v>0</v>
      </c>
      <c r="L163" s="3">
        <f>intermediate_results[[#This Row], [Team1 laps '[laps']]] - intermediate_results[[#This Row], [Team2 laps '[laps']]]</f>
        <v>0</v>
      </c>
      <c r="M163" s="3">
        <f>intermediate_results[[#This Row], [Team1 laps '[laps']]] - intermediate_results[[#This Row], [Team3 laps '[laps']]]</f>
        <v>0</v>
      </c>
      <c r="N163" s="3">
        <f>intermediate_results[[#This Row], [Team1 laps '[laps']]] - intermediate_results[[#This Row], [Team4 laps '[laps']]]</f>
        <v>0</v>
      </c>
      <c r="O163" s="3">
        <f>intermediate_results[[#This Row], [Team1 laps '[laps']]] - intermediate_results[[#This Row], [Team5 laps '[laps']]]</f>
        <v>0</v>
      </c>
      <c r="P163" s="3">
        <f>intermediate_results[[#This Row], [Team1 laps '[laps']]] - intermediate_results[[#This Row], [Team6 laps '[laps']]]</f>
        <v>0</v>
      </c>
      <c r="Q163" s="3">
        <f>intermediate_results[[#This Row], [Team1 laps '[laps']]] - intermediate_results[[#This Row], [Team7 laps '[laps']]]</f>
        <v>0</v>
      </c>
      <c r="R163" s="3">
        <f>intermediate_results[[#This Row], [Team1 laps '[laps']]] - intermediate_results[[#This Row], [Team8 laps '[laps']]]</f>
        <v>0</v>
      </c>
      <c r="S163" s="3">
        <f>intermediate_results[[#This Row], [Team1 laps '[laps']]] - intermediate_results[[#This Row], [Team9 laps '[laps']]]</f>
        <v>0</v>
      </c>
      <c r="T163" s="3">
        <f>MAX(intermediate_results[[#This Row], [Team1 laps '[laps']]:[Team9 laps '[laps']]]) - intermediate_results[[#This Row], [Team1 laps '[laps']]]</f>
        <v>0</v>
      </c>
      <c r="U163" s="3">
        <f>MAX(intermediate_results[[#This Row], [Team1 laps '[laps']]:[Team9 laps '[laps']]]) - intermediate_results[[#This Row], [Team2 laps '[laps']]]</f>
        <v>0</v>
      </c>
      <c r="V163" s="3">
        <f>MAX(intermediate_results[[#This Row], [Team1 laps '[laps']]:[Team9 laps '[laps']]]) - intermediate_results[[#This Row], [Team3 laps '[laps']]]</f>
        <v>0</v>
      </c>
      <c r="W163" s="3">
        <f>MAX(intermediate_results[[#This Row], [Team1 laps '[laps']]:[Team9 laps '[laps']]]) - intermediate_results[[#This Row], [Team4 laps '[laps']]]</f>
        <v>0</v>
      </c>
      <c r="X163" s="3">
        <f>MAX(intermediate_results[[#This Row], [Team1 laps '[laps']]:[Team9 laps '[laps']]]) - intermediate_results[[#This Row], [Team5 laps '[laps']]]</f>
        <v>0</v>
      </c>
      <c r="Y163" s="3">
        <f>MAX(intermediate_results[[#This Row], [Team1 laps '[laps']]:[Team9 laps '[laps']]]) - intermediate_results[[#This Row], [Team6 laps '[laps']]]</f>
        <v>0</v>
      </c>
      <c r="Z163" s="3">
        <f>MAX(intermediate_results[[#This Row], [Team1 laps '[laps']]:[Team9 laps '[laps']]]) - intermediate_results[[#This Row], [Team7 laps '[laps']]]</f>
        <v>0</v>
      </c>
      <c r="AA163" s="3">
        <f>MAX(intermediate_results[[#This Row], [Team1 laps '[laps']]:[Team9 laps '[laps']]]) - intermediate_results[[#This Row], [Team8 laps '[laps']]]</f>
        <v>0</v>
      </c>
      <c r="AB163" s="3">
        <f>MAX(intermediate_results[[#This Row], [Team1 laps '[laps']]:[Team9 laps '[laps']]]) - intermediate_results[[#This Row], [Team9 laps '[laps']]]</f>
        <v>0</v>
      </c>
      <c r="AC163" s="3">
        <f>9 * intermediate_results[[#This Row], [All cumulative times '[sec']]] / SUM(intermediate_results[[#This Row], [Team1 laps '[laps']]:[Team9 laps '[laps']]])</f>
        <v>0</v>
      </c>
      <c r="AD163" s="3">
        <f>intermediate_results[[#This Row], [All cumulative times '[sec']]] / intermediate_results[[#This Row], [Team1 laps '[laps']]] - intermediate_results[[#This Row], [Total running average '[sec']]]</f>
        <v>0</v>
      </c>
      <c r="AE163" s="3">
        <f>intermediate_results[[#This Row], [All cumulative times '[sec']]] / intermediate_results[[#This Row], [Team2 laps '[laps']]] - intermediate_results[[#This Row], [Total running average '[sec']]]</f>
        <v>0</v>
      </c>
      <c r="AF163" s="3">
        <f>intermediate_results[[#This Row], [All cumulative times '[sec']]] / intermediate_results[[#This Row], [Team3 laps '[laps']]] - intermediate_results[[#This Row], [Total running average '[sec']]]</f>
        <v>0</v>
      </c>
      <c r="AG163" s="3">
        <f>intermediate_results[[#This Row], [All cumulative times '[sec']]] / intermediate_results[[#This Row], [Team4 laps '[laps']]] - intermediate_results[[#This Row], [Total running average '[sec']]]</f>
        <v>0</v>
      </c>
      <c r="AH163" s="3">
        <f>intermediate_results[[#This Row], [All cumulative times '[sec']]] / intermediate_results[[#This Row], [Team5 laps '[laps']]] - intermediate_results[[#This Row], [Total running average '[sec']]]</f>
        <v>0</v>
      </c>
      <c r="AI163" s="3">
        <f>intermediate_results[[#This Row], [All cumulative times '[sec']]] / intermediate_results[[#This Row], [Team6 laps '[laps']]] - intermediate_results[[#This Row], [Total running average '[sec']]]</f>
        <v>0</v>
      </c>
      <c r="AJ163" s="3">
        <f>intermediate_results[[#This Row], [All cumulative times '[sec']]] / intermediate_results[[#This Row], [Team7 laps '[laps']]] - intermediate_results[[#This Row], [Total running average '[sec']]]</f>
        <v>0</v>
      </c>
      <c r="AK163" s="3">
        <f>intermediate_results[[#This Row], [All cumulative times '[sec']]] / intermediate_results[[#This Row], [Team8 laps '[laps']]] - intermediate_results[[#This Row], [Total running average '[sec']]]</f>
        <v>0</v>
      </c>
      <c r="AL163" s="3">
        <f>intermediate_results[[#This Row], [All cumulative times '[sec']]] / intermediate_results[[#This Row], [Team9 laps '[laps']]] - intermediate_results[[#This Row], [Total running average '[sec']]]</f>
        <v>0</v>
      </c>
    </row>
    <row r="164" spans="1:38">
      <c r="A164" s="3">
        <v>1015.061</v>
      </c>
      <c r="B16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4" s="3">
        <f>intermediate_results[[#This Row], [Team1 laps '[laps']]] - intermediate_results[[#This Row], [Team1 laps '[laps']]]</f>
        <v>0</v>
      </c>
      <c r="L164" s="3">
        <f>intermediate_results[[#This Row], [Team1 laps '[laps']]] - intermediate_results[[#This Row], [Team2 laps '[laps']]]</f>
        <v>0</v>
      </c>
      <c r="M164" s="3">
        <f>intermediate_results[[#This Row], [Team1 laps '[laps']]] - intermediate_results[[#This Row], [Team3 laps '[laps']]]</f>
        <v>0</v>
      </c>
      <c r="N164" s="3">
        <f>intermediate_results[[#This Row], [Team1 laps '[laps']]] - intermediate_results[[#This Row], [Team4 laps '[laps']]]</f>
        <v>0</v>
      </c>
      <c r="O164" s="3">
        <f>intermediate_results[[#This Row], [Team1 laps '[laps']]] - intermediate_results[[#This Row], [Team5 laps '[laps']]]</f>
        <v>0</v>
      </c>
      <c r="P164" s="3">
        <f>intermediate_results[[#This Row], [Team1 laps '[laps']]] - intermediate_results[[#This Row], [Team6 laps '[laps']]]</f>
        <v>0</v>
      </c>
      <c r="Q164" s="3">
        <f>intermediate_results[[#This Row], [Team1 laps '[laps']]] - intermediate_results[[#This Row], [Team7 laps '[laps']]]</f>
        <v>0</v>
      </c>
      <c r="R164" s="3">
        <f>intermediate_results[[#This Row], [Team1 laps '[laps']]] - intermediate_results[[#This Row], [Team8 laps '[laps']]]</f>
        <v>0</v>
      </c>
      <c r="S164" s="3">
        <f>intermediate_results[[#This Row], [Team1 laps '[laps']]] - intermediate_results[[#This Row], [Team9 laps '[laps']]]</f>
        <v>0</v>
      </c>
      <c r="T164" s="3">
        <f>MAX(intermediate_results[[#This Row], [Team1 laps '[laps']]:[Team9 laps '[laps']]]) - intermediate_results[[#This Row], [Team1 laps '[laps']]]</f>
        <v>0</v>
      </c>
      <c r="U164" s="3">
        <f>MAX(intermediate_results[[#This Row], [Team1 laps '[laps']]:[Team9 laps '[laps']]]) - intermediate_results[[#This Row], [Team2 laps '[laps']]]</f>
        <v>0</v>
      </c>
      <c r="V164" s="3">
        <f>MAX(intermediate_results[[#This Row], [Team1 laps '[laps']]:[Team9 laps '[laps']]]) - intermediate_results[[#This Row], [Team3 laps '[laps']]]</f>
        <v>0</v>
      </c>
      <c r="W164" s="3">
        <f>MAX(intermediate_results[[#This Row], [Team1 laps '[laps']]:[Team9 laps '[laps']]]) - intermediate_results[[#This Row], [Team4 laps '[laps']]]</f>
        <v>0</v>
      </c>
      <c r="X164" s="3">
        <f>MAX(intermediate_results[[#This Row], [Team1 laps '[laps']]:[Team9 laps '[laps']]]) - intermediate_results[[#This Row], [Team5 laps '[laps']]]</f>
        <v>0</v>
      </c>
      <c r="Y164" s="3">
        <f>MAX(intermediate_results[[#This Row], [Team1 laps '[laps']]:[Team9 laps '[laps']]]) - intermediate_results[[#This Row], [Team6 laps '[laps']]]</f>
        <v>0</v>
      </c>
      <c r="Z164" s="3">
        <f>MAX(intermediate_results[[#This Row], [Team1 laps '[laps']]:[Team9 laps '[laps']]]) - intermediate_results[[#This Row], [Team7 laps '[laps']]]</f>
        <v>0</v>
      </c>
      <c r="AA164" s="3">
        <f>MAX(intermediate_results[[#This Row], [Team1 laps '[laps']]:[Team9 laps '[laps']]]) - intermediate_results[[#This Row], [Team8 laps '[laps']]]</f>
        <v>0</v>
      </c>
      <c r="AB164" s="3">
        <f>MAX(intermediate_results[[#This Row], [Team1 laps '[laps']]:[Team9 laps '[laps']]]) - intermediate_results[[#This Row], [Team9 laps '[laps']]]</f>
        <v>0</v>
      </c>
      <c r="AC164" s="3">
        <f>9 * intermediate_results[[#This Row], [All cumulative times '[sec']]] / SUM(intermediate_results[[#This Row], [Team1 laps '[laps']]:[Team9 laps '[laps']]])</f>
        <v>0</v>
      </c>
      <c r="AD164" s="3">
        <f>intermediate_results[[#This Row], [All cumulative times '[sec']]] / intermediate_results[[#This Row], [Team1 laps '[laps']]] - intermediate_results[[#This Row], [Total running average '[sec']]]</f>
        <v>0</v>
      </c>
      <c r="AE164" s="3">
        <f>intermediate_results[[#This Row], [All cumulative times '[sec']]] / intermediate_results[[#This Row], [Team2 laps '[laps']]] - intermediate_results[[#This Row], [Total running average '[sec']]]</f>
        <v>0</v>
      </c>
      <c r="AF164" s="3">
        <f>intermediate_results[[#This Row], [All cumulative times '[sec']]] / intermediate_results[[#This Row], [Team3 laps '[laps']]] - intermediate_results[[#This Row], [Total running average '[sec']]]</f>
        <v>0</v>
      </c>
      <c r="AG164" s="3">
        <f>intermediate_results[[#This Row], [All cumulative times '[sec']]] / intermediate_results[[#This Row], [Team4 laps '[laps']]] - intermediate_results[[#This Row], [Total running average '[sec']]]</f>
        <v>0</v>
      </c>
      <c r="AH164" s="3">
        <f>intermediate_results[[#This Row], [All cumulative times '[sec']]] / intermediate_results[[#This Row], [Team5 laps '[laps']]] - intermediate_results[[#This Row], [Total running average '[sec']]]</f>
        <v>0</v>
      </c>
      <c r="AI164" s="3">
        <f>intermediate_results[[#This Row], [All cumulative times '[sec']]] / intermediate_results[[#This Row], [Team6 laps '[laps']]] - intermediate_results[[#This Row], [Total running average '[sec']]]</f>
        <v>0</v>
      </c>
      <c r="AJ164" s="3">
        <f>intermediate_results[[#This Row], [All cumulative times '[sec']]] / intermediate_results[[#This Row], [Team7 laps '[laps']]] - intermediate_results[[#This Row], [Total running average '[sec']]]</f>
        <v>0</v>
      </c>
      <c r="AK164" s="3">
        <f>intermediate_results[[#This Row], [All cumulative times '[sec']]] / intermediate_results[[#This Row], [Team8 laps '[laps']]] - intermediate_results[[#This Row], [Total running average '[sec']]]</f>
        <v>0</v>
      </c>
      <c r="AL164" s="3">
        <f>intermediate_results[[#This Row], [All cumulative times '[sec']]] / intermediate_results[[#This Row], [Team9 laps '[laps']]] - intermediate_results[[#This Row], [Total running average '[sec']]]</f>
        <v>0</v>
      </c>
    </row>
    <row r="165" spans="1:38">
      <c r="A165" s="3">
        <v>1017.012</v>
      </c>
      <c r="B16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5" s="3">
        <f>intermediate_results[[#This Row], [Team1 laps '[laps']]] - intermediate_results[[#This Row], [Team1 laps '[laps']]]</f>
        <v>0</v>
      </c>
      <c r="L165" s="3">
        <f>intermediate_results[[#This Row], [Team1 laps '[laps']]] - intermediate_results[[#This Row], [Team2 laps '[laps']]]</f>
        <v>0</v>
      </c>
      <c r="M165" s="3">
        <f>intermediate_results[[#This Row], [Team1 laps '[laps']]] - intermediate_results[[#This Row], [Team3 laps '[laps']]]</f>
        <v>0</v>
      </c>
      <c r="N165" s="3">
        <f>intermediate_results[[#This Row], [Team1 laps '[laps']]] - intermediate_results[[#This Row], [Team4 laps '[laps']]]</f>
        <v>0</v>
      </c>
      <c r="O165" s="3">
        <f>intermediate_results[[#This Row], [Team1 laps '[laps']]] - intermediate_results[[#This Row], [Team5 laps '[laps']]]</f>
        <v>0</v>
      </c>
      <c r="P165" s="3">
        <f>intermediate_results[[#This Row], [Team1 laps '[laps']]] - intermediate_results[[#This Row], [Team6 laps '[laps']]]</f>
        <v>0</v>
      </c>
      <c r="Q165" s="3">
        <f>intermediate_results[[#This Row], [Team1 laps '[laps']]] - intermediate_results[[#This Row], [Team7 laps '[laps']]]</f>
        <v>0</v>
      </c>
      <c r="R165" s="3">
        <f>intermediate_results[[#This Row], [Team1 laps '[laps']]] - intermediate_results[[#This Row], [Team8 laps '[laps']]]</f>
        <v>0</v>
      </c>
      <c r="S165" s="3">
        <f>intermediate_results[[#This Row], [Team1 laps '[laps']]] - intermediate_results[[#This Row], [Team9 laps '[laps']]]</f>
        <v>0</v>
      </c>
      <c r="T165" s="3">
        <f>MAX(intermediate_results[[#This Row], [Team1 laps '[laps']]:[Team9 laps '[laps']]]) - intermediate_results[[#This Row], [Team1 laps '[laps']]]</f>
        <v>0</v>
      </c>
      <c r="U165" s="3">
        <f>MAX(intermediate_results[[#This Row], [Team1 laps '[laps']]:[Team9 laps '[laps']]]) - intermediate_results[[#This Row], [Team2 laps '[laps']]]</f>
        <v>0</v>
      </c>
      <c r="V165" s="3">
        <f>MAX(intermediate_results[[#This Row], [Team1 laps '[laps']]:[Team9 laps '[laps']]]) - intermediate_results[[#This Row], [Team3 laps '[laps']]]</f>
        <v>0</v>
      </c>
      <c r="W165" s="3">
        <f>MAX(intermediate_results[[#This Row], [Team1 laps '[laps']]:[Team9 laps '[laps']]]) - intermediate_results[[#This Row], [Team4 laps '[laps']]]</f>
        <v>0</v>
      </c>
      <c r="X165" s="3">
        <f>MAX(intermediate_results[[#This Row], [Team1 laps '[laps']]:[Team9 laps '[laps']]]) - intermediate_results[[#This Row], [Team5 laps '[laps']]]</f>
        <v>0</v>
      </c>
      <c r="Y165" s="3">
        <f>MAX(intermediate_results[[#This Row], [Team1 laps '[laps']]:[Team9 laps '[laps']]]) - intermediate_results[[#This Row], [Team6 laps '[laps']]]</f>
        <v>0</v>
      </c>
      <c r="Z165" s="3">
        <f>MAX(intermediate_results[[#This Row], [Team1 laps '[laps']]:[Team9 laps '[laps']]]) - intermediate_results[[#This Row], [Team7 laps '[laps']]]</f>
        <v>0</v>
      </c>
      <c r="AA165" s="3">
        <f>MAX(intermediate_results[[#This Row], [Team1 laps '[laps']]:[Team9 laps '[laps']]]) - intermediate_results[[#This Row], [Team8 laps '[laps']]]</f>
        <v>0</v>
      </c>
      <c r="AB165" s="3">
        <f>MAX(intermediate_results[[#This Row], [Team1 laps '[laps']]:[Team9 laps '[laps']]]) - intermediate_results[[#This Row], [Team9 laps '[laps']]]</f>
        <v>0</v>
      </c>
      <c r="AC165" s="3">
        <f>9 * intermediate_results[[#This Row], [All cumulative times '[sec']]] / SUM(intermediate_results[[#This Row], [Team1 laps '[laps']]:[Team9 laps '[laps']]])</f>
        <v>0</v>
      </c>
      <c r="AD165" s="3">
        <f>intermediate_results[[#This Row], [All cumulative times '[sec']]] / intermediate_results[[#This Row], [Team1 laps '[laps']]] - intermediate_results[[#This Row], [Total running average '[sec']]]</f>
        <v>0</v>
      </c>
      <c r="AE165" s="3">
        <f>intermediate_results[[#This Row], [All cumulative times '[sec']]] / intermediate_results[[#This Row], [Team2 laps '[laps']]] - intermediate_results[[#This Row], [Total running average '[sec']]]</f>
        <v>0</v>
      </c>
      <c r="AF165" s="3">
        <f>intermediate_results[[#This Row], [All cumulative times '[sec']]] / intermediate_results[[#This Row], [Team3 laps '[laps']]] - intermediate_results[[#This Row], [Total running average '[sec']]]</f>
        <v>0</v>
      </c>
      <c r="AG165" s="3">
        <f>intermediate_results[[#This Row], [All cumulative times '[sec']]] / intermediate_results[[#This Row], [Team4 laps '[laps']]] - intermediate_results[[#This Row], [Total running average '[sec']]]</f>
        <v>0</v>
      </c>
      <c r="AH165" s="3">
        <f>intermediate_results[[#This Row], [All cumulative times '[sec']]] / intermediate_results[[#This Row], [Team5 laps '[laps']]] - intermediate_results[[#This Row], [Total running average '[sec']]]</f>
        <v>0</v>
      </c>
      <c r="AI165" s="3">
        <f>intermediate_results[[#This Row], [All cumulative times '[sec']]] / intermediate_results[[#This Row], [Team6 laps '[laps']]] - intermediate_results[[#This Row], [Total running average '[sec']]]</f>
        <v>0</v>
      </c>
      <c r="AJ165" s="3">
        <f>intermediate_results[[#This Row], [All cumulative times '[sec']]] / intermediate_results[[#This Row], [Team7 laps '[laps']]] - intermediate_results[[#This Row], [Total running average '[sec']]]</f>
        <v>0</v>
      </c>
      <c r="AK165" s="3">
        <f>intermediate_results[[#This Row], [All cumulative times '[sec']]] / intermediate_results[[#This Row], [Team8 laps '[laps']]] - intermediate_results[[#This Row], [Total running average '[sec']]]</f>
        <v>0</v>
      </c>
      <c r="AL165" s="3">
        <f>intermediate_results[[#This Row], [All cumulative times '[sec']]] / intermediate_results[[#This Row], [Team9 laps '[laps']]] - intermediate_results[[#This Row], [Total running average '[sec']]]</f>
        <v>0</v>
      </c>
    </row>
    <row r="166" spans="1:38">
      <c r="A166" s="3">
        <v>1022.78</v>
      </c>
      <c r="B16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6" s="3">
        <f>intermediate_results[[#This Row], [Team1 laps '[laps']]] - intermediate_results[[#This Row], [Team1 laps '[laps']]]</f>
        <v>0</v>
      </c>
      <c r="L166" s="3">
        <f>intermediate_results[[#This Row], [Team1 laps '[laps']]] - intermediate_results[[#This Row], [Team2 laps '[laps']]]</f>
        <v>0</v>
      </c>
      <c r="M166" s="3">
        <f>intermediate_results[[#This Row], [Team1 laps '[laps']]] - intermediate_results[[#This Row], [Team3 laps '[laps']]]</f>
        <v>0</v>
      </c>
      <c r="N166" s="3">
        <f>intermediate_results[[#This Row], [Team1 laps '[laps']]] - intermediate_results[[#This Row], [Team4 laps '[laps']]]</f>
        <v>0</v>
      </c>
      <c r="O166" s="3">
        <f>intermediate_results[[#This Row], [Team1 laps '[laps']]] - intermediate_results[[#This Row], [Team5 laps '[laps']]]</f>
        <v>0</v>
      </c>
      <c r="P166" s="3">
        <f>intermediate_results[[#This Row], [Team1 laps '[laps']]] - intermediate_results[[#This Row], [Team6 laps '[laps']]]</f>
        <v>0</v>
      </c>
      <c r="Q166" s="3">
        <f>intermediate_results[[#This Row], [Team1 laps '[laps']]] - intermediate_results[[#This Row], [Team7 laps '[laps']]]</f>
        <v>0</v>
      </c>
      <c r="R166" s="3">
        <f>intermediate_results[[#This Row], [Team1 laps '[laps']]] - intermediate_results[[#This Row], [Team8 laps '[laps']]]</f>
        <v>0</v>
      </c>
      <c r="S166" s="3">
        <f>intermediate_results[[#This Row], [Team1 laps '[laps']]] - intermediate_results[[#This Row], [Team9 laps '[laps']]]</f>
        <v>0</v>
      </c>
      <c r="T166" s="3">
        <f>MAX(intermediate_results[[#This Row], [Team1 laps '[laps']]:[Team9 laps '[laps']]]) - intermediate_results[[#This Row], [Team1 laps '[laps']]]</f>
        <v>0</v>
      </c>
      <c r="U166" s="3">
        <f>MAX(intermediate_results[[#This Row], [Team1 laps '[laps']]:[Team9 laps '[laps']]]) - intermediate_results[[#This Row], [Team2 laps '[laps']]]</f>
        <v>0</v>
      </c>
      <c r="V166" s="3">
        <f>MAX(intermediate_results[[#This Row], [Team1 laps '[laps']]:[Team9 laps '[laps']]]) - intermediate_results[[#This Row], [Team3 laps '[laps']]]</f>
        <v>0</v>
      </c>
      <c r="W166" s="3">
        <f>MAX(intermediate_results[[#This Row], [Team1 laps '[laps']]:[Team9 laps '[laps']]]) - intermediate_results[[#This Row], [Team4 laps '[laps']]]</f>
        <v>0</v>
      </c>
      <c r="X166" s="3">
        <f>MAX(intermediate_results[[#This Row], [Team1 laps '[laps']]:[Team9 laps '[laps']]]) - intermediate_results[[#This Row], [Team5 laps '[laps']]]</f>
        <v>0</v>
      </c>
      <c r="Y166" s="3">
        <f>MAX(intermediate_results[[#This Row], [Team1 laps '[laps']]:[Team9 laps '[laps']]]) - intermediate_results[[#This Row], [Team6 laps '[laps']]]</f>
        <v>0</v>
      </c>
      <c r="Z166" s="3">
        <f>MAX(intermediate_results[[#This Row], [Team1 laps '[laps']]:[Team9 laps '[laps']]]) - intermediate_results[[#This Row], [Team7 laps '[laps']]]</f>
        <v>0</v>
      </c>
      <c r="AA166" s="3">
        <f>MAX(intermediate_results[[#This Row], [Team1 laps '[laps']]:[Team9 laps '[laps']]]) - intermediate_results[[#This Row], [Team8 laps '[laps']]]</f>
        <v>0</v>
      </c>
      <c r="AB166" s="3">
        <f>MAX(intermediate_results[[#This Row], [Team1 laps '[laps']]:[Team9 laps '[laps']]]) - intermediate_results[[#This Row], [Team9 laps '[laps']]]</f>
        <v>0</v>
      </c>
      <c r="AC166" s="3">
        <f>9 * intermediate_results[[#This Row], [All cumulative times '[sec']]] / SUM(intermediate_results[[#This Row], [Team1 laps '[laps']]:[Team9 laps '[laps']]])</f>
        <v>0</v>
      </c>
      <c r="AD166" s="3">
        <f>intermediate_results[[#This Row], [All cumulative times '[sec']]] / intermediate_results[[#This Row], [Team1 laps '[laps']]] - intermediate_results[[#This Row], [Total running average '[sec']]]</f>
        <v>0</v>
      </c>
      <c r="AE166" s="3">
        <f>intermediate_results[[#This Row], [All cumulative times '[sec']]] / intermediate_results[[#This Row], [Team2 laps '[laps']]] - intermediate_results[[#This Row], [Total running average '[sec']]]</f>
        <v>0</v>
      </c>
      <c r="AF166" s="3">
        <f>intermediate_results[[#This Row], [All cumulative times '[sec']]] / intermediate_results[[#This Row], [Team3 laps '[laps']]] - intermediate_results[[#This Row], [Total running average '[sec']]]</f>
        <v>0</v>
      </c>
      <c r="AG166" s="3">
        <f>intermediate_results[[#This Row], [All cumulative times '[sec']]] / intermediate_results[[#This Row], [Team4 laps '[laps']]] - intermediate_results[[#This Row], [Total running average '[sec']]]</f>
        <v>0</v>
      </c>
      <c r="AH166" s="3">
        <f>intermediate_results[[#This Row], [All cumulative times '[sec']]] / intermediate_results[[#This Row], [Team5 laps '[laps']]] - intermediate_results[[#This Row], [Total running average '[sec']]]</f>
        <v>0</v>
      </c>
      <c r="AI166" s="3">
        <f>intermediate_results[[#This Row], [All cumulative times '[sec']]] / intermediate_results[[#This Row], [Team6 laps '[laps']]] - intermediate_results[[#This Row], [Total running average '[sec']]]</f>
        <v>0</v>
      </c>
      <c r="AJ166" s="3">
        <f>intermediate_results[[#This Row], [All cumulative times '[sec']]] / intermediate_results[[#This Row], [Team7 laps '[laps']]] - intermediate_results[[#This Row], [Total running average '[sec']]]</f>
        <v>0</v>
      </c>
      <c r="AK166" s="3">
        <f>intermediate_results[[#This Row], [All cumulative times '[sec']]] / intermediate_results[[#This Row], [Team8 laps '[laps']]] - intermediate_results[[#This Row], [Total running average '[sec']]]</f>
        <v>0</v>
      </c>
      <c r="AL166" s="3">
        <f>intermediate_results[[#This Row], [All cumulative times '[sec']]] / intermediate_results[[#This Row], [Team9 laps '[laps']]] - intermediate_results[[#This Row], [Total running average '[sec']]]</f>
        <v>0</v>
      </c>
    </row>
    <row r="167" spans="1:38">
      <c r="A167" s="3">
        <v>1041.758</v>
      </c>
      <c r="B16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7" s="3">
        <f>intermediate_results[[#This Row], [Team1 laps '[laps']]] - intermediate_results[[#This Row], [Team1 laps '[laps']]]</f>
        <v>0</v>
      </c>
      <c r="L167" s="3">
        <f>intermediate_results[[#This Row], [Team1 laps '[laps']]] - intermediate_results[[#This Row], [Team2 laps '[laps']]]</f>
        <v>0</v>
      </c>
      <c r="M167" s="3">
        <f>intermediate_results[[#This Row], [Team1 laps '[laps']]] - intermediate_results[[#This Row], [Team3 laps '[laps']]]</f>
        <v>0</v>
      </c>
      <c r="N167" s="3">
        <f>intermediate_results[[#This Row], [Team1 laps '[laps']]] - intermediate_results[[#This Row], [Team4 laps '[laps']]]</f>
        <v>0</v>
      </c>
      <c r="O167" s="3">
        <f>intermediate_results[[#This Row], [Team1 laps '[laps']]] - intermediate_results[[#This Row], [Team5 laps '[laps']]]</f>
        <v>0</v>
      </c>
      <c r="P167" s="3">
        <f>intermediate_results[[#This Row], [Team1 laps '[laps']]] - intermediate_results[[#This Row], [Team6 laps '[laps']]]</f>
        <v>0</v>
      </c>
      <c r="Q167" s="3">
        <f>intermediate_results[[#This Row], [Team1 laps '[laps']]] - intermediate_results[[#This Row], [Team7 laps '[laps']]]</f>
        <v>0</v>
      </c>
      <c r="R167" s="3">
        <f>intermediate_results[[#This Row], [Team1 laps '[laps']]] - intermediate_results[[#This Row], [Team8 laps '[laps']]]</f>
        <v>0</v>
      </c>
      <c r="S167" s="3">
        <f>intermediate_results[[#This Row], [Team1 laps '[laps']]] - intermediate_results[[#This Row], [Team9 laps '[laps']]]</f>
        <v>0</v>
      </c>
      <c r="T167" s="3">
        <f>MAX(intermediate_results[[#This Row], [Team1 laps '[laps']]:[Team9 laps '[laps']]]) - intermediate_results[[#This Row], [Team1 laps '[laps']]]</f>
        <v>0</v>
      </c>
      <c r="U167" s="3">
        <f>MAX(intermediate_results[[#This Row], [Team1 laps '[laps']]:[Team9 laps '[laps']]]) - intermediate_results[[#This Row], [Team2 laps '[laps']]]</f>
        <v>0</v>
      </c>
      <c r="V167" s="3">
        <f>MAX(intermediate_results[[#This Row], [Team1 laps '[laps']]:[Team9 laps '[laps']]]) - intermediate_results[[#This Row], [Team3 laps '[laps']]]</f>
        <v>0</v>
      </c>
      <c r="W167" s="3">
        <f>MAX(intermediate_results[[#This Row], [Team1 laps '[laps']]:[Team9 laps '[laps']]]) - intermediate_results[[#This Row], [Team4 laps '[laps']]]</f>
        <v>0</v>
      </c>
      <c r="X167" s="3">
        <f>MAX(intermediate_results[[#This Row], [Team1 laps '[laps']]:[Team9 laps '[laps']]]) - intermediate_results[[#This Row], [Team5 laps '[laps']]]</f>
        <v>0</v>
      </c>
      <c r="Y167" s="3">
        <f>MAX(intermediate_results[[#This Row], [Team1 laps '[laps']]:[Team9 laps '[laps']]]) - intermediate_results[[#This Row], [Team6 laps '[laps']]]</f>
        <v>0</v>
      </c>
      <c r="Z167" s="3">
        <f>MAX(intermediate_results[[#This Row], [Team1 laps '[laps']]:[Team9 laps '[laps']]]) - intermediate_results[[#This Row], [Team7 laps '[laps']]]</f>
        <v>0</v>
      </c>
      <c r="AA167" s="3">
        <f>MAX(intermediate_results[[#This Row], [Team1 laps '[laps']]:[Team9 laps '[laps']]]) - intermediate_results[[#This Row], [Team8 laps '[laps']]]</f>
        <v>0</v>
      </c>
      <c r="AB167" s="3">
        <f>MAX(intermediate_results[[#This Row], [Team1 laps '[laps']]:[Team9 laps '[laps']]]) - intermediate_results[[#This Row], [Team9 laps '[laps']]]</f>
        <v>0</v>
      </c>
      <c r="AC167" s="3">
        <f>9 * intermediate_results[[#This Row], [All cumulative times '[sec']]] / SUM(intermediate_results[[#This Row], [Team1 laps '[laps']]:[Team9 laps '[laps']]])</f>
        <v>0</v>
      </c>
      <c r="AD167" s="3">
        <f>intermediate_results[[#This Row], [All cumulative times '[sec']]] / intermediate_results[[#This Row], [Team1 laps '[laps']]] - intermediate_results[[#This Row], [Total running average '[sec']]]</f>
        <v>0</v>
      </c>
      <c r="AE167" s="3">
        <f>intermediate_results[[#This Row], [All cumulative times '[sec']]] / intermediate_results[[#This Row], [Team2 laps '[laps']]] - intermediate_results[[#This Row], [Total running average '[sec']]]</f>
        <v>0</v>
      </c>
      <c r="AF167" s="3">
        <f>intermediate_results[[#This Row], [All cumulative times '[sec']]] / intermediate_results[[#This Row], [Team3 laps '[laps']]] - intermediate_results[[#This Row], [Total running average '[sec']]]</f>
        <v>0</v>
      </c>
      <c r="AG167" s="3">
        <f>intermediate_results[[#This Row], [All cumulative times '[sec']]] / intermediate_results[[#This Row], [Team4 laps '[laps']]] - intermediate_results[[#This Row], [Total running average '[sec']]]</f>
        <v>0</v>
      </c>
      <c r="AH167" s="3">
        <f>intermediate_results[[#This Row], [All cumulative times '[sec']]] / intermediate_results[[#This Row], [Team5 laps '[laps']]] - intermediate_results[[#This Row], [Total running average '[sec']]]</f>
        <v>0</v>
      </c>
      <c r="AI167" s="3">
        <f>intermediate_results[[#This Row], [All cumulative times '[sec']]] / intermediate_results[[#This Row], [Team6 laps '[laps']]] - intermediate_results[[#This Row], [Total running average '[sec']]]</f>
        <v>0</v>
      </c>
      <c r="AJ167" s="3">
        <f>intermediate_results[[#This Row], [All cumulative times '[sec']]] / intermediate_results[[#This Row], [Team7 laps '[laps']]] - intermediate_results[[#This Row], [Total running average '[sec']]]</f>
        <v>0</v>
      </c>
      <c r="AK167" s="3">
        <f>intermediate_results[[#This Row], [All cumulative times '[sec']]] / intermediate_results[[#This Row], [Team8 laps '[laps']]] - intermediate_results[[#This Row], [Total running average '[sec']]]</f>
        <v>0</v>
      </c>
      <c r="AL167" s="3">
        <f>intermediate_results[[#This Row], [All cumulative times '[sec']]] / intermediate_results[[#This Row], [Team9 laps '[laps']]] - intermediate_results[[#This Row], [Total running average '[sec']]]</f>
        <v>0</v>
      </c>
    </row>
    <row r="168" spans="1:38">
      <c r="A168" s="3">
        <v>1041.986</v>
      </c>
      <c r="B16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8" s="3">
        <f>intermediate_results[[#This Row], [Team1 laps '[laps']]] - intermediate_results[[#This Row], [Team1 laps '[laps']]]</f>
        <v>0</v>
      </c>
      <c r="L168" s="3">
        <f>intermediate_results[[#This Row], [Team1 laps '[laps']]] - intermediate_results[[#This Row], [Team2 laps '[laps']]]</f>
        <v>0</v>
      </c>
      <c r="M168" s="3">
        <f>intermediate_results[[#This Row], [Team1 laps '[laps']]] - intermediate_results[[#This Row], [Team3 laps '[laps']]]</f>
        <v>0</v>
      </c>
      <c r="N168" s="3">
        <f>intermediate_results[[#This Row], [Team1 laps '[laps']]] - intermediate_results[[#This Row], [Team4 laps '[laps']]]</f>
        <v>0</v>
      </c>
      <c r="O168" s="3">
        <f>intermediate_results[[#This Row], [Team1 laps '[laps']]] - intermediate_results[[#This Row], [Team5 laps '[laps']]]</f>
        <v>0</v>
      </c>
      <c r="P168" s="3">
        <f>intermediate_results[[#This Row], [Team1 laps '[laps']]] - intermediate_results[[#This Row], [Team6 laps '[laps']]]</f>
        <v>0</v>
      </c>
      <c r="Q168" s="3">
        <f>intermediate_results[[#This Row], [Team1 laps '[laps']]] - intermediate_results[[#This Row], [Team7 laps '[laps']]]</f>
        <v>0</v>
      </c>
      <c r="R168" s="3">
        <f>intermediate_results[[#This Row], [Team1 laps '[laps']]] - intermediate_results[[#This Row], [Team8 laps '[laps']]]</f>
        <v>0</v>
      </c>
      <c r="S168" s="3">
        <f>intermediate_results[[#This Row], [Team1 laps '[laps']]] - intermediate_results[[#This Row], [Team9 laps '[laps']]]</f>
        <v>0</v>
      </c>
      <c r="T168" s="3">
        <f>MAX(intermediate_results[[#This Row], [Team1 laps '[laps']]:[Team9 laps '[laps']]]) - intermediate_results[[#This Row], [Team1 laps '[laps']]]</f>
        <v>0</v>
      </c>
      <c r="U168" s="3">
        <f>MAX(intermediate_results[[#This Row], [Team1 laps '[laps']]:[Team9 laps '[laps']]]) - intermediate_results[[#This Row], [Team2 laps '[laps']]]</f>
        <v>0</v>
      </c>
      <c r="V168" s="3">
        <f>MAX(intermediate_results[[#This Row], [Team1 laps '[laps']]:[Team9 laps '[laps']]]) - intermediate_results[[#This Row], [Team3 laps '[laps']]]</f>
        <v>0</v>
      </c>
      <c r="W168" s="3">
        <f>MAX(intermediate_results[[#This Row], [Team1 laps '[laps']]:[Team9 laps '[laps']]]) - intermediate_results[[#This Row], [Team4 laps '[laps']]]</f>
        <v>0</v>
      </c>
      <c r="X168" s="3">
        <f>MAX(intermediate_results[[#This Row], [Team1 laps '[laps']]:[Team9 laps '[laps']]]) - intermediate_results[[#This Row], [Team5 laps '[laps']]]</f>
        <v>0</v>
      </c>
      <c r="Y168" s="3">
        <f>MAX(intermediate_results[[#This Row], [Team1 laps '[laps']]:[Team9 laps '[laps']]]) - intermediate_results[[#This Row], [Team6 laps '[laps']]]</f>
        <v>0</v>
      </c>
      <c r="Z168" s="3">
        <f>MAX(intermediate_results[[#This Row], [Team1 laps '[laps']]:[Team9 laps '[laps']]]) - intermediate_results[[#This Row], [Team7 laps '[laps']]]</f>
        <v>0</v>
      </c>
      <c r="AA168" s="3">
        <f>MAX(intermediate_results[[#This Row], [Team1 laps '[laps']]:[Team9 laps '[laps']]]) - intermediate_results[[#This Row], [Team8 laps '[laps']]]</f>
        <v>0</v>
      </c>
      <c r="AB168" s="3">
        <f>MAX(intermediate_results[[#This Row], [Team1 laps '[laps']]:[Team9 laps '[laps']]]) - intermediate_results[[#This Row], [Team9 laps '[laps']]]</f>
        <v>0</v>
      </c>
      <c r="AC168" s="3">
        <f>9 * intermediate_results[[#This Row], [All cumulative times '[sec']]] / SUM(intermediate_results[[#This Row], [Team1 laps '[laps']]:[Team9 laps '[laps']]])</f>
        <v>0</v>
      </c>
      <c r="AD168" s="3">
        <f>intermediate_results[[#This Row], [All cumulative times '[sec']]] / intermediate_results[[#This Row], [Team1 laps '[laps']]] - intermediate_results[[#This Row], [Total running average '[sec']]]</f>
        <v>0</v>
      </c>
      <c r="AE168" s="3">
        <f>intermediate_results[[#This Row], [All cumulative times '[sec']]] / intermediate_results[[#This Row], [Team2 laps '[laps']]] - intermediate_results[[#This Row], [Total running average '[sec']]]</f>
        <v>0</v>
      </c>
      <c r="AF168" s="3">
        <f>intermediate_results[[#This Row], [All cumulative times '[sec']]] / intermediate_results[[#This Row], [Team3 laps '[laps']]] - intermediate_results[[#This Row], [Total running average '[sec']]]</f>
        <v>0</v>
      </c>
      <c r="AG168" s="3">
        <f>intermediate_results[[#This Row], [All cumulative times '[sec']]] / intermediate_results[[#This Row], [Team4 laps '[laps']]] - intermediate_results[[#This Row], [Total running average '[sec']]]</f>
        <v>0</v>
      </c>
      <c r="AH168" s="3">
        <f>intermediate_results[[#This Row], [All cumulative times '[sec']]] / intermediate_results[[#This Row], [Team5 laps '[laps']]] - intermediate_results[[#This Row], [Total running average '[sec']]]</f>
        <v>0</v>
      </c>
      <c r="AI168" s="3">
        <f>intermediate_results[[#This Row], [All cumulative times '[sec']]] / intermediate_results[[#This Row], [Team6 laps '[laps']]] - intermediate_results[[#This Row], [Total running average '[sec']]]</f>
        <v>0</v>
      </c>
      <c r="AJ168" s="3">
        <f>intermediate_results[[#This Row], [All cumulative times '[sec']]] / intermediate_results[[#This Row], [Team7 laps '[laps']]] - intermediate_results[[#This Row], [Total running average '[sec']]]</f>
        <v>0</v>
      </c>
      <c r="AK168" s="3">
        <f>intermediate_results[[#This Row], [All cumulative times '[sec']]] / intermediate_results[[#This Row], [Team8 laps '[laps']]] - intermediate_results[[#This Row], [Total running average '[sec']]]</f>
        <v>0</v>
      </c>
      <c r="AL168" s="3">
        <f>intermediate_results[[#This Row], [All cumulative times '[sec']]] / intermediate_results[[#This Row], [Team9 laps '[laps']]] - intermediate_results[[#This Row], [Total running average '[sec']]]</f>
        <v>0</v>
      </c>
    </row>
    <row r="169" spans="1:38">
      <c r="A169" s="3">
        <v>1042.531</v>
      </c>
      <c r="B16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6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6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6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6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6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6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6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6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69" s="3">
        <f>intermediate_results[[#This Row], [Team1 laps '[laps']]] - intermediate_results[[#This Row], [Team1 laps '[laps']]]</f>
        <v>0</v>
      </c>
      <c r="L169" s="3">
        <f>intermediate_results[[#This Row], [Team1 laps '[laps']]] - intermediate_results[[#This Row], [Team2 laps '[laps']]]</f>
        <v>0</v>
      </c>
      <c r="M169" s="3">
        <f>intermediate_results[[#This Row], [Team1 laps '[laps']]] - intermediate_results[[#This Row], [Team3 laps '[laps']]]</f>
        <v>0</v>
      </c>
      <c r="N169" s="3">
        <f>intermediate_results[[#This Row], [Team1 laps '[laps']]] - intermediate_results[[#This Row], [Team4 laps '[laps']]]</f>
        <v>0</v>
      </c>
      <c r="O169" s="3">
        <f>intermediate_results[[#This Row], [Team1 laps '[laps']]] - intermediate_results[[#This Row], [Team5 laps '[laps']]]</f>
        <v>0</v>
      </c>
      <c r="P169" s="3">
        <f>intermediate_results[[#This Row], [Team1 laps '[laps']]] - intermediate_results[[#This Row], [Team6 laps '[laps']]]</f>
        <v>0</v>
      </c>
      <c r="Q169" s="3">
        <f>intermediate_results[[#This Row], [Team1 laps '[laps']]] - intermediate_results[[#This Row], [Team7 laps '[laps']]]</f>
        <v>0</v>
      </c>
      <c r="R169" s="3">
        <f>intermediate_results[[#This Row], [Team1 laps '[laps']]] - intermediate_results[[#This Row], [Team8 laps '[laps']]]</f>
        <v>0</v>
      </c>
      <c r="S169" s="3">
        <f>intermediate_results[[#This Row], [Team1 laps '[laps']]] - intermediate_results[[#This Row], [Team9 laps '[laps']]]</f>
        <v>0</v>
      </c>
      <c r="T169" s="3">
        <f>MAX(intermediate_results[[#This Row], [Team1 laps '[laps']]:[Team9 laps '[laps']]]) - intermediate_results[[#This Row], [Team1 laps '[laps']]]</f>
        <v>0</v>
      </c>
      <c r="U169" s="3">
        <f>MAX(intermediate_results[[#This Row], [Team1 laps '[laps']]:[Team9 laps '[laps']]]) - intermediate_results[[#This Row], [Team2 laps '[laps']]]</f>
        <v>0</v>
      </c>
      <c r="V169" s="3">
        <f>MAX(intermediate_results[[#This Row], [Team1 laps '[laps']]:[Team9 laps '[laps']]]) - intermediate_results[[#This Row], [Team3 laps '[laps']]]</f>
        <v>0</v>
      </c>
      <c r="W169" s="3">
        <f>MAX(intermediate_results[[#This Row], [Team1 laps '[laps']]:[Team9 laps '[laps']]]) - intermediate_results[[#This Row], [Team4 laps '[laps']]]</f>
        <v>0</v>
      </c>
      <c r="X169" s="3">
        <f>MAX(intermediate_results[[#This Row], [Team1 laps '[laps']]:[Team9 laps '[laps']]]) - intermediate_results[[#This Row], [Team5 laps '[laps']]]</f>
        <v>0</v>
      </c>
      <c r="Y169" s="3">
        <f>MAX(intermediate_results[[#This Row], [Team1 laps '[laps']]:[Team9 laps '[laps']]]) - intermediate_results[[#This Row], [Team6 laps '[laps']]]</f>
        <v>0</v>
      </c>
      <c r="Z169" s="3">
        <f>MAX(intermediate_results[[#This Row], [Team1 laps '[laps']]:[Team9 laps '[laps']]]) - intermediate_results[[#This Row], [Team7 laps '[laps']]]</f>
        <v>0</v>
      </c>
      <c r="AA169" s="3">
        <f>MAX(intermediate_results[[#This Row], [Team1 laps '[laps']]:[Team9 laps '[laps']]]) - intermediate_results[[#This Row], [Team8 laps '[laps']]]</f>
        <v>0</v>
      </c>
      <c r="AB169" s="3">
        <f>MAX(intermediate_results[[#This Row], [Team1 laps '[laps']]:[Team9 laps '[laps']]]) - intermediate_results[[#This Row], [Team9 laps '[laps']]]</f>
        <v>0</v>
      </c>
      <c r="AC169" s="3">
        <f>9 * intermediate_results[[#This Row], [All cumulative times '[sec']]] / SUM(intermediate_results[[#This Row], [Team1 laps '[laps']]:[Team9 laps '[laps']]])</f>
        <v>0</v>
      </c>
      <c r="AD169" s="3">
        <f>intermediate_results[[#This Row], [All cumulative times '[sec']]] / intermediate_results[[#This Row], [Team1 laps '[laps']]] - intermediate_results[[#This Row], [Total running average '[sec']]]</f>
        <v>0</v>
      </c>
      <c r="AE169" s="3">
        <f>intermediate_results[[#This Row], [All cumulative times '[sec']]] / intermediate_results[[#This Row], [Team2 laps '[laps']]] - intermediate_results[[#This Row], [Total running average '[sec']]]</f>
        <v>0</v>
      </c>
      <c r="AF169" s="3">
        <f>intermediate_results[[#This Row], [All cumulative times '[sec']]] / intermediate_results[[#This Row], [Team3 laps '[laps']]] - intermediate_results[[#This Row], [Total running average '[sec']]]</f>
        <v>0</v>
      </c>
      <c r="AG169" s="3">
        <f>intermediate_results[[#This Row], [All cumulative times '[sec']]] / intermediate_results[[#This Row], [Team4 laps '[laps']]] - intermediate_results[[#This Row], [Total running average '[sec']]]</f>
        <v>0</v>
      </c>
      <c r="AH169" s="3">
        <f>intermediate_results[[#This Row], [All cumulative times '[sec']]] / intermediate_results[[#This Row], [Team5 laps '[laps']]] - intermediate_results[[#This Row], [Total running average '[sec']]]</f>
        <v>0</v>
      </c>
      <c r="AI169" s="3">
        <f>intermediate_results[[#This Row], [All cumulative times '[sec']]] / intermediate_results[[#This Row], [Team6 laps '[laps']]] - intermediate_results[[#This Row], [Total running average '[sec']]]</f>
        <v>0</v>
      </c>
      <c r="AJ169" s="3">
        <f>intermediate_results[[#This Row], [All cumulative times '[sec']]] / intermediate_results[[#This Row], [Team7 laps '[laps']]] - intermediate_results[[#This Row], [Total running average '[sec']]]</f>
        <v>0</v>
      </c>
      <c r="AK169" s="3">
        <f>intermediate_results[[#This Row], [All cumulative times '[sec']]] / intermediate_results[[#This Row], [Team8 laps '[laps']]] - intermediate_results[[#This Row], [Total running average '[sec']]]</f>
        <v>0</v>
      </c>
      <c r="AL169" s="3">
        <f>intermediate_results[[#This Row], [All cumulative times '[sec']]] / intermediate_results[[#This Row], [Team9 laps '[laps']]] - intermediate_results[[#This Row], [Total running average '[sec']]]</f>
        <v>0</v>
      </c>
    </row>
    <row r="170" spans="1:38">
      <c r="A170" s="3">
        <v>1055.546</v>
      </c>
      <c r="B17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0" s="3">
        <f>intermediate_results[[#This Row], [Team1 laps '[laps']]] - intermediate_results[[#This Row], [Team1 laps '[laps']]]</f>
        <v>0</v>
      </c>
      <c r="L170" s="3">
        <f>intermediate_results[[#This Row], [Team1 laps '[laps']]] - intermediate_results[[#This Row], [Team2 laps '[laps']]]</f>
        <v>0</v>
      </c>
      <c r="M170" s="3">
        <f>intermediate_results[[#This Row], [Team1 laps '[laps']]] - intermediate_results[[#This Row], [Team3 laps '[laps']]]</f>
        <v>0</v>
      </c>
      <c r="N170" s="3">
        <f>intermediate_results[[#This Row], [Team1 laps '[laps']]] - intermediate_results[[#This Row], [Team4 laps '[laps']]]</f>
        <v>0</v>
      </c>
      <c r="O170" s="3">
        <f>intermediate_results[[#This Row], [Team1 laps '[laps']]] - intermediate_results[[#This Row], [Team5 laps '[laps']]]</f>
        <v>0</v>
      </c>
      <c r="P170" s="3">
        <f>intermediate_results[[#This Row], [Team1 laps '[laps']]] - intermediate_results[[#This Row], [Team6 laps '[laps']]]</f>
        <v>0</v>
      </c>
      <c r="Q170" s="3">
        <f>intermediate_results[[#This Row], [Team1 laps '[laps']]] - intermediate_results[[#This Row], [Team7 laps '[laps']]]</f>
        <v>0</v>
      </c>
      <c r="R170" s="3">
        <f>intermediate_results[[#This Row], [Team1 laps '[laps']]] - intermediate_results[[#This Row], [Team8 laps '[laps']]]</f>
        <v>0</v>
      </c>
      <c r="S170" s="3">
        <f>intermediate_results[[#This Row], [Team1 laps '[laps']]] - intermediate_results[[#This Row], [Team9 laps '[laps']]]</f>
        <v>0</v>
      </c>
      <c r="T170" s="3">
        <f>MAX(intermediate_results[[#This Row], [Team1 laps '[laps']]:[Team9 laps '[laps']]]) - intermediate_results[[#This Row], [Team1 laps '[laps']]]</f>
        <v>0</v>
      </c>
      <c r="U170" s="3">
        <f>MAX(intermediate_results[[#This Row], [Team1 laps '[laps']]:[Team9 laps '[laps']]]) - intermediate_results[[#This Row], [Team2 laps '[laps']]]</f>
        <v>0</v>
      </c>
      <c r="V170" s="3">
        <f>MAX(intermediate_results[[#This Row], [Team1 laps '[laps']]:[Team9 laps '[laps']]]) - intermediate_results[[#This Row], [Team3 laps '[laps']]]</f>
        <v>0</v>
      </c>
      <c r="W170" s="3">
        <f>MAX(intermediate_results[[#This Row], [Team1 laps '[laps']]:[Team9 laps '[laps']]]) - intermediate_results[[#This Row], [Team4 laps '[laps']]]</f>
        <v>0</v>
      </c>
      <c r="X170" s="3">
        <f>MAX(intermediate_results[[#This Row], [Team1 laps '[laps']]:[Team9 laps '[laps']]]) - intermediate_results[[#This Row], [Team5 laps '[laps']]]</f>
        <v>0</v>
      </c>
      <c r="Y170" s="3">
        <f>MAX(intermediate_results[[#This Row], [Team1 laps '[laps']]:[Team9 laps '[laps']]]) - intermediate_results[[#This Row], [Team6 laps '[laps']]]</f>
        <v>0</v>
      </c>
      <c r="Z170" s="3">
        <f>MAX(intermediate_results[[#This Row], [Team1 laps '[laps']]:[Team9 laps '[laps']]]) - intermediate_results[[#This Row], [Team7 laps '[laps']]]</f>
        <v>0</v>
      </c>
      <c r="AA170" s="3">
        <f>MAX(intermediate_results[[#This Row], [Team1 laps '[laps']]:[Team9 laps '[laps']]]) - intermediate_results[[#This Row], [Team8 laps '[laps']]]</f>
        <v>0</v>
      </c>
      <c r="AB170" s="3">
        <f>MAX(intermediate_results[[#This Row], [Team1 laps '[laps']]:[Team9 laps '[laps']]]) - intermediate_results[[#This Row], [Team9 laps '[laps']]]</f>
        <v>0</v>
      </c>
      <c r="AC170" s="3">
        <f>9 * intermediate_results[[#This Row], [All cumulative times '[sec']]] / SUM(intermediate_results[[#This Row], [Team1 laps '[laps']]:[Team9 laps '[laps']]])</f>
        <v>0</v>
      </c>
      <c r="AD170" s="3">
        <f>intermediate_results[[#This Row], [All cumulative times '[sec']]] / intermediate_results[[#This Row], [Team1 laps '[laps']]] - intermediate_results[[#This Row], [Total running average '[sec']]]</f>
        <v>0</v>
      </c>
      <c r="AE170" s="3">
        <f>intermediate_results[[#This Row], [All cumulative times '[sec']]] / intermediate_results[[#This Row], [Team2 laps '[laps']]] - intermediate_results[[#This Row], [Total running average '[sec']]]</f>
        <v>0</v>
      </c>
      <c r="AF170" s="3">
        <f>intermediate_results[[#This Row], [All cumulative times '[sec']]] / intermediate_results[[#This Row], [Team3 laps '[laps']]] - intermediate_results[[#This Row], [Total running average '[sec']]]</f>
        <v>0</v>
      </c>
      <c r="AG170" s="3">
        <f>intermediate_results[[#This Row], [All cumulative times '[sec']]] / intermediate_results[[#This Row], [Team4 laps '[laps']]] - intermediate_results[[#This Row], [Total running average '[sec']]]</f>
        <v>0</v>
      </c>
      <c r="AH170" s="3">
        <f>intermediate_results[[#This Row], [All cumulative times '[sec']]] / intermediate_results[[#This Row], [Team5 laps '[laps']]] - intermediate_results[[#This Row], [Total running average '[sec']]]</f>
        <v>0</v>
      </c>
      <c r="AI170" s="3">
        <f>intermediate_results[[#This Row], [All cumulative times '[sec']]] / intermediate_results[[#This Row], [Team6 laps '[laps']]] - intermediate_results[[#This Row], [Total running average '[sec']]]</f>
        <v>0</v>
      </c>
      <c r="AJ170" s="3">
        <f>intermediate_results[[#This Row], [All cumulative times '[sec']]] / intermediate_results[[#This Row], [Team7 laps '[laps']]] - intermediate_results[[#This Row], [Total running average '[sec']]]</f>
        <v>0</v>
      </c>
      <c r="AK170" s="3">
        <f>intermediate_results[[#This Row], [All cumulative times '[sec']]] / intermediate_results[[#This Row], [Team8 laps '[laps']]] - intermediate_results[[#This Row], [Total running average '[sec']]]</f>
        <v>0</v>
      </c>
      <c r="AL170" s="3">
        <f>intermediate_results[[#This Row], [All cumulative times '[sec']]] / intermediate_results[[#This Row], [Team9 laps '[laps']]] - intermediate_results[[#This Row], [Total running average '[sec']]]</f>
        <v>0</v>
      </c>
    </row>
    <row r="171" spans="1:38">
      <c r="A171" s="3">
        <v>1056.577</v>
      </c>
      <c r="B17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1" s="3">
        <f>intermediate_results[[#This Row], [Team1 laps '[laps']]] - intermediate_results[[#This Row], [Team1 laps '[laps']]]</f>
        <v>0</v>
      </c>
      <c r="L171" s="3">
        <f>intermediate_results[[#This Row], [Team1 laps '[laps']]] - intermediate_results[[#This Row], [Team2 laps '[laps']]]</f>
        <v>0</v>
      </c>
      <c r="M171" s="3">
        <f>intermediate_results[[#This Row], [Team1 laps '[laps']]] - intermediate_results[[#This Row], [Team3 laps '[laps']]]</f>
        <v>0</v>
      </c>
      <c r="N171" s="3">
        <f>intermediate_results[[#This Row], [Team1 laps '[laps']]] - intermediate_results[[#This Row], [Team4 laps '[laps']]]</f>
        <v>0</v>
      </c>
      <c r="O171" s="3">
        <f>intermediate_results[[#This Row], [Team1 laps '[laps']]] - intermediate_results[[#This Row], [Team5 laps '[laps']]]</f>
        <v>0</v>
      </c>
      <c r="P171" s="3">
        <f>intermediate_results[[#This Row], [Team1 laps '[laps']]] - intermediate_results[[#This Row], [Team6 laps '[laps']]]</f>
        <v>0</v>
      </c>
      <c r="Q171" s="3">
        <f>intermediate_results[[#This Row], [Team1 laps '[laps']]] - intermediate_results[[#This Row], [Team7 laps '[laps']]]</f>
        <v>0</v>
      </c>
      <c r="R171" s="3">
        <f>intermediate_results[[#This Row], [Team1 laps '[laps']]] - intermediate_results[[#This Row], [Team8 laps '[laps']]]</f>
        <v>0</v>
      </c>
      <c r="S171" s="3">
        <f>intermediate_results[[#This Row], [Team1 laps '[laps']]] - intermediate_results[[#This Row], [Team9 laps '[laps']]]</f>
        <v>0</v>
      </c>
      <c r="T171" s="3">
        <f>MAX(intermediate_results[[#This Row], [Team1 laps '[laps']]:[Team9 laps '[laps']]]) - intermediate_results[[#This Row], [Team1 laps '[laps']]]</f>
        <v>0</v>
      </c>
      <c r="U171" s="3">
        <f>MAX(intermediate_results[[#This Row], [Team1 laps '[laps']]:[Team9 laps '[laps']]]) - intermediate_results[[#This Row], [Team2 laps '[laps']]]</f>
        <v>0</v>
      </c>
      <c r="V171" s="3">
        <f>MAX(intermediate_results[[#This Row], [Team1 laps '[laps']]:[Team9 laps '[laps']]]) - intermediate_results[[#This Row], [Team3 laps '[laps']]]</f>
        <v>0</v>
      </c>
      <c r="W171" s="3">
        <f>MAX(intermediate_results[[#This Row], [Team1 laps '[laps']]:[Team9 laps '[laps']]]) - intermediate_results[[#This Row], [Team4 laps '[laps']]]</f>
        <v>0</v>
      </c>
      <c r="X171" s="3">
        <f>MAX(intermediate_results[[#This Row], [Team1 laps '[laps']]:[Team9 laps '[laps']]]) - intermediate_results[[#This Row], [Team5 laps '[laps']]]</f>
        <v>0</v>
      </c>
      <c r="Y171" s="3">
        <f>MAX(intermediate_results[[#This Row], [Team1 laps '[laps']]:[Team9 laps '[laps']]]) - intermediate_results[[#This Row], [Team6 laps '[laps']]]</f>
        <v>0</v>
      </c>
      <c r="Z171" s="3">
        <f>MAX(intermediate_results[[#This Row], [Team1 laps '[laps']]:[Team9 laps '[laps']]]) - intermediate_results[[#This Row], [Team7 laps '[laps']]]</f>
        <v>0</v>
      </c>
      <c r="AA171" s="3">
        <f>MAX(intermediate_results[[#This Row], [Team1 laps '[laps']]:[Team9 laps '[laps']]]) - intermediate_results[[#This Row], [Team8 laps '[laps']]]</f>
        <v>0</v>
      </c>
      <c r="AB171" s="3">
        <f>MAX(intermediate_results[[#This Row], [Team1 laps '[laps']]:[Team9 laps '[laps']]]) - intermediate_results[[#This Row], [Team9 laps '[laps']]]</f>
        <v>0</v>
      </c>
      <c r="AC171" s="3">
        <f>9 * intermediate_results[[#This Row], [All cumulative times '[sec']]] / SUM(intermediate_results[[#This Row], [Team1 laps '[laps']]:[Team9 laps '[laps']]])</f>
        <v>0</v>
      </c>
      <c r="AD171" s="3">
        <f>intermediate_results[[#This Row], [All cumulative times '[sec']]] / intermediate_results[[#This Row], [Team1 laps '[laps']]] - intermediate_results[[#This Row], [Total running average '[sec']]]</f>
        <v>0</v>
      </c>
      <c r="AE171" s="3">
        <f>intermediate_results[[#This Row], [All cumulative times '[sec']]] / intermediate_results[[#This Row], [Team2 laps '[laps']]] - intermediate_results[[#This Row], [Total running average '[sec']]]</f>
        <v>0</v>
      </c>
      <c r="AF171" s="3">
        <f>intermediate_results[[#This Row], [All cumulative times '[sec']]] / intermediate_results[[#This Row], [Team3 laps '[laps']]] - intermediate_results[[#This Row], [Total running average '[sec']]]</f>
        <v>0</v>
      </c>
      <c r="AG171" s="3">
        <f>intermediate_results[[#This Row], [All cumulative times '[sec']]] / intermediate_results[[#This Row], [Team4 laps '[laps']]] - intermediate_results[[#This Row], [Total running average '[sec']]]</f>
        <v>0</v>
      </c>
      <c r="AH171" s="3">
        <f>intermediate_results[[#This Row], [All cumulative times '[sec']]] / intermediate_results[[#This Row], [Team5 laps '[laps']]] - intermediate_results[[#This Row], [Total running average '[sec']]]</f>
        <v>0</v>
      </c>
      <c r="AI171" s="3">
        <f>intermediate_results[[#This Row], [All cumulative times '[sec']]] / intermediate_results[[#This Row], [Team6 laps '[laps']]] - intermediate_results[[#This Row], [Total running average '[sec']]]</f>
        <v>0</v>
      </c>
      <c r="AJ171" s="3">
        <f>intermediate_results[[#This Row], [All cumulative times '[sec']]] / intermediate_results[[#This Row], [Team7 laps '[laps']]] - intermediate_results[[#This Row], [Total running average '[sec']]]</f>
        <v>0</v>
      </c>
      <c r="AK171" s="3">
        <f>intermediate_results[[#This Row], [All cumulative times '[sec']]] / intermediate_results[[#This Row], [Team8 laps '[laps']]] - intermediate_results[[#This Row], [Total running average '[sec']]]</f>
        <v>0</v>
      </c>
      <c r="AL171" s="3">
        <f>intermediate_results[[#This Row], [All cumulative times '[sec']]] / intermediate_results[[#This Row], [Team9 laps '[laps']]] - intermediate_results[[#This Row], [Total running average '[sec']]]</f>
        <v>0</v>
      </c>
    </row>
    <row r="172" spans="1:38">
      <c r="A172" s="3">
        <v>1062.858</v>
      </c>
      <c r="B17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2" s="3">
        <f>intermediate_results[[#This Row], [Team1 laps '[laps']]] - intermediate_results[[#This Row], [Team1 laps '[laps']]]</f>
        <v>0</v>
      </c>
      <c r="L172" s="3">
        <f>intermediate_results[[#This Row], [Team1 laps '[laps']]] - intermediate_results[[#This Row], [Team2 laps '[laps']]]</f>
        <v>0</v>
      </c>
      <c r="M172" s="3">
        <f>intermediate_results[[#This Row], [Team1 laps '[laps']]] - intermediate_results[[#This Row], [Team3 laps '[laps']]]</f>
        <v>0</v>
      </c>
      <c r="N172" s="3">
        <f>intermediate_results[[#This Row], [Team1 laps '[laps']]] - intermediate_results[[#This Row], [Team4 laps '[laps']]]</f>
        <v>0</v>
      </c>
      <c r="O172" s="3">
        <f>intermediate_results[[#This Row], [Team1 laps '[laps']]] - intermediate_results[[#This Row], [Team5 laps '[laps']]]</f>
        <v>0</v>
      </c>
      <c r="P172" s="3">
        <f>intermediate_results[[#This Row], [Team1 laps '[laps']]] - intermediate_results[[#This Row], [Team6 laps '[laps']]]</f>
        <v>0</v>
      </c>
      <c r="Q172" s="3">
        <f>intermediate_results[[#This Row], [Team1 laps '[laps']]] - intermediate_results[[#This Row], [Team7 laps '[laps']]]</f>
        <v>0</v>
      </c>
      <c r="R172" s="3">
        <f>intermediate_results[[#This Row], [Team1 laps '[laps']]] - intermediate_results[[#This Row], [Team8 laps '[laps']]]</f>
        <v>0</v>
      </c>
      <c r="S172" s="3">
        <f>intermediate_results[[#This Row], [Team1 laps '[laps']]] - intermediate_results[[#This Row], [Team9 laps '[laps']]]</f>
        <v>0</v>
      </c>
      <c r="T172" s="3">
        <f>MAX(intermediate_results[[#This Row], [Team1 laps '[laps']]:[Team9 laps '[laps']]]) - intermediate_results[[#This Row], [Team1 laps '[laps']]]</f>
        <v>0</v>
      </c>
      <c r="U172" s="3">
        <f>MAX(intermediate_results[[#This Row], [Team1 laps '[laps']]:[Team9 laps '[laps']]]) - intermediate_results[[#This Row], [Team2 laps '[laps']]]</f>
        <v>0</v>
      </c>
      <c r="V172" s="3">
        <f>MAX(intermediate_results[[#This Row], [Team1 laps '[laps']]:[Team9 laps '[laps']]]) - intermediate_results[[#This Row], [Team3 laps '[laps']]]</f>
        <v>0</v>
      </c>
      <c r="W172" s="3">
        <f>MAX(intermediate_results[[#This Row], [Team1 laps '[laps']]:[Team9 laps '[laps']]]) - intermediate_results[[#This Row], [Team4 laps '[laps']]]</f>
        <v>0</v>
      </c>
      <c r="X172" s="3">
        <f>MAX(intermediate_results[[#This Row], [Team1 laps '[laps']]:[Team9 laps '[laps']]]) - intermediate_results[[#This Row], [Team5 laps '[laps']]]</f>
        <v>0</v>
      </c>
      <c r="Y172" s="3">
        <f>MAX(intermediate_results[[#This Row], [Team1 laps '[laps']]:[Team9 laps '[laps']]]) - intermediate_results[[#This Row], [Team6 laps '[laps']]]</f>
        <v>0</v>
      </c>
      <c r="Z172" s="3">
        <f>MAX(intermediate_results[[#This Row], [Team1 laps '[laps']]:[Team9 laps '[laps']]]) - intermediate_results[[#This Row], [Team7 laps '[laps']]]</f>
        <v>0</v>
      </c>
      <c r="AA172" s="3">
        <f>MAX(intermediate_results[[#This Row], [Team1 laps '[laps']]:[Team9 laps '[laps']]]) - intermediate_results[[#This Row], [Team8 laps '[laps']]]</f>
        <v>0</v>
      </c>
      <c r="AB172" s="3">
        <f>MAX(intermediate_results[[#This Row], [Team1 laps '[laps']]:[Team9 laps '[laps']]]) - intermediate_results[[#This Row], [Team9 laps '[laps']]]</f>
        <v>0</v>
      </c>
      <c r="AC172" s="3">
        <f>9 * intermediate_results[[#This Row], [All cumulative times '[sec']]] / SUM(intermediate_results[[#This Row], [Team1 laps '[laps']]:[Team9 laps '[laps']]])</f>
        <v>0</v>
      </c>
      <c r="AD172" s="3">
        <f>intermediate_results[[#This Row], [All cumulative times '[sec']]] / intermediate_results[[#This Row], [Team1 laps '[laps']]] - intermediate_results[[#This Row], [Total running average '[sec']]]</f>
        <v>0</v>
      </c>
      <c r="AE172" s="3">
        <f>intermediate_results[[#This Row], [All cumulative times '[sec']]] / intermediate_results[[#This Row], [Team2 laps '[laps']]] - intermediate_results[[#This Row], [Total running average '[sec']]]</f>
        <v>0</v>
      </c>
      <c r="AF172" s="3">
        <f>intermediate_results[[#This Row], [All cumulative times '[sec']]] / intermediate_results[[#This Row], [Team3 laps '[laps']]] - intermediate_results[[#This Row], [Total running average '[sec']]]</f>
        <v>0</v>
      </c>
      <c r="AG172" s="3">
        <f>intermediate_results[[#This Row], [All cumulative times '[sec']]] / intermediate_results[[#This Row], [Team4 laps '[laps']]] - intermediate_results[[#This Row], [Total running average '[sec']]]</f>
        <v>0</v>
      </c>
      <c r="AH172" s="3">
        <f>intermediate_results[[#This Row], [All cumulative times '[sec']]] / intermediate_results[[#This Row], [Team5 laps '[laps']]] - intermediate_results[[#This Row], [Total running average '[sec']]]</f>
        <v>0</v>
      </c>
      <c r="AI172" s="3">
        <f>intermediate_results[[#This Row], [All cumulative times '[sec']]] / intermediate_results[[#This Row], [Team6 laps '[laps']]] - intermediate_results[[#This Row], [Total running average '[sec']]]</f>
        <v>0</v>
      </c>
      <c r="AJ172" s="3">
        <f>intermediate_results[[#This Row], [All cumulative times '[sec']]] / intermediate_results[[#This Row], [Team7 laps '[laps']]] - intermediate_results[[#This Row], [Total running average '[sec']]]</f>
        <v>0</v>
      </c>
      <c r="AK172" s="3">
        <f>intermediate_results[[#This Row], [All cumulative times '[sec']]] / intermediate_results[[#This Row], [Team8 laps '[laps']]] - intermediate_results[[#This Row], [Total running average '[sec']]]</f>
        <v>0</v>
      </c>
      <c r="AL172" s="3">
        <f>intermediate_results[[#This Row], [All cumulative times '[sec']]] / intermediate_results[[#This Row], [Team9 laps '[laps']]] - intermediate_results[[#This Row], [Total running average '[sec']]]</f>
        <v>0</v>
      </c>
    </row>
    <row r="173" spans="1:38">
      <c r="A173" s="3">
        <v>1072.257</v>
      </c>
      <c r="B17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3" s="3">
        <f>intermediate_results[[#This Row], [Team1 laps '[laps']]] - intermediate_results[[#This Row], [Team1 laps '[laps']]]</f>
        <v>0</v>
      </c>
      <c r="L173" s="3">
        <f>intermediate_results[[#This Row], [Team1 laps '[laps']]] - intermediate_results[[#This Row], [Team2 laps '[laps']]]</f>
        <v>0</v>
      </c>
      <c r="M173" s="3">
        <f>intermediate_results[[#This Row], [Team1 laps '[laps']]] - intermediate_results[[#This Row], [Team3 laps '[laps']]]</f>
        <v>0</v>
      </c>
      <c r="N173" s="3">
        <f>intermediate_results[[#This Row], [Team1 laps '[laps']]] - intermediate_results[[#This Row], [Team4 laps '[laps']]]</f>
        <v>0</v>
      </c>
      <c r="O173" s="3">
        <f>intermediate_results[[#This Row], [Team1 laps '[laps']]] - intermediate_results[[#This Row], [Team5 laps '[laps']]]</f>
        <v>0</v>
      </c>
      <c r="P173" s="3">
        <f>intermediate_results[[#This Row], [Team1 laps '[laps']]] - intermediate_results[[#This Row], [Team6 laps '[laps']]]</f>
        <v>0</v>
      </c>
      <c r="Q173" s="3">
        <f>intermediate_results[[#This Row], [Team1 laps '[laps']]] - intermediate_results[[#This Row], [Team7 laps '[laps']]]</f>
        <v>0</v>
      </c>
      <c r="R173" s="3">
        <f>intermediate_results[[#This Row], [Team1 laps '[laps']]] - intermediate_results[[#This Row], [Team8 laps '[laps']]]</f>
        <v>0</v>
      </c>
      <c r="S173" s="3">
        <f>intermediate_results[[#This Row], [Team1 laps '[laps']]] - intermediate_results[[#This Row], [Team9 laps '[laps']]]</f>
        <v>0</v>
      </c>
      <c r="T173" s="3">
        <f>MAX(intermediate_results[[#This Row], [Team1 laps '[laps']]:[Team9 laps '[laps']]]) - intermediate_results[[#This Row], [Team1 laps '[laps']]]</f>
        <v>0</v>
      </c>
      <c r="U173" s="3">
        <f>MAX(intermediate_results[[#This Row], [Team1 laps '[laps']]:[Team9 laps '[laps']]]) - intermediate_results[[#This Row], [Team2 laps '[laps']]]</f>
        <v>0</v>
      </c>
      <c r="V173" s="3">
        <f>MAX(intermediate_results[[#This Row], [Team1 laps '[laps']]:[Team9 laps '[laps']]]) - intermediate_results[[#This Row], [Team3 laps '[laps']]]</f>
        <v>0</v>
      </c>
      <c r="W173" s="3">
        <f>MAX(intermediate_results[[#This Row], [Team1 laps '[laps']]:[Team9 laps '[laps']]]) - intermediate_results[[#This Row], [Team4 laps '[laps']]]</f>
        <v>0</v>
      </c>
      <c r="X173" s="3">
        <f>MAX(intermediate_results[[#This Row], [Team1 laps '[laps']]:[Team9 laps '[laps']]]) - intermediate_results[[#This Row], [Team5 laps '[laps']]]</f>
        <v>0</v>
      </c>
      <c r="Y173" s="3">
        <f>MAX(intermediate_results[[#This Row], [Team1 laps '[laps']]:[Team9 laps '[laps']]]) - intermediate_results[[#This Row], [Team6 laps '[laps']]]</f>
        <v>0</v>
      </c>
      <c r="Z173" s="3">
        <f>MAX(intermediate_results[[#This Row], [Team1 laps '[laps']]:[Team9 laps '[laps']]]) - intermediate_results[[#This Row], [Team7 laps '[laps']]]</f>
        <v>0</v>
      </c>
      <c r="AA173" s="3">
        <f>MAX(intermediate_results[[#This Row], [Team1 laps '[laps']]:[Team9 laps '[laps']]]) - intermediate_results[[#This Row], [Team8 laps '[laps']]]</f>
        <v>0</v>
      </c>
      <c r="AB173" s="3">
        <f>MAX(intermediate_results[[#This Row], [Team1 laps '[laps']]:[Team9 laps '[laps']]]) - intermediate_results[[#This Row], [Team9 laps '[laps']]]</f>
        <v>0</v>
      </c>
      <c r="AC173" s="3">
        <f>9 * intermediate_results[[#This Row], [All cumulative times '[sec']]] / SUM(intermediate_results[[#This Row], [Team1 laps '[laps']]:[Team9 laps '[laps']]])</f>
        <v>0</v>
      </c>
      <c r="AD173" s="3">
        <f>intermediate_results[[#This Row], [All cumulative times '[sec']]] / intermediate_results[[#This Row], [Team1 laps '[laps']]] - intermediate_results[[#This Row], [Total running average '[sec']]]</f>
        <v>0</v>
      </c>
      <c r="AE173" s="3">
        <f>intermediate_results[[#This Row], [All cumulative times '[sec']]] / intermediate_results[[#This Row], [Team2 laps '[laps']]] - intermediate_results[[#This Row], [Total running average '[sec']]]</f>
        <v>0</v>
      </c>
      <c r="AF173" s="3">
        <f>intermediate_results[[#This Row], [All cumulative times '[sec']]] / intermediate_results[[#This Row], [Team3 laps '[laps']]] - intermediate_results[[#This Row], [Total running average '[sec']]]</f>
        <v>0</v>
      </c>
      <c r="AG173" s="3">
        <f>intermediate_results[[#This Row], [All cumulative times '[sec']]] / intermediate_results[[#This Row], [Team4 laps '[laps']]] - intermediate_results[[#This Row], [Total running average '[sec']]]</f>
        <v>0</v>
      </c>
      <c r="AH173" s="3">
        <f>intermediate_results[[#This Row], [All cumulative times '[sec']]] / intermediate_results[[#This Row], [Team5 laps '[laps']]] - intermediate_results[[#This Row], [Total running average '[sec']]]</f>
        <v>0</v>
      </c>
      <c r="AI173" s="3">
        <f>intermediate_results[[#This Row], [All cumulative times '[sec']]] / intermediate_results[[#This Row], [Team6 laps '[laps']]] - intermediate_results[[#This Row], [Total running average '[sec']]]</f>
        <v>0</v>
      </c>
      <c r="AJ173" s="3">
        <f>intermediate_results[[#This Row], [All cumulative times '[sec']]] / intermediate_results[[#This Row], [Team7 laps '[laps']]] - intermediate_results[[#This Row], [Total running average '[sec']]]</f>
        <v>0</v>
      </c>
      <c r="AK173" s="3">
        <f>intermediate_results[[#This Row], [All cumulative times '[sec']]] / intermediate_results[[#This Row], [Team8 laps '[laps']]] - intermediate_results[[#This Row], [Total running average '[sec']]]</f>
        <v>0</v>
      </c>
      <c r="AL173" s="3">
        <f>intermediate_results[[#This Row], [All cumulative times '[sec']]] / intermediate_results[[#This Row], [Team9 laps '[laps']]] - intermediate_results[[#This Row], [Total running average '[sec']]]</f>
        <v>0</v>
      </c>
    </row>
    <row r="174" spans="1:38">
      <c r="A174" s="3">
        <v>1074.156</v>
      </c>
      <c r="B17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4" s="3">
        <f>intermediate_results[[#This Row], [Team1 laps '[laps']]] - intermediate_results[[#This Row], [Team1 laps '[laps']]]</f>
        <v>0</v>
      </c>
      <c r="L174" s="3">
        <f>intermediate_results[[#This Row], [Team1 laps '[laps']]] - intermediate_results[[#This Row], [Team2 laps '[laps']]]</f>
        <v>0</v>
      </c>
      <c r="M174" s="3">
        <f>intermediate_results[[#This Row], [Team1 laps '[laps']]] - intermediate_results[[#This Row], [Team3 laps '[laps']]]</f>
        <v>0</v>
      </c>
      <c r="N174" s="3">
        <f>intermediate_results[[#This Row], [Team1 laps '[laps']]] - intermediate_results[[#This Row], [Team4 laps '[laps']]]</f>
        <v>0</v>
      </c>
      <c r="O174" s="3">
        <f>intermediate_results[[#This Row], [Team1 laps '[laps']]] - intermediate_results[[#This Row], [Team5 laps '[laps']]]</f>
        <v>0</v>
      </c>
      <c r="P174" s="3">
        <f>intermediate_results[[#This Row], [Team1 laps '[laps']]] - intermediate_results[[#This Row], [Team6 laps '[laps']]]</f>
        <v>0</v>
      </c>
      <c r="Q174" s="3">
        <f>intermediate_results[[#This Row], [Team1 laps '[laps']]] - intermediate_results[[#This Row], [Team7 laps '[laps']]]</f>
        <v>0</v>
      </c>
      <c r="R174" s="3">
        <f>intermediate_results[[#This Row], [Team1 laps '[laps']]] - intermediate_results[[#This Row], [Team8 laps '[laps']]]</f>
        <v>0</v>
      </c>
      <c r="S174" s="3">
        <f>intermediate_results[[#This Row], [Team1 laps '[laps']]] - intermediate_results[[#This Row], [Team9 laps '[laps']]]</f>
        <v>0</v>
      </c>
      <c r="T174" s="3">
        <f>MAX(intermediate_results[[#This Row], [Team1 laps '[laps']]:[Team9 laps '[laps']]]) - intermediate_results[[#This Row], [Team1 laps '[laps']]]</f>
        <v>0</v>
      </c>
      <c r="U174" s="3">
        <f>MAX(intermediate_results[[#This Row], [Team1 laps '[laps']]:[Team9 laps '[laps']]]) - intermediate_results[[#This Row], [Team2 laps '[laps']]]</f>
        <v>0</v>
      </c>
      <c r="V174" s="3">
        <f>MAX(intermediate_results[[#This Row], [Team1 laps '[laps']]:[Team9 laps '[laps']]]) - intermediate_results[[#This Row], [Team3 laps '[laps']]]</f>
        <v>0</v>
      </c>
      <c r="W174" s="3">
        <f>MAX(intermediate_results[[#This Row], [Team1 laps '[laps']]:[Team9 laps '[laps']]]) - intermediate_results[[#This Row], [Team4 laps '[laps']]]</f>
        <v>0</v>
      </c>
      <c r="X174" s="3">
        <f>MAX(intermediate_results[[#This Row], [Team1 laps '[laps']]:[Team9 laps '[laps']]]) - intermediate_results[[#This Row], [Team5 laps '[laps']]]</f>
        <v>0</v>
      </c>
      <c r="Y174" s="3">
        <f>MAX(intermediate_results[[#This Row], [Team1 laps '[laps']]:[Team9 laps '[laps']]]) - intermediate_results[[#This Row], [Team6 laps '[laps']]]</f>
        <v>0</v>
      </c>
      <c r="Z174" s="3">
        <f>MAX(intermediate_results[[#This Row], [Team1 laps '[laps']]:[Team9 laps '[laps']]]) - intermediate_results[[#This Row], [Team7 laps '[laps']]]</f>
        <v>0</v>
      </c>
      <c r="AA174" s="3">
        <f>MAX(intermediate_results[[#This Row], [Team1 laps '[laps']]:[Team9 laps '[laps']]]) - intermediate_results[[#This Row], [Team8 laps '[laps']]]</f>
        <v>0</v>
      </c>
      <c r="AB174" s="3">
        <f>MAX(intermediate_results[[#This Row], [Team1 laps '[laps']]:[Team9 laps '[laps']]]) - intermediate_results[[#This Row], [Team9 laps '[laps']]]</f>
        <v>0</v>
      </c>
      <c r="AC174" s="3">
        <f>9 * intermediate_results[[#This Row], [All cumulative times '[sec']]] / SUM(intermediate_results[[#This Row], [Team1 laps '[laps']]:[Team9 laps '[laps']]])</f>
        <v>0</v>
      </c>
      <c r="AD174" s="3">
        <f>intermediate_results[[#This Row], [All cumulative times '[sec']]] / intermediate_results[[#This Row], [Team1 laps '[laps']]] - intermediate_results[[#This Row], [Total running average '[sec']]]</f>
        <v>0</v>
      </c>
      <c r="AE174" s="3">
        <f>intermediate_results[[#This Row], [All cumulative times '[sec']]] / intermediate_results[[#This Row], [Team2 laps '[laps']]] - intermediate_results[[#This Row], [Total running average '[sec']]]</f>
        <v>0</v>
      </c>
      <c r="AF174" s="3">
        <f>intermediate_results[[#This Row], [All cumulative times '[sec']]] / intermediate_results[[#This Row], [Team3 laps '[laps']]] - intermediate_results[[#This Row], [Total running average '[sec']]]</f>
        <v>0</v>
      </c>
      <c r="AG174" s="3">
        <f>intermediate_results[[#This Row], [All cumulative times '[sec']]] / intermediate_results[[#This Row], [Team4 laps '[laps']]] - intermediate_results[[#This Row], [Total running average '[sec']]]</f>
        <v>0</v>
      </c>
      <c r="AH174" s="3">
        <f>intermediate_results[[#This Row], [All cumulative times '[sec']]] / intermediate_results[[#This Row], [Team5 laps '[laps']]] - intermediate_results[[#This Row], [Total running average '[sec']]]</f>
        <v>0</v>
      </c>
      <c r="AI174" s="3">
        <f>intermediate_results[[#This Row], [All cumulative times '[sec']]] / intermediate_results[[#This Row], [Team6 laps '[laps']]] - intermediate_results[[#This Row], [Total running average '[sec']]]</f>
        <v>0</v>
      </c>
      <c r="AJ174" s="3">
        <f>intermediate_results[[#This Row], [All cumulative times '[sec']]] / intermediate_results[[#This Row], [Team7 laps '[laps']]] - intermediate_results[[#This Row], [Total running average '[sec']]]</f>
        <v>0</v>
      </c>
      <c r="AK174" s="3">
        <f>intermediate_results[[#This Row], [All cumulative times '[sec']]] / intermediate_results[[#This Row], [Team8 laps '[laps']]] - intermediate_results[[#This Row], [Total running average '[sec']]]</f>
        <v>0</v>
      </c>
      <c r="AL174" s="3">
        <f>intermediate_results[[#This Row], [All cumulative times '[sec']]] / intermediate_results[[#This Row], [Team9 laps '[laps']]] - intermediate_results[[#This Row], [Total running average '[sec']]]</f>
        <v>0</v>
      </c>
    </row>
    <row r="175" spans="1:38">
      <c r="A175" s="3">
        <v>1078.166</v>
      </c>
      <c r="B17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5" s="3">
        <f>intermediate_results[[#This Row], [Team1 laps '[laps']]] - intermediate_results[[#This Row], [Team1 laps '[laps']]]</f>
        <v>0</v>
      </c>
      <c r="L175" s="3">
        <f>intermediate_results[[#This Row], [Team1 laps '[laps']]] - intermediate_results[[#This Row], [Team2 laps '[laps']]]</f>
        <v>0</v>
      </c>
      <c r="M175" s="3">
        <f>intermediate_results[[#This Row], [Team1 laps '[laps']]] - intermediate_results[[#This Row], [Team3 laps '[laps']]]</f>
        <v>0</v>
      </c>
      <c r="N175" s="3">
        <f>intermediate_results[[#This Row], [Team1 laps '[laps']]] - intermediate_results[[#This Row], [Team4 laps '[laps']]]</f>
        <v>0</v>
      </c>
      <c r="O175" s="3">
        <f>intermediate_results[[#This Row], [Team1 laps '[laps']]] - intermediate_results[[#This Row], [Team5 laps '[laps']]]</f>
        <v>0</v>
      </c>
      <c r="P175" s="3">
        <f>intermediate_results[[#This Row], [Team1 laps '[laps']]] - intermediate_results[[#This Row], [Team6 laps '[laps']]]</f>
        <v>0</v>
      </c>
      <c r="Q175" s="3">
        <f>intermediate_results[[#This Row], [Team1 laps '[laps']]] - intermediate_results[[#This Row], [Team7 laps '[laps']]]</f>
        <v>0</v>
      </c>
      <c r="R175" s="3">
        <f>intermediate_results[[#This Row], [Team1 laps '[laps']]] - intermediate_results[[#This Row], [Team8 laps '[laps']]]</f>
        <v>0</v>
      </c>
      <c r="S175" s="3">
        <f>intermediate_results[[#This Row], [Team1 laps '[laps']]] - intermediate_results[[#This Row], [Team9 laps '[laps']]]</f>
        <v>0</v>
      </c>
      <c r="T175" s="3">
        <f>MAX(intermediate_results[[#This Row], [Team1 laps '[laps']]:[Team9 laps '[laps']]]) - intermediate_results[[#This Row], [Team1 laps '[laps']]]</f>
        <v>0</v>
      </c>
      <c r="U175" s="3">
        <f>MAX(intermediate_results[[#This Row], [Team1 laps '[laps']]:[Team9 laps '[laps']]]) - intermediate_results[[#This Row], [Team2 laps '[laps']]]</f>
        <v>0</v>
      </c>
      <c r="V175" s="3">
        <f>MAX(intermediate_results[[#This Row], [Team1 laps '[laps']]:[Team9 laps '[laps']]]) - intermediate_results[[#This Row], [Team3 laps '[laps']]]</f>
        <v>0</v>
      </c>
      <c r="W175" s="3">
        <f>MAX(intermediate_results[[#This Row], [Team1 laps '[laps']]:[Team9 laps '[laps']]]) - intermediate_results[[#This Row], [Team4 laps '[laps']]]</f>
        <v>0</v>
      </c>
      <c r="X175" s="3">
        <f>MAX(intermediate_results[[#This Row], [Team1 laps '[laps']]:[Team9 laps '[laps']]]) - intermediate_results[[#This Row], [Team5 laps '[laps']]]</f>
        <v>0</v>
      </c>
      <c r="Y175" s="3">
        <f>MAX(intermediate_results[[#This Row], [Team1 laps '[laps']]:[Team9 laps '[laps']]]) - intermediate_results[[#This Row], [Team6 laps '[laps']]]</f>
        <v>0</v>
      </c>
      <c r="Z175" s="3">
        <f>MAX(intermediate_results[[#This Row], [Team1 laps '[laps']]:[Team9 laps '[laps']]]) - intermediate_results[[#This Row], [Team7 laps '[laps']]]</f>
        <v>0</v>
      </c>
      <c r="AA175" s="3">
        <f>MAX(intermediate_results[[#This Row], [Team1 laps '[laps']]:[Team9 laps '[laps']]]) - intermediate_results[[#This Row], [Team8 laps '[laps']]]</f>
        <v>0</v>
      </c>
      <c r="AB175" s="3">
        <f>MAX(intermediate_results[[#This Row], [Team1 laps '[laps']]:[Team9 laps '[laps']]]) - intermediate_results[[#This Row], [Team9 laps '[laps']]]</f>
        <v>0</v>
      </c>
      <c r="AC175" s="3">
        <f>9 * intermediate_results[[#This Row], [All cumulative times '[sec']]] / SUM(intermediate_results[[#This Row], [Team1 laps '[laps']]:[Team9 laps '[laps']]])</f>
        <v>0</v>
      </c>
      <c r="AD175" s="3">
        <f>intermediate_results[[#This Row], [All cumulative times '[sec']]] / intermediate_results[[#This Row], [Team1 laps '[laps']]] - intermediate_results[[#This Row], [Total running average '[sec']]]</f>
        <v>0</v>
      </c>
      <c r="AE175" s="3">
        <f>intermediate_results[[#This Row], [All cumulative times '[sec']]] / intermediate_results[[#This Row], [Team2 laps '[laps']]] - intermediate_results[[#This Row], [Total running average '[sec']]]</f>
        <v>0</v>
      </c>
      <c r="AF175" s="3">
        <f>intermediate_results[[#This Row], [All cumulative times '[sec']]] / intermediate_results[[#This Row], [Team3 laps '[laps']]] - intermediate_results[[#This Row], [Total running average '[sec']]]</f>
        <v>0</v>
      </c>
      <c r="AG175" s="3">
        <f>intermediate_results[[#This Row], [All cumulative times '[sec']]] / intermediate_results[[#This Row], [Team4 laps '[laps']]] - intermediate_results[[#This Row], [Total running average '[sec']]]</f>
        <v>0</v>
      </c>
      <c r="AH175" s="3">
        <f>intermediate_results[[#This Row], [All cumulative times '[sec']]] / intermediate_results[[#This Row], [Team5 laps '[laps']]] - intermediate_results[[#This Row], [Total running average '[sec']]]</f>
        <v>0</v>
      </c>
      <c r="AI175" s="3">
        <f>intermediate_results[[#This Row], [All cumulative times '[sec']]] / intermediate_results[[#This Row], [Team6 laps '[laps']]] - intermediate_results[[#This Row], [Total running average '[sec']]]</f>
        <v>0</v>
      </c>
      <c r="AJ175" s="3">
        <f>intermediate_results[[#This Row], [All cumulative times '[sec']]] / intermediate_results[[#This Row], [Team7 laps '[laps']]] - intermediate_results[[#This Row], [Total running average '[sec']]]</f>
        <v>0</v>
      </c>
      <c r="AK175" s="3">
        <f>intermediate_results[[#This Row], [All cumulative times '[sec']]] / intermediate_results[[#This Row], [Team8 laps '[laps']]] - intermediate_results[[#This Row], [Total running average '[sec']]]</f>
        <v>0</v>
      </c>
      <c r="AL175" s="3">
        <f>intermediate_results[[#This Row], [All cumulative times '[sec']]] / intermediate_results[[#This Row], [Team9 laps '[laps']]] - intermediate_results[[#This Row], [Total running average '[sec']]]</f>
        <v>0</v>
      </c>
    </row>
    <row r="176" spans="1:38">
      <c r="A176" s="3">
        <v>1095.512</v>
      </c>
      <c r="B17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6" s="3">
        <f>intermediate_results[[#This Row], [Team1 laps '[laps']]] - intermediate_results[[#This Row], [Team1 laps '[laps']]]</f>
        <v>0</v>
      </c>
      <c r="L176" s="3">
        <f>intermediate_results[[#This Row], [Team1 laps '[laps']]] - intermediate_results[[#This Row], [Team2 laps '[laps']]]</f>
        <v>0</v>
      </c>
      <c r="M176" s="3">
        <f>intermediate_results[[#This Row], [Team1 laps '[laps']]] - intermediate_results[[#This Row], [Team3 laps '[laps']]]</f>
        <v>0</v>
      </c>
      <c r="N176" s="3">
        <f>intermediate_results[[#This Row], [Team1 laps '[laps']]] - intermediate_results[[#This Row], [Team4 laps '[laps']]]</f>
        <v>0</v>
      </c>
      <c r="O176" s="3">
        <f>intermediate_results[[#This Row], [Team1 laps '[laps']]] - intermediate_results[[#This Row], [Team5 laps '[laps']]]</f>
        <v>0</v>
      </c>
      <c r="P176" s="3">
        <f>intermediate_results[[#This Row], [Team1 laps '[laps']]] - intermediate_results[[#This Row], [Team6 laps '[laps']]]</f>
        <v>0</v>
      </c>
      <c r="Q176" s="3">
        <f>intermediate_results[[#This Row], [Team1 laps '[laps']]] - intermediate_results[[#This Row], [Team7 laps '[laps']]]</f>
        <v>0</v>
      </c>
      <c r="R176" s="3">
        <f>intermediate_results[[#This Row], [Team1 laps '[laps']]] - intermediate_results[[#This Row], [Team8 laps '[laps']]]</f>
        <v>0</v>
      </c>
      <c r="S176" s="3">
        <f>intermediate_results[[#This Row], [Team1 laps '[laps']]] - intermediate_results[[#This Row], [Team9 laps '[laps']]]</f>
        <v>0</v>
      </c>
      <c r="T176" s="3">
        <f>MAX(intermediate_results[[#This Row], [Team1 laps '[laps']]:[Team9 laps '[laps']]]) - intermediate_results[[#This Row], [Team1 laps '[laps']]]</f>
        <v>0</v>
      </c>
      <c r="U176" s="3">
        <f>MAX(intermediate_results[[#This Row], [Team1 laps '[laps']]:[Team9 laps '[laps']]]) - intermediate_results[[#This Row], [Team2 laps '[laps']]]</f>
        <v>0</v>
      </c>
      <c r="V176" s="3">
        <f>MAX(intermediate_results[[#This Row], [Team1 laps '[laps']]:[Team9 laps '[laps']]]) - intermediate_results[[#This Row], [Team3 laps '[laps']]]</f>
        <v>0</v>
      </c>
      <c r="W176" s="3">
        <f>MAX(intermediate_results[[#This Row], [Team1 laps '[laps']]:[Team9 laps '[laps']]]) - intermediate_results[[#This Row], [Team4 laps '[laps']]]</f>
        <v>0</v>
      </c>
      <c r="X176" s="3">
        <f>MAX(intermediate_results[[#This Row], [Team1 laps '[laps']]:[Team9 laps '[laps']]]) - intermediate_results[[#This Row], [Team5 laps '[laps']]]</f>
        <v>0</v>
      </c>
      <c r="Y176" s="3">
        <f>MAX(intermediate_results[[#This Row], [Team1 laps '[laps']]:[Team9 laps '[laps']]]) - intermediate_results[[#This Row], [Team6 laps '[laps']]]</f>
        <v>0</v>
      </c>
      <c r="Z176" s="3">
        <f>MAX(intermediate_results[[#This Row], [Team1 laps '[laps']]:[Team9 laps '[laps']]]) - intermediate_results[[#This Row], [Team7 laps '[laps']]]</f>
        <v>0</v>
      </c>
      <c r="AA176" s="3">
        <f>MAX(intermediate_results[[#This Row], [Team1 laps '[laps']]:[Team9 laps '[laps']]]) - intermediate_results[[#This Row], [Team8 laps '[laps']]]</f>
        <v>0</v>
      </c>
      <c r="AB176" s="3">
        <f>MAX(intermediate_results[[#This Row], [Team1 laps '[laps']]:[Team9 laps '[laps']]]) - intermediate_results[[#This Row], [Team9 laps '[laps']]]</f>
        <v>0</v>
      </c>
      <c r="AC176" s="3">
        <f>9 * intermediate_results[[#This Row], [All cumulative times '[sec']]] / SUM(intermediate_results[[#This Row], [Team1 laps '[laps']]:[Team9 laps '[laps']]])</f>
        <v>0</v>
      </c>
      <c r="AD176" s="3">
        <f>intermediate_results[[#This Row], [All cumulative times '[sec']]] / intermediate_results[[#This Row], [Team1 laps '[laps']]] - intermediate_results[[#This Row], [Total running average '[sec']]]</f>
        <v>0</v>
      </c>
      <c r="AE176" s="3">
        <f>intermediate_results[[#This Row], [All cumulative times '[sec']]] / intermediate_results[[#This Row], [Team2 laps '[laps']]] - intermediate_results[[#This Row], [Total running average '[sec']]]</f>
        <v>0</v>
      </c>
      <c r="AF176" s="3">
        <f>intermediate_results[[#This Row], [All cumulative times '[sec']]] / intermediate_results[[#This Row], [Team3 laps '[laps']]] - intermediate_results[[#This Row], [Total running average '[sec']]]</f>
        <v>0</v>
      </c>
      <c r="AG176" s="3">
        <f>intermediate_results[[#This Row], [All cumulative times '[sec']]] / intermediate_results[[#This Row], [Team4 laps '[laps']]] - intermediate_results[[#This Row], [Total running average '[sec']]]</f>
        <v>0</v>
      </c>
      <c r="AH176" s="3">
        <f>intermediate_results[[#This Row], [All cumulative times '[sec']]] / intermediate_results[[#This Row], [Team5 laps '[laps']]] - intermediate_results[[#This Row], [Total running average '[sec']]]</f>
        <v>0</v>
      </c>
      <c r="AI176" s="3">
        <f>intermediate_results[[#This Row], [All cumulative times '[sec']]] / intermediate_results[[#This Row], [Team6 laps '[laps']]] - intermediate_results[[#This Row], [Total running average '[sec']]]</f>
        <v>0</v>
      </c>
      <c r="AJ176" s="3">
        <f>intermediate_results[[#This Row], [All cumulative times '[sec']]] / intermediate_results[[#This Row], [Team7 laps '[laps']]] - intermediate_results[[#This Row], [Total running average '[sec']]]</f>
        <v>0</v>
      </c>
      <c r="AK176" s="3">
        <f>intermediate_results[[#This Row], [All cumulative times '[sec']]] / intermediate_results[[#This Row], [Team8 laps '[laps']]] - intermediate_results[[#This Row], [Total running average '[sec']]]</f>
        <v>0</v>
      </c>
      <c r="AL176" s="3">
        <f>intermediate_results[[#This Row], [All cumulative times '[sec']]] / intermediate_results[[#This Row], [Team9 laps '[laps']]] - intermediate_results[[#This Row], [Total running average '[sec']]]</f>
        <v>0</v>
      </c>
    </row>
    <row r="177" spans="1:38">
      <c r="A177" s="3">
        <v>1095.879</v>
      </c>
      <c r="B17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7" s="3">
        <f>intermediate_results[[#This Row], [Team1 laps '[laps']]] - intermediate_results[[#This Row], [Team1 laps '[laps']]]</f>
        <v>0</v>
      </c>
      <c r="L177" s="3">
        <f>intermediate_results[[#This Row], [Team1 laps '[laps']]] - intermediate_results[[#This Row], [Team2 laps '[laps']]]</f>
        <v>0</v>
      </c>
      <c r="M177" s="3">
        <f>intermediate_results[[#This Row], [Team1 laps '[laps']]] - intermediate_results[[#This Row], [Team3 laps '[laps']]]</f>
        <v>0</v>
      </c>
      <c r="N177" s="3">
        <f>intermediate_results[[#This Row], [Team1 laps '[laps']]] - intermediate_results[[#This Row], [Team4 laps '[laps']]]</f>
        <v>0</v>
      </c>
      <c r="O177" s="3">
        <f>intermediate_results[[#This Row], [Team1 laps '[laps']]] - intermediate_results[[#This Row], [Team5 laps '[laps']]]</f>
        <v>0</v>
      </c>
      <c r="P177" s="3">
        <f>intermediate_results[[#This Row], [Team1 laps '[laps']]] - intermediate_results[[#This Row], [Team6 laps '[laps']]]</f>
        <v>0</v>
      </c>
      <c r="Q177" s="3">
        <f>intermediate_results[[#This Row], [Team1 laps '[laps']]] - intermediate_results[[#This Row], [Team7 laps '[laps']]]</f>
        <v>0</v>
      </c>
      <c r="R177" s="3">
        <f>intermediate_results[[#This Row], [Team1 laps '[laps']]] - intermediate_results[[#This Row], [Team8 laps '[laps']]]</f>
        <v>0</v>
      </c>
      <c r="S177" s="3">
        <f>intermediate_results[[#This Row], [Team1 laps '[laps']]] - intermediate_results[[#This Row], [Team9 laps '[laps']]]</f>
        <v>0</v>
      </c>
      <c r="T177" s="3">
        <f>MAX(intermediate_results[[#This Row], [Team1 laps '[laps']]:[Team9 laps '[laps']]]) - intermediate_results[[#This Row], [Team1 laps '[laps']]]</f>
        <v>0</v>
      </c>
      <c r="U177" s="3">
        <f>MAX(intermediate_results[[#This Row], [Team1 laps '[laps']]:[Team9 laps '[laps']]]) - intermediate_results[[#This Row], [Team2 laps '[laps']]]</f>
        <v>0</v>
      </c>
      <c r="V177" s="3">
        <f>MAX(intermediate_results[[#This Row], [Team1 laps '[laps']]:[Team9 laps '[laps']]]) - intermediate_results[[#This Row], [Team3 laps '[laps']]]</f>
        <v>0</v>
      </c>
      <c r="W177" s="3">
        <f>MAX(intermediate_results[[#This Row], [Team1 laps '[laps']]:[Team9 laps '[laps']]]) - intermediate_results[[#This Row], [Team4 laps '[laps']]]</f>
        <v>0</v>
      </c>
      <c r="X177" s="3">
        <f>MAX(intermediate_results[[#This Row], [Team1 laps '[laps']]:[Team9 laps '[laps']]]) - intermediate_results[[#This Row], [Team5 laps '[laps']]]</f>
        <v>0</v>
      </c>
      <c r="Y177" s="3">
        <f>MAX(intermediate_results[[#This Row], [Team1 laps '[laps']]:[Team9 laps '[laps']]]) - intermediate_results[[#This Row], [Team6 laps '[laps']]]</f>
        <v>0</v>
      </c>
      <c r="Z177" s="3">
        <f>MAX(intermediate_results[[#This Row], [Team1 laps '[laps']]:[Team9 laps '[laps']]]) - intermediate_results[[#This Row], [Team7 laps '[laps']]]</f>
        <v>0</v>
      </c>
      <c r="AA177" s="3">
        <f>MAX(intermediate_results[[#This Row], [Team1 laps '[laps']]:[Team9 laps '[laps']]]) - intermediate_results[[#This Row], [Team8 laps '[laps']]]</f>
        <v>0</v>
      </c>
      <c r="AB177" s="3">
        <f>MAX(intermediate_results[[#This Row], [Team1 laps '[laps']]:[Team9 laps '[laps']]]) - intermediate_results[[#This Row], [Team9 laps '[laps']]]</f>
        <v>0</v>
      </c>
      <c r="AC177" s="3">
        <f>9 * intermediate_results[[#This Row], [All cumulative times '[sec']]] / SUM(intermediate_results[[#This Row], [Team1 laps '[laps']]:[Team9 laps '[laps']]])</f>
        <v>0</v>
      </c>
      <c r="AD177" s="3">
        <f>intermediate_results[[#This Row], [All cumulative times '[sec']]] / intermediate_results[[#This Row], [Team1 laps '[laps']]] - intermediate_results[[#This Row], [Total running average '[sec']]]</f>
        <v>0</v>
      </c>
      <c r="AE177" s="3">
        <f>intermediate_results[[#This Row], [All cumulative times '[sec']]] / intermediate_results[[#This Row], [Team2 laps '[laps']]] - intermediate_results[[#This Row], [Total running average '[sec']]]</f>
        <v>0</v>
      </c>
      <c r="AF177" s="3">
        <f>intermediate_results[[#This Row], [All cumulative times '[sec']]] / intermediate_results[[#This Row], [Team3 laps '[laps']]] - intermediate_results[[#This Row], [Total running average '[sec']]]</f>
        <v>0</v>
      </c>
      <c r="AG177" s="3">
        <f>intermediate_results[[#This Row], [All cumulative times '[sec']]] / intermediate_results[[#This Row], [Team4 laps '[laps']]] - intermediate_results[[#This Row], [Total running average '[sec']]]</f>
        <v>0</v>
      </c>
      <c r="AH177" s="3">
        <f>intermediate_results[[#This Row], [All cumulative times '[sec']]] / intermediate_results[[#This Row], [Team5 laps '[laps']]] - intermediate_results[[#This Row], [Total running average '[sec']]]</f>
        <v>0</v>
      </c>
      <c r="AI177" s="3">
        <f>intermediate_results[[#This Row], [All cumulative times '[sec']]] / intermediate_results[[#This Row], [Team6 laps '[laps']]] - intermediate_results[[#This Row], [Total running average '[sec']]]</f>
        <v>0</v>
      </c>
      <c r="AJ177" s="3">
        <f>intermediate_results[[#This Row], [All cumulative times '[sec']]] / intermediate_results[[#This Row], [Team7 laps '[laps']]] - intermediate_results[[#This Row], [Total running average '[sec']]]</f>
        <v>0</v>
      </c>
      <c r="AK177" s="3">
        <f>intermediate_results[[#This Row], [All cumulative times '[sec']]] / intermediate_results[[#This Row], [Team8 laps '[laps']]] - intermediate_results[[#This Row], [Total running average '[sec']]]</f>
        <v>0</v>
      </c>
      <c r="AL177" s="3">
        <f>intermediate_results[[#This Row], [All cumulative times '[sec']]] / intermediate_results[[#This Row], [Team9 laps '[laps']]] - intermediate_results[[#This Row], [Total running average '[sec']]]</f>
        <v>0</v>
      </c>
    </row>
    <row r="178" spans="1:38">
      <c r="A178" s="3">
        <v>1097.713</v>
      </c>
      <c r="B17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8" s="3">
        <f>intermediate_results[[#This Row], [Team1 laps '[laps']]] - intermediate_results[[#This Row], [Team1 laps '[laps']]]</f>
        <v>0</v>
      </c>
      <c r="L178" s="3">
        <f>intermediate_results[[#This Row], [Team1 laps '[laps']]] - intermediate_results[[#This Row], [Team2 laps '[laps']]]</f>
        <v>0</v>
      </c>
      <c r="M178" s="3">
        <f>intermediate_results[[#This Row], [Team1 laps '[laps']]] - intermediate_results[[#This Row], [Team3 laps '[laps']]]</f>
        <v>0</v>
      </c>
      <c r="N178" s="3">
        <f>intermediate_results[[#This Row], [Team1 laps '[laps']]] - intermediate_results[[#This Row], [Team4 laps '[laps']]]</f>
        <v>0</v>
      </c>
      <c r="O178" s="3">
        <f>intermediate_results[[#This Row], [Team1 laps '[laps']]] - intermediate_results[[#This Row], [Team5 laps '[laps']]]</f>
        <v>0</v>
      </c>
      <c r="P178" s="3">
        <f>intermediate_results[[#This Row], [Team1 laps '[laps']]] - intermediate_results[[#This Row], [Team6 laps '[laps']]]</f>
        <v>0</v>
      </c>
      <c r="Q178" s="3">
        <f>intermediate_results[[#This Row], [Team1 laps '[laps']]] - intermediate_results[[#This Row], [Team7 laps '[laps']]]</f>
        <v>0</v>
      </c>
      <c r="R178" s="3">
        <f>intermediate_results[[#This Row], [Team1 laps '[laps']]] - intermediate_results[[#This Row], [Team8 laps '[laps']]]</f>
        <v>0</v>
      </c>
      <c r="S178" s="3">
        <f>intermediate_results[[#This Row], [Team1 laps '[laps']]] - intermediate_results[[#This Row], [Team9 laps '[laps']]]</f>
        <v>0</v>
      </c>
      <c r="T178" s="3">
        <f>MAX(intermediate_results[[#This Row], [Team1 laps '[laps']]:[Team9 laps '[laps']]]) - intermediate_results[[#This Row], [Team1 laps '[laps']]]</f>
        <v>0</v>
      </c>
      <c r="U178" s="3">
        <f>MAX(intermediate_results[[#This Row], [Team1 laps '[laps']]:[Team9 laps '[laps']]]) - intermediate_results[[#This Row], [Team2 laps '[laps']]]</f>
        <v>0</v>
      </c>
      <c r="V178" s="3">
        <f>MAX(intermediate_results[[#This Row], [Team1 laps '[laps']]:[Team9 laps '[laps']]]) - intermediate_results[[#This Row], [Team3 laps '[laps']]]</f>
        <v>0</v>
      </c>
      <c r="W178" s="3">
        <f>MAX(intermediate_results[[#This Row], [Team1 laps '[laps']]:[Team9 laps '[laps']]]) - intermediate_results[[#This Row], [Team4 laps '[laps']]]</f>
        <v>0</v>
      </c>
      <c r="X178" s="3">
        <f>MAX(intermediate_results[[#This Row], [Team1 laps '[laps']]:[Team9 laps '[laps']]]) - intermediate_results[[#This Row], [Team5 laps '[laps']]]</f>
        <v>0</v>
      </c>
      <c r="Y178" s="3">
        <f>MAX(intermediate_results[[#This Row], [Team1 laps '[laps']]:[Team9 laps '[laps']]]) - intermediate_results[[#This Row], [Team6 laps '[laps']]]</f>
        <v>0</v>
      </c>
      <c r="Z178" s="3">
        <f>MAX(intermediate_results[[#This Row], [Team1 laps '[laps']]:[Team9 laps '[laps']]]) - intermediate_results[[#This Row], [Team7 laps '[laps']]]</f>
        <v>0</v>
      </c>
      <c r="AA178" s="3">
        <f>MAX(intermediate_results[[#This Row], [Team1 laps '[laps']]:[Team9 laps '[laps']]]) - intermediate_results[[#This Row], [Team8 laps '[laps']]]</f>
        <v>0</v>
      </c>
      <c r="AB178" s="3">
        <f>MAX(intermediate_results[[#This Row], [Team1 laps '[laps']]:[Team9 laps '[laps']]]) - intermediate_results[[#This Row], [Team9 laps '[laps']]]</f>
        <v>0</v>
      </c>
      <c r="AC178" s="3">
        <f>9 * intermediate_results[[#This Row], [All cumulative times '[sec']]] / SUM(intermediate_results[[#This Row], [Team1 laps '[laps']]:[Team9 laps '[laps']]])</f>
        <v>0</v>
      </c>
      <c r="AD178" s="3">
        <f>intermediate_results[[#This Row], [All cumulative times '[sec']]] / intermediate_results[[#This Row], [Team1 laps '[laps']]] - intermediate_results[[#This Row], [Total running average '[sec']]]</f>
        <v>0</v>
      </c>
      <c r="AE178" s="3">
        <f>intermediate_results[[#This Row], [All cumulative times '[sec']]] / intermediate_results[[#This Row], [Team2 laps '[laps']]] - intermediate_results[[#This Row], [Total running average '[sec']]]</f>
        <v>0</v>
      </c>
      <c r="AF178" s="3">
        <f>intermediate_results[[#This Row], [All cumulative times '[sec']]] / intermediate_results[[#This Row], [Team3 laps '[laps']]] - intermediate_results[[#This Row], [Total running average '[sec']]]</f>
        <v>0</v>
      </c>
      <c r="AG178" s="3">
        <f>intermediate_results[[#This Row], [All cumulative times '[sec']]] / intermediate_results[[#This Row], [Team4 laps '[laps']]] - intermediate_results[[#This Row], [Total running average '[sec']]]</f>
        <v>0</v>
      </c>
      <c r="AH178" s="3">
        <f>intermediate_results[[#This Row], [All cumulative times '[sec']]] / intermediate_results[[#This Row], [Team5 laps '[laps']]] - intermediate_results[[#This Row], [Total running average '[sec']]]</f>
        <v>0</v>
      </c>
      <c r="AI178" s="3">
        <f>intermediate_results[[#This Row], [All cumulative times '[sec']]] / intermediate_results[[#This Row], [Team6 laps '[laps']]] - intermediate_results[[#This Row], [Total running average '[sec']]]</f>
        <v>0</v>
      </c>
      <c r="AJ178" s="3">
        <f>intermediate_results[[#This Row], [All cumulative times '[sec']]] / intermediate_results[[#This Row], [Team7 laps '[laps']]] - intermediate_results[[#This Row], [Total running average '[sec']]]</f>
        <v>0</v>
      </c>
      <c r="AK178" s="3">
        <f>intermediate_results[[#This Row], [All cumulative times '[sec']]] / intermediate_results[[#This Row], [Team8 laps '[laps']]] - intermediate_results[[#This Row], [Total running average '[sec']]]</f>
        <v>0</v>
      </c>
      <c r="AL178" s="3">
        <f>intermediate_results[[#This Row], [All cumulative times '[sec']]] / intermediate_results[[#This Row], [Team9 laps '[laps']]] - intermediate_results[[#This Row], [Total running average '[sec']]]</f>
        <v>0</v>
      </c>
    </row>
    <row r="179" spans="1:38">
      <c r="A179" s="3">
        <v>1108.851</v>
      </c>
      <c r="B17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7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7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7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7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7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7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7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7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79" s="3">
        <f>intermediate_results[[#This Row], [Team1 laps '[laps']]] - intermediate_results[[#This Row], [Team1 laps '[laps']]]</f>
        <v>0</v>
      </c>
      <c r="L179" s="3">
        <f>intermediate_results[[#This Row], [Team1 laps '[laps']]] - intermediate_results[[#This Row], [Team2 laps '[laps']]]</f>
        <v>0</v>
      </c>
      <c r="M179" s="3">
        <f>intermediate_results[[#This Row], [Team1 laps '[laps']]] - intermediate_results[[#This Row], [Team3 laps '[laps']]]</f>
        <v>0</v>
      </c>
      <c r="N179" s="3">
        <f>intermediate_results[[#This Row], [Team1 laps '[laps']]] - intermediate_results[[#This Row], [Team4 laps '[laps']]]</f>
        <v>0</v>
      </c>
      <c r="O179" s="3">
        <f>intermediate_results[[#This Row], [Team1 laps '[laps']]] - intermediate_results[[#This Row], [Team5 laps '[laps']]]</f>
        <v>0</v>
      </c>
      <c r="P179" s="3">
        <f>intermediate_results[[#This Row], [Team1 laps '[laps']]] - intermediate_results[[#This Row], [Team6 laps '[laps']]]</f>
        <v>0</v>
      </c>
      <c r="Q179" s="3">
        <f>intermediate_results[[#This Row], [Team1 laps '[laps']]] - intermediate_results[[#This Row], [Team7 laps '[laps']]]</f>
        <v>0</v>
      </c>
      <c r="R179" s="3">
        <f>intermediate_results[[#This Row], [Team1 laps '[laps']]] - intermediate_results[[#This Row], [Team8 laps '[laps']]]</f>
        <v>0</v>
      </c>
      <c r="S179" s="3">
        <f>intermediate_results[[#This Row], [Team1 laps '[laps']]] - intermediate_results[[#This Row], [Team9 laps '[laps']]]</f>
        <v>0</v>
      </c>
      <c r="T179" s="3">
        <f>MAX(intermediate_results[[#This Row], [Team1 laps '[laps']]:[Team9 laps '[laps']]]) - intermediate_results[[#This Row], [Team1 laps '[laps']]]</f>
        <v>0</v>
      </c>
      <c r="U179" s="3">
        <f>MAX(intermediate_results[[#This Row], [Team1 laps '[laps']]:[Team9 laps '[laps']]]) - intermediate_results[[#This Row], [Team2 laps '[laps']]]</f>
        <v>0</v>
      </c>
      <c r="V179" s="3">
        <f>MAX(intermediate_results[[#This Row], [Team1 laps '[laps']]:[Team9 laps '[laps']]]) - intermediate_results[[#This Row], [Team3 laps '[laps']]]</f>
        <v>0</v>
      </c>
      <c r="W179" s="3">
        <f>MAX(intermediate_results[[#This Row], [Team1 laps '[laps']]:[Team9 laps '[laps']]]) - intermediate_results[[#This Row], [Team4 laps '[laps']]]</f>
        <v>0</v>
      </c>
      <c r="X179" s="3">
        <f>MAX(intermediate_results[[#This Row], [Team1 laps '[laps']]:[Team9 laps '[laps']]]) - intermediate_results[[#This Row], [Team5 laps '[laps']]]</f>
        <v>0</v>
      </c>
      <c r="Y179" s="3">
        <f>MAX(intermediate_results[[#This Row], [Team1 laps '[laps']]:[Team9 laps '[laps']]]) - intermediate_results[[#This Row], [Team6 laps '[laps']]]</f>
        <v>0</v>
      </c>
      <c r="Z179" s="3">
        <f>MAX(intermediate_results[[#This Row], [Team1 laps '[laps']]:[Team9 laps '[laps']]]) - intermediate_results[[#This Row], [Team7 laps '[laps']]]</f>
        <v>0</v>
      </c>
      <c r="AA179" s="3">
        <f>MAX(intermediate_results[[#This Row], [Team1 laps '[laps']]:[Team9 laps '[laps']]]) - intermediate_results[[#This Row], [Team8 laps '[laps']]]</f>
        <v>0</v>
      </c>
      <c r="AB179" s="3">
        <f>MAX(intermediate_results[[#This Row], [Team1 laps '[laps']]:[Team9 laps '[laps']]]) - intermediate_results[[#This Row], [Team9 laps '[laps']]]</f>
        <v>0</v>
      </c>
      <c r="AC179" s="3">
        <f>9 * intermediate_results[[#This Row], [All cumulative times '[sec']]] / SUM(intermediate_results[[#This Row], [Team1 laps '[laps']]:[Team9 laps '[laps']]])</f>
        <v>0</v>
      </c>
      <c r="AD179" s="3">
        <f>intermediate_results[[#This Row], [All cumulative times '[sec']]] / intermediate_results[[#This Row], [Team1 laps '[laps']]] - intermediate_results[[#This Row], [Total running average '[sec']]]</f>
        <v>0</v>
      </c>
      <c r="AE179" s="3">
        <f>intermediate_results[[#This Row], [All cumulative times '[sec']]] / intermediate_results[[#This Row], [Team2 laps '[laps']]] - intermediate_results[[#This Row], [Total running average '[sec']]]</f>
        <v>0</v>
      </c>
      <c r="AF179" s="3">
        <f>intermediate_results[[#This Row], [All cumulative times '[sec']]] / intermediate_results[[#This Row], [Team3 laps '[laps']]] - intermediate_results[[#This Row], [Total running average '[sec']]]</f>
        <v>0</v>
      </c>
      <c r="AG179" s="3">
        <f>intermediate_results[[#This Row], [All cumulative times '[sec']]] / intermediate_results[[#This Row], [Team4 laps '[laps']]] - intermediate_results[[#This Row], [Total running average '[sec']]]</f>
        <v>0</v>
      </c>
      <c r="AH179" s="3">
        <f>intermediate_results[[#This Row], [All cumulative times '[sec']]] / intermediate_results[[#This Row], [Team5 laps '[laps']]] - intermediate_results[[#This Row], [Total running average '[sec']]]</f>
        <v>0</v>
      </c>
      <c r="AI179" s="3">
        <f>intermediate_results[[#This Row], [All cumulative times '[sec']]] / intermediate_results[[#This Row], [Team6 laps '[laps']]] - intermediate_results[[#This Row], [Total running average '[sec']]]</f>
        <v>0</v>
      </c>
      <c r="AJ179" s="3">
        <f>intermediate_results[[#This Row], [All cumulative times '[sec']]] / intermediate_results[[#This Row], [Team7 laps '[laps']]] - intermediate_results[[#This Row], [Total running average '[sec']]]</f>
        <v>0</v>
      </c>
      <c r="AK179" s="3">
        <f>intermediate_results[[#This Row], [All cumulative times '[sec']]] / intermediate_results[[#This Row], [Team8 laps '[laps']]] - intermediate_results[[#This Row], [Total running average '[sec']]]</f>
        <v>0</v>
      </c>
      <c r="AL179" s="3">
        <f>intermediate_results[[#This Row], [All cumulative times '[sec']]] / intermediate_results[[#This Row], [Team9 laps '[laps']]] - intermediate_results[[#This Row], [Total running average '[sec']]]</f>
        <v>0</v>
      </c>
    </row>
    <row r="180" spans="1:38">
      <c r="A180" s="3">
        <v>1112.067</v>
      </c>
      <c r="B18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0" s="3">
        <f>intermediate_results[[#This Row], [Team1 laps '[laps']]] - intermediate_results[[#This Row], [Team1 laps '[laps']]]</f>
        <v>0</v>
      </c>
      <c r="L180" s="3">
        <f>intermediate_results[[#This Row], [Team1 laps '[laps']]] - intermediate_results[[#This Row], [Team2 laps '[laps']]]</f>
        <v>0</v>
      </c>
      <c r="M180" s="3">
        <f>intermediate_results[[#This Row], [Team1 laps '[laps']]] - intermediate_results[[#This Row], [Team3 laps '[laps']]]</f>
        <v>0</v>
      </c>
      <c r="N180" s="3">
        <f>intermediate_results[[#This Row], [Team1 laps '[laps']]] - intermediate_results[[#This Row], [Team4 laps '[laps']]]</f>
        <v>0</v>
      </c>
      <c r="O180" s="3">
        <f>intermediate_results[[#This Row], [Team1 laps '[laps']]] - intermediate_results[[#This Row], [Team5 laps '[laps']]]</f>
        <v>0</v>
      </c>
      <c r="P180" s="3">
        <f>intermediate_results[[#This Row], [Team1 laps '[laps']]] - intermediate_results[[#This Row], [Team6 laps '[laps']]]</f>
        <v>0</v>
      </c>
      <c r="Q180" s="3">
        <f>intermediate_results[[#This Row], [Team1 laps '[laps']]] - intermediate_results[[#This Row], [Team7 laps '[laps']]]</f>
        <v>0</v>
      </c>
      <c r="R180" s="3">
        <f>intermediate_results[[#This Row], [Team1 laps '[laps']]] - intermediate_results[[#This Row], [Team8 laps '[laps']]]</f>
        <v>0</v>
      </c>
      <c r="S180" s="3">
        <f>intermediate_results[[#This Row], [Team1 laps '[laps']]] - intermediate_results[[#This Row], [Team9 laps '[laps']]]</f>
        <v>0</v>
      </c>
      <c r="T180" s="3">
        <f>MAX(intermediate_results[[#This Row], [Team1 laps '[laps']]:[Team9 laps '[laps']]]) - intermediate_results[[#This Row], [Team1 laps '[laps']]]</f>
        <v>0</v>
      </c>
      <c r="U180" s="3">
        <f>MAX(intermediate_results[[#This Row], [Team1 laps '[laps']]:[Team9 laps '[laps']]]) - intermediate_results[[#This Row], [Team2 laps '[laps']]]</f>
        <v>0</v>
      </c>
      <c r="V180" s="3">
        <f>MAX(intermediate_results[[#This Row], [Team1 laps '[laps']]:[Team9 laps '[laps']]]) - intermediate_results[[#This Row], [Team3 laps '[laps']]]</f>
        <v>0</v>
      </c>
      <c r="W180" s="3">
        <f>MAX(intermediate_results[[#This Row], [Team1 laps '[laps']]:[Team9 laps '[laps']]]) - intermediate_results[[#This Row], [Team4 laps '[laps']]]</f>
        <v>0</v>
      </c>
      <c r="X180" s="3">
        <f>MAX(intermediate_results[[#This Row], [Team1 laps '[laps']]:[Team9 laps '[laps']]]) - intermediate_results[[#This Row], [Team5 laps '[laps']]]</f>
        <v>0</v>
      </c>
      <c r="Y180" s="3">
        <f>MAX(intermediate_results[[#This Row], [Team1 laps '[laps']]:[Team9 laps '[laps']]]) - intermediate_results[[#This Row], [Team6 laps '[laps']]]</f>
        <v>0</v>
      </c>
      <c r="Z180" s="3">
        <f>MAX(intermediate_results[[#This Row], [Team1 laps '[laps']]:[Team9 laps '[laps']]]) - intermediate_results[[#This Row], [Team7 laps '[laps']]]</f>
        <v>0</v>
      </c>
      <c r="AA180" s="3">
        <f>MAX(intermediate_results[[#This Row], [Team1 laps '[laps']]:[Team9 laps '[laps']]]) - intermediate_results[[#This Row], [Team8 laps '[laps']]]</f>
        <v>0</v>
      </c>
      <c r="AB180" s="3">
        <f>MAX(intermediate_results[[#This Row], [Team1 laps '[laps']]:[Team9 laps '[laps']]]) - intermediate_results[[#This Row], [Team9 laps '[laps']]]</f>
        <v>0</v>
      </c>
      <c r="AC180" s="3">
        <f>9 * intermediate_results[[#This Row], [All cumulative times '[sec']]] / SUM(intermediate_results[[#This Row], [Team1 laps '[laps']]:[Team9 laps '[laps']]])</f>
        <v>0</v>
      </c>
      <c r="AD180" s="3">
        <f>intermediate_results[[#This Row], [All cumulative times '[sec']]] / intermediate_results[[#This Row], [Team1 laps '[laps']]] - intermediate_results[[#This Row], [Total running average '[sec']]]</f>
        <v>0</v>
      </c>
      <c r="AE180" s="3">
        <f>intermediate_results[[#This Row], [All cumulative times '[sec']]] / intermediate_results[[#This Row], [Team2 laps '[laps']]] - intermediate_results[[#This Row], [Total running average '[sec']]]</f>
        <v>0</v>
      </c>
      <c r="AF180" s="3">
        <f>intermediate_results[[#This Row], [All cumulative times '[sec']]] / intermediate_results[[#This Row], [Team3 laps '[laps']]] - intermediate_results[[#This Row], [Total running average '[sec']]]</f>
        <v>0</v>
      </c>
      <c r="AG180" s="3">
        <f>intermediate_results[[#This Row], [All cumulative times '[sec']]] / intermediate_results[[#This Row], [Team4 laps '[laps']]] - intermediate_results[[#This Row], [Total running average '[sec']]]</f>
        <v>0</v>
      </c>
      <c r="AH180" s="3">
        <f>intermediate_results[[#This Row], [All cumulative times '[sec']]] / intermediate_results[[#This Row], [Team5 laps '[laps']]] - intermediate_results[[#This Row], [Total running average '[sec']]]</f>
        <v>0</v>
      </c>
      <c r="AI180" s="3">
        <f>intermediate_results[[#This Row], [All cumulative times '[sec']]] / intermediate_results[[#This Row], [Team6 laps '[laps']]] - intermediate_results[[#This Row], [Total running average '[sec']]]</f>
        <v>0</v>
      </c>
      <c r="AJ180" s="3">
        <f>intermediate_results[[#This Row], [All cumulative times '[sec']]] / intermediate_results[[#This Row], [Team7 laps '[laps']]] - intermediate_results[[#This Row], [Total running average '[sec']]]</f>
        <v>0</v>
      </c>
      <c r="AK180" s="3">
        <f>intermediate_results[[#This Row], [All cumulative times '[sec']]] / intermediate_results[[#This Row], [Team8 laps '[laps']]] - intermediate_results[[#This Row], [Total running average '[sec']]]</f>
        <v>0</v>
      </c>
      <c r="AL180" s="3">
        <f>intermediate_results[[#This Row], [All cumulative times '[sec']]] / intermediate_results[[#This Row], [Team9 laps '[laps']]] - intermediate_results[[#This Row], [Total running average '[sec']]]</f>
        <v>0</v>
      </c>
    </row>
    <row r="181" spans="1:38">
      <c r="A181" s="3">
        <v>1115.752</v>
      </c>
      <c r="B18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1" s="3">
        <f>intermediate_results[[#This Row], [Team1 laps '[laps']]] - intermediate_results[[#This Row], [Team1 laps '[laps']]]</f>
        <v>0</v>
      </c>
      <c r="L181" s="3">
        <f>intermediate_results[[#This Row], [Team1 laps '[laps']]] - intermediate_results[[#This Row], [Team2 laps '[laps']]]</f>
        <v>0</v>
      </c>
      <c r="M181" s="3">
        <f>intermediate_results[[#This Row], [Team1 laps '[laps']]] - intermediate_results[[#This Row], [Team3 laps '[laps']]]</f>
        <v>0</v>
      </c>
      <c r="N181" s="3">
        <f>intermediate_results[[#This Row], [Team1 laps '[laps']]] - intermediate_results[[#This Row], [Team4 laps '[laps']]]</f>
        <v>0</v>
      </c>
      <c r="O181" s="3">
        <f>intermediate_results[[#This Row], [Team1 laps '[laps']]] - intermediate_results[[#This Row], [Team5 laps '[laps']]]</f>
        <v>0</v>
      </c>
      <c r="P181" s="3">
        <f>intermediate_results[[#This Row], [Team1 laps '[laps']]] - intermediate_results[[#This Row], [Team6 laps '[laps']]]</f>
        <v>0</v>
      </c>
      <c r="Q181" s="3">
        <f>intermediate_results[[#This Row], [Team1 laps '[laps']]] - intermediate_results[[#This Row], [Team7 laps '[laps']]]</f>
        <v>0</v>
      </c>
      <c r="R181" s="3">
        <f>intermediate_results[[#This Row], [Team1 laps '[laps']]] - intermediate_results[[#This Row], [Team8 laps '[laps']]]</f>
        <v>0</v>
      </c>
      <c r="S181" s="3">
        <f>intermediate_results[[#This Row], [Team1 laps '[laps']]] - intermediate_results[[#This Row], [Team9 laps '[laps']]]</f>
        <v>0</v>
      </c>
      <c r="T181" s="3">
        <f>MAX(intermediate_results[[#This Row], [Team1 laps '[laps']]:[Team9 laps '[laps']]]) - intermediate_results[[#This Row], [Team1 laps '[laps']]]</f>
        <v>0</v>
      </c>
      <c r="U181" s="3">
        <f>MAX(intermediate_results[[#This Row], [Team1 laps '[laps']]:[Team9 laps '[laps']]]) - intermediate_results[[#This Row], [Team2 laps '[laps']]]</f>
        <v>0</v>
      </c>
      <c r="V181" s="3">
        <f>MAX(intermediate_results[[#This Row], [Team1 laps '[laps']]:[Team9 laps '[laps']]]) - intermediate_results[[#This Row], [Team3 laps '[laps']]]</f>
        <v>0</v>
      </c>
      <c r="W181" s="3">
        <f>MAX(intermediate_results[[#This Row], [Team1 laps '[laps']]:[Team9 laps '[laps']]]) - intermediate_results[[#This Row], [Team4 laps '[laps']]]</f>
        <v>0</v>
      </c>
      <c r="X181" s="3">
        <f>MAX(intermediate_results[[#This Row], [Team1 laps '[laps']]:[Team9 laps '[laps']]]) - intermediate_results[[#This Row], [Team5 laps '[laps']]]</f>
        <v>0</v>
      </c>
      <c r="Y181" s="3">
        <f>MAX(intermediate_results[[#This Row], [Team1 laps '[laps']]:[Team9 laps '[laps']]]) - intermediate_results[[#This Row], [Team6 laps '[laps']]]</f>
        <v>0</v>
      </c>
      <c r="Z181" s="3">
        <f>MAX(intermediate_results[[#This Row], [Team1 laps '[laps']]:[Team9 laps '[laps']]]) - intermediate_results[[#This Row], [Team7 laps '[laps']]]</f>
        <v>0</v>
      </c>
      <c r="AA181" s="3">
        <f>MAX(intermediate_results[[#This Row], [Team1 laps '[laps']]:[Team9 laps '[laps']]]) - intermediate_results[[#This Row], [Team8 laps '[laps']]]</f>
        <v>0</v>
      </c>
      <c r="AB181" s="3">
        <f>MAX(intermediate_results[[#This Row], [Team1 laps '[laps']]:[Team9 laps '[laps']]]) - intermediate_results[[#This Row], [Team9 laps '[laps']]]</f>
        <v>0</v>
      </c>
      <c r="AC181" s="3">
        <f>9 * intermediate_results[[#This Row], [All cumulative times '[sec']]] / SUM(intermediate_results[[#This Row], [Team1 laps '[laps']]:[Team9 laps '[laps']]])</f>
        <v>0</v>
      </c>
      <c r="AD181" s="3">
        <f>intermediate_results[[#This Row], [All cumulative times '[sec']]] / intermediate_results[[#This Row], [Team1 laps '[laps']]] - intermediate_results[[#This Row], [Total running average '[sec']]]</f>
        <v>0</v>
      </c>
      <c r="AE181" s="3">
        <f>intermediate_results[[#This Row], [All cumulative times '[sec']]] / intermediate_results[[#This Row], [Team2 laps '[laps']]] - intermediate_results[[#This Row], [Total running average '[sec']]]</f>
        <v>0</v>
      </c>
      <c r="AF181" s="3">
        <f>intermediate_results[[#This Row], [All cumulative times '[sec']]] / intermediate_results[[#This Row], [Team3 laps '[laps']]] - intermediate_results[[#This Row], [Total running average '[sec']]]</f>
        <v>0</v>
      </c>
      <c r="AG181" s="3">
        <f>intermediate_results[[#This Row], [All cumulative times '[sec']]] / intermediate_results[[#This Row], [Team4 laps '[laps']]] - intermediate_results[[#This Row], [Total running average '[sec']]]</f>
        <v>0</v>
      </c>
      <c r="AH181" s="3">
        <f>intermediate_results[[#This Row], [All cumulative times '[sec']]] / intermediate_results[[#This Row], [Team5 laps '[laps']]] - intermediate_results[[#This Row], [Total running average '[sec']]]</f>
        <v>0</v>
      </c>
      <c r="AI181" s="3">
        <f>intermediate_results[[#This Row], [All cumulative times '[sec']]] / intermediate_results[[#This Row], [Team6 laps '[laps']]] - intermediate_results[[#This Row], [Total running average '[sec']]]</f>
        <v>0</v>
      </c>
      <c r="AJ181" s="3">
        <f>intermediate_results[[#This Row], [All cumulative times '[sec']]] / intermediate_results[[#This Row], [Team7 laps '[laps']]] - intermediate_results[[#This Row], [Total running average '[sec']]]</f>
        <v>0</v>
      </c>
      <c r="AK181" s="3">
        <f>intermediate_results[[#This Row], [All cumulative times '[sec']]] / intermediate_results[[#This Row], [Team8 laps '[laps']]] - intermediate_results[[#This Row], [Total running average '[sec']]]</f>
        <v>0</v>
      </c>
      <c r="AL181" s="3">
        <f>intermediate_results[[#This Row], [All cumulative times '[sec']]] / intermediate_results[[#This Row], [Team9 laps '[laps']]] - intermediate_results[[#This Row], [Total running average '[sec']]]</f>
        <v>0</v>
      </c>
    </row>
    <row r="182" spans="1:38">
      <c r="A182" s="3">
        <v>1127.679</v>
      </c>
      <c r="B18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2" s="3">
        <f>intermediate_results[[#This Row], [Team1 laps '[laps']]] - intermediate_results[[#This Row], [Team1 laps '[laps']]]</f>
        <v>0</v>
      </c>
      <c r="L182" s="3">
        <f>intermediate_results[[#This Row], [Team1 laps '[laps']]] - intermediate_results[[#This Row], [Team2 laps '[laps']]]</f>
        <v>0</v>
      </c>
      <c r="M182" s="3">
        <f>intermediate_results[[#This Row], [Team1 laps '[laps']]] - intermediate_results[[#This Row], [Team3 laps '[laps']]]</f>
        <v>0</v>
      </c>
      <c r="N182" s="3">
        <f>intermediate_results[[#This Row], [Team1 laps '[laps']]] - intermediate_results[[#This Row], [Team4 laps '[laps']]]</f>
        <v>0</v>
      </c>
      <c r="O182" s="3">
        <f>intermediate_results[[#This Row], [Team1 laps '[laps']]] - intermediate_results[[#This Row], [Team5 laps '[laps']]]</f>
        <v>0</v>
      </c>
      <c r="P182" s="3">
        <f>intermediate_results[[#This Row], [Team1 laps '[laps']]] - intermediate_results[[#This Row], [Team6 laps '[laps']]]</f>
        <v>0</v>
      </c>
      <c r="Q182" s="3">
        <f>intermediate_results[[#This Row], [Team1 laps '[laps']]] - intermediate_results[[#This Row], [Team7 laps '[laps']]]</f>
        <v>0</v>
      </c>
      <c r="R182" s="3">
        <f>intermediate_results[[#This Row], [Team1 laps '[laps']]] - intermediate_results[[#This Row], [Team8 laps '[laps']]]</f>
        <v>0</v>
      </c>
      <c r="S182" s="3">
        <f>intermediate_results[[#This Row], [Team1 laps '[laps']]] - intermediate_results[[#This Row], [Team9 laps '[laps']]]</f>
        <v>0</v>
      </c>
      <c r="T182" s="3">
        <f>MAX(intermediate_results[[#This Row], [Team1 laps '[laps']]:[Team9 laps '[laps']]]) - intermediate_results[[#This Row], [Team1 laps '[laps']]]</f>
        <v>0</v>
      </c>
      <c r="U182" s="3">
        <f>MAX(intermediate_results[[#This Row], [Team1 laps '[laps']]:[Team9 laps '[laps']]]) - intermediate_results[[#This Row], [Team2 laps '[laps']]]</f>
        <v>0</v>
      </c>
      <c r="V182" s="3">
        <f>MAX(intermediate_results[[#This Row], [Team1 laps '[laps']]:[Team9 laps '[laps']]]) - intermediate_results[[#This Row], [Team3 laps '[laps']]]</f>
        <v>0</v>
      </c>
      <c r="W182" s="3">
        <f>MAX(intermediate_results[[#This Row], [Team1 laps '[laps']]:[Team9 laps '[laps']]]) - intermediate_results[[#This Row], [Team4 laps '[laps']]]</f>
        <v>0</v>
      </c>
      <c r="X182" s="3">
        <f>MAX(intermediate_results[[#This Row], [Team1 laps '[laps']]:[Team9 laps '[laps']]]) - intermediate_results[[#This Row], [Team5 laps '[laps']]]</f>
        <v>0</v>
      </c>
      <c r="Y182" s="3">
        <f>MAX(intermediate_results[[#This Row], [Team1 laps '[laps']]:[Team9 laps '[laps']]]) - intermediate_results[[#This Row], [Team6 laps '[laps']]]</f>
        <v>0</v>
      </c>
      <c r="Z182" s="3">
        <f>MAX(intermediate_results[[#This Row], [Team1 laps '[laps']]:[Team9 laps '[laps']]]) - intermediate_results[[#This Row], [Team7 laps '[laps']]]</f>
        <v>0</v>
      </c>
      <c r="AA182" s="3">
        <f>MAX(intermediate_results[[#This Row], [Team1 laps '[laps']]:[Team9 laps '[laps']]]) - intermediate_results[[#This Row], [Team8 laps '[laps']]]</f>
        <v>0</v>
      </c>
      <c r="AB182" s="3">
        <f>MAX(intermediate_results[[#This Row], [Team1 laps '[laps']]:[Team9 laps '[laps']]]) - intermediate_results[[#This Row], [Team9 laps '[laps']]]</f>
        <v>0</v>
      </c>
      <c r="AC182" s="3">
        <f>9 * intermediate_results[[#This Row], [All cumulative times '[sec']]] / SUM(intermediate_results[[#This Row], [Team1 laps '[laps']]:[Team9 laps '[laps']]])</f>
        <v>0</v>
      </c>
      <c r="AD182" s="3">
        <f>intermediate_results[[#This Row], [All cumulative times '[sec']]] / intermediate_results[[#This Row], [Team1 laps '[laps']]] - intermediate_results[[#This Row], [Total running average '[sec']]]</f>
        <v>0</v>
      </c>
      <c r="AE182" s="3">
        <f>intermediate_results[[#This Row], [All cumulative times '[sec']]] / intermediate_results[[#This Row], [Team2 laps '[laps']]] - intermediate_results[[#This Row], [Total running average '[sec']]]</f>
        <v>0</v>
      </c>
      <c r="AF182" s="3">
        <f>intermediate_results[[#This Row], [All cumulative times '[sec']]] / intermediate_results[[#This Row], [Team3 laps '[laps']]] - intermediate_results[[#This Row], [Total running average '[sec']]]</f>
        <v>0</v>
      </c>
      <c r="AG182" s="3">
        <f>intermediate_results[[#This Row], [All cumulative times '[sec']]] / intermediate_results[[#This Row], [Team4 laps '[laps']]] - intermediate_results[[#This Row], [Total running average '[sec']]]</f>
        <v>0</v>
      </c>
      <c r="AH182" s="3">
        <f>intermediate_results[[#This Row], [All cumulative times '[sec']]] / intermediate_results[[#This Row], [Team5 laps '[laps']]] - intermediate_results[[#This Row], [Total running average '[sec']]]</f>
        <v>0</v>
      </c>
      <c r="AI182" s="3">
        <f>intermediate_results[[#This Row], [All cumulative times '[sec']]] / intermediate_results[[#This Row], [Team6 laps '[laps']]] - intermediate_results[[#This Row], [Total running average '[sec']]]</f>
        <v>0</v>
      </c>
      <c r="AJ182" s="3">
        <f>intermediate_results[[#This Row], [All cumulative times '[sec']]] / intermediate_results[[#This Row], [Team7 laps '[laps']]] - intermediate_results[[#This Row], [Total running average '[sec']]]</f>
        <v>0</v>
      </c>
      <c r="AK182" s="3">
        <f>intermediate_results[[#This Row], [All cumulative times '[sec']]] / intermediate_results[[#This Row], [Team8 laps '[laps']]] - intermediate_results[[#This Row], [Total running average '[sec']]]</f>
        <v>0</v>
      </c>
      <c r="AL182" s="3">
        <f>intermediate_results[[#This Row], [All cumulative times '[sec']]] / intermediate_results[[#This Row], [Team9 laps '[laps']]] - intermediate_results[[#This Row], [Total running average '[sec']]]</f>
        <v>0</v>
      </c>
    </row>
    <row r="183" spans="1:38">
      <c r="A183" s="3">
        <v>1129.257</v>
      </c>
      <c r="B18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3" s="3">
        <f>intermediate_results[[#This Row], [Team1 laps '[laps']]] - intermediate_results[[#This Row], [Team1 laps '[laps']]]</f>
        <v>0</v>
      </c>
      <c r="L183" s="3">
        <f>intermediate_results[[#This Row], [Team1 laps '[laps']]] - intermediate_results[[#This Row], [Team2 laps '[laps']]]</f>
        <v>0</v>
      </c>
      <c r="M183" s="3">
        <f>intermediate_results[[#This Row], [Team1 laps '[laps']]] - intermediate_results[[#This Row], [Team3 laps '[laps']]]</f>
        <v>0</v>
      </c>
      <c r="N183" s="3">
        <f>intermediate_results[[#This Row], [Team1 laps '[laps']]] - intermediate_results[[#This Row], [Team4 laps '[laps']]]</f>
        <v>0</v>
      </c>
      <c r="O183" s="3">
        <f>intermediate_results[[#This Row], [Team1 laps '[laps']]] - intermediate_results[[#This Row], [Team5 laps '[laps']]]</f>
        <v>0</v>
      </c>
      <c r="P183" s="3">
        <f>intermediate_results[[#This Row], [Team1 laps '[laps']]] - intermediate_results[[#This Row], [Team6 laps '[laps']]]</f>
        <v>0</v>
      </c>
      <c r="Q183" s="3">
        <f>intermediate_results[[#This Row], [Team1 laps '[laps']]] - intermediate_results[[#This Row], [Team7 laps '[laps']]]</f>
        <v>0</v>
      </c>
      <c r="R183" s="3">
        <f>intermediate_results[[#This Row], [Team1 laps '[laps']]] - intermediate_results[[#This Row], [Team8 laps '[laps']]]</f>
        <v>0</v>
      </c>
      <c r="S183" s="3">
        <f>intermediate_results[[#This Row], [Team1 laps '[laps']]] - intermediate_results[[#This Row], [Team9 laps '[laps']]]</f>
        <v>0</v>
      </c>
      <c r="T183" s="3">
        <f>MAX(intermediate_results[[#This Row], [Team1 laps '[laps']]:[Team9 laps '[laps']]]) - intermediate_results[[#This Row], [Team1 laps '[laps']]]</f>
        <v>0</v>
      </c>
      <c r="U183" s="3">
        <f>MAX(intermediate_results[[#This Row], [Team1 laps '[laps']]:[Team9 laps '[laps']]]) - intermediate_results[[#This Row], [Team2 laps '[laps']]]</f>
        <v>0</v>
      </c>
      <c r="V183" s="3">
        <f>MAX(intermediate_results[[#This Row], [Team1 laps '[laps']]:[Team9 laps '[laps']]]) - intermediate_results[[#This Row], [Team3 laps '[laps']]]</f>
        <v>0</v>
      </c>
      <c r="W183" s="3">
        <f>MAX(intermediate_results[[#This Row], [Team1 laps '[laps']]:[Team9 laps '[laps']]]) - intermediate_results[[#This Row], [Team4 laps '[laps']]]</f>
        <v>0</v>
      </c>
      <c r="X183" s="3">
        <f>MAX(intermediate_results[[#This Row], [Team1 laps '[laps']]:[Team9 laps '[laps']]]) - intermediate_results[[#This Row], [Team5 laps '[laps']]]</f>
        <v>0</v>
      </c>
      <c r="Y183" s="3">
        <f>MAX(intermediate_results[[#This Row], [Team1 laps '[laps']]:[Team9 laps '[laps']]]) - intermediate_results[[#This Row], [Team6 laps '[laps']]]</f>
        <v>0</v>
      </c>
      <c r="Z183" s="3">
        <f>MAX(intermediate_results[[#This Row], [Team1 laps '[laps']]:[Team9 laps '[laps']]]) - intermediate_results[[#This Row], [Team7 laps '[laps']]]</f>
        <v>0</v>
      </c>
      <c r="AA183" s="3">
        <f>MAX(intermediate_results[[#This Row], [Team1 laps '[laps']]:[Team9 laps '[laps']]]) - intermediate_results[[#This Row], [Team8 laps '[laps']]]</f>
        <v>0</v>
      </c>
      <c r="AB183" s="3">
        <f>MAX(intermediate_results[[#This Row], [Team1 laps '[laps']]:[Team9 laps '[laps']]]) - intermediate_results[[#This Row], [Team9 laps '[laps']]]</f>
        <v>0</v>
      </c>
      <c r="AC183" s="3">
        <f>9 * intermediate_results[[#This Row], [All cumulative times '[sec']]] / SUM(intermediate_results[[#This Row], [Team1 laps '[laps']]:[Team9 laps '[laps']]])</f>
        <v>0</v>
      </c>
      <c r="AD183" s="3">
        <f>intermediate_results[[#This Row], [All cumulative times '[sec']]] / intermediate_results[[#This Row], [Team1 laps '[laps']]] - intermediate_results[[#This Row], [Total running average '[sec']]]</f>
        <v>0</v>
      </c>
      <c r="AE183" s="3">
        <f>intermediate_results[[#This Row], [All cumulative times '[sec']]] / intermediate_results[[#This Row], [Team2 laps '[laps']]] - intermediate_results[[#This Row], [Total running average '[sec']]]</f>
        <v>0</v>
      </c>
      <c r="AF183" s="3">
        <f>intermediate_results[[#This Row], [All cumulative times '[sec']]] / intermediate_results[[#This Row], [Team3 laps '[laps']]] - intermediate_results[[#This Row], [Total running average '[sec']]]</f>
        <v>0</v>
      </c>
      <c r="AG183" s="3">
        <f>intermediate_results[[#This Row], [All cumulative times '[sec']]] / intermediate_results[[#This Row], [Team4 laps '[laps']]] - intermediate_results[[#This Row], [Total running average '[sec']]]</f>
        <v>0</v>
      </c>
      <c r="AH183" s="3">
        <f>intermediate_results[[#This Row], [All cumulative times '[sec']]] / intermediate_results[[#This Row], [Team5 laps '[laps']]] - intermediate_results[[#This Row], [Total running average '[sec']]]</f>
        <v>0</v>
      </c>
      <c r="AI183" s="3">
        <f>intermediate_results[[#This Row], [All cumulative times '[sec']]] / intermediate_results[[#This Row], [Team6 laps '[laps']]] - intermediate_results[[#This Row], [Total running average '[sec']]]</f>
        <v>0</v>
      </c>
      <c r="AJ183" s="3">
        <f>intermediate_results[[#This Row], [All cumulative times '[sec']]] / intermediate_results[[#This Row], [Team7 laps '[laps']]] - intermediate_results[[#This Row], [Total running average '[sec']]]</f>
        <v>0</v>
      </c>
      <c r="AK183" s="3">
        <f>intermediate_results[[#This Row], [All cumulative times '[sec']]] / intermediate_results[[#This Row], [Team8 laps '[laps']]] - intermediate_results[[#This Row], [Total running average '[sec']]]</f>
        <v>0</v>
      </c>
      <c r="AL183" s="3">
        <f>intermediate_results[[#This Row], [All cumulative times '[sec']]] / intermediate_results[[#This Row], [Team9 laps '[laps']]] - intermediate_results[[#This Row], [Total running average '[sec']]]</f>
        <v>0</v>
      </c>
    </row>
    <row r="184" spans="1:38">
      <c r="A184" s="3">
        <v>1131.147</v>
      </c>
      <c r="B18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4" s="3">
        <f>intermediate_results[[#This Row], [Team1 laps '[laps']]] - intermediate_results[[#This Row], [Team1 laps '[laps']]]</f>
        <v>0</v>
      </c>
      <c r="L184" s="3">
        <f>intermediate_results[[#This Row], [Team1 laps '[laps']]] - intermediate_results[[#This Row], [Team2 laps '[laps']]]</f>
        <v>0</v>
      </c>
      <c r="M184" s="3">
        <f>intermediate_results[[#This Row], [Team1 laps '[laps']]] - intermediate_results[[#This Row], [Team3 laps '[laps']]]</f>
        <v>0</v>
      </c>
      <c r="N184" s="3">
        <f>intermediate_results[[#This Row], [Team1 laps '[laps']]] - intermediate_results[[#This Row], [Team4 laps '[laps']]]</f>
        <v>0</v>
      </c>
      <c r="O184" s="3">
        <f>intermediate_results[[#This Row], [Team1 laps '[laps']]] - intermediate_results[[#This Row], [Team5 laps '[laps']]]</f>
        <v>0</v>
      </c>
      <c r="P184" s="3">
        <f>intermediate_results[[#This Row], [Team1 laps '[laps']]] - intermediate_results[[#This Row], [Team6 laps '[laps']]]</f>
        <v>0</v>
      </c>
      <c r="Q184" s="3">
        <f>intermediate_results[[#This Row], [Team1 laps '[laps']]] - intermediate_results[[#This Row], [Team7 laps '[laps']]]</f>
        <v>0</v>
      </c>
      <c r="R184" s="3">
        <f>intermediate_results[[#This Row], [Team1 laps '[laps']]] - intermediate_results[[#This Row], [Team8 laps '[laps']]]</f>
        <v>0</v>
      </c>
      <c r="S184" s="3">
        <f>intermediate_results[[#This Row], [Team1 laps '[laps']]] - intermediate_results[[#This Row], [Team9 laps '[laps']]]</f>
        <v>0</v>
      </c>
      <c r="T184" s="3">
        <f>MAX(intermediate_results[[#This Row], [Team1 laps '[laps']]:[Team9 laps '[laps']]]) - intermediate_results[[#This Row], [Team1 laps '[laps']]]</f>
        <v>0</v>
      </c>
      <c r="U184" s="3">
        <f>MAX(intermediate_results[[#This Row], [Team1 laps '[laps']]:[Team9 laps '[laps']]]) - intermediate_results[[#This Row], [Team2 laps '[laps']]]</f>
        <v>0</v>
      </c>
      <c r="V184" s="3">
        <f>MAX(intermediate_results[[#This Row], [Team1 laps '[laps']]:[Team9 laps '[laps']]]) - intermediate_results[[#This Row], [Team3 laps '[laps']]]</f>
        <v>0</v>
      </c>
      <c r="W184" s="3">
        <f>MAX(intermediate_results[[#This Row], [Team1 laps '[laps']]:[Team9 laps '[laps']]]) - intermediate_results[[#This Row], [Team4 laps '[laps']]]</f>
        <v>0</v>
      </c>
      <c r="X184" s="3">
        <f>MAX(intermediate_results[[#This Row], [Team1 laps '[laps']]:[Team9 laps '[laps']]]) - intermediate_results[[#This Row], [Team5 laps '[laps']]]</f>
        <v>0</v>
      </c>
      <c r="Y184" s="3">
        <f>MAX(intermediate_results[[#This Row], [Team1 laps '[laps']]:[Team9 laps '[laps']]]) - intermediate_results[[#This Row], [Team6 laps '[laps']]]</f>
        <v>0</v>
      </c>
      <c r="Z184" s="3">
        <f>MAX(intermediate_results[[#This Row], [Team1 laps '[laps']]:[Team9 laps '[laps']]]) - intermediate_results[[#This Row], [Team7 laps '[laps']]]</f>
        <v>0</v>
      </c>
      <c r="AA184" s="3">
        <f>MAX(intermediate_results[[#This Row], [Team1 laps '[laps']]:[Team9 laps '[laps']]]) - intermediate_results[[#This Row], [Team8 laps '[laps']]]</f>
        <v>0</v>
      </c>
      <c r="AB184" s="3">
        <f>MAX(intermediate_results[[#This Row], [Team1 laps '[laps']]:[Team9 laps '[laps']]]) - intermediate_results[[#This Row], [Team9 laps '[laps']]]</f>
        <v>0</v>
      </c>
      <c r="AC184" s="3">
        <f>9 * intermediate_results[[#This Row], [All cumulative times '[sec']]] / SUM(intermediate_results[[#This Row], [Team1 laps '[laps']]:[Team9 laps '[laps']]])</f>
        <v>0</v>
      </c>
      <c r="AD184" s="3">
        <f>intermediate_results[[#This Row], [All cumulative times '[sec']]] / intermediate_results[[#This Row], [Team1 laps '[laps']]] - intermediate_results[[#This Row], [Total running average '[sec']]]</f>
        <v>0</v>
      </c>
      <c r="AE184" s="3">
        <f>intermediate_results[[#This Row], [All cumulative times '[sec']]] / intermediate_results[[#This Row], [Team2 laps '[laps']]] - intermediate_results[[#This Row], [Total running average '[sec']]]</f>
        <v>0</v>
      </c>
      <c r="AF184" s="3">
        <f>intermediate_results[[#This Row], [All cumulative times '[sec']]] / intermediate_results[[#This Row], [Team3 laps '[laps']]] - intermediate_results[[#This Row], [Total running average '[sec']]]</f>
        <v>0</v>
      </c>
      <c r="AG184" s="3">
        <f>intermediate_results[[#This Row], [All cumulative times '[sec']]] / intermediate_results[[#This Row], [Team4 laps '[laps']]] - intermediate_results[[#This Row], [Total running average '[sec']]]</f>
        <v>0</v>
      </c>
      <c r="AH184" s="3">
        <f>intermediate_results[[#This Row], [All cumulative times '[sec']]] / intermediate_results[[#This Row], [Team5 laps '[laps']]] - intermediate_results[[#This Row], [Total running average '[sec']]]</f>
        <v>0</v>
      </c>
      <c r="AI184" s="3">
        <f>intermediate_results[[#This Row], [All cumulative times '[sec']]] / intermediate_results[[#This Row], [Team6 laps '[laps']]] - intermediate_results[[#This Row], [Total running average '[sec']]]</f>
        <v>0</v>
      </c>
      <c r="AJ184" s="3">
        <f>intermediate_results[[#This Row], [All cumulative times '[sec']]] / intermediate_results[[#This Row], [Team7 laps '[laps']]] - intermediate_results[[#This Row], [Total running average '[sec']]]</f>
        <v>0</v>
      </c>
      <c r="AK184" s="3">
        <f>intermediate_results[[#This Row], [All cumulative times '[sec']]] / intermediate_results[[#This Row], [Team8 laps '[laps']]] - intermediate_results[[#This Row], [Total running average '[sec']]]</f>
        <v>0</v>
      </c>
      <c r="AL184" s="3">
        <f>intermediate_results[[#This Row], [All cumulative times '[sec']]] / intermediate_results[[#This Row], [Team9 laps '[laps']]] - intermediate_results[[#This Row], [Total running average '[sec']]]</f>
        <v>0</v>
      </c>
    </row>
    <row r="185" spans="1:38">
      <c r="A185" s="3">
        <v>1149.988</v>
      </c>
      <c r="B18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5" s="3">
        <f>intermediate_results[[#This Row], [Team1 laps '[laps']]] - intermediate_results[[#This Row], [Team1 laps '[laps']]]</f>
        <v>0</v>
      </c>
      <c r="L185" s="3">
        <f>intermediate_results[[#This Row], [Team1 laps '[laps']]] - intermediate_results[[#This Row], [Team2 laps '[laps']]]</f>
        <v>0</v>
      </c>
      <c r="M185" s="3">
        <f>intermediate_results[[#This Row], [Team1 laps '[laps']]] - intermediate_results[[#This Row], [Team3 laps '[laps']]]</f>
        <v>0</v>
      </c>
      <c r="N185" s="3">
        <f>intermediate_results[[#This Row], [Team1 laps '[laps']]] - intermediate_results[[#This Row], [Team4 laps '[laps']]]</f>
        <v>0</v>
      </c>
      <c r="O185" s="3">
        <f>intermediate_results[[#This Row], [Team1 laps '[laps']]] - intermediate_results[[#This Row], [Team5 laps '[laps']]]</f>
        <v>0</v>
      </c>
      <c r="P185" s="3">
        <f>intermediate_results[[#This Row], [Team1 laps '[laps']]] - intermediate_results[[#This Row], [Team6 laps '[laps']]]</f>
        <v>0</v>
      </c>
      <c r="Q185" s="3">
        <f>intermediate_results[[#This Row], [Team1 laps '[laps']]] - intermediate_results[[#This Row], [Team7 laps '[laps']]]</f>
        <v>0</v>
      </c>
      <c r="R185" s="3">
        <f>intermediate_results[[#This Row], [Team1 laps '[laps']]] - intermediate_results[[#This Row], [Team8 laps '[laps']]]</f>
        <v>0</v>
      </c>
      <c r="S185" s="3">
        <f>intermediate_results[[#This Row], [Team1 laps '[laps']]] - intermediate_results[[#This Row], [Team9 laps '[laps']]]</f>
        <v>0</v>
      </c>
      <c r="T185" s="3">
        <f>MAX(intermediate_results[[#This Row], [Team1 laps '[laps']]:[Team9 laps '[laps']]]) - intermediate_results[[#This Row], [Team1 laps '[laps']]]</f>
        <v>0</v>
      </c>
      <c r="U185" s="3">
        <f>MAX(intermediate_results[[#This Row], [Team1 laps '[laps']]:[Team9 laps '[laps']]]) - intermediate_results[[#This Row], [Team2 laps '[laps']]]</f>
        <v>0</v>
      </c>
      <c r="V185" s="3">
        <f>MAX(intermediate_results[[#This Row], [Team1 laps '[laps']]:[Team9 laps '[laps']]]) - intermediate_results[[#This Row], [Team3 laps '[laps']]]</f>
        <v>0</v>
      </c>
      <c r="W185" s="3">
        <f>MAX(intermediate_results[[#This Row], [Team1 laps '[laps']]:[Team9 laps '[laps']]]) - intermediate_results[[#This Row], [Team4 laps '[laps']]]</f>
        <v>0</v>
      </c>
      <c r="X185" s="3">
        <f>MAX(intermediate_results[[#This Row], [Team1 laps '[laps']]:[Team9 laps '[laps']]]) - intermediate_results[[#This Row], [Team5 laps '[laps']]]</f>
        <v>0</v>
      </c>
      <c r="Y185" s="3">
        <f>MAX(intermediate_results[[#This Row], [Team1 laps '[laps']]:[Team9 laps '[laps']]]) - intermediate_results[[#This Row], [Team6 laps '[laps']]]</f>
        <v>0</v>
      </c>
      <c r="Z185" s="3">
        <f>MAX(intermediate_results[[#This Row], [Team1 laps '[laps']]:[Team9 laps '[laps']]]) - intermediate_results[[#This Row], [Team7 laps '[laps']]]</f>
        <v>0</v>
      </c>
      <c r="AA185" s="3">
        <f>MAX(intermediate_results[[#This Row], [Team1 laps '[laps']]:[Team9 laps '[laps']]]) - intermediate_results[[#This Row], [Team8 laps '[laps']]]</f>
        <v>0</v>
      </c>
      <c r="AB185" s="3">
        <f>MAX(intermediate_results[[#This Row], [Team1 laps '[laps']]:[Team9 laps '[laps']]]) - intermediate_results[[#This Row], [Team9 laps '[laps']]]</f>
        <v>0</v>
      </c>
      <c r="AC185" s="3">
        <f>9 * intermediate_results[[#This Row], [All cumulative times '[sec']]] / SUM(intermediate_results[[#This Row], [Team1 laps '[laps']]:[Team9 laps '[laps']]])</f>
        <v>0</v>
      </c>
      <c r="AD185" s="3">
        <f>intermediate_results[[#This Row], [All cumulative times '[sec']]] / intermediate_results[[#This Row], [Team1 laps '[laps']]] - intermediate_results[[#This Row], [Total running average '[sec']]]</f>
        <v>0</v>
      </c>
      <c r="AE185" s="3">
        <f>intermediate_results[[#This Row], [All cumulative times '[sec']]] / intermediate_results[[#This Row], [Team2 laps '[laps']]] - intermediate_results[[#This Row], [Total running average '[sec']]]</f>
        <v>0</v>
      </c>
      <c r="AF185" s="3">
        <f>intermediate_results[[#This Row], [All cumulative times '[sec']]] / intermediate_results[[#This Row], [Team3 laps '[laps']]] - intermediate_results[[#This Row], [Total running average '[sec']]]</f>
        <v>0</v>
      </c>
      <c r="AG185" s="3">
        <f>intermediate_results[[#This Row], [All cumulative times '[sec']]] / intermediate_results[[#This Row], [Team4 laps '[laps']]] - intermediate_results[[#This Row], [Total running average '[sec']]]</f>
        <v>0</v>
      </c>
      <c r="AH185" s="3">
        <f>intermediate_results[[#This Row], [All cumulative times '[sec']]] / intermediate_results[[#This Row], [Team5 laps '[laps']]] - intermediate_results[[#This Row], [Total running average '[sec']]]</f>
        <v>0</v>
      </c>
      <c r="AI185" s="3">
        <f>intermediate_results[[#This Row], [All cumulative times '[sec']]] / intermediate_results[[#This Row], [Team6 laps '[laps']]] - intermediate_results[[#This Row], [Total running average '[sec']]]</f>
        <v>0</v>
      </c>
      <c r="AJ185" s="3">
        <f>intermediate_results[[#This Row], [All cumulative times '[sec']]] / intermediate_results[[#This Row], [Team7 laps '[laps']]] - intermediate_results[[#This Row], [Total running average '[sec']]]</f>
        <v>0</v>
      </c>
      <c r="AK185" s="3">
        <f>intermediate_results[[#This Row], [All cumulative times '[sec']]] / intermediate_results[[#This Row], [Team8 laps '[laps']]] - intermediate_results[[#This Row], [Total running average '[sec']]]</f>
        <v>0</v>
      </c>
      <c r="AL185" s="3">
        <f>intermediate_results[[#This Row], [All cumulative times '[sec']]] / intermediate_results[[#This Row], [Team9 laps '[laps']]] - intermediate_results[[#This Row], [Total running average '[sec']]]</f>
        <v>0</v>
      </c>
    </row>
    <row r="186" spans="1:38">
      <c r="A186" s="3">
        <v>1150.188</v>
      </c>
      <c r="B18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6" s="3">
        <f>intermediate_results[[#This Row], [Team1 laps '[laps']]] - intermediate_results[[#This Row], [Team1 laps '[laps']]]</f>
        <v>0</v>
      </c>
      <c r="L186" s="3">
        <f>intermediate_results[[#This Row], [Team1 laps '[laps']]] - intermediate_results[[#This Row], [Team2 laps '[laps']]]</f>
        <v>0</v>
      </c>
      <c r="M186" s="3">
        <f>intermediate_results[[#This Row], [Team1 laps '[laps']]] - intermediate_results[[#This Row], [Team3 laps '[laps']]]</f>
        <v>0</v>
      </c>
      <c r="N186" s="3">
        <f>intermediate_results[[#This Row], [Team1 laps '[laps']]] - intermediate_results[[#This Row], [Team4 laps '[laps']]]</f>
        <v>0</v>
      </c>
      <c r="O186" s="3">
        <f>intermediate_results[[#This Row], [Team1 laps '[laps']]] - intermediate_results[[#This Row], [Team5 laps '[laps']]]</f>
        <v>0</v>
      </c>
      <c r="P186" s="3">
        <f>intermediate_results[[#This Row], [Team1 laps '[laps']]] - intermediate_results[[#This Row], [Team6 laps '[laps']]]</f>
        <v>0</v>
      </c>
      <c r="Q186" s="3">
        <f>intermediate_results[[#This Row], [Team1 laps '[laps']]] - intermediate_results[[#This Row], [Team7 laps '[laps']]]</f>
        <v>0</v>
      </c>
      <c r="R186" s="3">
        <f>intermediate_results[[#This Row], [Team1 laps '[laps']]] - intermediate_results[[#This Row], [Team8 laps '[laps']]]</f>
        <v>0</v>
      </c>
      <c r="S186" s="3">
        <f>intermediate_results[[#This Row], [Team1 laps '[laps']]] - intermediate_results[[#This Row], [Team9 laps '[laps']]]</f>
        <v>0</v>
      </c>
      <c r="T186" s="3">
        <f>MAX(intermediate_results[[#This Row], [Team1 laps '[laps']]:[Team9 laps '[laps']]]) - intermediate_results[[#This Row], [Team1 laps '[laps']]]</f>
        <v>0</v>
      </c>
      <c r="U186" s="3">
        <f>MAX(intermediate_results[[#This Row], [Team1 laps '[laps']]:[Team9 laps '[laps']]]) - intermediate_results[[#This Row], [Team2 laps '[laps']]]</f>
        <v>0</v>
      </c>
      <c r="V186" s="3">
        <f>MAX(intermediate_results[[#This Row], [Team1 laps '[laps']]:[Team9 laps '[laps']]]) - intermediate_results[[#This Row], [Team3 laps '[laps']]]</f>
        <v>0</v>
      </c>
      <c r="W186" s="3">
        <f>MAX(intermediate_results[[#This Row], [Team1 laps '[laps']]:[Team9 laps '[laps']]]) - intermediate_results[[#This Row], [Team4 laps '[laps']]]</f>
        <v>0</v>
      </c>
      <c r="X186" s="3">
        <f>MAX(intermediate_results[[#This Row], [Team1 laps '[laps']]:[Team9 laps '[laps']]]) - intermediate_results[[#This Row], [Team5 laps '[laps']]]</f>
        <v>0</v>
      </c>
      <c r="Y186" s="3">
        <f>MAX(intermediate_results[[#This Row], [Team1 laps '[laps']]:[Team9 laps '[laps']]]) - intermediate_results[[#This Row], [Team6 laps '[laps']]]</f>
        <v>0</v>
      </c>
      <c r="Z186" s="3">
        <f>MAX(intermediate_results[[#This Row], [Team1 laps '[laps']]:[Team9 laps '[laps']]]) - intermediate_results[[#This Row], [Team7 laps '[laps']]]</f>
        <v>0</v>
      </c>
      <c r="AA186" s="3">
        <f>MAX(intermediate_results[[#This Row], [Team1 laps '[laps']]:[Team9 laps '[laps']]]) - intermediate_results[[#This Row], [Team8 laps '[laps']]]</f>
        <v>0</v>
      </c>
      <c r="AB186" s="3">
        <f>MAX(intermediate_results[[#This Row], [Team1 laps '[laps']]:[Team9 laps '[laps']]]) - intermediate_results[[#This Row], [Team9 laps '[laps']]]</f>
        <v>0</v>
      </c>
      <c r="AC186" s="3">
        <f>9 * intermediate_results[[#This Row], [All cumulative times '[sec']]] / SUM(intermediate_results[[#This Row], [Team1 laps '[laps']]:[Team9 laps '[laps']]])</f>
        <v>0</v>
      </c>
      <c r="AD186" s="3">
        <f>intermediate_results[[#This Row], [All cumulative times '[sec']]] / intermediate_results[[#This Row], [Team1 laps '[laps']]] - intermediate_results[[#This Row], [Total running average '[sec']]]</f>
        <v>0</v>
      </c>
      <c r="AE186" s="3">
        <f>intermediate_results[[#This Row], [All cumulative times '[sec']]] / intermediate_results[[#This Row], [Team2 laps '[laps']]] - intermediate_results[[#This Row], [Total running average '[sec']]]</f>
        <v>0</v>
      </c>
      <c r="AF186" s="3">
        <f>intermediate_results[[#This Row], [All cumulative times '[sec']]] / intermediate_results[[#This Row], [Team3 laps '[laps']]] - intermediate_results[[#This Row], [Total running average '[sec']]]</f>
        <v>0</v>
      </c>
      <c r="AG186" s="3">
        <f>intermediate_results[[#This Row], [All cumulative times '[sec']]] / intermediate_results[[#This Row], [Team4 laps '[laps']]] - intermediate_results[[#This Row], [Total running average '[sec']]]</f>
        <v>0</v>
      </c>
      <c r="AH186" s="3">
        <f>intermediate_results[[#This Row], [All cumulative times '[sec']]] / intermediate_results[[#This Row], [Team5 laps '[laps']]] - intermediate_results[[#This Row], [Total running average '[sec']]]</f>
        <v>0</v>
      </c>
      <c r="AI186" s="3">
        <f>intermediate_results[[#This Row], [All cumulative times '[sec']]] / intermediate_results[[#This Row], [Team6 laps '[laps']]] - intermediate_results[[#This Row], [Total running average '[sec']]]</f>
        <v>0</v>
      </c>
      <c r="AJ186" s="3">
        <f>intermediate_results[[#This Row], [All cumulative times '[sec']]] / intermediate_results[[#This Row], [Team7 laps '[laps']]] - intermediate_results[[#This Row], [Total running average '[sec']]]</f>
        <v>0</v>
      </c>
      <c r="AK186" s="3">
        <f>intermediate_results[[#This Row], [All cumulative times '[sec']]] / intermediate_results[[#This Row], [Team8 laps '[laps']]] - intermediate_results[[#This Row], [Total running average '[sec']]]</f>
        <v>0</v>
      </c>
      <c r="AL186" s="3">
        <f>intermediate_results[[#This Row], [All cumulative times '[sec']]] / intermediate_results[[#This Row], [Team9 laps '[laps']]] - intermediate_results[[#This Row], [Total running average '[sec']]]</f>
        <v>0</v>
      </c>
    </row>
    <row r="187" spans="1:38">
      <c r="A187" s="3">
        <v>1152.442</v>
      </c>
      <c r="B18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7" s="3">
        <f>intermediate_results[[#This Row], [Team1 laps '[laps']]] - intermediate_results[[#This Row], [Team1 laps '[laps']]]</f>
        <v>0</v>
      </c>
      <c r="L187" s="3">
        <f>intermediate_results[[#This Row], [Team1 laps '[laps']]] - intermediate_results[[#This Row], [Team2 laps '[laps']]]</f>
        <v>0</v>
      </c>
      <c r="M187" s="3">
        <f>intermediate_results[[#This Row], [Team1 laps '[laps']]] - intermediate_results[[#This Row], [Team3 laps '[laps']]]</f>
        <v>0</v>
      </c>
      <c r="N187" s="3">
        <f>intermediate_results[[#This Row], [Team1 laps '[laps']]] - intermediate_results[[#This Row], [Team4 laps '[laps']]]</f>
        <v>0</v>
      </c>
      <c r="O187" s="3">
        <f>intermediate_results[[#This Row], [Team1 laps '[laps']]] - intermediate_results[[#This Row], [Team5 laps '[laps']]]</f>
        <v>0</v>
      </c>
      <c r="P187" s="3">
        <f>intermediate_results[[#This Row], [Team1 laps '[laps']]] - intermediate_results[[#This Row], [Team6 laps '[laps']]]</f>
        <v>0</v>
      </c>
      <c r="Q187" s="3">
        <f>intermediate_results[[#This Row], [Team1 laps '[laps']]] - intermediate_results[[#This Row], [Team7 laps '[laps']]]</f>
        <v>0</v>
      </c>
      <c r="R187" s="3">
        <f>intermediate_results[[#This Row], [Team1 laps '[laps']]] - intermediate_results[[#This Row], [Team8 laps '[laps']]]</f>
        <v>0</v>
      </c>
      <c r="S187" s="3">
        <f>intermediate_results[[#This Row], [Team1 laps '[laps']]] - intermediate_results[[#This Row], [Team9 laps '[laps']]]</f>
        <v>0</v>
      </c>
      <c r="T187" s="3">
        <f>MAX(intermediate_results[[#This Row], [Team1 laps '[laps']]:[Team9 laps '[laps']]]) - intermediate_results[[#This Row], [Team1 laps '[laps']]]</f>
        <v>0</v>
      </c>
      <c r="U187" s="3">
        <f>MAX(intermediate_results[[#This Row], [Team1 laps '[laps']]:[Team9 laps '[laps']]]) - intermediate_results[[#This Row], [Team2 laps '[laps']]]</f>
        <v>0</v>
      </c>
      <c r="V187" s="3">
        <f>MAX(intermediate_results[[#This Row], [Team1 laps '[laps']]:[Team9 laps '[laps']]]) - intermediate_results[[#This Row], [Team3 laps '[laps']]]</f>
        <v>0</v>
      </c>
      <c r="W187" s="3">
        <f>MAX(intermediate_results[[#This Row], [Team1 laps '[laps']]:[Team9 laps '[laps']]]) - intermediate_results[[#This Row], [Team4 laps '[laps']]]</f>
        <v>0</v>
      </c>
      <c r="X187" s="3">
        <f>MAX(intermediate_results[[#This Row], [Team1 laps '[laps']]:[Team9 laps '[laps']]]) - intermediate_results[[#This Row], [Team5 laps '[laps']]]</f>
        <v>0</v>
      </c>
      <c r="Y187" s="3">
        <f>MAX(intermediate_results[[#This Row], [Team1 laps '[laps']]:[Team9 laps '[laps']]]) - intermediate_results[[#This Row], [Team6 laps '[laps']]]</f>
        <v>0</v>
      </c>
      <c r="Z187" s="3">
        <f>MAX(intermediate_results[[#This Row], [Team1 laps '[laps']]:[Team9 laps '[laps']]]) - intermediate_results[[#This Row], [Team7 laps '[laps']]]</f>
        <v>0</v>
      </c>
      <c r="AA187" s="3">
        <f>MAX(intermediate_results[[#This Row], [Team1 laps '[laps']]:[Team9 laps '[laps']]]) - intermediate_results[[#This Row], [Team8 laps '[laps']]]</f>
        <v>0</v>
      </c>
      <c r="AB187" s="3">
        <f>MAX(intermediate_results[[#This Row], [Team1 laps '[laps']]:[Team9 laps '[laps']]]) - intermediate_results[[#This Row], [Team9 laps '[laps']]]</f>
        <v>0</v>
      </c>
      <c r="AC187" s="3">
        <f>9 * intermediate_results[[#This Row], [All cumulative times '[sec']]] / SUM(intermediate_results[[#This Row], [Team1 laps '[laps']]:[Team9 laps '[laps']]])</f>
        <v>0</v>
      </c>
      <c r="AD187" s="3">
        <f>intermediate_results[[#This Row], [All cumulative times '[sec']]] / intermediate_results[[#This Row], [Team1 laps '[laps']]] - intermediate_results[[#This Row], [Total running average '[sec']]]</f>
        <v>0</v>
      </c>
      <c r="AE187" s="3">
        <f>intermediate_results[[#This Row], [All cumulative times '[sec']]] / intermediate_results[[#This Row], [Team2 laps '[laps']]] - intermediate_results[[#This Row], [Total running average '[sec']]]</f>
        <v>0</v>
      </c>
      <c r="AF187" s="3">
        <f>intermediate_results[[#This Row], [All cumulative times '[sec']]] / intermediate_results[[#This Row], [Team3 laps '[laps']]] - intermediate_results[[#This Row], [Total running average '[sec']]]</f>
        <v>0</v>
      </c>
      <c r="AG187" s="3">
        <f>intermediate_results[[#This Row], [All cumulative times '[sec']]] / intermediate_results[[#This Row], [Team4 laps '[laps']]] - intermediate_results[[#This Row], [Total running average '[sec']]]</f>
        <v>0</v>
      </c>
      <c r="AH187" s="3">
        <f>intermediate_results[[#This Row], [All cumulative times '[sec']]] / intermediate_results[[#This Row], [Team5 laps '[laps']]] - intermediate_results[[#This Row], [Total running average '[sec']]]</f>
        <v>0</v>
      </c>
      <c r="AI187" s="3">
        <f>intermediate_results[[#This Row], [All cumulative times '[sec']]] / intermediate_results[[#This Row], [Team6 laps '[laps']]] - intermediate_results[[#This Row], [Total running average '[sec']]]</f>
        <v>0</v>
      </c>
      <c r="AJ187" s="3">
        <f>intermediate_results[[#This Row], [All cumulative times '[sec']]] / intermediate_results[[#This Row], [Team7 laps '[laps']]] - intermediate_results[[#This Row], [Total running average '[sec']]]</f>
        <v>0</v>
      </c>
      <c r="AK187" s="3">
        <f>intermediate_results[[#This Row], [All cumulative times '[sec']]] / intermediate_results[[#This Row], [Team8 laps '[laps']]] - intermediate_results[[#This Row], [Total running average '[sec']]]</f>
        <v>0</v>
      </c>
      <c r="AL187" s="3">
        <f>intermediate_results[[#This Row], [All cumulative times '[sec']]] / intermediate_results[[#This Row], [Team9 laps '[laps']]] - intermediate_results[[#This Row], [Total running average '[sec']]]</f>
        <v>0</v>
      </c>
    </row>
    <row r="188" spans="1:38">
      <c r="A188" s="3">
        <v>1161.149</v>
      </c>
      <c r="B18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8" s="3">
        <f>intermediate_results[[#This Row], [Team1 laps '[laps']]] - intermediate_results[[#This Row], [Team1 laps '[laps']]]</f>
        <v>0</v>
      </c>
      <c r="L188" s="3">
        <f>intermediate_results[[#This Row], [Team1 laps '[laps']]] - intermediate_results[[#This Row], [Team2 laps '[laps']]]</f>
        <v>0</v>
      </c>
      <c r="M188" s="3">
        <f>intermediate_results[[#This Row], [Team1 laps '[laps']]] - intermediate_results[[#This Row], [Team3 laps '[laps']]]</f>
        <v>0</v>
      </c>
      <c r="N188" s="3">
        <f>intermediate_results[[#This Row], [Team1 laps '[laps']]] - intermediate_results[[#This Row], [Team4 laps '[laps']]]</f>
        <v>0</v>
      </c>
      <c r="O188" s="3">
        <f>intermediate_results[[#This Row], [Team1 laps '[laps']]] - intermediate_results[[#This Row], [Team5 laps '[laps']]]</f>
        <v>0</v>
      </c>
      <c r="P188" s="3">
        <f>intermediate_results[[#This Row], [Team1 laps '[laps']]] - intermediate_results[[#This Row], [Team6 laps '[laps']]]</f>
        <v>0</v>
      </c>
      <c r="Q188" s="3">
        <f>intermediate_results[[#This Row], [Team1 laps '[laps']]] - intermediate_results[[#This Row], [Team7 laps '[laps']]]</f>
        <v>0</v>
      </c>
      <c r="R188" s="3">
        <f>intermediate_results[[#This Row], [Team1 laps '[laps']]] - intermediate_results[[#This Row], [Team8 laps '[laps']]]</f>
        <v>0</v>
      </c>
      <c r="S188" s="3">
        <f>intermediate_results[[#This Row], [Team1 laps '[laps']]] - intermediate_results[[#This Row], [Team9 laps '[laps']]]</f>
        <v>0</v>
      </c>
      <c r="T188" s="3">
        <f>MAX(intermediate_results[[#This Row], [Team1 laps '[laps']]:[Team9 laps '[laps']]]) - intermediate_results[[#This Row], [Team1 laps '[laps']]]</f>
        <v>0</v>
      </c>
      <c r="U188" s="3">
        <f>MAX(intermediate_results[[#This Row], [Team1 laps '[laps']]:[Team9 laps '[laps']]]) - intermediate_results[[#This Row], [Team2 laps '[laps']]]</f>
        <v>0</v>
      </c>
      <c r="V188" s="3">
        <f>MAX(intermediate_results[[#This Row], [Team1 laps '[laps']]:[Team9 laps '[laps']]]) - intermediate_results[[#This Row], [Team3 laps '[laps']]]</f>
        <v>0</v>
      </c>
      <c r="W188" s="3">
        <f>MAX(intermediate_results[[#This Row], [Team1 laps '[laps']]:[Team9 laps '[laps']]]) - intermediate_results[[#This Row], [Team4 laps '[laps']]]</f>
        <v>0</v>
      </c>
      <c r="X188" s="3">
        <f>MAX(intermediate_results[[#This Row], [Team1 laps '[laps']]:[Team9 laps '[laps']]]) - intermediate_results[[#This Row], [Team5 laps '[laps']]]</f>
        <v>0</v>
      </c>
      <c r="Y188" s="3">
        <f>MAX(intermediate_results[[#This Row], [Team1 laps '[laps']]:[Team9 laps '[laps']]]) - intermediate_results[[#This Row], [Team6 laps '[laps']]]</f>
        <v>0</v>
      </c>
      <c r="Z188" s="3">
        <f>MAX(intermediate_results[[#This Row], [Team1 laps '[laps']]:[Team9 laps '[laps']]]) - intermediate_results[[#This Row], [Team7 laps '[laps']]]</f>
        <v>0</v>
      </c>
      <c r="AA188" s="3">
        <f>MAX(intermediate_results[[#This Row], [Team1 laps '[laps']]:[Team9 laps '[laps']]]) - intermediate_results[[#This Row], [Team8 laps '[laps']]]</f>
        <v>0</v>
      </c>
      <c r="AB188" s="3">
        <f>MAX(intermediate_results[[#This Row], [Team1 laps '[laps']]:[Team9 laps '[laps']]]) - intermediate_results[[#This Row], [Team9 laps '[laps']]]</f>
        <v>0</v>
      </c>
      <c r="AC188" s="3">
        <f>9 * intermediate_results[[#This Row], [All cumulative times '[sec']]] / SUM(intermediate_results[[#This Row], [Team1 laps '[laps']]:[Team9 laps '[laps']]])</f>
        <v>0</v>
      </c>
      <c r="AD188" s="3">
        <f>intermediate_results[[#This Row], [All cumulative times '[sec']]] / intermediate_results[[#This Row], [Team1 laps '[laps']]] - intermediate_results[[#This Row], [Total running average '[sec']]]</f>
        <v>0</v>
      </c>
      <c r="AE188" s="3">
        <f>intermediate_results[[#This Row], [All cumulative times '[sec']]] / intermediate_results[[#This Row], [Team2 laps '[laps']]] - intermediate_results[[#This Row], [Total running average '[sec']]]</f>
        <v>0</v>
      </c>
      <c r="AF188" s="3">
        <f>intermediate_results[[#This Row], [All cumulative times '[sec']]] / intermediate_results[[#This Row], [Team3 laps '[laps']]] - intermediate_results[[#This Row], [Total running average '[sec']]]</f>
        <v>0</v>
      </c>
      <c r="AG188" s="3">
        <f>intermediate_results[[#This Row], [All cumulative times '[sec']]] / intermediate_results[[#This Row], [Team4 laps '[laps']]] - intermediate_results[[#This Row], [Total running average '[sec']]]</f>
        <v>0</v>
      </c>
      <c r="AH188" s="3">
        <f>intermediate_results[[#This Row], [All cumulative times '[sec']]] / intermediate_results[[#This Row], [Team5 laps '[laps']]] - intermediate_results[[#This Row], [Total running average '[sec']]]</f>
        <v>0</v>
      </c>
      <c r="AI188" s="3">
        <f>intermediate_results[[#This Row], [All cumulative times '[sec']]] / intermediate_results[[#This Row], [Team6 laps '[laps']]] - intermediate_results[[#This Row], [Total running average '[sec']]]</f>
        <v>0</v>
      </c>
      <c r="AJ188" s="3">
        <f>intermediate_results[[#This Row], [All cumulative times '[sec']]] / intermediate_results[[#This Row], [Team7 laps '[laps']]] - intermediate_results[[#This Row], [Total running average '[sec']]]</f>
        <v>0</v>
      </c>
      <c r="AK188" s="3">
        <f>intermediate_results[[#This Row], [All cumulative times '[sec']]] / intermediate_results[[#This Row], [Team8 laps '[laps']]] - intermediate_results[[#This Row], [Total running average '[sec']]]</f>
        <v>0</v>
      </c>
      <c r="AL188" s="3">
        <f>intermediate_results[[#This Row], [All cumulative times '[sec']]] / intermediate_results[[#This Row], [Team9 laps '[laps']]] - intermediate_results[[#This Row], [Total running average '[sec']]]</f>
        <v>0</v>
      </c>
    </row>
    <row r="189" spans="1:38">
      <c r="A189" s="3">
        <v>1167.48</v>
      </c>
      <c r="B18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8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8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8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8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8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8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8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8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89" s="3">
        <f>intermediate_results[[#This Row], [Team1 laps '[laps']]] - intermediate_results[[#This Row], [Team1 laps '[laps']]]</f>
        <v>0</v>
      </c>
      <c r="L189" s="3">
        <f>intermediate_results[[#This Row], [Team1 laps '[laps']]] - intermediate_results[[#This Row], [Team2 laps '[laps']]]</f>
        <v>0</v>
      </c>
      <c r="M189" s="3">
        <f>intermediate_results[[#This Row], [Team1 laps '[laps']]] - intermediate_results[[#This Row], [Team3 laps '[laps']]]</f>
        <v>0</v>
      </c>
      <c r="N189" s="3">
        <f>intermediate_results[[#This Row], [Team1 laps '[laps']]] - intermediate_results[[#This Row], [Team4 laps '[laps']]]</f>
        <v>0</v>
      </c>
      <c r="O189" s="3">
        <f>intermediate_results[[#This Row], [Team1 laps '[laps']]] - intermediate_results[[#This Row], [Team5 laps '[laps']]]</f>
        <v>0</v>
      </c>
      <c r="P189" s="3">
        <f>intermediate_results[[#This Row], [Team1 laps '[laps']]] - intermediate_results[[#This Row], [Team6 laps '[laps']]]</f>
        <v>0</v>
      </c>
      <c r="Q189" s="3">
        <f>intermediate_results[[#This Row], [Team1 laps '[laps']]] - intermediate_results[[#This Row], [Team7 laps '[laps']]]</f>
        <v>0</v>
      </c>
      <c r="R189" s="3">
        <f>intermediate_results[[#This Row], [Team1 laps '[laps']]] - intermediate_results[[#This Row], [Team8 laps '[laps']]]</f>
        <v>0</v>
      </c>
      <c r="S189" s="3">
        <f>intermediate_results[[#This Row], [Team1 laps '[laps']]] - intermediate_results[[#This Row], [Team9 laps '[laps']]]</f>
        <v>0</v>
      </c>
      <c r="T189" s="3">
        <f>MAX(intermediate_results[[#This Row], [Team1 laps '[laps']]:[Team9 laps '[laps']]]) - intermediate_results[[#This Row], [Team1 laps '[laps']]]</f>
        <v>0</v>
      </c>
      <c r="U189" s="3">
        <f>MAX(intermediate_results[[#This Row], [Team1 laps '[laps']]:[Team9 laps '[laps']]]) - intermediate_results[[#This Row], [Team2 laps '[laps']]]</f>
        <v>0</v>
      </c>
      <c r="V189" s="3">
        <f>MAX(intermediate_results[[#This Row], [Team1 laps '[laps']]:[Team9 laps '[laps']]]) - intermediate_results[[#This Row], [Team3 laps '[laps']]]</f>
        <v>0</v>
      </c>
      <c r="W189" s="3">
        <f>MAX(intermediate_results[[#This Row], [Team1 laps '[laps']]:[Team9 laps '[laps']]]) - intermediate_results[[#This Row], [Team4 laps '[laps']]]</f>
        <v>0</v>
      </c>
      <c r="X189" s="3">
        <f>MAX(intermediate_results[[#This Row], [Team1 laps '[laps']]:[Team9 laps '[laps']]]) - intermediate_results[[#This Row], [Team5 laps '[laps']]]</f>
        <v>0</v>
      </c>
      <c r="Y189" s="3">
        <f>MAX(intermediate_results[[#This Row], [Team1 laps '[laps']]:[Team9 laps '[laps']]]) - intermediate_results[[#This Row], [Team6 laps '[laps']]]</f>
        <v>0</v>
      </c>
      <c r="Z189" s="3">
        <f>MAX(intermediate_results[[#This Row], [Team1 laps '[laps']]:[Team9 laps '[laps']]]) - intermediate_results[[#This Row], [Team7 laps '[laps']]]</f>
        <v>0</v>
      </c>
      <c r="AA189" s="3">
        <f>MAX(intermediate_results[[#This Row], [Team1 laps '[laps']]:[Team9 laps '[laps']]]) - intermediate_results[[#This Row], [Team8 laps '[laps']]]</f>
        <v>0</v>
      </c>
      <c r="AB189" s="3">
        <f>MAX(intermediate_results[[#This Row], [Team1 laps '[laps']]:[Team9 laps '[laps']]]) - intermediate_results[[#This Row], [Team9 laps '[laps']]]</f>
        <v>0</v>
      </c>
      <c r="AC189" s="3">
        <f>9 * intermediate_results[[#This Row], [All cumulative times '[sec']]] / SUM(intermediate_results[[#This Row], [Team1 laps '[laps']]:[Team9 laps '[laps']]])</f>
        <v>0</v>
      </c>
      <c r="AD189" s="3">
        <f>intermediate_results[[#This Row], [All cumulative times '[sec']]] / intermediate_results[[#This Row], [Team1 laps '[laps']]] - intermediate_results[[#This Row], [Total running average '[sec']]]</f>
        <v>0</v>
      </c>
      <c r="AE189" s="3">
        <f>intermediate_results[[#This Row], [All cumulative times '[sec']]] / intermediate_results[[#This Row], [Team2 laps '[laps']]] - intermediate_results[[#This Row], [Total running average '[sec']]]</f>
        <v>0</v>
      </c>
      <c r="AF189" s="3">
        <f>intermediate_results[[#This Row], [All cumulative times '[sec']]] / intermediate_results[[#This Row], [Team3 laps '[laps']]] - intermediate_results[[#This Row], [Total running average '[sec']]]</f>
        <v>0</v>
      </c>
      <c r="AG189" s="3">
        <f>intermediate_results[[#This Row], [All cumulative times '[sec']]] / intermediate_results[[#This Row], [Team4 laps '[laps']]] - intermediate_results[[#This Row], [Total running average '[sec']]]</f>
        <v>0</v>
      </c>
      <c r="AH189" s="3">
        <f>intermediate_results[[#This Row], [All cumulative times '[sec']]] / intermediate_results[[#This Row], [Team5 laps '[laps']]] - intermediate_results[[#This Row], [Total running average '[sec']]]</f>
        <v>0</v>
      </c>
      <c r="AI189" s="3">
        <f>intermediate_results[[#This Row], [All cumulative times '[sec']]] / intermediate_results[[#This Row], [Team6 laps '[laps']]] - intermediate_results[[#This Row], [Total running average '[sec']]]</f>
        <v>0</v>
      </c>
      <c r="AJ189" s="3">
        <f>intermediate_results[[#This Row], [All cumulative times '[sec']]] / intermediate_results[[#This Row], [Team7 laps '[laps']]] - intermediate_results[[#This Row], [Total running average '[sec']]]</f>
        <v>0</v>
      </c>
      <c r="AK189" s="3">
        <f>intermediate_results[[#This Row], [All cumulative times '[sec']]] / intermediate_results[[#This Row], [Team8 laps '[laps']]] - intermediate_results[[#This Row], [Total running average '[sec']]]</f>
        <v>0</v>
      </c>
      <c r="AL189" s="3">
        <f>intermediate_results[[#This Row], [All cumulative times '[sec']]] / intermediate_results[[#This Row], [Team9 laps '[laps']]] - intermediate_results[[#This Row], [Total running average '[sec']]]</f>
        <v>0</v>
      </c>
    </row>
    <row r="190" spans="1:38">
      <c r="A190" s="3">
        <v>1168.566</v>
      </c>
      <c r="B19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0" s="3">
        <f>intermediate_results[[#This Row], [Team1 laps '[laps']]] - intermediate_results[[#This Row], [Team1 laps '[laps']]]</f>
        <v>0</v>
      </c>
      <c r="L190" s="3">
        <f>intermediate_results[[#This Row], [Team1 laps '[laps']]] - intermediate_results[[#This Row], [Team2 laps '[laps']]]</f>
        <v>0</v>
      </c>
      <c r="M190" s="3">
        <f>intermediate_results[[#This Row], [Team1 laps '[laps']]] - intermediate_results[[#This Row], [Team3 laps '[laps']]]</f>
        <v>0</v>
      </c>
      <c r="N190" s="3">
        <f>intermediate_results[[#This Row], [Team1 laps '[laps']]] - intermediate_results[[#This Row], [Team4 laps '[laps']]]</f>
        <v>0</v>
      </c>
      <c r="O190" s="3">
        <f>intermediate_results[[#This Row], [Team1 laps '[laps']]] - intermediate_results[[#This Row], [Team5 laps '[laps']]]</f>
        <v>0</v>
      </c>
      <c r="P190" s="3">
        <f>intermediate_results[[#This Row], [Team1 laps '[laps']]] - intermediate_results[[#This Row], [Team6 laps '[laps']]]</f>
        <v>0</v>
      </c>
      <c r="Q190" s="3">
        <f>intermediate_results[[#This Row], [Team1 laps '[laps']]] - intermediate_results[[#This Row], [Team7 laps '[laps']]]</f>
        <v>0</v>
      </c>
      <c r="R190" s="3">
        <f>intermediate_results[[#This Row], [Team1 laps '[laps']]] - intermediate_results[[#This Row], [Team8 laps '[laps']]]</f>
        <v>0</v>
      </c>
      <c r="S190" s="3">
        <f>intermediate_results[[#This Row], [Team1 laps '[laps']]] - intermediate_results[[#This Row], [Team9 laps '[laps']]]</f>
        <v>0</v>
      </c>
      <c r="T190" s="3">
        <f>MAX(intermediate_results[[#This Row], [Team1 laps '[laps']]:[Team9 laps '[laps']]]) - intermediate_results[[#This Row], [Team1 laps '[laps']]]</f>
        <v>0</v>
      </c>
      <c r="U190" s="3">
        <f>MAX(intermediate_results[[#This Row], [Team1 laps '[laps']]:[Team9 laps '[laps']]]) - intermediate_results[[#This Row], [Team2 laps '[laps']]]</f>
        <v>0</v>
      </c>
      <c r="V190" s="3">
        <f>MAX(intermediate_results[[#This Row], [Team1 laps '[laps']]:[Team9 laps '[laps']]]) - intermediate_results[[#This Row], [Team3 laps '[laps']]]</f>
        <v>0</v>
      </c>
      <c r="W190" s="3">
        <f>MAX(intermediate_results[[#This Row], [Team1 laps '[laps']]:[Team9 laps '[laps']]]) - intermediate_results[[#This Row], [Team4 laps '[laps']]]</f>
        <v>0</v>
      </c>
      <c r="X190" s="3">
        <f>MAX(intermediate_results[[#This Row], [Team1 laps '[laps']]:[Team9 laps '[laps']]]) - intermediate_results[[#This Row], [Team5 laps '[laps']]]</f>
        <v>0</v>
      </c>
      <c r="Y190" s="3">
        <f>MAX(intermediate_results[[#This Row], [Team1 laps '[laps']]:[Team9 laps '[laps']]]) - intermediate_results[[#This Row], [Team6 laps '[laps']]]</f>
        <v>0</v>
      </c>
      <c r="Z190" s="3">
        <f>MAX(intermediate_results[[#This Row], [Team1 laps '[laps']]:[Team9 laps '[laps']]]) - intermediate_results[[#This Row], [Team7 laps '[laps']]]</f>
        <v>0</v>
      </c>
      <c r="AA190" s="3">
        <f>MAX(intermediate_results[[#This Row], [Team1 laps '[laps']]:[Team9 laps '[laps']]]) - intermediate_results[[#This Row], [Team8 laps '[laps']]]</f>
        <v>0</v>
      </c>
      <c r="AB190" s="3">
        <f>MAX(intermediate_results[[#This Row], [Team1 laps '[laps']]:[Team9 laps '[laps']]]) - intermediate_results[[#This Row], [Team9 laps '[laps']]]</f>
        <v>0</v>
      </c>
      <c r="AC190" s="3">
        <f>9 * intermediate_results[[#This Row], [All cumulative times '[sec']]] / SUM(intermediate_results[[#This Row], [Team1 laps '[laps']]:[Team9 laps '[laps']]])</f>
        <v>0</v>
      </c>
      <c r="AD190" s="3">
        <f>intermediate_results[[#This Row], [All cumulative times '[sec']]] / intermediate_results[[#This Row], [Team1 laps '[laps']]] - intermediate_results[[#This Row], [Total running average '[sec']]]</f>
        <v>0</v>
      </c>
      <c r="AE190" s="3">
        <f>intermediate_results[[#This Row], [All cumulative times '[sec']]] / intermediate_results[[#This Row], [Team2 laps '[laps']]] - intermediate_results[[#This Row], [Total running average '[sec']]]</f>
        <v>0</v>
      </c>
      <c r="AF190" s="3">
        <f>intermediate_results[[#This Row], [All cumulative times '[sec']]] / intermediate_results[[#This Row], [Team3 laps '[laps']]] - intermediate_results[[#This Row], [Total running average '[sec']]]</f>
        <v>0</v>
      </c>
      <c r="AG190" s="3">
        <f>intermediate_results[[#This Row], [All cumulative times '[sec']]] / intermediate_results[[#This Row], [Team4 laps '[laps']]] - intermediate_results[[#This Row], [Total running average '[sec']]]</f>
        <v>0</v>
      </c>
      <c r="AH190" s="3">
        <f>intermediate_results[[#This Row], [All cumulative times '[sec']]] / intermediate_results[[#This Row], [Team5 laps '[laps']]] - intermediate_results[[#This Row], [Total running average '[sec']]]</f>
        <v>0</v>
      </c>
      <c r="AI190" s="3">
        <f>intermediate_results[[#This Row], [All cumulative times '[sec']]] / intermediate_results[[#This Row], [Team6 laps '[laps']]] - intermediate_results[[#This Row], [Total running average '[sec']]]</f>
        <v>0</v>
      </c>
      <c r="AJ190" s="3">
        <f>intermediate_results[[#This Row], [All cumulative times '[sec']]] / intermediate_results[[#This Row], [Team7 laps '[laps']]] - intermediate_results[[#This Row], [Total running average '[sec']]]</f>
        <v>0</v>
      </c>
      <c r="AK190" s="3">
        <f>intermediate_results[[#This Row], [All cumulative times '[sec']]] / intermediate_results[[#This Row], [Team8 laps '[laps']]] - intermediate_results[[#This Row], [Total running average '[sec']]]</f>
        <v>0</v>
      </c>
      <c r="AL190" s="3">
        <f>intermediate_results[[#This Row], [All cumulative times '[sec']]] / intermediate_results[[#This Row], [Team9 laps '[laps']]] - intermediate_results[[#This Row], [Total running average '[sec']]]</f>
        <v>0</v>
      </c>
    </row>
    <row r="191" spans="1:38">
      <c r="A191" s="3">
        <v>1183.204</v>
      </c>
      <c r="B19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1" s="3">
        <f>intermediate_results[[#This Row], [Team1 laps '[laps']]] - intermediate_results[[#This Row], [Team1 laps '[laps']]]</f>
        <v>0</v>
      </c>
      <c r="L191" s="3">
        <f>intermediate_results[[#This Row], [Team1 laps '[laps']]] - intermediate_results[[#This Row], [Team2 laps '[laps']]]</f>
        <v>0</v>
      </c>
      <c r="M191" s="3">
        <f>intermediate_results[[#This Row], [Team1 laps '[laps']]] - intermediate_results[[#This Row], [Team3 laps '[laps']]]</f>
        <v>0</v>
      </c>
      <c r="N191" s="3">
        <f>intermediate_results[[#This Row], [Team1 laps '[laps']]] - intermediate_results[[#This Row], [Team4 laps '[laps']]]</f>
        <v>0</v>
      </c>
      <c r="O191" s="3">
        <f>intermediate_results[[#This Row], [Team1 laps '[laps']]] - intermediate_results[[#This Row], [Team5 laps '[laps']]]</f>
        <v>0</v>
      </c>
      <c r="P191" s="3">
        <f>intermediate_results[[#This Row], [Team1 laps '[laps']]] - intermediate_results[[#This Row], [Team6 laps '[laps']]]</f>
        <v>0</v>
      </c>
      <c r="Q191" s="3">
        <f>intermediate_results[[#This Row], [Team1 laps '[laps']]] - intermediate_results[[#This Row], [Team7 laps '[laps']]]</f>
        <v>0</v>
      </c>
      <c r="R191" s="3">
        <f>intermediate_results[[#This Row], [Team1 laps '[laps']]] - intermediate_results[[#This Row], [Team8 laps '[laps']]]</f>
        <v>0</v>
      </c>
      <c r="S191" s="3">
        <f>intermediate_results[[#This Row], [Team1 laps '[laps']]] - intermediate_results[[#This Row], [Team9 laps '[laps']]]</f>
        <v>0</v>
      </c>
      <c r="T191" s="3">
        <f>MAX(intermediate_results[[#This Row], [Team1 laps '[laps']]:[Team9 laps '[laps']]]) - intermediate_results[[#This Row], [Team1 laps '[laps']]]</f>
        <v>0</v>
      </c>
      <c r="U191" s="3">
        <f>MAX(intermediate_results[[#This Row], [Team1 laps '[laps']]:[Team9 laps '[laps']]]) - intermediate_results[[#This Row], [Team2 laps '[laps']]]</f>
        <v>0</v>
      </c>
      <c r="V191" s="3">
        <f>MAX(intermediate_results[[#This Row], [Team1 laps '[laps']]:[Team9 laps '[laps']]]) - intermediate_results[[#This Row], [Team3 laps '[laps']]]</f>
        <v>0</v>
      </c>
      <c r="W191" s="3">
        <f>MAX(intermediate_results[[#This Row], [Team1 laps '[laps']]:[Team9 laps '[laps']]]) - intermediate_results[[#This Row], [Team4 laps '[laps']]]</f>
        <v>0</v>
      </c>
      <c r="X191" s="3">
        <f>MAX(intermediate_results[[#This Row], [Team1 laps '[laps']]:[Team9 laps '[laps']]]) - intermediate_results[[#This Row], [Team5 laps '[laps']]]</f>
        <v>0</v>
      </c>
      <c r="Y191" s="3">
        <f>MAX(intermediate_results[[#This Row], [Team1 laps '[laps']]:[Team9 laps '[laps']]]) - intermediate_results[[#This Row], [Team6 laps '[laps']]]</f>
        <v>0</v>
      </c>
      <c r="Z191" s="3">
        <f>MAX(intermediate_results[[#This Row], [Team1 laps '[laps']]:[Team9 laps '[laps']]]) - intermediate_results[[#This Row], [Team7 laps '[laps']]]</f>
        <v>0</v>
      </c>
      <c r="AA191" s="3">
        <f>MAX(intermediate_results[[#This Row], [Team1 laps '[laps']]:[Team9 laps '[laps']]]) - intermediate_results[[#This Row], [Team8 laps '[laps']]]</f>
        <v>0</v>
      </c>
      <c r="AB191" s="3">
        <f>MAX(intermediate_results[[#This Row], [Team1 laps '[laps']]:[Team9 laps '[laps']]]) - intermediate_results[[#This Row], [Team9 laps '[laps']]]</f>
        <v>0</v>
      </c>
      <c r="AC191" s="3">
        <f>9 * intermediate_results[[#This Row], [All cumulative times '[sec']]] / SUM(intermediate_results[[#This Row], [Team1 laps '[laps']]:[Team9 laps '[laps']]])</f>
        <v>0</v>
      </c>
      <c r="AD191" s="3">
        <f>intermediate_results[[#This Row], [All cumulative times '[sec']]] / intermediate_results[[#This Row], [Team1 laps '[laps']]] - intermediate_results[[#This Row], [Total running average '[sec']]]</f>
        <v>0</v>
      </c>
      <c r="AE191" s="3">
        <f>intermediate_results[[#This Row], [All cumulative times '[sec']]] / intermediate_results[[#This Row], [Team2 laps '[laps']]] - intermediate_results[[#This Row], [Total running average '[sec']]]</f>
        <v>0</v>
      </c>
      <c r="AF191" s="3">
        <f>intermediate_results[[#This Row], [All cumulative times '[sec']]] / intermediate_results[[#This Row], [Team3 laps '[laps']]] - intermediate_results[[#This Row], [Total running average '[sec']]]</f>
        <v>0</v>
      </c>
      <c r="AG191" s="3">
        <f>intermediate_results[[#This Row], [All cumulative times '[sec']]] / intermediate_results[[#This Row], [Team4 laps '[laps']]] - intermediate_results[[#This Row], [Total running average '[sec']]]</f>
        <v>0</v>
      </c>
      <c r="AH191" s="3">
        <f>intermediate_results[[#This Row], [All cumulative times '[sec']]] / intermediate_results[[#This Row], [Team5 laps '[laps']]] - intermediate_results[[#This Row], [Total running average '[sec']]]</f>
        <v>0</v>
      </c>
      <c r="AI191" s="3">
        <f>intermediate_results[[#This Row], [All cumulative times '[sec']]] / intermediate_results[[#This Row], [Team6 laps '[laps']]] - intermediate_results[[#This Row], [Total running average '[sec']]]</f>
        <v>0</v>
      </c>
      <c r="AJ191" s="3">
        <f>intermediate_results[[#This Row], [All cumulative times '[sec']]] / intermediate_results[[#This Row], [Team7 laps '[laps']]] - intermediate_results[[#This Row], [Total running average '[sec']]]</f>
        <v>0</v>
      </c>
      <c r="AK191" s="3">
        <f>intermediate_results[[#This Row], [All cumulative times '[sec']]] / intermediate_results[[#This Row], [Team8 laps '[laps']]] - intermediate_results[[#This Row], [Total running average '[sec']]]</f>
        <v>0</v>
      </c>
      <c r="AL191" s="3">
        <f>intermediate_results[[#This Row], [All cumulative times '[sec']]] / intermediate_results[[#This Row], [Team9 laps '[laps']]] - intermediate_results[[#This Row], [Total running average '[sec']]]</f>
        <v>0</v>
      </c>
    </row>
    <row r="192" spans="1:38">
      <c r="A192" s="3">
        <v>1183.861</v>
      </c>
      <c r="B19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2" s="3">
        <f>intermediate_results[[#This Row], [Team1 laps '[laps']]] - intermediate_results[[#This Row], [Team1 laps '[laps']]]</f>
        <v>0</v>
      </c>
      <c r="L192" s="3">
        <f>intermediate_results[[#This Row], [Team1 laps '[laps']]] - intermediate_results[[#This Row], [Team2 laps '[laps']]]</f>
        <v>0</v>
      </c>
      <c r="M192" s="3">
        <f>intermediate_results[[#This Row], [Team1 laps '[laps']]] - intermediate_results[[#This Row], [Team3 laps '[laps']]]</f>
        <v>0</v>
      </c>
      <c r="N192" s="3">
        <f>intermediate_results[[#This Row], [Team1 laps '[laps']]] - intermediate_results[[#This Row], [Team4 laps '[laps']]]</f>
        <v>0</v>
      </c>
      <c r="O192" s="3">
        <f>intermediate_results[[#This Row], [Team1 laps '[laps']]] - intermediate_results[[#This Row], [Team5 laps '[laps']]]</f>
        <v>0</v>
      </c>
      <c r="P192" s="3">
        <f>intermediate_results[[#This Row], [Team1 laps '[laps']]] - intermediate_results[[#This Row], [Team6 laps '[laps']]]</f>
        <v>0</v>
      </c>
      <c r="Q192" s="3">
        <f>intermediate_results[[#This Row], [Team1 laps '[laps']]] - intermediate_results[[#This Row], [Team7 laps '[laps']]]</f>
        <v>0</v>
      </c>
      <c r="R192" s="3">
        <f>intermediate_results[[#This Row], [Team1 laps '[laps']]] - intermediate_results[[#This Row], [Team8 laps '[laps']]]</f>
        <v>0</v>
      </c>
      <c r="S192" s="3">
        <f>intermediate_results[[#This Row], [Team1 laps '[laps']]] - intermediate_results[[#This Row], [Team9 laps '[laps']]]</f>
        <v>0</v>
      </c>
      <c r="T192" s="3">
        <f>MAX(intermediate_results[[#This Row], [Team1 laps '[laps']]:[Team9 laps '[laps']]]) - intermediate_results[[#This Row], [Team1 laps '[laps']]]</f>
        <v>0</v>
      </c>
      <c r="U192" s="3">
        <f>MAX(intermediate_results[[#This Row], [Team1 laps '[laps']]:[Team9 laps '[laps']]]) - intermediate_results[[#This Row], [Team2 laps '[laps']]]</f>
        <v>0</v>
      </c>
      <c r="V192" s="3">
        <f>MAX(intermediate_results[[#This Row], [Team1 laps '[laps']]:[Team9 laps '[laps']]]) - intermediate_results[[#This Row], [Team3 laps '[laps']]]</f>
        <v>0</v>
      </c>
      <c r="W192" s="3">
        <f>MAX(intermediate_results[[#This Row], [Team1 laps '[laps']]:[Team9 laps '[laps']]]) - intermediate_results[[#This Row], [Team4 laps '[laps']]]</f>
        <v>0</v>
      </c>
      <c r="X192" s="3">
        <f>MAX(intermediate_results[[#This Row], [Team1 laps '[laps']]:[Team9 laps '[laps']]]) - intermediate_results[[#This Row], [Team5 laps '[laps']]]</f>
        <v>0</v>
      </c>
      <c r="Y192" s="3">
        <f>MAX(intermediate_results[[#This Row], [Team1 laps '[laps']]:[Team9 laps '[laps']]]) - intermediate_results[[#This Row], [Team6 laps '[laps']]]</f>
        <v>0</v>
      </c>
      <c r="Z192" s="3">
        <f>MAX(intermediate_results[[#This Row], [Team1 laps '[laps']]:[Team9 laps '[laps']]]) - intermediate_results[[#This Row], [Team7 laps '[laps']]]</f>
        <v>0</v>
      </c>
      <c r="AA192" s="3">
        <f>MAX(intermediate_results[[#This Row], [Team1 laps '[laps']]:[Team9 laps '[laps']]]) - intermediate_results[[#This Row], [Team8 laps '[laps']]]</f>
        <v>0</v>
      </c>
      <c r="AB192" s="3">
        <f>MAX(intermediate_results[[#This Row], [Team1 laps '[laps']]:[Team9 laps '[laps']]]) - intermediate_results[[#This Row], [Team9 laps '[laps']]]</f>
        <v>0</v>
      </c>
      <c r="AC192" s="3">
        <f>9 * intermediate_results[[#This Row], [All cumulative times '[sec']]] / SUM(intermediate_results[[#This Row], [Team1 laps '[laps']]:[Team9 laps '[laps']]])</f>
        <v>0</v>
      </c>
      <c r="AD192" s="3">
        <f>intermediate_results[[#This Row], [All cumulative times '[sec']]] / intermediate_results[[#This Row], [Team1 laps '[laps']]] - intermediate_results[[#This Row], [Total running average '[sec']]]</f>
        <v>0</v>
      </c>
      <c r="AE192" s="3">
        <f>intermediate_results[[#This Row], [All cumulative times '[sec']]] / intermediate_results[[#This Row], [Team2 laps '[laps']]] - intermediate_results[[#This Row], [Total running average '[sec']]]</f>
        <v>0</v>
      </c>
      <c r="AF192" s="3">
        <f>intermediate_results[[#This Row], [All cumulative times '[sec']]] / intermediate_results[[#This Row], [Team3 laps '[laps']]] - intermediate_results[[#This Row], [Total running average '[sec']]]</f>
        <v>0</v>
      </c>
      <c r="AG192" s="3">
        <f>intermediate_results[[#This Row], [All cumulative times '[sec']]] / intermediate_results[[#This Row], [Team4 laps '[laps']]] - intermediate_results[[#This Row], [Total running average '[sec']]]</f>
        <v>0</v>
      </c>
      <c r="AH192" s="3">
        <f>intermediate_results[[#This Row], [All cumulative times '[sec']]] / intermediate_results[[#This Row], [Team5 laps '[laps']]] - intermediate_results[[#This Row], [Total running average '[sec']]]</f>
        <v>0</v>
      </c>
      <c r="AI192" s="3">
        <f>intermediate_results[[#This Row], [All cumulative times '[sec']]] / intermediate_results[[#This Row], [Team6 laps '[laps']]] - intermediate_results[[#This Row], [Total running average '[sec']]]</f>
        <v>0</v>
      </c>
      <c r="AJ192" s="3">
        <f>intermediate_results[[#This Row], [All cumulative times '[sec']]] / intermediate_results[[#This Row], [Team7 laps '[laps']]] - intermediate_results[[#This Row], [Total running average '[sec']]]</f>
        <v>0</v>
      </c>
      <c r="AK192" s="3">
        <f>intermediate_results[[#This Row], [All cumulative times '[sec']]] / intermediate_results[[#This Row], [Team8 laps '[laps']]] - intermediate_results[[#This Row], [Total running average '[sec']]]</f>
        <v>0</v>
      </c>
      <c r="AL192" s="3">
        <f>intermediate_results[[#This Row], [All cumulative times '[sec']]] / intermediate_results[[#This Row], [Team9 laps '[laps']]] - intermediate_results[[#This Row], [Total running average '[sec']]]</f>
        <v>0</v>
      </c>
    </row>
    <row r="193" spans="1:38">
      <c r="A193" s="3">
        <v>1184.771</v>
      </c>
      <c r="B19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3" s="3">
        <f>intermediate_results[[#This Row], [Team1 laps '[laps']]] - intermediate_results[[#This Row], [Team1 laps '[laps']]]</f>
        <v>0</v>
      </c>
      <c r="L193" s="3">
        <f>intermediate_results[[#This Row], [Team1 laps '[laps']]] - intermediate_results[[#This Row], [Team2 laps '[laps']]]</f>
        <v>0</v>
      </c>
      <c r="M193" s="3">
        <f>intermediate_results[[#This Row], [Team1 laps '[laps']]] - intermediate_results[[#This Row], [Team3 laps '[laps']]]</f>
        <v>0</v>
      </c>
      <c r="N193" s="3">
        <f>intermediate_results[[#This Row], [Team1 laps '[laps']]] - intermediate_results[[#This Row], [Team4 laps '[laps']]]</f>
        <v>0</v>
      </c>
      <c r="O193" s="3">
        <f>intermediate_results[[#This Row], [Team1 laps '[laps']]] - intermediate_results[[#This Row], [Team5 laps '[laps']]]</f>
        <v>0</v>
      </c>
      <c r="P193" s="3">
        <f>intermediate_results[[#This Row], [Team1 laps '[laps']]] - intermediate_results[[#This Row], [Team6 laps '[laps']]]</f>
        <v>0</v>
      </c>
      <c r="Q193" s="3">
        <f>intermediate_results[[#This Row], [Team1 laps '[laps']]] - intermediate_results[[#This Row], [Team7 laps '[laps']]]</f>
        <v>0</v>
      </c>
      <c r="R193" s="3">
        <f>intermediate_results[[#This Row], [Team1 laps '[laps']]] - intermediate_results[[#This Row], [Team8 laps '[laps']]]</f>
        <v>0</v>
      </c>
      <c r="S193" s="3">
        <f>intermediate_results[[#This Row], [Team1 laps '[laps']]] - intermediate_results[[#This Row], [Team9 laps '[laps']]]</f>
        <v>0</v>
      </c>
      <c r="T193" s="3">
        <f>MAX(intermediate_results[[#This Row], [Team1 laps '[laps']]:[Team9 laps '[laps']]]) - intermediate_results[[#This Row], [Team1 laps '[laps']]]</f>
        <v>0</v>
      </c>
      <c r="U193" s="3">
        <f>MAX(intermediate_results[[#This Row], [Team1 laps '[laps']]:[Team9 laps '[laps']]]) - intermediate_results[[#This Row], [Team2 laps '[laps']]]</f>
        <v>0</v>
      </c>
      <c r="V193" s="3">
        <f>MAX(intermediate_results[[#This Row], [Team1 laps '[laps']]:[Team9 laps '[laps']]]) - intermediate_results[[#This Row], [Team3 laps '[laps']]]</f>
        <v>0</v>
      </c>
      <c r="W193" s="3">
        <f>MAX(intermediate_results[[#This Row], [Team1 laps '[laps']]:[Team9 laps '[laps']]]) - intermediate_results[[#This Row], [Team4 laps '[laps']]]</f>
        <v>0</v>
      </c>
      <c r="X193" s="3">
        <f>MAX(intermediate_results[[#This Row], [Team1 laps '[laps']]:[Team9 laps '[laps']]]) - intermediate_results[[#This Row], [Team5 laps '[laps']]]</f>
        <v>0</v>
      </c>
      <c r="Y193" s="3">
        <f>MAX(intermediate_results[[#This Row], [Team1 laps '[laps']]:[Team9 laps '[laps']]]) - intermediate_results[[#This Row], [Team6 laps '[laps']]]</f>
        <v>0</v>
      </c>
      <c r="Z193" s="3">
        <f>MAX(intermediate_results[[#This Row], [Team1 laps '[laps']]:[Team9 laps '[laps']]]) - intermediate_results[[#This Row], [Team7 laps '[laps']]]</f>
        <v>0</v>
      </c>
      <c r="AA193" s="3">
        <f>MAX(intermediate_results[[#This Row], [Team1 laps '[laps']]:[Team9 laps '[laps']]]) - intermediate_results[[#This Row], [Team8 laps '[laps']]]</f>
        <v>0</v>
      </c>
      <c r="AB193" s="3">
        <f>MAX(intermediate_results[[#This Row], [Team1 laps '[laps']]:[Team9 laps '[laps']]]) - intermediate_results[[#This Row], [Team9 laps '[laps']]]</f>
        <v>0</v>
      </c>
      <c r="AC193" s="3">
        <f>9 * intermediate_results[[#This Row], [All cumulative times '[sec']]] / SUM(intermediate_results[[#This Row], [Team1 laps '[laps']]:[Team9 laps '[laps']]])</f>
        <v>0</v>
      </c>
      <c r="AD193" s="3">
        <f>intermediate_results[[#This Row], [All cumulative times '[sec']]] / intermediate_results[[#This Row], [Team1 laps '[laps']]] - intermediate_results[[#This Row], [Total running average '[sec']]]</f>
        <v>0</v>
      </c>
      <c r="AE193" s="3">
        <f>intermediate_results[[#This Row], [All cumulative times '[sec']]] / intermediate_results[[#This Row], [Team2 laps '[laps']]] - intermediate_results[[#This Row], [Total running average '[sec']]]</f>
        <v>0</v>
      </c>
      <c r="AF193" s="3">
        <f>intermediate_results[[#This Row], [All cumulative times '[sec']]] / intermediate_results[[#This Row], [Team3 laps '[laps']]] - intermediate_results[[#This Row], [Total running average '[sec']]]</f>
        <v>0</v>
      </c>
      <c r="AG193" s="3">
        <f>intermediate_results[[#This Row], [All cumulative times '[sec']]] / intermediate_results[[#This Row], [Team4 laps '[laps']]] - intermediate_results[[#This Row], [Total running average '[sec']]]</f>
        <v>0</v>
      </c>
      <c r="AH193" s="3">
        <f>intermediate_results[[#This Row], [All cumulative times '[sec']]] / intermediate_results[[#This Row], [Team5 laps '[laps']]] - intermediate_results[[#This Row], [Total running average '[sec']]]</f>
        <v>0</v>
      </c>
      <c r="AI193" s="3">
        <f>intermediate_results[[#This Row], [All cumulative times '[sec']]] / intermediate_results[[#This Row], [Team6 laps '[laps']]] - intermediate_results[[#This Row], [Total running average '[sec']]]</f>
        <v>0</v>
      </c>
      <c r="AJ193" s="3">
        <f>intermediate_results[[#This Row], [All cumulative times '[sec']]] / intermediate_results[[#This Row], [Team7 laps '[laps']]] - intermediate_results[[#This Row], [Total running average '[sec']]]</f>
        <v>0</v>
      </c>
      <c r="AK193" s="3">
        <f>intermediate_results[[#This Row], [All cumulative times '[sec']]] / intermediate_results[[#This Row], [Team8 laps '[laps']]] - intermediate_results[[#This Row], [Total running average '[sec']]]</f>
        <v>0</v>
      </c>
      <c r="AL193" s="3">
        <f>intermediate_results[[#This Row], [All cumulative times '[sec']]] / intermediate_results[[#This Row], [Team9 laps '[laps']]] - intermediate_results[[#This Row], [Total running average '[sec']]]</f>
        <v>0</v>
      </c>
    </row>
    <row r="194" spans="1:38">
      <c r="A194" s="3">
        <v>1203.775</v>
      </c>
      <c r="B19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4" s="3">
        <f>intermediate_results[[#This Row], [Team1 laps '[laps']]] - intermediate_results[[#This Row], [Team1 laps '[laps']]]</f>
        <v>0</v>
      </c>
      <c r="L194" s="3">
        <f>intermediate_results[[#This Row], [Team1 laps '[laps']]] - intermediate_results[[#This Row], [Team2 laps '[laps']]]</f>
        <v>0</v>
      </c>
      <c r="M194" s="3">
        <f>intermediate_results[[#This Row], [Team1 laps '[laps']]] - intermediate_results[[#This Row], [Team3 laps '[laps']]]</f>
        <v>0</v>
      </c>
      <c r="N194" s="3">
        <f>intermediate_results[[#This Row], [Team1 laps '[laps']]] - intermediate_results[[#This Row], [Team4 laps '[laps']]]</f>
        <v>0</v>
      </c>
      <c r="O194" s="3">
        <f>intermediate_results[[#This Row], [Team1 laps '[laps']]] - intermediate_results[[#This Row], [Team5 laps '[laps']]]</f>
        <v>0</v>
      </c>
      <c r="P194" s="3">
        <f>intermediate_results[[#This Row], [Team1 laps '[laps']]] - intermediate_results[[#This Row], [Team6 laps '[laps']]]</f>
        <v>0</v>
      </c>
      <c r="Q194" s="3">
        <f>intermediate_results[[#This Row], [Team1 laps '[laps']]] - intermediate_results[[#This Row], [Team7 laps '[laps']]]</f>
        <v>0</v>
      </c>
      <c r="R194" s="3">
        <f>intermediate_results[[#This Row], [Team1 laps '[laps']]] - intermediate_results[[#This Row], [Team8 laps '[laps']]]</f>
        <v>0</v>
      </c>
      <c r="S194" s="3">
        <f>intermediate_results[[#This Row], [Team1 laps '[laps']]] - intermediate_results[[#This Row], [Team9 laps '[laps']]]</f>
        <v>0</v>
      </c>
      <c r="T194" s="3">
        <f>MAX(intermediate_results[[#This Row], [Team1 laps '[laps']]:[Team9 laps '[laps']]]) - intermediate_results[[#This Row], [Team1 laps '[laps']]]</f>
        <v>0</v>
      </c>
      <c r="U194" s="3">
        <f>MAX(intermediate_results[[#This Row], [Team1 laps '[laps']]:[Team9 laps '[laps']]]) - intermediate_results[[#This Row], [Team2 laps '[laps']]]</f>
        <v>0</v>
      </c>
      <c r="V194" s="3">
        <f>MAX(intermediate_results[[#This Row], [Team1 laps '[laps']]:[Team9 laps '[laps']]]) - intermediate_results[[#This Row], [Team3 laps '[laps']]]</f>
        <v>0</v>
      </c>
      <c r="W194" s="3">
        <f>MAX(intermediate_results[[#This Row], [Team1 laps '[laps']]:[Team9 laps '[laps']]]) - intermediate_results[[#This Row], [Team4 laps '[laps']]]</f>
        <v>0</v>
      </c>
      <c r="X194" s="3">
        <f>MAX(intermediate_results[[#This Row], [Team1 laps '[laps']]:[Team9 laps '[laps']]]) - intermediate_results[[#This Row], [Team5 laps '[laps']]]</f>
        <v>0</v>
      </c>
      <c r="Y194" s="3">
        <f>MAX(intermediate_results[[#This Row], [Team1 laps '[laps']]:[Team9 laps '[laps']]]) - intermediate_results[[#This Row], [Team6 laps '[laps']]]</f>
        <v>0</v>
      </c>
      <c r="Z194" s="3">
        <f>MAX(intermediate_results[[#This Row], [Team1 laps '[laps']]:[Team9 laps '[laps']]]) - intermediate_results[[#This Row], [Team7 laps '[laps']]]</f>
        <v>0</v>
      </c>
      <c r="AA194" s="3">
        <f>MAX(intermediate_results[[#This Row], [Team1 laps '[laps']]:[Team9 laps '[laps']]]) - intermediate_results[[#This Row], [Team8 laps '[laps']]]</f>
        <v>0</v>
      </c>
      <c r="AB194" s="3">
        <f>MAX(intermediate_results[[#This Row], [Team1 laps '[laps']]:[Team9 laps '[laps']]]) - intermediate_results[[#This Row], [Team9 laps '[laps']]]</f>
        <v>0</v>
      </c>
      <c r="AC194" s="3">
        <f>9 * intermediate_results[[#This Row], [All cumulative times '[sec']]] / SUM(intermediate_results[[#This Row], [Team1 laps '[laps']]:[Team9 laps '[laps']]])</f>
        <v>0</v>
      </c>
      <c r="AD194" s="3">
        <f>intermediate_results[[#This Row], [All cumulative times '[sec']]] / intermediate_results[[#This Row], [Team1 laps '[laps']]] - intermediate_results[[#This Row], [Total running average '[sec']]]</f>
        <v>0</v>
      </c>
      <c r="AE194" s="3">
        <f>intermediate_results[[#This Row], [All cumulative times '[sec']]] / intermediate_results[[#This Row], [Team2 laps '[laps']]] - intermediate_results[[#This Row], [Total running average '[sec']]]</f>
        <v>0</v>
      </c>
      <c r="AF194" s="3">
        <f>intermediate_results[[#This Row], [All cumulative times '[sec']]] / intermediate_results[[#This Row], [Team3 laps '[laps']]] - intermediate_results[[#This Row], [Total running average '[sec']]]</f>
        <v>0</v>
      </c>
      <c r="AG194" s="3">
        <f>intermediate_results[[#This Row], [All cumulative times '[sec']]] / intermediate_results[[#This Row], [Team4 laps '[laps']]] - intermediate_results[[#This Row], [Total running average '[sec']]]</f>
        <v>0</v>
      </c>
      <c r="AH194" s="3">
        <f>intermediate_results[[#This Row], [All cumulative times '[sec']]] / intermediate_results[[#This Row], [Team5 laps '[laps']]] - intermediate_results[[#This Row], [Total running average '[sec']]]</f>
        <v>0</v>
      </c>
      <c r="AI194" s="3">
        <f>intermediate_results[[#This Row], [All cumulative times '[sec']]] / intermediate_results[[#This Row], [Team6 laps '[laps']]] - intermediate_results[[#This Row], [Total running average '[sec']]]</f>
        <v>0</v>
      </c>
      <c r="AJ194" s="3">
        <f>intermediate_results[[#This Row], [All cumulative times '[sec']]] / intermediate_results[[#This Row], [Team7 laps '[laps']]] - intermediate_results[[#This Row], [Total running average '[sec']]]</f>
        <v>0</v>
      </c>
      <c r="AK194" s="3">
        <f>intermediate_results[[#This Row], [All cumulative times '[sec']]] / intermediate_results[[#This Row], [Team8 laps '[laps']]] - intermediate_results[[#This Row], [Total running average '[sec']]]</f>
        <v>0</v>
      </c>
      <c r="AL194" s="3">
        <f>intermediate_results[[#This Row], [All cumulative times '[sec']]] / intermediate_results[[#This Row], [Team9 laps '[laps']]] - intermediate_results[[#This Row], [Total running average '[sec']]]</f>
        <v>0</v>
      </c>
    </row>
    <row r="195" spans="1:38">
      <c r="A195" s="3">
        <v>1204.131</v>
      </c>
      <c r="B19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5" s="3">
        <f>intermediate_results[[#This Row], [Team1 laps '[laps']]] - intermediate_results[[#This Row], [Team1 laps '[laps']]]</f>
        <v>0</v>
      </c>
      <c r="L195" s="3">
        <f>intermediate_results[[#This Row], [Team1 laps '[laps']]] - intermediate_results[[#This Row], [Team2 laps '[laps']]]</f>
        <v>0</v>
      </c>
      <c r="M195" s="3">
        <f>intermediate_results[[#This Row], [Team1 laps '[laps']]] - intermediate_results[[#This Row], [Team3 laps '[laps']]]</f>
        <v>0</v>
      </c>
      <c r="N195" s="3">
        <f>intermediate_results[[#This Row], [Team1 laps '[laps']]] - intermediate_results[[#This Row], [Team4 laps '[laps']]]</f>
        <v>0</v>
      </c>
      <c r="O195" s="3">
        <f>intermediate_results[[#This Row], [Team1 laps '[laps']]] - intermediate_results[[#This Row], [Team5 laps '[laps']]]</f>
        <v>0</v>
      </c>
      <c r="P195" s="3">
        <f>intermediate_results[[#This Row], [Team1 laps '[laps']]] - intermediate_results[[#This Row], [Team6 laps '[laps']]]</f>
        <v>0</v>
      </c>
      <c r="Q195" s="3">
        <f>intermediate_results[[#This Row], [Team1 laps '[laps']]] - intermediate_results[[#This Row], [Team7 laps '[laps']]]</f>
        <v>0</v>
      </c>
      <c r="R195" s="3">
        <f>intermediate_results[[#This Row], [Team1 laps '[laps']]] - intermediate_results[[#This Row], [Team8 laps '[laps']]]</f>
        <v>0</v>
      </c>
      <c r="S195" s="3">
        <f>intermediate_results[[#This Row], [Team1 laps '[laps']]] - intermediate_results[[#This Row], [Team9 laps '[laps']]]</f>
        <v>0</v>
      </c>
      <c r="T195" s="3">
        <f>MAX(intermediate_results[[#This Row], [Team1 laps '[laps']]:[Team9 laps '[laps']]]) - intermediate_results[[#This Row], [Team1 laps '[laps']]]</f>
        <v>0</v>
      </c>
      <c r="U195" s="3">
        <f>MAX(intermediate_results[[#This Row], [Team1 laps '[laps']]:[Team9 laps '[laps']]]) - intermediate_results[[#This Row], [Team2 laps '[laps']]]</f>
        <v>0</v>
      </c>
      <c r="V195" s="3">
        <f>MAX(intermediate_results[[#This Row], [Team1 laps '[laps']]:[Team9 laps '[laps']]]) - intermediate_results[[#This Row], [Team3 laps '[laps']]]</f>
        <v>0</v>
      </c>
      <c r="W195" s="3">
        <f>MAX(intermediate_results[[#This Row], [Team1 laps '[laps']]:[Team9 laps '[laps']]]) - intermediate_results[[#This Row], [Team4 laps '[laps']]]</f>
        <v>0</v>
      </c>
      <c r="X195" s="3">
        <f>MAX(intermediate_results[[#This Row], [Team1 laps '[laps']]:[Team9 laps '[laps']]]) - intermediate_results[[#This Row], [Team5 laps '[laps']]]</f>
        <v>0</v>
      </c>
      <c r="Y195" s="3">
        <f>MAX(intermediate_results[[#This Row], [Team1 laps '[laps']]:[Team9 laps '[laps']]]) - intermediate_results[[#This Row], [Team6 laps '[laps']]]</f>
        <v>0</v>
      </c>
      <c r="Z195" s="3">
        <f>MAX(intermediate_results[[#This Row], [Team1 laps '[laps']]:[Team9 laps '[laps']]]) - intermediate_results[[#This Row], [Team7 laps '[laps']]]</f>
        <v>0</v>
      </c>
      <c r="AA195" s="3">
        <f>MAX(intermediate_results[[#This Row], [Team1 laps '[laps']]:[Team9 laps '[laps']]]) - intermediate_results[[#This Row], [Team8 laps '[laps']]]</f>
        <v>0</v>
      </c>
      <c r="AB195" s="3">
        <f>MAX(intermediate_results[[#This Row], [Team1 laps '[laps']]:[Team9 laps '[laps']]]) - intermediate_results[[#This Row], [Team9 laps '[laps']]]</f>
        <v>0</v>
      </c>
      <c r="AC195" s="3">
        <f>9 * intermediate_results[[#This Row], [All cumulative times '[sec']]] / SUM(intermediate_results[[#This Row], [Team1 laps '[laps']]:[Team9 laps '[laps']]])</f>
        <v>0</v>
      </c>
      <c r="AD195" s="3">
        <f>intermediate_results[[#This Row], [All cumulative times '[sec']]] / intermediate_results[[#This Row], [Team1 laps '[laps']]] - intermediate_results[[#This Row], [Total running average '[sec']]]</f>
        <v>0</v>
      </c>
      <c r="AE195" s="3">
        <f>intermediate_results[[#This Row], [All cumulative times '[sec']]] / intermediate_results[[#This Row], [Team2 laps '[laps']]] - intermediate_results[[#This Row], [Total running average '[sec']]]</f>
        <v>0</v>
      </c>
      <c r="AF195" s="3">
        <f>intermediate_results[[#This Row], [All cumulative times '[sec']]] / intermediate_results[[#This Row], [Team3 laps '[laps']]] - intermediate_results[[#This Row], [Total running average '[sec']]]</f>
        <v>0</v>
      </c>
      <c r="AG195" s="3">
        <f>intermediate_results[[#This Row], [All cumulative times '[sec']]] / intermediate_results[[#This Row], [Team4 laps '[laps']]] - intermediate_results[[#This Row], [Total running average '[sec']]]</f>
        <v>0</v>
      </c>
      <c r="AH195" s="3">
        <f>intermediate_results[[#This Row], [All cumulative times '[sec']]] / intermediate_results[[#This Row], [Team5 laps '[laps']]] - intermediate_results[[#This Row], [Total running average '[sec']]]</f>
        <v>0</v>
      </c>
      <c r="AI195" s="3">
        <f>intermediate_results[[#This Row], [All cumulative times '[sec']]] / intermediate_results[[#This Row], [Team6 laps '[laps']]] - intermediate_results[[#This Row], [Total running average '[sec']]]</f>
        <v>0</v>
      </c>
      <c r="AJ195" s="3">
        <f>intermediate_results[[#This Row], [All cumulative times '[sec']]] / intermediate_results[[#This Row], [Team7 laps '[laps']]] - intermediate_results[[#This Row], [Total running average '[sec']]]</f>
        <v>0</v>
      </c>
      <c r="AK195" s="3">
        <f>intermediate_results[[#This Row], [All cumulative times '[sec']]] / intermediate_results[[#This Row], [Team8 laps '[laps']]] - intermediate_results[[#This Row], [Total running average '[sec']]]</f>
        <v>0</v>
      </c>
      <c r="AL195" s="3">
        <f>intermediate_results[[#This Row], [All cumulative times '[sec']]] / intermediate_results[[#This Row], [Team9 laps '[laps']]] - intermediate_results[[#This Row], [Total running average '[sec']]]</f>
        <v>0</v>
      </c>
    </row>
    <row r="196" spans="1:38">
      <c r="A196" s="3">
        <v>1206.932</v>
      </c>
      <c r="B19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6" s="3">
        <f>intermediate_results[[#This Row], [Team1 laps '[laps']]] - intermediate_results[[#This Row], [Team1 laps '[laps']]]</f>
        <v>0</v>
      </c>
      <c r="L196" s="3">
        <f>intermediate_results[[#This Row], [Team1 laps '[laps']]] - intermediate_results[[#This Row], [Team2 laps '[laps']]]</f>
        <v>0</v>
      </c>
      <c r="M196" s="3">
        <f>intermediate_results[[#This Row], [Team1 laps '[laps']]] - intermediate_results[[#This Row], [Team3 laps '[laps']]]</f>
        <v>0</v>
      </c>
      <c r="N196" s="3">
        <f>intermediate_results[[#This Row], [Team1 laps '[laps']]] - intermediate_results[[#This Row], [Team4 laps '[laps']]]</f>
        <v>0</v>
      </c>
      <c r="O196" s="3">
        <f>intermediate_results[[#This Row], [Team1 laps '[laps']]] - intermediate_results[[#This Row], [Team5 laps '[laps']]]</f>
        <v>0</v>
      </c>
      <c r="P196" s="3">
        <f>intermediate_results[[#This Row], [Team1 laps '[laps']]] - intermediate_results[[#This Row], [Team6 laps '[laps']]]</f>
        <v>0</v>
      </c>
      <c r="Q196" s="3">
        <f>intermediate_results[[#This Row], [Team1 laps '[laps']]] - intermediate_results[[#This Row], [Team7 laps '[laps']]]</f>
        <v>0</v>
      </c>
      <c r="R196" s="3">
        <f>intermediate_results[[#This Row], [Team1 laps '[laps']]] - intermediate_results[[#This Row], [Team8 laps '[laps']]]</f>
        <v>0</v>
      </c>
      <c r="S196" s="3">
        <f>intermediate_results[[#This Row], [Team1 laps '[laps']]] - intermediate_results[[#This Row], [Team9 laps '[laps']]]</f>
        <v>0</v>
      </c>
      <c r="T196" s="3">
        <f>MAX(intermediate_results[[#This Row], [Team1 laps '[laps']]:[Team9 laps '[laps']]]) - intermediate_results[[#This Row], [Team1 laps '[laps']]]</f>
        <v>0</v>
      </c>
      <c r="U196" s="3">
        <f>MAX(intermediate_results[[#This Row], [Team1 laps '[laps']]:[Team9 laps '[laps']]]) - intermediate_results[[#This Row], [Team2 laps '[laps']]]</f>
        <v>0</v>
      </c>
      <c r="V196" s="3">
        <f>MAX(intermediate_results[[#This Row], [Team1 laps '[laps']]:[Team9 laps '[laps']]]) - intermediate_results[[#This Row], [Team3 laps '[laps']]]</f>
        <v>0</v>
      </c>
      <c r="W196" s="3">
        <f>MAX(intermediate_results[[#This Row], [Team1 laps '[laps']]:[Team9 laps '[laps']]]) - intermediate_results[[#This Row], [Team4 laps '[laps']]]</f>
        <v>0</v>
      </c>
      <c r="X196" s="3">
        <f>MAX(intermediate_results[[#This Row], [Team1 laps '[laps']]:[Team9 laps '[laps']]]) - intermediate_results[[#This Row], [Team5 laps '[laps']]]</f>
        <v>0</v>
      </c>
      <c r="Y196" s="3">
        <f>MAX(intermediate_results[[#This Row], [Team1 laps '[laps']]:[Team9 laps '[laps']]]) - intermediate_results[[#This Row], [Team6 laps '[laps']]]</f>
        <v>0</v>
      </c>
      <c r="Z196" s="3">
        <f>MAX(intermediate_results[[#This Row], [Team1 laps '[laps']]:[Team9 laps '[laps']]]) - intermediate_results[[#This Row], [Team7 laps '[laps']]]</f>
        <v>0</v>
      </c>
      <c r="AA196" s="3">
        <f>MAX(intermediate_results[[#This Row], [Team1 laps '[laps']]:[Team9 laps '[laps']]]) - intermediate_results[[#This Row], [Team8 laps '[laps']]]</f>
        <v>0</v>
      </c>
      <c r="AB196" s="3">
        <f>MAX(intermediate_results[[#This Row], [Team1 laps '[laps']]:[Team9 laps '[laps']]]) - intermediate_results[[#This Row], [Team9 laps '[laps']]]</f>
        <v>0</v>
      </c>
      <c r="AC196" s="3">
        <f>9 * intermediate_results[[#This Row], [All cumulative times '[sec']]] / SUM(intermediate_results[[#This Row], [Team1 laps '[laps']]:[Team9 laps '[laps']]])</f>
        <v>0</v>
      </c>
      <c r="AD196" s="3">
        <f>intermediate_results[[#This Row], [All cumulative times '[sec']]] / intermediate_results[[#This Row], [Team1 laps '[laps']]] - intermediate_results[[#This Row], [Total running average '[sec']]]</f>
        <v>0</v>
      </c>
      <c r="AE196" s="3">
        <f>intermediate_results[[#This Row], [All cumulative times '[sec']]] / intermediate_results[[#This Row], [Team2 laps '[laps']]] - intermediate_results[[#This Row], [Total running average '[sec']]]</f>
        <v>0</v>
      </c>
      <c r="AF196" s="3">
        <f>intermediate_results[[#This Row], [All cumulative times '[sec']]] / intermediate_results[[#This Row], [Team3 laps '[laps']]] - intermediate_results[[#This Row], [Total running average '[sec']]]</f>
        <v>0</v>
      </c>
      <c r="AG196" s="3">
        <f>intermediate_results[[#This Row], [All cumulative times '[sec']]] / intermediate_results[[#This Row], [Team4 laps '[laps']]] - intermediate_results[[#This Row], [Total running average '[sec']]]</f>
        <v>0</v>
      </c>
      <c r="AH196" s="3">
        <f>intermediate_results[[#This Row], [All cumulative times '[sec']]] / intermediate_results[[#This Row], [Team5 laps '[laps']]] - intermediate_results[[#This Row], [Total running average '[sec']]]</f>
        <v>0</v>
      </c>
      <c r="AI196" s="3">
        <f>intermediate_results[[#This Row], [All cumulative times '[sec']]] / intermediate_results[[#This Row], [Team6 laps '[laps']]] - intermediate_results[[#This Row], [Total running average '[sec']]]</f>
        <v>0</v>
      </c>
      <c r="AJ196" s="3">
        <f>intermediate_results[[#This Row], [All cumulative times '[sec']]] / intermediate_results[[#This Row], [Team7 laps '[laps']]] - intermediate_results[[#This Row], [Total running average '[sec']]]</f>
        <v>0</v>
      </c>
      <c r="AK196" s="3">
        <f>intermediate_results[[#This Row], [All cumulative times '[sec']]] / intermediate_results[[#This Row], [Team8 laps '[laps']]] - intermediate_results[[#This Row], [Total running average '[sec']]]</f>
        <v>0</v>
      </c>
      <c r="AL196" s="3">
        <f>intermediate_results[[#This Row], [All cumulative times '[sec']]] / intermediate_results[[#This Row], [Team9 laps '[laps']]] - intermediate_results[[#This Row], [Total running average '[sec']]]</f>
        <v>0</v>
      </c>
    </row>
    <row r="197" spans="1:38">
      <c r="A197" s="3">
        <v>1213.044</v>
      </c>
      <c r="B19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7" s="3">
        <f>intermediate_results[[#This Row], [Team1 laps '[laps']]] - intermediate_results[[#This Row], [Team1 laps '[laps']]]</f>
        <v>0</v>
      </c>
      <c r="L197" s="3">
        <f>intermediate_results[[#This Row], [Team1 laps '[laps']]] - intermediate_results[[#This Row], [Team2 laps '[laps']]]</f>
        <v>0</v>
      </c>
      <c r="M197" s="3">
        <f>intermediate_results[[#This Row], [Team1 laps '[laps']]] - intermediate_results[[#This Row], [Team3 laps '[laps']]]</f>
        <v>0</v>
      </c>
      <c r="N197" s="3">
        <f>intermediate_results[[#This Row], [Team1 laps '[laps']]] - intermediate_results[[#This Row], [Team4 laps '[laps']]]</f>
        <v>0</v>
      </c>
      <c r="O197" s="3">
        <f>intermediate_results[[#This Row], [Team1 laps '[laps']]] - intermediate_results[[#This Row], [Team5 laps '[laps']]]</f>
        <v>0</v>
      </c>
      <c r="P197" s="3">
        <f>intermediate_results[[#This Row], [Team1 laps '[laps']]] - intermediate_results[[#This Row], [Team6 laps '[laps']]]</f>
        <v>0</v>
      </c>
      <c r="Q197" s="3">
        <f>intermediate_results[[#This Row], [Team1 laps '[laps']]] - intermediate_results[[#This Row], [Team7 laps '[laps']]]</f>
        <v>0</v>
      </c>
      <c r="R197" s="3">
        <f>intermediate_results[[#This Row], [Team1 laps '[laps']]] - intermediate_results[[#This Row], [Team8 laps '[laps']]]</f>
        <v>0</v>
      </c>
      <c r="S197" s="3">
        <f>intermediate_results[[#This Row], [Team1 laps '[laps']]] - intermediate_results[[#This Row], [Team9 laps '[laps']]]</f>
        <v>0</v>
      </c>
      <c r="T197" s="3">
        <f>MAX(intermediate_results[[#This Row], [Team1 laps '[laps']]:[Team9 laps '[laps']]]) - intermediate_results[[#This Row], [Team1 laps '[laps']]]</f>
        <v>0</v>
      </c>
      <c r="U197" s="3">
        <f>MAX(intermediate_results[[#This Row], [Team1 laps '[laps']]:[Team9 laps '[laps']]]) - intermediate_results[[#This Row], [Team2 laps '[laps']]]</f>
        <v>0</v>
      </c>
      <c r="V197" s="3">
        <f>MAX(intermediate_results[[#This Row], [Team1 laps '[laps']]:[Team9 laps '[laps']]]) - intermediate_results[[#This Row], [Team3 laps '[laps']]]</f>
        <v>0</v>
      </c>
      <c r="W197" s="3">
        <f>MAX(intermediate_results[[#This Row], [Team1 laps '[laps']]:[Team9 laps '[laps']]]) - intermediate_results[[#This Row], [Team4 laps '[laps']]]</f>
        <v>0</v>
      </c>
      <c r="X197" s="3">
        <f>MAX(intermediate_results[[#This Row], [Team1 laps '[laps']]:[Team9 laps '[laps']]]) - intermediate_results[[#This Row], [Team5 laps '[laps']]]</f>
        <v>0</v>
      </c>
      <c r="Y197" s="3">
        <f>MAX(intermediate_results[[#This Row], [Team1 laps '[laps']]:[Team9 laps '[laps']]]) - intermediate_results[[#This Row], [Team6 laps '[laps']]]</f>
        <v>0</v>
      </c>
      <c r="Z197" s="3">
        <f>MAX(intermediate_results[[#This Row], [Team1 laps '[laps']]:[Team9 laps '[laps']]]) - intermediate_results[[#This Row], [Team7 laps '[laps']]]</f>
        <v>0</v>
      </c>
      <c r="AA197" s="3">
        <f>MAX(intermediate_results[[#This Row], [Team1 laps '[laps']]:[Team9 laps '[laps']]]) - intermediate_results[[#This Row], [Team8 laps '[laps']]]</f>
        <v>0</v>
      </c>
      <c r="AB197" s="3">
        <f>MAX(intermediate_results[[#This Row], [Team1 laps '[laps']]:[Team9 laps '[laps']]]) - intermediate_results[[#This Row], [Team9 laps '[laps']]]</f>
        <v>0</v>
      </c>
      <c r="AC197" s="3">
        <f>9 * intermediate_results[[#This Row], [All cumulative times '[sec']]] / SUM(intermediate_results[[#This Row], [Team1 laps '[laps']]:[Team9 laps '[laps']]])</f>
        <v>0</v>
      </c>
      <c r="AD197" s="3">
        <f>intermediate_results[[#This Row], [All cumulative times '[sec']]] / intermediate_results[[#This Row], [Team1 laps '[laps']]] - intermediate_results[[#This Row], [Total running average '[sec']]]</f>
        <v>0</v>
      </c>
      <c r="AE197" s="3">
        <f>intermediate_results[[#This Row], [All cumulative times '[sec']]] / intermediate_results[[#This Row], [Team2 laps '[laps']]] - intermediate_results[[#This Row], [Total running average '[sec']]]</f>
        <v>0</v>
      </c>
      <c r="AF197" s="3">
        <f>intermediate_results[[#This Row], [All cumulative times '[sec']]] / intermediate_results[[#This Row], [Team3 laps '[laps']]] - intermediate_results[[#This Row], [Total running average '[sec']]]</f>
        <v>0</v>
      </c>
      <c r="AG197" s="3">
        <f>intermediate_results[[#This Row], [All cumulative times '[sec']]] / intermediate_results[[#This Row], [Team4 laps '[laps']]] - intermediate_results[[#This Row], [Total running average '[sec']]]</f>
        <v>0</v>
      </c>
      <c r="AH197" s="3">
        <f>intermediate_results[[#This Row], [All cumulative times '[sec']]] / intermediate_results[[#This Row], [Team5 laps '[laps']]] - intermediate_results[[#This Row], [Total running average '[sec']]]</f>
        <v>0</v>
      </c>
      <c r="AI197" s="3">
        <f>intermediate_results[[#This Row], [All cumulative times '[sec']]] / intermediate_results[[#This Row], [Team6 laps '[laps']]] - intermediate_results[[#This Row], [Total running average '[sec']]]</f>
        <v>0</v>
      </c>
      <c r="AJ197" s="3">
        <f>intermediate_results[[#This Row], [All cumulative times '[sec']]] / intermediate_results[[#This Row], [Team7 laps '[laps']]] - intermediate_results[[#This Row], [Total running average '[sec']]]</f>
        <v>0</v>
      </c>
      <c r="AK197" s="3">
        <f>intermediate_results[[#This Row], [All cumulative times '[sec']]] / intermediate_results[[#This Row], [Team8 laps '[laps']]] - intermediate_results[[#This Row], [Total running average '[sec']]]</f>
        <v>0</v>
      </c>
      <c r="AL197" s="3">
        <f>intermediate_results[[#This Row], [All cumulative times '[sec']]] / intermediate_results[[#This Row], [Team9 laps '[laps']]] - intermediate_results[[#This Row], [Total running average '[sec']]]</f>
        <v>0</v>
      </c>
    </row>
    <row r="198" spans="1:38">
      <c r="A198" s="3">
        <v>1221.406</v>
      </c>
      <c r="B19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8" s="3">
        <f>intermediate_results[[#This Row], [Team1 laps '[laps']]] - intermediate_results[[#This Row], [Team1 laps '[laps']]]</f>
        <v>0</v>
      </c>
      <c r="L198" s="3">
        <f>intermediate_results[[#This Row], [Team1 laps '[laps']]] - intermediate_results[[#This Row], [Team2 laps '[laps']]]</f>
        <v>0</v>
      </c>
      <c r="M198" s="3">
        <f>intermediate_results[[#This Row], [Team1 laps '[laps']]] - intermediate_results[[#This Row], [Team3 laps '[laps']]]</f>
        <v>0</v>
      </c>
      <c r="N198" s="3">
        <f>intermediate_results[[#This Row], [Team1 laps '[laps']]] - intermediate_results[[#This Row], [Team4 laps '[laps']]]</f>
        <v>0</v>
      </c>
      <c r="O198" s="3">
        <f>intermediate_results[[#This Row], [Team1 laps '[laps']]] - intermediate_results[[#This Row], [Team5 laps '[laps']]]</f>
        <v>0</v>
      </c>
      <c r="P198" s="3">
        <f>intermediate_results[[#This Row], [Team1 laps '[laps']]] - intermediate_results[[#This Row], [Team6 laps '[laps']]]</f>
        <v>0</v>
      </c>
      <c r="Q198" s="3">
        <f>intermediate_results[[#This Row], [Team1 laps '[laps']]] - intermediate_results[[#This Row], [Team7 laps '[laps']]]</f>
        <v>0</v>
      </c>
      <c r="R198" s="3">
        <f>intermediate_results[[#This Row], [Team1 laps '[laps']]] - intermediate_results[[#This Row], [Team8 laps '[laps']]]</f>
        <v>0</v>
      </c>
      <c r="S198" s="3">
        <f>intermediate_results[[#This Row], [Team1 laps '[laps']]] - intermediate_results[[#This Row], [Team9 laps '[laps']]]</f>
        <v>0</v>
      </c>
      <c r="T198" s="3">
        <f>MAX(intermediate_results[[#This Row], [Team1 laps '[laps']]:[Team9 laps '[laps']]]) - intermediate_results[[#This Row], [Team1 laps '[laps']]]</f>
        <v>0</v>
      </c>
      <c r="U198" s="3">
        <f>MAX(intermediate_results[[#This Row], [Team1 laps '[laps']]:[Team9 laps '[laps']]]) - intermediate_results[[#This Row], [Team2 laps '[laps']]]</f>
        <v>0</v>
      </c>
      <c r="V198" s="3">
        <f>MAX(intermediate_results[[#This Row], [Team1 laps '[laps']]:[Team9 laps '[laps']]]) - intermediate_results[[#This Row], [Team3 laps '[laps']]]</f>
        <v>0</v>
      </c>
      <c r="W198" s="3">
        <f>MAX(intermediate_results[[#This Row], [Team1 laps '[laps']]:[Team9 laps '[laps']]]) - intermediate_results[[#This Row], [Team4 laps '[laps']]]</f>
        <v>0</v>
      </c>
      <c r="X198" s="3">
        <f>MAX(intermediate_results[[#This Row], [Team1 laps '[laps']]:[Team9 laps '[laps']]]) - intermediate_results[[#This Row], [Team5 laps '[laps']]]</f>
        <v>0</v>
      </c>
      <c r="Y198" s="3">
        <f>MAX(intermediate_results[[#This Row], [Team1 laps '[laps']]:[Team9 laps '[laps']]]) - intermediate_results[[#This Row], [Team6 laps '[laps']]]</f>
        <v>0</v>
      </c>
      <c r="Z198" s="3">
        <f>MAX(intermediate_results[[#This Row], [Team1 laps '[laps']]:[Team9 laps '[laps']]]) - intermediate_results[[#This Row], [Team7 laps '[laps']]]</f>
        <v>0</v>
      </c>
      <c r="AA198" s="3">
        <f>MAX(intermediate_results[[#This Row], [Team1 laps '[laps']]:[Team9 laps '[laps']]]) - intermediate_results[[#This Row], [Team8 laps '[laps']]]</f>
        <v>0</v>
      </c>
      <c r="AB198" s="3">
        <f>MAX(intermediate_results[[#This Row], [Team1 laps '[laps']]:[Team9 laps '[laps']]]) - intermediate_results[[#This Row], [Team9 laps '[laps']]]</f>
        <v>0</v>
      </c>
      <c r="AC198" s="3">
        <f>9 * intermediate_results[[#This Row], [All cumulative times '[sec']]] / SUM(intermediate_results[[#This Row], [Team1 laps '[laps']]:[Team9 laps '[laps']]])</f>
        <v>0</v>
      </c>
      <c r="AD198" s="3">
        <f>intermediate_results[[#This Row], [All cumulative times '[sec']]] / intermediate_results[[#This Row], [Team1 laps '[laps']]] - intermediate_results[[#This Row], [Total running average '[sec']]]</f>
        <v>0</v>
      </c>
      <c r="AE198" s="3">
        <f>intermediate_results[[#This Row], [All cumulative times '[sec']]] / intermediate_results[[#This Row], [Team2 laps '[laps']]] - intermediate_results[[#This Row], [Total running average '[sec']]]</f>
        <v>0</v>
      </c>
      <c r="AF198" s="3">
        <f>intermediate_results[[#This Row], [All cumulative times '[sec']]] / intermediate_results[[#This Row], [Team3 laps '[laps']]] - intermediate_results[[#This Row], [Total running average '[sec']]]</f>
        <v>0</v>
      </c>
      <c r="AG198" s="3">
        <f>intermediate_results[[#This Row], [All cumulative times '[sec']]] / intermediate_results[[#This Row], [Team4 laps '[laps']]] - intermediate_results[[#This Row], [Total running average '[sec']]]</f>
        <v>0</v>
      </c>
      <c r="AH198" s="3">
        <f>intermediate_results[[#This Row], [All cumulative times '[sec']]] / intermediate_results[[#This Row], [Team5 laps '[laps']]] - intermediate_results[[#This Row], [Total running average '[sec']]]</f>
        <v>0</v>
      </c>
      <c r="AI198" s="3">
        <f>intermediate_results[[#This Row], [All cumulative times '[sec']]] / intermediate_results[[#This Row], [Team6 laps '[laps']]] - intermediate_results[[#This Row], [Total running average '[sec']]]</f>
        <v>0</v>
      </c>
      <c r="AJ198" s="3">
        <f>intermediate_results[[#This Row], [All cumulative times '[sec']]] / intermediate_results[[#This Row], [Team7 laps '[laps']]] - intermediate_results[[#This Row], [Total running average '[sec']]]</f>
        <v>0</v>
      </c>
      <c r="AK198" s="3">
        <f>intermediate_results[[#This Row], [All cumulative times '[sec']]] / intermediate_results[[#This Row], [Team8 laps '[laps']]] - intermediate_results[[#This Row], [Total running average '[sec']]]</f>
        <v>0</v>
      </c>
      <c r="AL198" s="3">
        <f>intermediate_results[[#This Row], [All cumulative times '[sec']]] / intermediate_results[[#This Row], [Team9 laps '[laps']]] - intermediate_results[[#This Row], [Total running average '[sec']]]</f>
        <v>0</v>
      </c>
    </row>
    <row r="199" spans="1:38">
      <c r="A199" s="3">
        <v>1222.774</v>
      </c>
      <c r="B19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19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19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19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19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19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19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19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19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199" s="3">
        <f>intermediate_results[[#This Row], [Team1 laps '[laps']]] - intermediate_results[[#This Row], [Team1 laps '[laps']]]</f>
        <v>0</v>
      </c>
      <c r="L199" s="3">
        <f>intermediate_results[[#This Row], [Team1 laps '[laps']]] - intermediate_results[[#This Row], [Team2 laps '[laps']]]</f>
        <v>0</v>
      </c>
      <c r="M199" s="3">
        <f>intermediate_results[[#This Row], [Team1 laps '[laps']]] - intermediate_results[[#This Row], [Team3 laps '[laps']]]</f>
        <v>0</v>
      </c>
      <c r="N199" s="3">
        <f>intermediate_results[[#This Row], [Team1 laps '[laps']]] - intermediate_results[[#This Row], [Team4 laps '[laps']]]</f>
        <v>0</v>
      </c>
      <c r="O199" s="3">
        <f>intermediate_results[[#This Row], [Team1 laps '[laps']]] - intermediate_results[[#This Row], [Team5 laps '[laps']]]</f>
        <v>0</v>
      </c>
      <c r="P199" s="3">
        <f>intermediate_results[[#This Row], [Team1 laps '[laps']]] - intermediate_results[[#This Row], [Team6 laps '[laps']]]</f>
        <v>0</v>
      </c>
      <c r="Q199" s="3">
        <f>intermediate_results[[#This Row], [Team1 laps '[laps']]] - intermediate_results[[#This Row], [Team7 laps '[laps']]]</f>
        <v>0</v>
      </c>
      <c r="R199" s="3">
        <f>intermediate_results[[#This Row], [Team1 laps '[laps']]] - intermediate_results[[#This Row], [Team8 laps '[laps']]]</f>
        <v>0</v>
      </c>
      <c r="S199" s="3">
        <f>intermediate_results[[#This Row], [Team1 laps '[laps']]] - intermediate_results[[#This Row], [Team9 laps '[laps']]]</f>
        <v>0</v>
      </c>
      <c r="T199" s="3">
        <f>MAX(intermediate_results[[#This Row], [Team1 laps '[laps']]:[Team9 laps '[laps']]]) - intermediate_results[[#This Row], [Team1 laps '[laps']]]</f>
        <v>0</v>
      </c>
      <c r="U199" s="3">
        <f>MAX(intermediate_results[[#This Row], [Team1 laps '[laps']]:[Team9 laps '[laps']]]) - intermediate_results[[#This Row], [Team2 laps '[laps']]]</f>
        <v>0</v>
      </c>
      <c r="V199" s="3">
        <f>MAX(intermediate_results[[#This Row], [Team1 laps '[laps']]:[Team9 laps '[laps']]]) - intermediate_results[[#This Row], [Team3 laps '[laps']]]</f>
        <v>0</v>
      </c>
      <c r="W199" s="3">
        <f>MAX(intermediate_results[[#This Row], [Team1 laps '[laps']]:[Team9 laps '[laps']]]) - intermediate_results[[#This Row], [Team4 laps '[laps']]]</f>
        <v>0</v>
      </c>
      <c r="X199" s="3">
        <f>MAX(intermediate_results[[#This Row], [Team1 laps '[laps']]:[Team9 laps '[laps']]]) - intermediate_results[[#This Row], [Team5 laps '[laps']]]</f>
        <v>0</v>
      </c>
      <c r="Y199" s="3">
        <f>MAX(intermediate_results[[#This Row], [Team1 laps '[laps']]:[Team9 laps '[laps']]]) - intermediate_results[[#This Row], [Team6 laps '[laps']]]</f>
        <v>0</v>
      </c>
      <c r="Z199" s="3">
        <f>MAX(intermediate_results[[#This Row], [Team1 laps '[laps']]:[Team9 laps '[laps']]]) - intermediate_results[[#This Row], [Team7 laps '[laps']]]</f>
        <v>0</v>
      </c>
      <c r="AA199" s="3">
        <f>MAX(intermediate_results[[#This Row], [Team1 laps '[laps']]:[Team9 laps '[laps']]]) - intermediate_results[[#This Row], [Team8 laps '[laps']]]</f>
        <v>0</v>
      </c>
      <c r="AB199" s="3">
        <f>MAX(intermediate_results[[#This Row], [Team1 laps '[laps']]:[Team9 laps '[laps']]]) - intermediate_results[[#This Row], [Team9 laps '[laps']]]</f>
        <v>0</v>
      </c>
      <c r="AC199" s="3">
        <f>9 * intermediate_results[[#This Row], [All cumulative times '[sec']]] / SUM(intermediate_results[[#This Row], [Team1 laps '[laps']]:[Team9 laps '[laps']]])</f>
        <v>0</v>
      </c>
      <c r="AD199" s="3">
        <f>intermediate_results[[#This Row], [All cumulative times '[sec']]] / intermediate_results[[#This Row], [Team1 laps '[laps']]] - intermediate_results[[#This Row], [Total running average '[sec']]]</f>
        <v>0</v>
      </c>
      <c r="AE199" s="3">
        <f>intermediate_results[[#This Row], [All cumulative times '[sec']]] / intermediate_results[[#This Row], [Team2 laps '[laps']]] - intermediate_results[[#This Row], [Total running average '[sec']]]</f>
        <v>0</v>
      </c>
      <c r="AF199" s="3">
        <f>intermediate_results[[#This Row], [All cumulative times '[sec']]] / intermediate_results[[#This Row], [Team3 laps '[laps']]] - intermediate_results[[#This Row], [Total running average '[sec']]]</f>
        <v>0</v>
      </c>
      <c r="AG199" s="3">
        <f>intermediate_results[[#This Row], [All cumulative times '[sec']]] / intermediate_results[[#This Row], [Team4 laps '[laps']]] - intermediate_results[[#This Row], [Total running average '[sec']]]</f>
        <v>0</v>
      </c>
      <c r="AH199" s="3">
        <f>intermediate_results[[#This Row], [All cumulative times '[sec']]] / intermediate_results[[#This Row], [Team5 laps '[laps']]] - intermediate_results[[#This Row], [Total running average '[sec']]]</f>
        <v>0</v>
      </c>
      <c r="AI199" s="3">
        <f>intermediate_results[[#This Row], [All cumulative times '[sec']]] / intermediate_results[[#This Row], [Team6 laps '[laps']]] - intermediate_results[[#This Row], [Total running average '[sec']]]</f>
        <v>0</v>
      </c>
      <c r="AJ199" s="3">
        <f>intermediate_results[[#This Row], [All cumulative times '[sec']]] / intermediate_results[[#This Row], [Team7 laps '[laps']]] - intermediate_results[[#This Row], [Total running average '[sec']]]</f>
        <v>0</v>
      </c>
      <c r="AK199" s="3">
        <f>intermediate_results[[#This Row], [All cumulative times '[sec']]] / intermediate_results[[#This Row], [Team8 laps '[laps']]] - intermediate_results[[#This Row], [Total running average '[sec']]]</f>
        <v>0</v>
      </c>
      <c r="AL199" s="3">
        <f>intermediate_results[[#This Row], [All cumulative times '[sec']]] / intermediate_results[[#This Row], [Team9 laps '[laps']]] - intermediate_results[[#This Row], [Total running average '[sec']]]</f>
        <v>0</v>
      </c>
    </row>
    <row r="200" spans="1:38">
      <c r="A200" s="3">
        <v>1236.656</v>
      </c>
      <c r="B20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0" s="3">
        <f>intermediate_results[[#This Row], [Team1 laps '[laps']]] - intermediate_results[[#This Row], [Team1 laps '[laps']]]</f>
        <v>0</v>
      </c>
      <c r="L200" s="3">
        <f>intermediate_results[[#This Row], [Team1 laps '[laps']]] - intermediate_results[[#This Row], [Team2 laps '[laps']]]</f>
        <v>0</v>
      </c>
      <c r="M200" s="3">
        <f>intermediate_results[[#This Row], [Team1 laps '[laps']]] - intermediate_results[[#This Row], [Team3 laps '[laps']]]</f>
        <v>0</v>
      </c>
      <c r="N200" s="3">
        <f>intermediate_results[[#This Row], [Team1 laps '[laps']]] - intermediate_results[[#This Row], [Team4 laps '[laps']]]</f>
        <v>0</v>
      </c>
      <c r="O200" s="3">
        <f>intermediate_results[[#This Row], [Team1 laps '[laps']]] - intermediate_results[[#This Row], [Team5 laps '[laps']]]</f>
        <v>0</v>
      </c>
      <c r="P200" s="3">
        <f>intermediate_results[[#This Row], [Team1 laps '[laps']]] - intermediate_results[[#This Row], [Team6 laps '[laps']]]</f>
        <v>0</v>
      </c>
      <c r="Q200" s="3">
        <f>intermediate_results[[#This Row], [Team1 laps '[laps']]] - intermediate_results[[#This Row], [Team7 laps '[laps']]]</f>
        <v>0</v>
      </c>
      <c r="R200" s="3">
        <f>intermediate_results[[#This Row], [Team1 laps '[laps']]] - intermediate_results[[#This Row], [Team8 laps '[laps']]]</f>
        <v>0</v>
      </c>
      <c r="S200" s="3">
        <f>intermediate_results[[#This Row], [Team1 laps '[laps']]] - intermediate_results[[#This Row], [Team9 laps '[laps']]]</f>
        <v>0</v>
      </c>
      <c r="T200" s="3">
        <f>MAX(intermediate_results[[#This Row], [Team1 laps '[laps']]:[Team9 laps '[laps']]]) - intermediate_results[[#This Row], [Team1 laps '[laps']]]</f>
        <v>0</v>
      </c>
      <c r="U200" s="3">
        <f>MAX(intermediate_results[[#This Row], [Team1 laps '[laps']]:[Team9 laps '[laps']]]) - intermediate_results[[#This Row], [Team2 laps '[laps']]]</f>
        <v>0</v>
      </c>
      <c r="V200" s="3">
        <f>MAX(intermediate_results[[#This Row], [Team1 laps '[laps']]:[Team9 laps '[laps']]]) - intermediate_results[[#This Row], [Team3 laps '[laps']]]</f>
        <v>0</v>
      </c>
      <c r="W200" s="3">
        <f>MAX(intermediate_results[[#This Row], [Team1 laps '[laps']]:[Team9 laps '[laps']]]) - intermediate_results[[#This Row], [Team4 laps '[laps']]]</f>
        <v>0</v>
      </c>
      <c r="X200" s="3">
        <f>MAX(intermediate_results[[#This Row], [Team1 laps '[laps']]:[Team9 laps '[laps']]]) - intermediate_results[[#This Row], [Team5 laps '[laps']]]</f>
        <v>0</v>
      </c>
      <c r="Y200" s="3">
        <f>MAX(intermediate_results[[#This Row], [Team1 laps '[laps']]:[Team9 laps '[laps']]]) - intermediate_results[[#This Row], [Team6 laps '[laps']]]</f>
        <v>0</v>
      </c>
      <c r="Z200" s="3">
        <f>MAX(intermediate_results[[#This Row], [Team1 laps '[laps']]:[Team9 laps '[laps']]]) - intermediate_results[[#This Row], [Team7 laps '[laps']]]</f>
        <v>0</v>
      </c>
      <c r="AA200" s="3">
        <f>MAX(intermediate_results[[#This Row], [Team1 laps '[laps']]:[Team9 laps '[laps']]]) - intermediate_results[[#This Row], [Team8 laps '[laps']]]</f>
        <v>0</v>
      </c>
      <c r="AB200" s="3">
        <f>MAX(intermediate_results[[#This Row], [Team1 laps '[laps']]:[Team9 laps '[laps']]]) - intermediate_results[[#This Row], [Team9 laps '[laps']]]</f>
        <v>0</v>
      </c>
      <c r="AC200" s="3">
        <f>9 * intermediate_results[[#This Row], [All cumulative times '[sec']]] / SUM(intermediate_results[[#This Row], [Team1 laps '[laps']]:[Team9 laps '[laps']]])</f>
        <v>0</v>
      </c>
      <c r="AD200" s="3">
        <f>intermediate_results[[#This Row], [All cumulative times '[sec']]] / intermediate_results[[#This Row], [Team1 laps '[laps']]] - intermediate_results[[#This Row], [Total running average '[sec']]]</f>
        <v>0</v>
      </c>
      <c r="AE200" s="3">
        <f>intermediate_results[[#This Row], [All cumulative times '[sec']]] / intermediate_results[[#This Row], [Team2 laps '[laps']]] - intermediate_results[[#This Row], [Total running average '[sec']]]</f>
        <v>0</v>
      </c>
      <c r="AF200" s="3">
        <f>intermediate_results[[#This Row], [All cumulative times '[sec']]] / intermediate_results[[#This Row], [Team3 laps '[laps']]] - intermediate_results[[#This Row], [Total running average '[sec']]]</f>
        <v>0</v>
      </c>
      <c r="AG200" s="3">
        <f>intermediate_results[[#This Row], [All cumulative times '[sec']]] / intermediate_results[[#This Row], [Team4 laps '[laps']]] - intermediate_results[[#This Row], [Total running average '[sec']]]</f>
        <v>0</v>
      </c>
      <c r="AH200" s="3">
        <f>intermediate_results[[#This Row], [All cumulative times '[sec']]] / intermediate_results[[#This Row], [Team5 laps '[laps']]] - intermediate_results[[#This Row], [Total running average '[sec']]]</f>
        <v>0</v>
      </c>
      <c r="AI200" s="3">
        <f>intermediate_results[[#This Row], [All cumulative times '[sec']]] / intermediate_results[[#This Row], [Team6 laps '[laps']]] - intermediate_results[[#This Row], [Total running average '[sec']]]</f>
        <v>0</v>
      </c>
      <c r="AJ200" s="3">
        <f>intermediate_results[[#This Row], [All cumulative times '[sec']]] / intermediate_results[[#This Row], [Team7 laps '[laps']]] - intermediate_results[[#This Row], [Total running average '[sec']]]</f>
        <v>0</v>
      </c>
      <c r="AK200" s="3">
        <f>intermediate_results[[#This Row], [All cumulative times '[sec']]] / intermediate_results[[#This Row], [Team8 laps '[laps']]] - intermediate_results[[#This Row], [Total running average '[sec']]]</f>
        <v>0</v>
      </c>
      <c r="AL200" s="3">
        <f>intermediate_results[[#This Row], [All cumulative times '[sec']]] / intermediate_results[[#This Row], [Team9 laps '[laps']]] - intermediate_results[[#This Row], [Total running average '[sec']]]</f>
        <v>0</v>
      </c>
    </row>
    <row r="201" spans="1:38">
      <c r="A201" s="3">
        <v>1239.469</v>
      </c>
      <c r="B20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1" s="3">
        <f>intermediate_results[[#This Row], [Team1 laps '[laps']]] - intermediate_results[[#This Row], [Team1 laps '[laps']]]</f>
        <v>0</v>
      </c>
      <c r="L201" s="3">
        <f>intermediate_results[[#This Row], [Team1 laps '[laps']]] - intermediate_results[[#This Row], [Team2 laps '[laps']]]</f>
        <v>0</v>
      </c>
      <c r="M201" s="3">
        <f>intermediate_results[[#This Row], [Team1 laps '[laps']]] - intermediate_results[[#This Row], [Team3 laps '[laps']]]</f>
        <v>0</v>
      </c>
      <c r="N201" s="3">
        <f>intermediate_results[[#This Row], [Team1 laps '[laps']]] - intermediate_results[[#This Row], [Team4 laps '[laps']]]</f>
        <v>0</v>
      </c>
      <c r="O201" s="3">
        <f>intermediate_results[[#This Row], [Team1 laps '[laps']]] - intermediate_results[[#This Row], [Team5 laps '[laps']]]</f>
        <v>0</v>
      </c>
      <c r="P201" s="3">
        <f>intermediate_results[[#This Row], [Team1 laps '[laps']]] - intermediate_results[[#This Row], [Team6 laps '[laps']]]</f>
        <v>0</v>
      </c>
      <c r="Q201" s="3">
        <f>intermediate_results[[#This Row], [Team1 laps '[laps']]] - intermediate_results[[#This Row], [Team7 laps '[laps']]]</f>
        <v>0</v>
      </c>
      <c r="R201" s="3">
        <f>intermediate_results[[#This Row], [Team1 laps '[laps']]] - intermediate_results[[#This Row], [Team8 laps '[laps']]]</f>
        <v>0</v>
      </c>
      <c r="S201" s="3">
        <f>intermediate_results[[#This Row], [Team1 laps '[laps']]] - intermediate_results[[#This Row], [Team9 laps '[laps']]]</f>
        <v>0</v>
      </c>
      <c r="T201" s="3">
        <f>MAX(intermediate_results[[#This Row], [Team1 laps '[laps']]:[Team9 laps '[laps']]]) - intermediate_results[[#This Row], [Team1 laps '[laps']]]</f>
        <v>0</v>
      </c>
      <c r="U201" s="3">
        <f>MAX(intermediate_results[[#This Row], [Team1 laps '[laps']]:[Team9 laps '[laps']]]) - intermediate_results[[#This Row], [Team2 laps '[laps']]]</f>
        <v>0</v>
      </c>
      <c r="V201" s="3">
        <f>MAX(intermediate_results[[#This Row], [Team1 laps '[laps']]:[Team9 laps '[laps']]]) - intermediate_results[[#This Row], [Team3 laps '[laps']]]</f>
        <v>0</v>
      </c>
      <c r="W201" s="3">
        <f>MAX(intermediate_results[[#This Row], [Team1 laps '[laps']]:[Team9 laps '[laps']]]) - intermediate_results[[#This Row], [Team4 laps '[laps']]]</f>
        <v>0</v>
      </c>
      <c r="X201" s="3">
        <f>MAX(intermediate_results[[#This Row], [Team1 laps '[laps']]:[Team9 laps '[laps']]]) - intermediate_results[[#This Row], [Team5 laps '[laps']]]</f>
        <v>0</v>
      </c>
      <c r="Y201" s="3">
        <f>MAX(intermediate_results[[#This Row], [Team1 laps '[laps']]:[Team9 laps '[laps']]]) - intermediate_results[[#This Row], [Team6 laps '[laps']]]</f>
        <v>0</v>
      </c>
      <c r="Z201" s="3">
        <f>MAX(intermediate_results[[#This Row], [Team1 laps '[laps']]:[Team9 laps '[laps']]]) - intermediate_results[[#This Row], [Team7 laps '[laps']]]</f>
        <v>0</v>
      </c>
      <c r="AA201" s="3">
        <f>MAX(intermediate_results[[#This Row], [Team1 laps '[laps']]:[Team9 laps '[laps']]]) - intermediate_results[[#This Row], [Team8 laps '[laps']]]</f>
        <v>0</v>
      </c>
      <c r="AB201" s="3">
        <f>MAX(intermediate_results[[#This Row], [Team1 laps '[laps']]:[Team9 laps '[laps']]]) - intermediate_results[[#This Row], [Team9 laps '[laps']]]</f>
        <v>0</v>
      </c>
      <c r="AC201" s="3">
        <f>9 * intermediate_results[[#This Row], [All cumulative times '[sec']]] / SUM(intermediate_results[[#This Row], [Team1 laps '[laps']]:[Team9 laps '[laps']]])</f>
        <v>0</v>
      </c>
      <c r="AD201" s="3">
        <f>intermediate_results[[#This Row], [All cumulative times '[sec']]] / intermediate_results[[#This Row], [Team1 laps '[laps']]] - intermediate_results[[#This Row], [Total running average '[sec']]]</f>
        <v>0</v>
      </c>
      <c r="AE201" s="3">
        <f>intermediate_results[[#This Row], [All cumulative times '[sec']]] / intermediate_results[[#This Row], [Team2 laps '[laps']]] - intermediate_results[[#This Row], [Total running average '[sec']]]</f>
        <v>0</v>
      </c>
      <c r="AF201" s="3">
        <f>intermediate_results[[#This Row], [All cumulative times '[sec']]] / intermediate_results[[#This Row], [Team3 laps '[laps']]] - intermediate_results[[#This Row], [Total running average '[sec']]]</f>
        <v>0</v>
      </c>
      <c r="AG201" s="3">
        <f>intermediate_results[[#This Row], [All cumulative times '[sec']]] / intermediate_results[[#This Row], [Team4 laps '[laps']]] - intermediate_results[[#This Row], [Total running average '[sec']]]</f>
        <v>0</v>
      </c>
      <c r="AH201" s="3">
        <f>intermediate_results[[#This Row], [All cumulative times '[sec']]] / intermediate_results[[#This Row], [Team5 laps '[laps']]] - intermediate_results[[#This Row], [Total running average '[sec']]]</f>
        <v>0</v>
      </c>
      <c r="AI201" s="3">
        <f>intermediate_results[[#This Row], [All cumulative times '[sec']]] / intermediate_results[[#This Row], [Team6 laps '[laps']]] - intermediate_results[[#This Row], [Total running average '[sec']]]</f>
        <v>0</v>
      </c>
      <c r="AJ201" s="3">
        <f>intermediate_results[[#This Row], [All cumulative times '[sec']]] / intermediate_results[[#This Row], [Team7 laps '[laps']]] - intermediate_results[[#This Row], [Total running average '[sec']]]</f>
        <v>0</v>
      </c>
      <c r="AK201" s="3">
        <f>intermediate_results[[#This Row], [All cumulative times '[sec']]] / intermediate_results[[#This Row], [Team8 laps '[laps']]] - intermediate_results[[#This Row], [Total running average '[sec']]]</f>
        <v>0</v>
      </c>
      <c r="AL201" s="3">
        <f>intermediate_results[[#This Row], [All cumulative times '[sec']]] / intermediate_results[[#This Row], [Team9 laps '[laps']]] - intermediate_results[[#This Row], [Total running average '[sec']]]</f>
        <v>0</v>
      </c>
    </row>
    <row r="202" spans="1:38">
      <c r="A202" s="3">
        <v>1242.714999999999</v>
      </c>
      <c r="B20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2" s="3">
        <f>intermediate_results[[#This Row], [Team1 laps '[laps']]] - intermediate_results[[#This Row], [Team1 laps '[laps']]]</f>
        <v>0</v>
      </c>
      <c r="L202" s="3">
        <f>intermediate_results[[#This Row], [Team1 laps '[laps']]] - intermediate_results[[#This Row], [Team2 laps '[laps']]]</f>
        <v>0</v>
      </c>
      <c r="M202" s="3">
        <f>intermediate_results[[#This Row], [Team1 laps '[laps']]] - intermediate_results[[#This Row], [Team3 laps '[laps']]]</f>
        <v>0</v>
      </c>
      <c r="N202" s="3">
        <f>intermediate_results[[#This Row], [Team1 laps '[laps']]] - intermediate_results[[#This Row], [Team4 laps '[laps']]]</f>
        <v>0</v>
      </c>
      <c r="O202" s="3">
        <f>intermediate_results[[#This Row], [Team1 laps '[laps']]] - intermediate_results[[#This Row], [Team5 laps '[laps']]]</f>
        <v>0</v>
      </c>
      <c r="P202" s="3">
        <f>intermediate_results[[#This Row], [Team1 laps '[laps']]] - intermediate_results[[#This Row], [Team6 laps '[laps']]]</f>
        <v>0</v>
      </c>
      <c r="Q202" s="3">
        <f>intermediate_results[[#This Row], [Team1 laps '[laps']]] - intermediate_results[[#This Row], [Team7 laps '[laps']]]</f>
        <v>0</v>
      </c>
      <c r="R202" s="3">
        <f>intermediate_results[[#This Row], [Team1 laps '[laps']]] - intermediate_results[[#This Row], [Team8 laps '[laps']]]</f>
        <v>0</v>
      </c>
      <c r="S202" s="3">
        <f>intermediate_results[[#This Row], [Team1 laps '[laps']]] - intermediate_results[[#This Row], [Team9 laps '[laps']]]</f>
        <v>0</v>
      </c>
      <c r="T202" s="3">
        <f>MAX(intermediate_results[[#This Row], [Team1 laps '[laps']]:[Team9 laps '[laps']]]) - intermediate_results[[#This Row], [Team1 laps '[laps']]]</f>
        <v>0</v>
      </c>
      <c r="U202" s="3">
        <f>MAX(intermediate_results[[#This Row], [Team1 laps '[laps']]:[Team9 laps '[laps']]]) - intermediate_results[[#This Row], [Team2 laps '[laps']]]</f>
        <v>0</v>
      </c>
      <c r="V202" s="3">
        <f>MAX(intermediate_results[[#This Row], [Team1 laps '[laps']]:[Team9 laps '[laps']]]) - intermediate_results[[#This Row], [Team3 laps '[laps']]]</f>
        <v>0</v>
      </c>
      <c r="W202" s="3">
        <f>MAX(intermediate_results[[#This Row], [Team1 laps '[laps']]:[Team9 laps '[laps']]]) - intermediate_results[[#This Row], [Team4 laps '[laps']]]</f>
        <v>0</v>
      </c>
      <c r="X202" s="3">
        <f>MAX(intermediate_results[[#This Row], [Team1 laps '[laps']]:[Team9 laps '[laps']]]) - intermediate_results[[#This Row], [Team5 laps '[laps']]]</f>
        <v>0</v>
      </c>
      <c r="Y202" s="3">
        <f>MAX(intermediate_results[[#This Row], [Team1 laps '[laps']]:[Team9 laps '[laps']]]) - intermediate_results[[#This Row], [Team6 laps '[laps']]]</f>
        <v>0</v>
      </c>
      <c r="Z202" s="3">
        <f>MAX(intermediate_results[[#This Row], [Team1 laps '[laps']]:[Team9 laps '[laps']]]) - intermediate_results[[#This Row], [Team7 laps '[laps']]]</f>
        <v>0</v>
      </c>
      <c r="AA202" s="3">
        <f>MAX(intermediate_results[[#This Row], [Team1 laps '[laps']]:[Team9 laps '[laps']]]) - intermediate_results[[#This Row], [Team8 laps '[laps']]]</f>
        <v>0</v>
      </c>
      <c r="AB202" s="3">
        <f>MAX(intermediate_results[[#This Row], [Team1 laps '[laps']]:[Team9 laps '[laps']]]) - intermediate_results[[#This Row], [Team9 laps '[laps']]]</f>
        <v>0</v>
      </c>
      <c r="AC202" s="3">
        <f>9 * intermediate_results[[#This Row], [All cumulative times '[sec']]] / SUM(intermediate_results[[#This Row], [Team1 laps '[laps']]:[Team9 laps '[laps']]])</f>
        <v>0</v>
      </c>
      <c r="AD202" s="3">
        <f>intermediate_results[[#This Row], [All cumulative times '[sec']]] / intermediate_results[[#This Row], [Team1 laps '[laps']]] - intermediate_results[[#This Row], [Total running average '[sec']]]</f>
        <v>0</v>
      </c>
      <c r="AE202" s="3">
        <f>intermediate_results[[#This Row], [All cumulative times '[sec']]] / intermediate_results[[#This Row], [Team2 laps '[laps']]] - intermediate_results[[#This Row], [Total running average '[sec']]]</f>
        <v>0</v>
      </c>
      <c r="AF202" s="3">
        <f>intermediate_results[[#This Row], [All cumulative times '[sec']]] / intermediate_results[[#This Row], [Team3 laps '[laps']]] - intermediate_results[[#This Row], [Total running average '[sec']]]</f>
        <v>0</v>
      </c>
      <c r="AG202" s="3">
        <f>intermediate_results[[#This Row], [All cumulative times '[sec']]] / intermediate_results[[#This Row], [Team4 laps '[laps']]] - intermediate_results[[#This Row], [Total running average '[sec']]]</f>
        <v>0</v>
      </c>
      <c r="AH202" s="3">
        <f>intermediate_results[[#This Row], [All cumulative times '[sec']]] / intermediate_results[[#This Row], [Team5 laps '[laps']]] - intermediate_results[[#This Row], [Total running average '[sec']]]</f>
        <v>0</v>
      </c>
      <c r="AI202" s="3">
        <f>intermediate_results[[#This Row], [All cumulative times '[sec']]] / intermediate_results[[#This Row], [Team6 laps '[laps']]] - intermediate_results[[#This Row], [Total running average '[sec']]]</f>
        <v>0</v>
      </c>
      <c r="AJ202" s="3">
        <f>intermediate_results[[#This Row], [All cumulative times '[sec']]] / intermediate_results[[#This Row], [Team7 laps '[laps']]] - intermediate_results[[#This Row], [Total running average '[sec']]]</f>
        <v>0</v>
      </c>
      <c r="AK202" s="3">
        <f>intermediate_results[[#This Row], [All cumulative times '[sec']]] / intermediate_results[[#This Row], [Team8 laps '[laps']]] - intermediate_results[[#This Row], [Total running average '[sec']]]</f>
        <v>0</v>
      </c>
      <c r="AL202" s="3">
        <f>intermediate_results[[#This Row], [All cumulative times '[sec']]] / intermediate_results[[#This Row], [Team9 laps '[laps']]] - intermediate_results[[#This Row], [Total running average '[sec']]]</f>
        <v>0</v>
      </c>
    </row>
    <row r="203" spans="1:38">
      <c r="A203" s="3">
        <v>1258.185</v>
      </c>
      <c r="B20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3" s="3">
        <f>intermediate_results[[#This Row], [Team1 laps '[laps']]] - intermediate_results[[#This Row], [Team1 laps '[laps']]]</f>
        <v>0</v>
      </c>
      <c r="L203" s="3">
        <f>intermediate_results[[#This Row], [Team1 laps '[laps']]] - intermediate_results[[#This Row], [Team2 laps '[laps']]]</f>
        <v>0</v>
      </c>
      <c r="M203" s="3">
        <f>intermediate_results[[#This Row], [Team1 laps '[laps']]] - intermediate_results[[#This Row], [Team3 laps '[laps']]]</f>
        <v>0</v>
      </c>
      <c r="N203" s="3">
        <f>intermediate_results[[#This Row], [Team1 laps '[laps']]] - intermediate_results[[#This Row], [Team4 laps '[laps']]]</f>
        <v>0</v>
      </c>
      <c r="O203" s="3">
        <f>intermediate_results[[#This Row], [Team1 laps '[laps']]] - intermediate_results[[#This Row], [Team5 laps '[laps']]]</f>
        <v>0</v>
      </c>
      <c r="P203" s="3">
        <f>intermediate_results[[#This Row], [Team1 laps '[laps']]] - intermediate_results[[#This Row], [Team6 laps '[laps']]]</f>
        <v>0</v>
      </c>
      <c r="Q203" s="3">
        <f>intermediate_results[[#This Row], [Team1 laps '[laps']]] - intermediate_results[[#This Row], [Team7 laps '[laps']]]</f>
        <v>0</v>
      </c>
      <c r="R203" s="3">
        <f>intermediate_results[[#This Row], [Team1 laps '[laps']]] - intermediate_results[[#This Row], [Team8 laps '[laps']]]</f>
        <v>0</v>
      </c>
      <c r="S203" s="3">
        <f>intermediate_results[[#This Row], [Team1 laps '[laps']]] - intermediate_results[[#This Row], [Team9 laps '[laps']]]</f>
        <v>0</v>
      </c>
      <c r="T203" s="3">
        <f>MAX(intermediate_results[[#This Row], [Team1 laps '[laps']]:[Team9 laps '[laps']]]) - intermediate_results[[#This Row], [Team1 laps '[laps']]]</f>
        <v>0</v>
      </c>
      <c r="U203" s="3">
        <f>MAX(intermediate_results[[#This Row], [Team1 laps '[laps']]:[Team9 laps '[laps']]]) - intermediate_results[[#This Row], [Team2 laps '[laps']]]</f>
        <v>0</v>
      </c>
      <c r="V203" s="3">
        <f>MAX(intermediate_results[[#This Row], [Team1 laps '[laps']]:[Team9 laps '[laps']]]) - intermediate_results[[#This Row], [Team3 laps '[laps']]]</f>
        <v>0</v>
      </c>
      <c r="W203" s="3">
        <f>MAX(intermediate_results[[#This Row], [Team1 laps '[laps']]:[Team9 laps '[laps']]]) - intermediate_results[[#This Row], [Team4 laps '[laps']]]</f>
        <v>0</v>
      </c>
      <c r="X203" s="3">
        <f>MAX(intermediate_results[[#This Row], [Team1 laps '[laps']]:[Team9 laps '[laps']]]) - intermediate_results[[#This Row], [Team5 laps '[laps']]]</f>
        <v>0</v>
      </c>
      <c r="Y203" s="3">
        <f>MAX(intermediate_results[[#This Row], [Team1 laps '[laps']]:[Team9 laps '[laps']]]) - intermediate_results[[#This Row], [Team6 laps '[laps']]]</f>
        <v>0</v>
      </c>
      <c r="Z203" s="3">
        <f>MAX(intermediate_results[[#This Row], [Team1 laps '[laps']]:[Team9 laps '[laps']]]) - intermediate_results[[#This Row], [Team7 laps '[laps']]]</f>
        <v>0</v>
      </c>
      <c r="AA203" s="3">
        <f>MAX(intermediate_results[[#This Row], [Team1 laps '[laps']]:[Team9 laps '[laps']]]) - intermediate_results[[#This Row], [Team8 laps '[laps']]]</f>
        <v>0</v>
      </c>
      <c r="AB203" s="3">
        <f>MAX(intermediate_results[[#This Row], [Team1 laps '[laps']]:[Team9 laps '[laps']]]) - intermediate_results[[#This Row], [Team9 laps '[laps']]]</f>
        <v>0</v>
      </c>
      <c r="AC203" s="3">
        <f>9 * intermediate_results[[#This Row], [All cumulative times '[sec']]] / SUM(intermediate_results[[#This Row], [Team1 laps '[laps']]:[Team9 laps '[laps']]])</f>
        <v>0</v>
      </c>
      <c r="AD203" s="3">
        <f>intermediate_results[[#This Row], [All cumulative times '[sec']]] / intermediate_results[[#This Row], [Team1 laps '[laps']]] - intermediate_results[[#This Row], [Total running average '[sec']]]</f>
        <v>0</v>
      </c>
      <c r="AE203" s="3">
        <f>intermediate_results[[#This Row], [All cumulative times '[sec']]] / intermediate_results[[#This Row], [Team2 laps '[laps']]] - intermediate_results[[#This Row], [Total running average '[sec']]]</f>
        <v>0</v>
      </c>
      <c r="AF203" s="3">
        <f>intermediate_results[[#This Row], [All cumulative times '[sec']]] / intermediate_results[[#This Row], [Team3 laps '[laps']]] - intermediate_results[[#This Row], [Total running average '[sec']]]</f>
        <v>0</v>
      </c>
      <c r="AG203" s="3">
        <f>intermediate_results[[#This Row], [All cumulative times '[sec']]] / intermediate_results[[#This Row], [Team4 laps '[laps']]] - intermediate_results[[#This Row], [Total running average '[sec']]]</f>
        <v>0</v>
      </c>
      <c r="AH203" s="3">
        <f>intermediate_results[[#This Row], [All cumulative times '[sec']]] / intermediate_results[[#This Row], [Team5 laps '[laps']]] - intermediate_results[[#This Row], [Total running average '[sec']]]</f>
        <v>0</v>
      </c>
      <c r="AI203" s="3">
        <f>intermediate_results[[#This Row], [All cumulative times '[sec']]] / intermediate_results[[#This Row], [Team6 laps '[laps']]] - intermediate_results[[#This Row], [Total running average '[sec']]]</f>
        <v>0</v>
      </c>
      <c r="AJ203" s="3">
        <f>intermediate_results[[#This Row], [All cumulative times '[sec']]] / intermediate_results[[#This Row], [Team7 laps '[laps']]] - intermediate_results[[#This Row], [Total running average '[sec']]]</f>
        <v>0</v>
      </c>
      <c r="AK203" s="3">
        <f>intermediate_results[[#This Row], [All cumulative times '[sec']]] / intermediate_results[[#This Row], [Team8 laps '[laps']]] - intermediate_results[[#This Row], [Total running average '[sec']]]</f>
        <v>0</v>
      </c>
      <c r="AL203" s="3">
        <f>intermediate_results[[#This Row], [All cumulative times '[sec']]] / intermediate_results[[#This Row], [Team9 laps '[laps']]] - intermediate_results[[#This Row], [Total running average '[sec']]]</f>
        <v>0</v>
      </c>
    </row>
    <row r="204" spans="1:38">
      <c r="A204" s="3">
        <v>1258.582</v>
      </c>
      <c r="B20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4" s="3">
        <f>intermediate_results[[#This Row], [Team1 laps '[laps']]] - intermediate_results[[#This Row], [Team1 laps '[laps']]]</f>
        <v>0</v>
      </c>
      <c r="L204" s="3">
        <f>intermediate_results[[#This Row], [Team1 laps '[laps']]] - intermediate_results[[#This Row], [Team2 laps '[laps']]]</f>
        <v>0</v>
      </c>
      <c r="M204" s="3">
        <f>intermediate_results[[#This Row], [Team1 laps '[laps']]] - intermediate_results[[#This Row], [Team3 laps '[laps']]]</f>
        <v>0</v>
      </c>
      <c r="N204" s="3">
        <f>intermediate_results[[#This Row], [Team1 laps '[laps']]] - intermediate_results[[#This Row], [Team4 laps '[laps']]]</f>
        <v>0</v>
      </c>
      <c r="O204" s="3">
        <f>intermediate_results[[#This Row], [Team1 laps '[laps']]] - intermediate_results[[#This Row], [Team5 laps '[laps']]]</f>
        <v>0</v>
      </c>
      <c r="P204" s="3">
        <f>intermediate_results[[#This Row], [Team1 laps '[laps']]] - intermediate_results[[#This Row], [Team6 laps '[laps']]]</f>
        <v>0</v>
      </c>
      <c r="Q204" s="3">
        <f>intermediate_results[[#This Row], [Team1 laps '[laps']]] - intermediate_results[[#This Row], [Team7 laps '[laps']]]</f>
        <v>0</v>
      </c>
      <c r="R204" s="3">
        <f>intermediate_results[[#This Row], [Team1 laps '[laps']]] - intermediate_results[[#This Row], [Team8 laps '[laps']]]</f>
        <v>0</v>
      </c>
      <c r="S204" s="3">
        <f>intermediate_results[[#This Row], [Team1 laps '[laps']]] - intermediate_results[[#This Row], [Team9 laps '[laps']]]</f>
        <v>0</v>
      </c>
      <c r="T204" s="3">
        <f>MAX(intermediate_results[[#This Row], [Team1 laps '[laps']]:[Team9 laps '[laps']]]) - intermediate_results[[#This Row], [Team1 laps '[laps']]]</f>
        <v>0</v>
      </c>
      <c r="U204" s="3">
        <f>MAX(intermediate_results[[#This Row], [Team1 laps '[laps']]:[Team9 laps '[laps']]]) - intermediate_results[[#This Row], [Team2 laps '[laps']]]</f>
        <v>0</v>
      </c>
      <c r="V204" s="3">
        <f>MAX(intermediate_results[[#This Row], [Team1 laps '[laps']]:[Team9 laps '[laps']]]) - intermediate_results[[#This Row], [Team3 laps '[laps']]]</f>
        <v>0</v>
      </c>
      <c r="W204" s="3">
        <f>MAX(intermediate_results[[#This Row], [Team1 laps '[laps']]:[Team9 laps '[laps']]]) - intermediate_results[[#This Row], [Team4 laps '[laps']]]</f>
        <v>0</v>
      </c>
      <c r="X204" s="3">
        <f>MAX(intermediate_results[[#This Row], [Team1 laps '[laps']]:[Team9 laps '[laps']]]) - intermediate_results[[#This Row], [Team5 laps '[laps']]]</f>
        <v>0</v>
      </c>
      <c r="Y204" s="3">
        <f>MAX(intermediate_results[[#This Row], [Team1 laps '[laps']]:[Team9 laps '[laps']]]) - intermediate_results[[#This Row], [Team6 laps '[laps']]]</f>
        <v>0</v>
      </c>
      <c r="Z204" s="3">
        <f>MAX(intermediate_results[[#This Row], [Team1 laps '[laps']]:[Team9 laps '[laps']]]) - intermediate_results[[#This Row], [Team7 laps '[laps']]]</f>
        <v>0</v>
      </c>
      <c r="AA204" s="3">
        <f>MAX(intermediate_results[[#This Row], [Team1 laps '[laps']]:[Team9 laps '[laps']]]) - intermediate_results[[#This Row], [Team8 laps '[laps']]]</f>
        <v>0</v>
      </c>
      <c r="AB204" s="3">
        <f>MAX(intermediate_results[[#This Row], [Team1 laps '[laps']]:[Team9 laps '[laps']]]) - intermediate_results[[#This Row], [Team9 laps '[laps']]]</f>
        <v>0</v>
      </c>
      <c r="AC204" s="3">
        <f>9 * intermediate_results[[#This Row], [All cumulative times '[sec']]] / SUM(intermediate_results[[#This Row], [Team1 laps '[laps']]:[Team9 laps '[laps']]])</f>
        <v>0</v>
      </c>
      <c r="AD204" s="3">
        <f>intermediate_results[[#This Row], [All cumulative times '[sec']]] / intermediate_results[[#This Row], [Team1 laps '[laps']]] - intermediate_results[[#This Row], [Total running average '[sec']]]</f>
        <v>0</v>
      </c>
      <c r="AE204" s="3">
        <f>intermediate_results[[#This Row], [All cumulative times '[sec']]] / intermediate_results[[#This Row], [Team2 laps '[laps']]] - intermediate_results[[#This Row], [Total running average '[sec']]]</f>
        <v>0</v>
      </c>
      <c r="AF204" s="3">
        <f>intermediate_results[[#This Row], [All cumulative times '[sec']]] / intermediate_results[[#This Row], [Team3 laps '[laps']]] - intermediate_results[[#This Row], [Total running average '[sec']]]</f>
        <v>0</v>
      </c>
      <c r="AG204" s="3">
        <f>intermediate_results[[#This Row], [All cumulative times '[sec']]] / intermediate_results[[#This Row], [Team4 laps '[laps']]] - intermediate_results[[#This Row], [Total running average '[sec']]]</f>
        <v>0</v>
      </c>
      <c r="AH204" s="3">
        <f>intermediate_results[[#This Row], [All cumulative times '[sec']]] / intermediate_results[[#This Row], [Team5 laps '[laps']]] - intermediate_results[[#This Row], [Total running average '[sec']]]</f>
        <v>0</v>
      </c>
      <c r="AI204" s="3">
        <f>intermediate_results[[#This Row], [All cumulative times '[sec']]] / intermediate_results[[#This Row], [Team6 laps '[laps']]] - intermediate_results[[#This Row], [Total running average '[sec']]]</f>
        <v>0</v>
      </c>
      <c r="AJ204" s="3">
        <f>intermediate_results[[#This Row], [All cumulative times '[sec']]] / intermediate_results[[#This Row], [Team7 laps '[laps']]] - intermediate_results[[#This Row], [Total running average '[sec']]]</f>
        <v>0</v>
      </c>
      <c r="AK204" s="3">
        <f>intermediate_results[[#This Row], [All cumulative times '[sec']]] / intermediate_results[[#This Row], [Team8 laps '[laps']]] - intermediate_results[[#This Row], [Total running average '[sec']]]</f>
        <v>0</v>
      </c>
      <c r="AL204" s="3">
        <f>intermediate_results[[#This Row], [All cumulative times '[sec']]] / intermediate_results[[#This Row], [Team9 laps '[laps']]] - intermediate_results[[#This Row], [Total running average '[sec']]]</f>
        <v>0</v>
      </c>
    </row>
    <row r="205" spans="1:38">
      <c r="A205" s="3">
        <v>1262.677</v>
      </c>
      <c r="B20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5" s="3">
        <f>intermediate_results[[#This Row], [Team1 laps '[laps']]] - intermediate_results[[#This Row], [Team1 laps '[laps']]]</f>
        <v>0</v>
      </c>
      <c r="L205" s="3">
        <f>intermediate_results[[#This Row], [Team1 laps '[laps']]] - intermediate_results[[#This Row], [Team2 laps '[laps']]]</f>
        <v>0</v>
      </c>
      <c r="M205" s="3">
        <f>intermediate_results[[#This Row], [Team1 laps '[laps']]] - intermediate_results[[#This Row], [Team3 laps '[laps']]]</f>
        <v>0</v>
      </c>
      <c r="N205" s="3">
        <f>intermediate_results[[#This Row], [Team1 laps '[laps']]] - intermediate_results[[#This Row], [Team4 laps '[laps']]]</f>
        <v>0</v>
      </c>
      <c r="O205" s="3">
        <f>intermediate_results[[#This Row], [Team1 laps '[laps']]] - intermediate_results[[#This Row], [Team5 laps '[laps']]]</f>
        <v>0</v>
      </c>
      <c r="P205" s="3">
        <f>intermediate_results[[#This Row], [Team1 laps '[laps']]] - intermediate_results[[#This Row], [Team6 laps '[laps']]]</f>
        <v>0</v>
      </c>
      <c r="Q205" s="3">
        <f>intermediate_results[[#This Row], [Team1 laps '[laps']]] - intermediate_results[[#This Row], [Team7 laps '[laps']]]</f>
        <v>0</v>
      </c>
      <c r="R205" s="3">
        <f>intermediate_results[[#This Row], [Team1 laps '[laps']]] - intermediate_results[[#This Row], [Team8 laps '[laps']]]</f>
        <v>0</v>
      </c>
      <c r="S205" s="3">
        <f>intermediate_results[[#This Row], [Team1 laps '[laps']]] - intermediate_results[[#This Row], [Team9 laps '[laps']]]</f>
        <v>0</v>
      </c>
      <c r="T205" s="3">
        <f>MAX(intermediate_results[[#This Row], [Team1 laps '[laps']]:[Team9 laps '[laps']]]) - intermediate_results[[#This Row], [Team1 laps '[laps']]]</f>
        <v>0</v>
      </c>
      <c r="U205" s="3">
        <f>MAX(intermediate_results[[#This Row], [Team1 laps '[laps']]:[Team9 laps '[laps']]]) - intermediate_results[[#This Row], [Team2 laps '[laps']]]</f>
        <v>0</v>
      </c>
      <c r="V205" s="3">
        <f>MAX(intermediate_results[[#This Row], [Team1 laps '[laps']]:[Team9 laps '[laps']]]) - intermediate_results[[#This Row], [Team3 laps '[laps']]]</f>
        <v>0</v>
      </c>
      <c r="W205" s="3">
        <f>MAX(intermediate_results[[#This Row], [Team1 laps '[laps']]:[Team9 laps '[laps']]]) - intermediate_results[[#This Row], [Team4 laps '[laps']]]</f>
        <v>0</v>
      </c>
      <c r="X205" s="3">
        <f>MAX(intermediate_results[[#This Row], [Team1 laps '[laps']]:[Team9 laps '[laps']]]) - intermediate_results[[#This Row], [Team5 laps '[laps']]]</f>
        <v>0</v>
      </c>
      <c r="Y205" s="3">
        <f>MAX(intermediate_results[[#This Row], [Team1 laps '[laps']]:[Team9 laps '[laps']]]) - intermediate_results[[#This Row], [Team6 laps '[laps']]]</f>
        <v>0</v>
      </c>
      <c r="Z205" s="3">
        <f>MAX(intermediate_results[[#This Row], [Team1 laps '[laps']]:[Team9 laps '[laps']]]) - intermediate_results[[#This Row], [Team7 laps '[laps']]]</f>
        <v>0</v>
      </c>
      <c r="AA205" s="3">
        <f>MAX(intermediate_results[[#This Row], [Team1 laps '[laps']]:[Team9 laps '[laps']]]) - intermediate_results[[#This Row], [Team8 laps '[laps']]]</f>
        <v>0</v>
      </c>
      <c r="AB205" s="3">
        <f>MAX(intermediate_results[[#This Row], [Team1 laps '[laps']]:[Team9 laps '[laps']]]) - intermediate_results[[#This Row], [Team9 laps '[laps']]]</f>
        <v>0</v>
      </c>
      <c r="AC205" s="3">
        <f>9 * intermediate_results[[#This Row], [All cumulative times '[sec']]] / SUM(intermediate_results[[#This Row], [Team1 laps '[laps']]:[Team9 laps '[laps']]])</f>
        <v>0</v>
      </c>
      <c r="AD205" s="3">
        <f>intermediate_results[[#This Row], [All cumulative times '[sec']]] / intermediate_results[[#This Row], [Team1 laps '[laps']]] - intermediate_results[[#This Row], [Total running average '[sec']]]</f>
        <v>0</v>
      </c>
      <c r="AE205" s="3">
        <f>intermediate_results[[#This Row], [All cumulative times '[sec']]] / intermediate_results[[#This Row], [Team2 laps '[laps']]] - intermediate_results[[#This Row], [Total running average '[sec']]]</f>
        <v>0</v>
      </c>
      <c r="AF205" s="3">
        <f>intermediate_results[[#This Row], [All cumulative times '[sec']]] / intermediate_results[[#This Row], [Team3 laps '[laps']]] - intermediate_results[[#This Row], [Total running average '[sec']]]</f>
        <v>0</v>
      </c>
      <c r="AG205" s="3">
        <f>intermediate_results[[#This Row], [All cumulative times '[sec']]] / intermediate_results[[#This Row], [Team4 laps '[laps']]] - intermediate_results[[#This Row], [Total running average '[sec']]]</f>
        <v>0</v>
      </c>
      <c r="AH205" s="3">
        <f>intermediate_results[[#This Row], [All cumulative times '[sec']]] / intermediate_results[[#This Row], [Team5 laps '[laps']]] - intermediate_results[[#This Row], [Total running average '[sec']]]</f>
        <v>0</v>
      </c>
      <c r="AI205" s="3">
        <f>intermediate_results[[#This Row], [All cumulative times '[sec']]] / intermediate_results[[#This Row], [Team6 laps '[laps']]] - intermediate_results[[#This Row], [Total running average '[sec']]]</f>
        <v>0</v>
      </c>
      <c r="AJ205" s="3">
        <f>intermediate_results[[#This Row], [All cumulative times '[sec']]] / intermediate_results[[#This Row], [Team7 laps '[laps']]] - intermediate_results[[#This Row], [Total running average '[sec']]]</f>
        <v>0</v>
      </c>
      <c r="AK205" s="3">
        <f>intermediate_results[[#This Row], [All cumulative times '[sec']]] / intermediate_results[[#This Row], [Team8 laps '[laps']]] - intermediate_results[[#This Row], [Total running average '[sec']]]</f>
        <v>0</v>
      </c>
      <c r="AL205" s="3">
        <f>intermediate_results[[#This Row], [All cumulative times '[sec']]] / intermediate_results[[#This Row], [Team9 laps '[laps']]] - intermediate_results[[#This Row], [Total running average '[sec']]]</f>
        <v>0</v>
      </c>
    </row>
    <row r="206" spans="1:38">
      <c r="A206" s="3">
        <v>1264.936</v>
      </c>
      <c r="B20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6" s="3">
        <f>intermediate_results[[#This Row], [Team1 laps '[laps']]] - intermediate_results[[#This Row], [Team1 laps '[laps']]]</f>
        <v>0</v>
      </c>
      <c r="L206" s="3">
        <f>intermediate_results[[#This Row], [Team1 laps '[laps']]] - intermediate_results[[#This Row], [Team2 laps '[laps']]]</f>
        <v>0</v>
      </c>
      <c r="M206" s="3">
        <f>intermediate_results[[#This Row], [Team1 laps '[laps']]] - intermediate_results[[#This Row], [Team3 laps '[laps']]]</f>
        <v>0</v>
      </c>
      <c r="N206" s="3">
        <f>intermediate_results[[#This Row], [Team1 laps '[laps']]] - intermediate_results[[#This Row], [Team4 laps '[laps']]]</f>
        <v>0</v>
      </c>
      <c r="O206" s="3">
        <f>intermediate_results[[#This Row], [Team1 laps '[laps']]] - intermediate_results[[#This Row], [Team5 laps '[laps']]]</f>
        <v>0</v>
      </c>
      <c r="P206" s="3">
        <f>intermediate_results[[#This Row], [Team1 laps '[laps']]] - intermediate_results[[#This Row], [Team6 laps '[laps']]]</f>
        <v>0</v>
      </c>
      <c r="Q206" s="3">
        <f>intermediate_results[[#This Row], [Team1 laps '[laps']]] - intermediate_results[[#This Row], [Team7 laps '[laps']]]</f>
        <v>0</v>
      </c>
      <c r="R206" s="3">
        <f>intermediate_results[[#This Row], [Team1 laps '[laps']]] - intermediate_results[[#This Row], [Team8 laps '[laps']]]</f>
        <v>0</v>
      </c>
      <c r="S206" s="3">
        <f>intermediate_results[[#This Row], [Team1 laps '[laps']]] - intermediate_results[[#This Row], [Team9 laps '[laps']]]</f>
        <v>0</v>
      </c>
      <c r="T206" s="3">
        <f>MAX(intermediate_results[[#This Row], [Team1 laps '[laps']]:[Team9 laps '[laps']]]) - intermediate_results[[#This Row], [Team1 laps '[laps']]]</f>
        <v>0</v>
      </c>
      <c r="U206" s="3">
        <f>MAX(intermediate_results[[#This Row], [Team1 laps '[laps']]:[Team9 laps '[laps']]]) - intermediate_results[[#This Row], [Team2 laps '[laps']]]</f>
        <v>0</v>
      </c>
      <c r="V206" s="3">
        <f>MAX(intermediate_results[[#This Row], [Team1 laps '[laps']]:[Team9 laps '[laps']]]) - intermediate_results[[#This Row], [Team3 laps '[laps']]]</f>
        <v>0</v>
      </c>
      <c r="W206" s="3">
        <f>MAX(intermediate_results[[#This Row], [Team1 laps '[laps']]:[Team9 laps '[laps']]]) - intermediate_results[[#This Row], [Team4 laps '[laps']]]</f>
        <v>0</v>
      </c>
      <c r="X206" s="3">
        <f>MAX(intermediate_results[[#This Row], [Team1 laps '[laps']]:[Team9 laps '[laps']]]) - intermediate_results[[#This Row], [Team5 laps '[laps']]]</f>
        <v>0</v>
      </c>
      <c r="Y206" s="3">
        <f>MAX(intermediate_results[[#This Row], [Team1 laps '[laps']]:[Team9 laps '[laps']]]) - intermediate_results[[#This Row], [Team6 laps '[laps']]]</f>
        <v>0</v>
      </c>
      <c r="Z206" s="3">
        <f>MAX(intermediate_results[[#This Row], [Team1 laps '[laps']]:[Team9 laps '[laps']]]) - intermediate_results[[#This Row], [Team7 laps '[laps']]]</f>
        <v>0</v>
      </c>
      <c r="AA206" s="3">
        <f>MAX(intermediate_results[[#This Row], [Team1 laps '[laps']]:[Team9 laps '[laps']]]) - intermediate_results[[#This Row], [Team8 laps '[laps']]]</f>
        <v>0</v>
      </c>
      <c r="AB206" s="3">
        <f>MAX(intermediate_results[[#This Row], [Team1 laps '[laps']]:[Team9 laps '[laps']]]) - intermediate_results[[#This Row], [Team9 laps '[laps']]]</f>
        <v>0</v>
      </c>
      <c r="AC206" s="3">
        <f>9 * intermediate_results[[#This Row], [All cumulative times '[sec']]] / SUM(intermediate_results[[#This Row], [Team1 laps '[laps']]:[Team9 laps '[laps']]])</f>
        <v>0</v>
      </c>
      <c r="AD206" s="3">
        <f>intermediate_results[[#This Row], [All cumulative times '[sec']]] / intermediate_results[[#This Row], [Team1 laps '[laps']]] - intermediate_results[[#This Row], [Total running average '[sec']]]</f>
        <v>0</v>
      </c>
      <c r="AE206" s="3">
        <f>intermediate_results[[#This Row], [All cumulative times '[sec']]] / intermediate_results[[#This Row], [Team2 laps '[laps']]] - intermediate_results[[#This Row], [Total running average '[sec']]]</f>
        <v>0</v>
      </c>
      <c r="AF206" s="3">
        <f>intermediate_results[[#This Row], [All cumulative times '[sec']]] / intermediate_results[[#This Row], [Team3 laps '[laps']]] - intermediate_results[[#This Row], [Total running average '[sec']]]</f>
        <v>0</v>
      </c>
      <c r="AG206" s="3">
        <f>intermediate_results[[#This Row], [All cumulative times '[sec']]] / intermediate_results[[#This Row], [Team4 laps '[laps']]] - intermediate_results[[#This Row], [Total running average '[sec']]]</f>
        <v>0</v>
      </c>
      <c r="AH206" s="3">
        <f>intermediate_results[[#This Row], [All cumulative times '[sec']]] / intermediate_results[[#This Row], [Team5 laps '[laps']]] - intermediate_results[[#This Row], [Total running average '[sec']]]</f>
        <v>0</v>
      </c>
      <c r="AI206" s="3">
        <f>intermediate_results[[#This Row], [All cumulative times '[sec']]] / intermediate_results[[#This Row], [Team6 laps '[laps']]] - intermediate_results[[#This Row], [Total running average '[sec']]]</f>
        <v>0</v>
      </c>
      <c r="AJ206" s="3">
        <f>intermediate_results[[#This Row], [All cumulative times '[sec']]] / intermediate_results[[#This Row], [Team7 laps '[laps']]] - intermediate_results[[#This Row], [Total running average '[sec']]]</f>
        <v>0</v>
      </c>
      <c r="AK206" s="3">
        <f>intermediate_results[[#This Row], [All cumulative times '[sec']]] / intermediate_results[[#This Row], [Team8 laps '[laps']]] - intermediate_results[[#This Row], [Total running average '[sec']]]</f>
        <v>0</v>
      </c>
      <c r="AL206" s="3">
        <f>intermediate_results[[#This Row], [All cumulative times '[sec']]] / intermediate_results[[#This Row], [Team9 laps '[laps']]] - intermediate_results[[#This Row], [Total running average '[sec']]]</f>
        <v>0</v>
      </c>
    </row>
    <row r="207" spans="1:38">
      <c r="A207" s="3">
        <v>1274.206</v>
      </c>
      <c r="B20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7" s="3">
        <f>intermediate_results[[#This Row], [Team1 laps '[laps']]] - intermediate_results[[#This Row], [Team1 laps '[laps']]]</f>
        <v>0</v>
      </c>
      <c r="L207" s="3">
        <f>intermediate_results[[#This Row], [Team1 laps '[laps']]] - intermediate_results[[#This Row], [Team2 laps '[laps']]]</f>
        <v>0</v>
      </c>
      <c r="M207" s="3">
        <f>intermediate_results[[#This Row], [Team1 laps '[laps']]] - intermediate_results[[#This Row], [Team3 laps '[laps']]]</f>
        <v>0</v>
      </c>
      <c r="N207" s="3">
        <f>intermediate_results[[#This Row], [Team1 laps '[laps']]] - intermediate_results[[#This Row], [Team4 laps '[laps']]]</f>
        <v>0</v>
      </c>
      <c r="O207" s="3">
        <f>intermediate_results[[#This Row], [Team1 laps '[laps']]] - intermediate_results[[#This Row], [Team5 laps '[laps']]]</f>
        <v>0</v>
      </c>
      <c r="P207" s="3">
        <f>intermediate_results[[#This Row], [Team1 laps '[laps']]] - intermediate_results[[#This Row], [Team6 laps '[laps']]]</f>
        <v>0</v>
      </c>
      <c r="Q207" s="3">
        <f>intermediate_results[[#This Row], [Team1 laps '[laps']]] - intermediate_results[[#This Row], [Team7 laps '[laps']]]</f>
        <v>0</v>
      </c>
      <c r="R207" s="3">
        <f>intermediate_results[[#This Row], [Team1 laps '[laps']]] - intermediate_results[[#This Row], [Team8 laps '[laps']]]</f>
        <v>0</v>
      </c>
      <c r="S207" s="3">
        <f>intermediate_results[[#This Row], [Team1 laps '[laps']]] - intermediate_results[[#This Row], [Team9 laps '[laps']]]</f>
        <v>0</v>
      </c>
      <c r="T207" s="3">
        <f>MAX(intermediate_results[[#This Row], [Team1 laps '[laps']]:[Team9 laps '[laps']]]) - intermediate_results[[#This Row], [Team1 laps '[laps']]]</f>
        <v>0</v>
      </c>
      <c r="U207" s="3">
        <f>MAX(intermediate_results[[#This Row], [Team1 laps '[laps']]:[Team9 laps '[laps']]]) - intermediate_results[[#This Row], [Team2 laps '[laps']]]</f>
        <v>0</v>
      </c>
      <c r="V207" s="3">
        <f>MAX(intermediate_results[[#This Row], [Team1 laps '[laps']]:[Team9 laps '[laps']]]) - intermediate_results[[#This Row], [Team3 laps '[laps']]]</f>
        <v>0</v>
      </c>
      <c r="W207" s="3">
        <f>MAX(intermediate_results[[#This Row], [Team1 laps '[laps']]:[Team9 laps '[laps']]]) - intermediate_results[[#This Row], [Team4 laps '[laps']]]</f>
        <v>0</v>
      </c>
      <c r="X207" s="3">
        <f>MAX(intermediate_results[[#This Row], [Team1 laps '[laps']]:[Team9 laps '[laps']]]) - intermediate_results[[#This Row], [Team5 laps '[laps']]]</f>
        <v>0</v>
      </c>
      <c r="Y207" s="3">
        <f>MAX(intermediate_results[[#This Row], [Team1 laps '[laps']]:[Team9 laps '[laps']]]) - intermediate_results[[#This Row], [Team6 laps '[laps']]]</f>
        <v>0</v>
      </c>
      <c r="Z207" s="3">
        <f>MAX(intermediate_results[[#This Row], [Team1 laps '[laps']]:[Team9 laps '[laps']]]) - intermediate_results[[#This Row], [Team7 laps '[laps']]]</f>
        <v>0</v>
      </c>
      <c r="AA207" s="3">
        <f>MAX(intermediate_results[[#This Row], [Team1 laps '[laps']]:[Team9 laps '[laps']]]) - intermediate_results[[#This Row], [Team8 laps '[laps']]]</f>
        <v>0</v>
      </c>
      <c r="AB207" s="3">
        <f>MAX(intermediate_results[[#This Row], [Team1 laps '[laps']]:[Team9 laps '[laps']]]) - intermediate_results[[#This Row], [Team9 laps '[laps']]]</f>
        <v>0</v>
      </c>
      <c r="AC207" s="3">
        <f>9 * intermediate_results[[#This Row], [All cumulative times '[sec']]] / SUM(intermediate_results[[#This Row], [Team1 laps '[laps']]:[Team9 laps '[laps']]])</f>
        <v>0</v>
      </c>
      <c r="AD207" s="3">
        <f>intermediate_results[[#This Row], [All cumulative times '[sec']]] / intermediate_results[[#This Row], [Team1 laps '[laps']]] - intermediate_results[[#This Row], [Total running average '[sec']]]</f>
        <v>0</v>
      </c>
      <c r="AE207" s="3">
        <f>intermediate_results[[#This Row], [All cumulative times '[sec']]] / intermediate_results[[#This Row], [Team2 laps '[laps']]] - intermediate_results[[#This Row], [Total running average '[sec']]]</f>
        <v>0</v>
      </c>
      <c r="AF207" s="3">
        <f>intermediate_results[[#This Row], [All cumulative times '[sec']]] / intermediate_results[[#This Row], [Team3 laps '[laps']]] - intermediate_results[[#This Row], [Total running average '[sec']]]</f>
        <v>0</v>
      </c>
      <c r="AG207" s="3">
        <f>intermediate_results[[#This Row], [All cumulative times '[sec']]] / intermediate_results[[#This Row], [Team4 laps '[laps']]] - intermediate_results[[#This Row], [Total running average '[sec']]]</f>
        <v>0</v>
      </c>
      <c r="AH207" s="3">
        <f>intermediate_results[[#This Row], [All cumulative times '[sec']]] / intermediate_results[[#This Row], [Team5 laps '[laps']]] - intermediate_results[[#This Row], [Total running average '[sec']]]</f>
        <v>0</v>
      </c>
      <c r="AI207" s="3">
        <f>intermediate_results[[#This Row], [All cumulative times '[sec']]] / intermediate_results[[#This Row], [Team6 laps '[laps']]] - intermediate_results[[#This Row], [Total running average '[sec']]]</f>
        <v>0</v>
      </c>
      <c r="AJ207" s="3">
        <f>intermediate_results[[#This Row], [All cumulative times '[sec']]] / intermediate_results[[#This Row], [Team7 laps '[laps']]] - intermediate_results[[#This Row], [Total running average '[sec']]]</f>
        <v>0</v>
      </c>
      <c r="AK207" s="3">
        <f>intermediate_results[[#This Row], [All cumulative times '[sec']]] / intermediate_results[[#This Row], [Team8 laps '[laps']]] - intermediate_results[[#This Row], [Total running average '[sec']]]</f>
        <v>0</v>
      </c>
      <c r="AL207" s="3">
        <f>intermediate_results[[#This Row], [All cumulative times '[sec']]] / intermediate_results[[#This Row], [Team9 laps '[laps']]] - intermediate_results[[#This Row], [Total running average '[sec']]]</f>
        <v>0</v>
      </c>
    </row>
    <row r="208" spans="1:38">
      <c r="A208" s="3">
        <v>1278.503</v>
      </c>
      <c r="B20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8" s="3">
        <f>intermediate_results[[#This Row], [Team1 laps '[laps']]] - intermediate_results[[#This Row], [Team1 laps '[laps']]]</f>
        <v>0</v>
      </c>
      <c r="L208" s="3">
        <f>intermediate_results[[#This Row], [Team1 laps '[laps']]] - intermediate_results[[#This Row], [Team2 laps '[laps']]]</f>
        <v>0</v>
      </c>
      <c r="M208" s="3">
        <f>intermediate_results[[#This Row], [Team1 laps '[laps']]] - intermediate_results[[#This Row], [Team3 laps '[laps']]]</f>
        <v>0</v>
      </c>
      <c r="N208" s="3">
        <f>intermediate_results[[#This Row], [Team1 laps '[laps']]] - intermediate_results[[#This Row], [Team4 laps '[laps']]]</f>
        <v>0</v>
      </c>
      <c r="O208" s="3">
        <f>intermediate_results[[#This Row], [Team1 laps '[laps']]] - intermediate_results[[#This Row], [Team5 laps '[laps']]]</f>
        <v>0</v>
      </c>
      <c r="P208" s="3">
        <f>intermediate_results[[#This Row], [Team1 laps '[laps']]] - intermediate_results[[#This Row], [Team6 laps '[laps']]]</f>
        <v>0</v>
      </c>
      <c r="Q208" s="3">
        <f>intermediate_results[[#This Row], [Team1 laps '[laps']]] - intermediate_results[[#This Row], [Team7 laps '[laps']]]</f>
        <v>0</v>
      </c>
      <c r="R208" s="3">
        <f>intermediate_results[[#This Row], [Team1 laps '[laps']]] - intermediate_results[[#This Row], [Team8 laps '[laps']]]</f>
        <v>0</v>
      </c>
      <c r="S208" s="3">
        <f>intermediate_results[[#This Row], [Team1 laps '[laps']]] - intermediate_results[[#This Row], [Team9 laps '[laps']]]</f>
        <v>0</v>
      </c>
      <c r="T208" s="3">
        <f>MAX(intermediate_results[[#This Row], [Team1 laps '[laps']]:[Team9 laps '[laps']]]) - intermediate_results[[#This Row], [Team1 laps '[laps']]]</f>
        <v>0</v>
      </c>
      <c r="U208" s="3">
        <f>MAX(intermediate_results[[#This Row], [Team1 laps '[laps']]:[Team9 laps '[laps']]]) - intermediate_results[[#This Row], [Team2 laps '[laps']]]</f>
        <v>0</v>
      </c>
      <c r="V208" s="3">
        <f>MAX(intermediate_results[[#This Row], [Team1 laps '[laps']]:[Team9 laps '[laps']]]) - intermediate_results[[#This Row], [Team3 laps '[laps']]]</f>
        <v>0</v>
      </c>
      <c r="W208" s="3">
        <f>MAX(intermediate_results[[#This Row], [Team1 laps '[laps']]:[Team9 laps '[laps']]]) - intermediate_results[[#This Row], [Team4 laps '[laps']]]</f>
        <v>0</v>
      </c>
      <c r="X208" s="3">
        <f>MAX(intermediate_results[[#This Row], [Team1 laps '[laps']]:[Team9 laps '[laps']]]) - intermediate_results[[#This Row], [Team5 laps '[laps']]]</f>
        <v>0</v>
      </c>
      <c r="Y208" s="3">
        <f>MAX(intermediate_results[[#This Row], [Team1 laps '[laps']]:[Team9 laps '[laps']]]) - intermediate_results[[#This Row], [Team6 laps '[laps']]]</f>
        <v>0</v>
      </c>
      <c r="Z208" s="3">
        <f>MAX(intermediate_results[[#This Row], [Team1 laps '[laps']]:[Team9 laps '[laps']]]) - intermediate_results[[#This Row], [Team7 laps '[laps']]]</f>
        <v>0</v>
      </c>
      <c r="AA208" s="3">
        <f>MAX(intermediate_results[[#This Row], [Team1 laps '[laps']]:[Team9 laps '[laps']]]) - intermediate_results[[#This Row], [Team8 laps '[laps']]]</f>
        <v>0</v>
      </c>
      <c r="AB208" s="3">
        <f>MAX(intermediate_results[[#This Row], [Team1 laps '[laps']]:[Team9 laps '[laps']]]) - intermediate_results[[#This Row], [Team9 laps '[laps']]]</f>
        <v>0</v>
      </c>
      <c r="AC208" s="3">
        <f>9 * intermediate_results[[#This Row], [All cumulative times '[sec']]] / SUM(intermediate_results[[#This Row], [Team1 laps '[laps']]:[Team9 laps '[laps']]])</f>
        <v>0</v>
      </c>
      <c r="AD208" s="3">
        <f>intermediate_results[[#This Row], [All cumulative times '[sec']]] / intermediate_results[[#This Row], [Team1 laps '[laps']]] - intermediate_results[[#This Row], [Total running average '[sec']]]</f>
        <v>0</v>
      </c>
      <c r="AE208" s="3">
        <f>intermediate_results[[#This Row], [All cumulative times '[sec']]] / intermediate_results[[#This Row], [Team2 laps '[laps']]] - intermediate_results[[#This Row], [Total running average '[sec']]]</f>
        <v>0</v>
      </c>
      <c r="AF208" s="3">
        <f>intermediate_results[[#This Row], [All cumulative times '[sec']]] / intermediate_results[[#This Row], [Team3 laps '[laps']]] - intermediate_results[[#This Row], [Total running average '[sec']]]</f>
        <v>0</v>
      </c>
      <c r="AG208" s="3">
        <f>intermediate_results[[#This Row], [All cumulative times '[sec']]] / intermediate_results[[#This Row], [Team4 laps '[laps']]] - intermediate_results[[#This Row], [Total running average '[sec']]]</f>
        <v>0</v>
      </c>
      <c r="AH208" s="3">
        <f>intermediate_results[[#This Row], [All cumulative times '[sec']]] / intermediate_results[[#This Row], [Team5 laps '[laps']]] - intermediate_results[[#This Row], [Total running average '[sec']]]</f>
        <v>0</v>
      </c>
      <c r="AI208" s="3">
        <f>intermediate_results[[#This Row], [All cumulative times '[sec']]] / intermediate_results[[#This Row], [Team6 laps '[laps']]] - intermediate_results[[#This Row], [Total running average '[sec']]]</f>
        <v>0</v>
      </c>
      <c r="AJ208" s="3">
        <f>intermediate_results[[#This Row], [All cumulative times '[sec']]] / intermediate_results[[#This Row], [Team7 laps '[laps']]] - intermediate_results[[#This Row], [Total running average '[sec']]]</f>
        <v>0</v>
      </c>
      <c r="AK208" s="3">
        <f>intermediate_results[[#This Row], [All cumulative times '[sec']]] / intermediate_results[[#This Row], [Team8 laps '[laps']]] - intermediate_results[[#This Row], [Total running average '[sec']]]</f>
        <v>0</v>
      </c>
      <c r="AL208" s="3">
        <f>intermediate_results[[#This Row], [All cumulative times '[sec']]] / intermediate_results[[#This Row], [Team9 laps '[laps']]] - intermediate_results[[#This Row], [Total running average '[sec']]]</f>
        <v>0</v>
      </c>
    </row>
    <row r="209" spans="1:38">
      <c r="A209" s="3">
        <v>1289.805</v>
      </c>
      <c r="B20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0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0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0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0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0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0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0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0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09" s="3">
        <f>intermediate_results[[#This Row], [Team1 laps '[laps']]] - intermediate_results[[#This Row], [Team1 laps '[laps']]]</f>
        <v>0</v>
      </c>
      <c r="L209" s="3">
        <f>intermediate_results[[#This Row], [Team1 laps '[laps']]] - intermediate_results[[#This Row], [Team2 laps '[laps']]]</f>
        <v>0</v>
      </c>
      <c r="M209" s="3">
        <f>intermediate_results[[#This Row], [Team1 laps '[laps']]] - intermediate_results[[#This Row], [Team3 laps '[laps']]]</f>
        <v>0</v>
      </c>
      <c r="N209" s="3">
        <f>intermediate_results[[#This Row], [Team1 laps '[laps']]] - intermediate_results[[#This Row], [Team4 laps '[laps']]]</f>
        <v>0</v>
      </c>
      <c r="O209" s="3">
        <f>intermediate_results[[#This Row], [Team1 laps '[laps']]] - intermediate_results[[#This Row], [Team5 laps '[laps']]]</f>
        <v>0</v>
      </c>
      <c r="P209" s="3">
        <f>intermediate_results[[#This Row], [Team1 laps '[laps']]] - intermediate_results[[#This Row], [Team6 laps '[laps']]]</f>
        <v>0</v>
      </c>
      <c r="Q209" s="3">
        <f>intermediate_results[[#This Row], [Team1 laps '[laps']]] - intermediate_results[[#This Row], [Team7 laps '[laps']]]</f>
        <v>0</v>
      </c>
      <c r="R209" s="3">
        <f>intermediate_results[[#This Row], [Team1 laps '[laps']]] - intermediate_results[[#This Row], [Team8 laps '[laps']]]</f>
        <v>0</v>
      </c>
      <c r="S209" s="3">
        <f>intermediate_results[[#This Row], [Team1 laps '[laps']]] - intermediate_results[[#This Row], [Team9 laps '[laps']]]</f>
        <v>0</v>
      </c>
      <c r="T209" s="3">
        <f>MAX(intermediate_results[[#This Row], [Team1 laps '[laps']]:[Team9 laps '[laps']]]) - intermediate_results[[#This Row], [Team1 laps '[laps']]]</f>
        <v>0</v>
      </c>
      <c r="U209" s="3">
        <f>MAX(intermediate_results[[#This Row], [Team1 laps '[laps']]:[Team9 laps '[laps']]]) - intermediate_results[[#This Row], [Team2 laps '[laps']]]</f>
        <v>0</v>
      </c>
      <c r="V209" s="3">
        <f>MAX(intermediate_results[[#This Row], [Team1 laps '[laps']]:[Team9 laps '[laps']]]) - intermediate_results[[#This Row], [Team3 laps '[laps']]]</f>
        <v>0</v>
      </c>
      <c r="W209" s="3">
        <f>MAX(intermediate_results[[#This Row], [Team1 laps '[laps']]:[Team9 laps '[laps']]]) - intermediate_results[[#This Row], [Team4 laps '[laps']]]</f>
        <v>0</v>
      </c>
      <c r="X209" s="3">
        <f>MAX(intermediate_results[[#This Row], [Team1 laps '[laps']]:[Team9 laps '[laps']]]) - intermediate_results[[#This Row], [Team5 laps '[laps']]]</f>
        <v>0</v>
      </c>
      <c r="Y209" s="3">
        <f>MAX(intermediate_results[[#This Row], [Team1 laps '[laps']]:[Team9 laps '[laps']]]) - intermediate_results[[#This Row], [Team6 laps '[laps']]]</f>
        <v>0</v>
      </c>
      <c r="Z209" s="3">
        <f>MAX(intermediate_results[[#This Row], [Team1 laps '[laps']]:[Team9 laps '[laps']]]) - intermediate_results[[#This Row], [Team7 laps '[laps']]]</f>
        <v>0</v>
      </c>
      <c r="AA209" s="3">
        <f>MAX(intermediate_results[[#This Row], [Team1 laps '[laps']]:[Team9 laps '[laps']]]) - intermediate_results[[#This Row], [Team8 laps '[laps']]]</f>
        <v>0</v>
      </c>
      <c r="AB209" s="3">
        <f>MAX(intermediate_results[[#This Row], [Team1 laps '[laps']]:[Team9 laps '[laps']]]) - intermediate_results[[#This Row], [Team9 laps '[laps']]]</f>
        <v>0</v>
      </c>
      <c r="AC209" s="3">
        <f>9 * intermediate_results[[#This Row], [All cumulative times '[sec']]] / SUM(intermediate_results[[#This Row], [Team1 laps '[laps']]:[Team9 laps '[laps']]])</f>
        <v>0</v>
      </c>
      <c r="AD209" s="3">
        <f>intermediate_results[[#This Row], [All cumulative times '[sec']]] / intermediate_results[[#This Row], [Team1 laps '[laps']]] - intermediate_results[[#This Row], [Total running average '[sec']]]</f>
        <v>0</v>
      </c>
      <c r="AE209" s="3">
        <f>intermediate_results[[#This Row], [All cumulative times '[sec']]] / intermediate_results[[#This Row], [Team2 laps '[laps']]] - intermediate_results[[#This Row], [Total running average '[sec']]]</f>
        <v>0</v>
      </c>
      <c r="AF209" s="3">
        <f>intermediate_results[[#This Row], [All cumulative times '[sec']]] / intermediate_results[[#This Row], [Team3 laps '[laps']]] - intermediate_results[[#This Row], [Total running average '[sec']]]</f>
        <v>0</v>
      </c>
      <c r="AG209" s="3">
        <f>intermediate_results[[#This Row], [All cumulative times '[sec']]] / intermediate_results[[#This Row], [Team4 laps '[laps']]] - intermediate_results[[#This Row], [Total running average '[sec']]]</f>
        <v>0</v>
      </c>
      <c r="AH209" s="3">
        <f>intermediate_results[[#This Row], [All cumulative times '[sec']]] / intermediate_results[[#This Row], [Team5 laps '[laps']]] - intermediate_results[[#This Row], [Total running average '[sec']]]</f>
        <v>0</v>
      </c>
      <c r="AI209" s="3">
        <f>intermediate_results[[#This Row], [All cumulative times '[sec']]] / intermediate_results[[#This Row], [Team6 laps '[laps']]] - intermediate_results[[#This Row], [Total running average '[sec']]]</f>
        <v>0</v>
      </c>
      <c r="AJ209" s="3">
        <f>intermediate_results[[#This Row], [All cumulative times '[sec']]] / intermediate_results[[#This Row], [Team7 laps '[laps']]] - intermediate_results[[#This Row], [Total running average '[sec']]]</f>
        <v>0</v>
      </c>
      <c r="AK209" s="3">
        <f>intermediate_results[[#This Row], [All cumulative times '[sec']]] / intermediate_results[[#This Row], [Team8 laps '[laps']]] - intermediate_results[[#This Row], [Total running average '[sec']]]</f>
        <v>0</v>
      </c>
      <c r="AL209" s="3">
        <f>intermediate_results[[#This Row], [All cumulative times '[sec']]] / intermediate_results[[#This Row], [Team9 laps '[laps']]] - intermediate_results[[#This Row], [Total running average '[sec']]]</f>
        <v>0</v>
      </c>
    </row>
    <row r="210" spans="1:38">
      <c r="A210" s="3">
        <v>1295.049</v>
      </c>
      <c r="B21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0" s="3">
        <f>intermediate_results[[#This Row], [Team1 laps '[laps']]] - intermediate_results[[#This Row], [Team1 laps '[laps']]]</f>
        <v>0</v>
      </c>
      <c r="L210" s="3">
        <f>intermediate_results[[#This Row], [Team1 laps '[laps']]] - intermediate_results[[#This Row], [Team2 laps '[laps']]]</f>
        <v>0</v>
      </c>
      <c r="M210" s="3">
        <f>intermediate_results[[#This Row], [Team1 laps '[laps']]] - intermediate_results[[#This Row], [Team3 laps '[laps']]]</f>
        <v>0</v>
      </c>
      <c r="N210" s="3">
        <f>intermediate_results[[#This Row], [Team1 laps '[laps']]] - intermediate_results[[#This Row], [Team4 laps '[laps']]]</f>
        <v>0</v>
      </c>
      <c r="O210" s="3">
        <f>intermediate_results[[#This Row], [Team1 laps '[laps']]] - intermediate_results[[#This Row], [Team5 laps '[laps']]]</f>
        <v>0</v>
      </c>
      <c r="P210" s="3">
        <f>intermediate_results[[#This Row], [Team1 laps '[laps']]] - intermediate_results[[#This Row], [Team6 laps '[laps']]]</f>
        <v>0</v>
      </c>
      <c r="Q210" s="3">
        <f>intermediate_results[[#This Row], [Team1 laps '[laps']]] - intermediate_results[[#This Row], [Team7 laps '[laps']]]</f>
        <v>0</v>
      </c>
      <c r="R210" s="3">
        <f>intermediate_results[[#This Row], [Team1 laps '[laps']]] - intermediate_results[[#This Row], [Team8 laps '[laps']]]</f>
        <v>0</v>
      </c>
      <c r="S210" s="3">
        <f>intermediate_results[[#This Row], [Team1 laps '[laps']]] - intermediate_results[[#This Row], [Team9 laps '[laps']]]</f>
        <v>0</v>
      </c>
      <c r="T210" s="3">
        <f>MAX(intermediate_results[[#This Row], [Team1 laps '[laps']]:[Team9 laps '[laps']]]) - intermediate_results[[#This Row], [Team1 laps '[laps']]]</f>
        <v>0</v>
      </c>
      <c r="U210" s="3">
        <f>MAX(intermediate_results[[#This Row], [Team1 laps '[laps']]:[Team9 laps '[laps']]]) - intermediate_results[[#This Row], [Team2 laps '[laps']]]</f>
        <v>0</v>
      </c>
      <c r="V210" s="3">
        <f>MAX(intermediate_results[[#This Row], [Team1 laps '[laps']]:[Team9 laps '[laps']]]) - intermediate_results[[#This Row], [Team3 laps '[laps']]]</f>
        <v>0</v>
      </c>
      <c r="W210" s="3">
        <f>MAX(intermediate_results[[#This Row], [Team1 laps '[laps']]:[Team9 laps '[laps']]]) - intermediate_results[[#This Row], [Team4 laps '[laps']]]</f>
        <v>0</v>
      </c>
      <c r="X210" s="3">
        <f>MAX(intermediate_results[[#This Row], [Team1 laps '[laps']]:[Team9 laps '[laps']]]) - intermediate_results[[#This Row], [Team5 laps '[laps']]]</f>
        <v>0</v>
      </c>
      <c r="Y210" s="3">
        <f>MAX(intermediate_results[[#This Row], [Team1 laps '[laps']]:[Team9 laps '[laps']]]) - intermediate_results[[#This Row], [Team6 laps '[laps']]]</f>
        <v>0</v>
      </c>
      <c r="Z210" s="3">
        <f>MAX(intermediate_results[[#This Row], [Team1 laps '[laps']]:[Team9 laps '[laps']]]) - intermediate_results[[#This Row], [Team7 laps '[laps']]]</f>
        <v>0</v>
      </c>
      <c r="AA210" s="3">
        <f>MAX(intermediate_results[[#This Row], [Team1 laps '[laps']]:[Team9 laps '[laps']]]) - intermediate_results[[#This Row], [Team8 laps '[laps']]]</f>
        <v>0</v>
      </c>
      <c r="AB210" s="3">
        <f>MAX(intermediate_results[[#This Row], [Team1 laps '[laps']]:[Team9 laps '[laps']]]) - intermediate_results[[#This Row], [Team9 laps '[laps']]]</f>
        <v>0</v>
      </c>
      <c r="AC210" s="3">
        <f>9 * intermediate_results[[#This Row], [All cumulative times '[sec']]] / SUM(intermediate_results[[#This Row], [Team1 laps '[laps']]:[Team9 laps '[laps']]])</f>
        <v>0</v>
      </c>
      <c r="AD210" s="3">
        <f>intermediate_results[[#This Row], [All cumulative times '[sec']]] / intermediate_results[[#This Row], [Team1 laps '[laps']]] - intermediate_results[[#This Row], [Total running average '[sec']]]</f>
        <v>0</v>
      </c>
      <c r="AE210" s="3">
        <f>intermediate_results[[#This Row], [All cumulative times '[sec']]] / intermediate_results[[#This Row], [Team2 laps '[laps']]] - intermediate_results[[#This Row], [Total running average '[sec']]]</f>
        <v>0</v>
      </c>
      <c r="AF210" s="3">
        <f>intermediate_results[[#This Row], [All cumulative times '[sec']]] / intermediate_results[[#This Row], [Team3 laps '[laps']]] - intermediate_results[[#This Row], [Total running average '[sec']]]</f>
        <v>0</v>
      </c>
      <c r="AG210" s="3">
        <f>intermediate_results[[#This Row], [All cumulative times '[sec']]] / intermediate_results[[#This Row], [Team4 laps '[laps']]] - intermediate_results[[#This Row], [Total running average '[sec']]]</f>
        <v>0</v>
      </c>
      <c r="AH210" s="3">
        <f>intermediate_results[[#This Row], [All cumulative times '[sec']]] / intermediate_results[[#This Row], [Team5 laps '[laps']]] - intermediate_results[[#This Row], [Total running average '[sec']]]</f>
        <v>0</v>
      </c>
      <c r="AI210" s="3">
        <f>intermediate_results[[#This Row], [All cumulative times '[sec']]] / intermediate_results[[#This Row], [Team6 laps '[laps']]] - intermediate_results[[#This Row], [Total running average '[sec']]]</f>
        <v>0</v>
      </c>
      <c r="AJ210" s="3">
        <f>intermediate_results[[#This Row], [All cumulative times '[sec']]] / intermediate_results[[#This Row], [Team7 laps '[laps']]] - intermediate_results[[#This Row], [Total running average '[sec']]]</f>
        <v>0</v>
      </c>
      <c r="AK210" s="3">
        <f>intermediate_results[[#This Row], [All cumulative times '[sec']]] / intermediate_results[[#This Row], [Team8 laps '[laps']]] - intermediate_results[[#This Row], [Total running average '[sec']]]</f>
        <v>0</v>
      </c>
      <c r="AL210" s="3">
        <f>intermediate_results[[#This Row], [All cumulative times '[sec']]] / intermediate_results[[#This Row], [Team9 laps '[laps']]] - intermediate_results[[#This Row], [Total running average '[sec']]]</f>
        <v>0</v>
      </c>
    </row>
    <row r="211" spans="1:38">
      <c r="A211" s="3">
        <v>1298.196999999999</v>
      </c>
      <c r="B21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1" s="3">
        <f>intermediate_results[[#This Row], [Team1 laps '[laps']]] - intermediate_results[[#This Row], [Team1 laps '[laps']]]</f>
        <v>0</v>
      </c>
      <c r="L211" s="3">
        <f>intermediate_results[[#This Row], [Team1 laps '[laps']]] - intermediate_results[[#This Row], [Team2 laps '[laps']]]</f>
        <v>0</v>
      </c>
      <c r="M211" s="3">
        <f>intermediate_results[[#This Row], [Team1 laps '[laps']]] - intermediate_results[[#This Row], [Team3 laps '[laps']]]</f>
        <v>0</v>
      </c>
      <c r="N211" s="3">
        <f>intermediate_results[[#This Row], [Team1 laps '[laps']]] - intermediate_results[[#This Row], [Team4 laps '[laps']]]</f>
        <v>0</v>
      </c>
      <c r="O211" s="3">
        <f>intermediate_results[[#This Row], [Team1 laps '[laps']]] - intermediate_results[[#This Row], [Team5 laps '[laps']]]</f>
        <v>0</v>
      </c>
      <c r="P211" s="3">
        <f>intermediate_results[[#This Row], [Team1 laps '[laps']]] - intermediate_results[[#This Row], [Team6 laps '[laps']]]</f>
        <v>0</v>
      </c>
      <c r="Q211" s="3">
        <f>intermediate_results[[#This Row], [Team1 laps '[laps']]] - intermediate_results[[#This Row], [Team7 laps '[laps']]]</f>
        <v>0</v>
      </c>
      <c r="R211" s="3">
        <f>intermediate_results[[#This Row], [Team1 laps '[laps']]] - intermediate_results[[#This Row], [Team8 laps '[laps']]]</f>
        <v>0</v>
      </c>
      <c r="S211" s="3">
        <f>intermediate_results[[#This Row], [Team1 laps '[laps']]] - intermediate_results[[#This Row], [Team9 laps '[laps']]]</f>
        <v>0</v>
      </c>
      <c r="T211" s="3">
        <f>MAX(intermediate_results[[#This Row], [Team1 laps '[laps']]:[Team9 laps '[laps']]]) - intermediate_results[[#This Row], [Team1 laps '[laps']]]</f>
        <v>0</v>
      </c>
      <c r="U211" s="3">
        <f>MAX(intermediate_results[[#This Row], [Team1 laps '[laps']]:[Team9 laps '[laps']]]) - intermediate_results[[#This Row], [Team2 laps '[laps']]]</f>
        <v>0</v>
      </c>
      <c r="V211" s="3">
        <f>MAX(intermediate_results[[#This Row], [Team1 laps '[laps']]:[Team9 laps '[laps']]]) - intermediate_results[[#This Row], [Team3 laps '[laps']]]</f>
        <v>0</v>
      </c>
      <c r="W211" s="3">
        <f>MAX(intermediate_results[[#This Row], [Team1 laps '[laps']]:[Team9 laps '[laps']]]) - intermediate_results[[#This Row], [Team4 laps '[laps']]]</f>
        <v>0</v>
      </c>
      <c r="X211" s="3">
        <f>MAX(intermediate_results[[#This Row], [Team1 laps '[laps']]:[Team9 laps '[laps']]]) - intermediate_results[[#This Row], [Team5 laps '[laps']]]</f>
        <v>0</v>
      </c>
      <c r="Y211" s="3">
        <f>MAX(intermediate_results[[#This Row], [Team1 laps '[laps']]:[Team9 laps '[laps']]]) - intermediate_results[[#This Row], [Team6 laps '[laps']]]</f>
        <v>0</v>
      </c>
      <c r="Z211" s="3">
        <f>MAX(intermediate_results[[#This Row], [Team1 laps '[laps']]:[Team9 laps '[laps']]]) - intermediate_results[[#This Row], [Team7 laps '[laps']]]</f>
        <v>0</v>
      </c>
      <c r="AA211" s="3">
        <f>MAX(intermediate_results[[#This Row], [Team1 laps '[laps']]:[Team9 laps '[laps']]]) - intermediate_results[[#This Row], [Team8 laps '[laps']]]</f>
        <v>0</v>
      </c>
      <c r="AB211" s="3">
        <f>MAX(intermediate_results[[#This Row], [Team1 laps '[laps']]:[Team9 laps '[laps']]]) - intermediate_results[[#This Row], [Team9 laps '[laps']]]</f>
        <v>0</v>
      </c>
      <c r="AC211" s="3">
        <f>9 * intermediate_results[[#This Row], [All cumulative times '[sec']]] / SUM(intermediate_results[[#This Row], [Team1 laps '[laps']]:[Team9 laps '[laps']]])</f>
        <v>0</v>
      </c>
      <c r="AD211" s="3">
        <f>intermediate_results[[#This Row], [All cumulative times '[sec']]] / intermediate_results[[#This Row], [Team1 laps '[laps']]] - intermediate_results[[#This Row], [Total running average '[sec']]]</f>
        <v>0</v>
      </c>
      <c r="AE211" s="3">
        <f>intermediate_results[[#This Row], [All cumulative times '[sec']]] / intermediate_results[[#This Row], [Team2 laps '[laps']]] - intermediate_results[[#This Row], [Total running average '[sec']]]</f>
        <v>0</v>
      </c>
      <c r="AF211" s="3">
        <f>intermediate_results[[#This Row], [All cumulative times '[sec']]] / intermediate_results[[#This Row], [Team3 laps '[laps']]] - intermediate_results[[#This Row], [Total running average '[sec']]]</f>
        <v>0</v>
      </c>
      <c r="AG211" s="3">
        <f>intermediate_results[[#This Row], [All cumulative times '[sec']]] / intermediate_results[[#This Row], [Team4 laps '[laps']]] - intermediate_results[[#This Row], [Total running average '[sec']]]</f>
        <v>0</v>
      </c>
      <c r="AH211" s="3">
        <f>intermediate_results[[#This Row], [All cumulative times '[sec']]] / intermediate_results[[#This Row], [Team5 laps '[laps']]] - intermediate_results[[#This Row], [Total running average '[sec']]]</f>
        <v>0</v>
      </c>
      <c r="AI211" s="3">
        <f>intermediate_results[[#This Row], [All cumulative times '[sec']]] / intermediate_results[[#This Row], [Team6 laps '[laps']]] - intermediate_results[[#This Row], [Total running average '[sec']]]</f>
        <v>0</v>
      </c>
      <c r="AJ211" s="3">
        <f>intermediate_results[[#This Row], [All cumulative times '[sec']]] / intermediate_results[[#This Row], [Team7 laps '[laps']]] - intermediate_results[[#This Row], [Total running average '[sec']]]</f>
        <v>0</v>
      </c>
      <c r="AK211" s="3">
        <f>intermediate_results[[#This Row], [All cumulative times '[sec']]] / intermediate_results[[#This Row], [Team8 laps '[laps']]] - intermediate_results[[#This Row], [Total running average '[sec']]]</f>
        <v>0</v>
      </c>
      <c r="AL211" s="3">
        <f>intermediate_results[[#This Row], [All cumulative times '[sec']]] / intermediate_results[[#This Row], [Team9 laps '[laps']]] - intermediate_results[[#This Row], [Total running average '[sec']]]</f>
        <v>0</v>
      </c>
    </row>
    <row r="212" spans="1:38">
      <c r="A212" s="3">
        <v>1311.886</v>
      </c>
      <c r="B21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2" s="3">
        <f>intermediate_results[[#This Row], [Team1 laps '[laps']]] - intermediate_results[[#This Row], [Team1 laps '[laps']]]</f>
        <v>0</v>
      </c>
      <c r="L212" s="3">
        <f>intermediate_results[[#This Row], [Team1 laps '[laps']]] - intermediate_results[[#This Row], [Team2 laps '[laps']]]</f>
        <v>0</v>
      </c>
      <c r="M212" s="3">
        <f>intermediate_results[[#This Row], [Team1 laps '[laps']]] - intermediate_results[[#This Row], [Team3 laps '[laps']]]</f>
        <v>0</v>
      </c>
      <c r="N212" s="3">
        <f>intermediate_results[[#This Row], [Team1 laps '[laps']]] - intermediate_results[[#This Row], [Team4 laps '[laps']]]</f>
        <v>0</v>
      </c>
      <c r="O212" s="3">
        <f>intermediate_results[[#This Row], [Team1 laps '[laps']]] - intermediate_results[[#This Row], [Team5 laps '[laps']]]</f>
        <v>0</v>
      </c>
      <c r="P212" s="3">
        <f>intermediate_results[[#This Row], [Team1 laps '[laps']]] - intermediate_results[[#This Row], [Team6 laps '[laps']]]</f>
        <v>0</v>
      </c>
      <c r="Q212" s="3">
        <f>intermediate_results[[#This Row], [Team1 laps '[laps']]] - intermediate_results[[#This Row], [Team7 laps '[laps']]]</f>
        <v>0</v>
      </c>
      <c r="R212" s="3">
        <f>intermediate_results[[#This Row], [Team1 laps '[laps']]] - intermediate_results[[#This Row], [Team8 laps '[laps']]]</f>
        <v>0</v>
      </c>
      <c r="S212" s="3">
        <f>intermediate_results[[#This Row], [Team1 laps '[laps']]] - intermediate_results[[#This Row], [Team9 laps '[laps']]]</f>
        <v>0</v>
      </c>
      <c r="T212" s="3">
        <f>MAX(intermediate_results[[#This Row], [Team1 laps '[laps']]:[Team9 laps '[laps']]]) - intermediate_results[[#This Row], [Team1 laps '[laps']]]</f>
        <v>0</v>
      </c>
      <c r="U212" s="3">
        <f>MAX(intermediate_results[[#This Row], [Team1 laps '[laps']]:[Team9 laps '[laps']]]) - intermediate_results[[#This Row], [Team2 laps '[laps']]]</f>
        <v>0</v>
      </c>
      <c r="V212" s="3">
        <f>MAX(intermediate_results[[#This Row], [Team1 laps '[laps']]:[Team9 laps '[laps']]]) - intermediate_results[[#This Row], [Team3 laps '[laps']]]</f>
        <v>0</v>
      </c>
      <c r="W212" s="3">
        <f>MAX(intermediate_results[[#This Row], [Team1 laps '[laps']]:[Team9 laps '[laps']]]) - intermediate_results[[#This Row], [Team4 laps '[laps']]]</f>
        <v>0</v>
      </c>
      <c r="X212" s="3">
        <f>MAX(intermediate_results[[#This Row], [Team1 laps '[laps']]:[Team9 laps '[laps']]]) - intermediate_results[[#This Row], [Team5 laps '[laps']]]</f>
        <v>0</v>
      </c>
      <c r="Y212" s="3">
        <f>MAX(intermediate_results[[#This Row], [Team1 laps '[laps']]:[Team9 laps '[laps']]]) - intermediate_results[[#This Row], [Team6 laps '[laps']]]</f>
        <v>0</v>
      </c>
      <c r="Z212" s="3">
        <f>MAX(intermediate_results[[#This Row], [Team1 laps '[laps']]:[Team9 laps '[laps']]]) - intermediate_results[[#This Row], [Team7 laps '[laps']]]</f>
        <v>0</v>
      </c>
      <c r="AA212" s="3">
        <f>MAX(intermediate_results[[#This Row], [Team1 laps '[laps']]:[Team9 laps '[laps']]]) - intermediate_results[[#This Row], [Team8 laps '[laps']]]</f>
        <v>0</v>
      </c>
      <c r="AB212" s="3">
        <f>MAX(intermediate_results[[#This Row], [Team1 laps '[laps']]:[Team9 laps '[laps']]]) - intermediate_results[[#This Row], [Team9 laps '[laps']]]</f>
        <v>0</v>
      </c>
      <c r="AC212" s="3">
        <f>9 * intermediate_results[[#This Row], [All cumulative times '[sec']]] / SUM(intermediate_results[[#This Row], [Team1 laps '[laps']]:[Team9 laps '[laps']]])</f>
        <v>0</v>
      </c>
      <c r="AD212" s="3">
        <f>intermediate_results[[#This Row], [All cumulative times '[sec']]] / intermediate_results[[#This Row], [Team1 laps '[laps']]] - intermediate_results[[#This Row], [Total running average '[sec']]]</f>
        <v>0</v>
      </c>
      <c r="AE212" s="3">
        <f>intermediate_results[[#This Row], [All cumulative times '[sec']]] / intermediate_results[[#This Row], [Team2 laps '[laps']]] - intermediate_results[[#This Row], [Total running average '[sec']]]</f>
        <v>0</v>
      </c>
      <c r="AF212" s="3">
        <f>intermediate_results[[#This Row], [All cumulative times '[sec']]] / intermediate_results[[#This Row], [Team3 laps '[laps']]] - intermediate_results[[#This Row], [Total running average '[sec']]]</f>
        <v>0</v>
      </c>
      <c r="AG212" s="3">
        <f>intermediate_results[[#This Row], [All cumulative times '[sec']]] / intermediate_results[[#This Row], [Team4 laps '[laps']]] - intermediate_results[[#This Row], [Total running average '[sec']]]</f>
        <v>0</v>
      </c>
      <c r="AH212" s="3">
        <f>intermediate_results[[#This Row], [All cumulative times '[sec']]] / intermediate_results[[#This Row], [Team5 laps '[laps']]] - intermediate_results[[#This Row], [Total running average '[sec']]]</f>
        <v>0</v>
      </c>
      <c r="AI212" s="3">
        <f>intermediate_results[[#This Row], [All cumulative times '[sec']]] / intermediate_results[[#This Row], [Team6 laps '[laps']]] - intermediate_results[[#This Row], [Total running average '[sec']]]</f>
        <v>0</v>
      </c>
      <c r="AJ212" s="3">
        <f>intermediate_results[[#This Row], [All cumulative times '[sec']]] / intermediate_results[[#This Row], [Team7 laps '[laps']]] - intermediate_results[[#This Row], [Total running average '[sec']]]</f>
        <v>0</v>
      </c>
      <c r="AK212" s="3">
        <f>intermediate_results[[#This Row], [All cumulative times '[sec']]] / intermediate_results[[#This Row], [Team8 laps '[laps']]] - intermediate_results[[#This Row], [Total running average '[sec']]]</f>
        <v>0</v>
      </c>
      <c r="AL212" s="3">
        <f>intermediate_results[[#This Row], [All cumulative times '[sec']]] / intermediate_results[[#This Row], [Team9 laps '[laps']]] - intermediate_results[[#This Row], [Total running average '[sec']]]</f>
        <v>0</v>
      </c>
    </row>
    <row r="213" spans="1:38">
      <c r="A213" s="3">
        <v>1312.077</v>
      </c>
      <c r="B21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3" s="3">
        <f>intermediate_results[[#This Row], [Team1 laps '[laps']]] - intermediate_results[[#This Row], [Team1 laps '[laps']]]</f>
        <v>0</v>
      </c>
      <c r="L213" s="3">
        <f>intermediate_results[[#This Row], [Team1 laps '[laps']]] - intermediate_results[[#This Row], [Team2 laps '[laps']]]</f>
        <v>0</v>
      </c>
      <c r="M213" s="3">
        <f>intermediate_results[[#This Row], [Team1 laps '[laps']]] - intermediate_results[[#This Row], [Team3 laps '[laps']]]</f>
        <v>0</v>
      </c>
      <c r="N213" s="3">
        <f>intermediate_results[[#This Row], [Team1 laps '[laps']]] - intermediate_results[[#This Row], [Team4 laps '[laps']]]</f>
        <v>0</v>
      </c>
      <c r="O213" s="3">
        <f>intermediate_results[[#This Row], [Team1 laps '[laps']]] - intermediate_results[[#This Row], [Team5 laps '[laps']]]</f>
        <v>0</v>
      </c>
      <c r="P213" s="3">
        <f>intermediate_results[[#This Row], [Team1 laps '[laps']]] - intermediate_results[[#This Row], [Team6 laps '[laps']]]</f>
        <v>0</v>
      </c>
      <c r="Q213" s="3">
        <f>intermediate_results[[#This Row], [Team1 laps '[laps']]] - intermediate_results[[#This Row], [Team7 laps '[laps']]]</f>
        <v>0</v>
      </c>
      <c r="R213" s="3">
        <f>intermediate_results[[#This Row], [Team1 laps '[laps']]] - intermediate_results[[#This Row], [Team8 laps '[laps']]]</f>
        <v>0</v>
      </c>
      <c r="S213" s="3">
        <f>intermediate_results[[#This Row], [Team1 laps '[laps']]] - intermediate_results[[#This Row], [Team9 laps '[laps']]]</f>
        <v>0</v>
      </c>
      <c r="T213" s="3">
        <f>MAX(intermediate_results[[#This Row], [Team1 laps '[laps']]:[Team9 laps '[laps']]]) - intermediate_results[[#This Row], [Team1 laps '[laps']]]</f>
        <v>0</v>
      </c>
      <c r="U213" s="3">
        <f>MAX(intermediate_results[[#This Row], [Team1 laps '[laps']]:[Team9 laps '[laps']]]) - intermediate_results[[#This Row], [Team2 laps '[laps']]]</f>
        <v>0</v>
      </c>
      <c r="V213" s="3">
        <f>MAX(intermediate_results[[#This Row], [Team1 laps '[laps']]:[Team9 laps '[laps']]]) - intermediate_results[[#This Row], [Team3 laps '[laps']]]</f>
        <v>0</v>
      </c>
      <c r="W213" s="3">
        <f>MAX(intermediate_results[[#This Row], [Team1 laps '[laps']]:[Team9 laps '[laps']]]) - intermediate_results[[#This Row], [Team4 laps '[laps']]]</f>
        <v>0</v>
      </c>
      <c r="X213" s="3">
        <f>MAX(intermediate_results[[#This Row], [Team1 laps '[laps']]:[Team9 laps '[laps']]]) - intermediate_results[[#This Row], [Team5 laps '[laps']]]</f>
        <v>0</v>
      </c>
      <c r="Y213" s="3">
        <f>MAX(intermediate_results[[#This Row], [Team1 laps '[laps']]:[Team9 laps '[laps']]]) - intermediate_results[[#This Row], [Team6 laps '[laps']]]</f>
        <v>0</v>
      </c>
      <c r="Z213" s="3">
        <f>MAX(intermediate_results[[#This Row], [Team1 laps '[laps']]:[Team9 laps '[laps']]]) - intermediate_results[[#This Row], [Team7 laps '[laps']]]</f>
        <v>0</v>
      </c>
      <c r="AA213" s="3">
        <f>MAX(intermediate_results[[#This Row], [Team1 laps '[laps']]:[Team9 laps '[laps']]]) - intermediate_results[[#This Row], [Team8 laps '[laps']]]</f>
        <v>0</v>
      </c>
      <c r="AB213" s="3">
        <f>MAX(intermediate_results[[#This Row], [Team1 laps '[laps']]:[Team9 laps '[laps']]]) - intermediate_results[[#This Row], [Team9 laps '[laps']]]</f>
        <v>0</v>
      </c>
      <c r="AC213" s="3">
        <f>9 * intermediate_results[[#This Row], [All cumulative times '[sec']]] / SUM(intermediate_results[[#This Row], [Team1 laps '[laps']]:[Team9 laps '[laps']]])</f>
        <v>0</v>
      </c>
      <c r="AD213" s="3">
        <f>intermediate_results[[#This Row], [All cumulative times '[sec']]] / intermediate_results[[#This Row], [Team1 laps '[laps']]] - intermediate_results[[#This Row], [Total running average '[sec']]]</f>
        <v>0</v>
      </c>
      <c r="AE213" s="3">
        <f>intermediate_results[[#This Row], [All cumulative times '[sec']]] / intermediate_results[[#This Row], [Team2 laps '[laps']]] - intermediate_results[[#This Row], [Total running average '[sec']]]</f>
        <v>0</v>
      </c>
      <c r="AF213" s="3">
        <f>intermediate_results[[#This Row], [All cumulative times '[sec']]] / intermediate_results[[#This Row], [Team3 laps '[laps']]] - intermediate_results[[#This Row], [Total running average '[sec']]]</f>
        <v>0</v>
      </c>
      <c r="AG213" s="3">
        <f>intermediate_results[[#This Row], [All cumulative times '[sec']]] / intermediate_results[[#This Row], [Team4 laps '[laps']]] - intermediate_results[[#This Row], [Total running average '[sec']]]</f>
        <v>0</v>
      </c>
      <c r="AH213" s="3">
        <f>intermediate_results[[#This Row], [All cumulative times '[sec']]] / intermediate_results[[#This Row], [Team5 laps '[laps']]] - intermediate_results[[#This Row], [Total running average '[sec']]]</f>
        <v>0</v>
      </c>
      <c r="AI213" s="3">
        <f>intermediate_results[[#This Row], [All cumulative times '[sec']]] / intermediate_results[[#This Row], [Team6 laps '[laps']]] - intermediate_results[[#This Row], [Total running average '[sec']]]</f>
        <v>0</v>
      </c>
      <c r="AJ213" s="3">
        <f>intermediate_results[[#This Row], [All cumulative times '[sec']]] / intermediate_results[[#This Row], [Team7 laps '[laps']]] - intermediate_results[[#This Row], [Total running average '[sec']]]</f>
        <v>0</v>
      </c>
      <c r="AK213" s="3">
        <f>intermediate_results[[#This Row], [All cumulative times '[sec']]] / intermediate_results[[#This Row], [Team8 laps '[laps']]] - intermediate_results[[#This Row], [Total running average '[sec']]]</f>
        <v>0</v>
      </c>
      <c r="AL213" s="3">
        <f>intermediate_results[[#This Row], [All cumulative times '[sec']]] / intermediate_results[[#This Row], [Team9 laps '[laps']]] - intermediate_results[[#This Row], [Total running average '[sec']]]</f>
        <v>0</v>
      </c>
    </row>
    <row r="214" spans="1:38">
      <c r="A214" s="3">
        <v>1316.857</v>
      </c>
      <c r="B21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4" s="3">
        <f>intermediate_results[[#This Row], [Team1 laps '[laps']]] - intermediate_results[[#This Row], [Team1 laps '[laps']]]</f>
        <v>0</v>
      </c>
      <c r="L214" s="3">
        <f>intermediate_results[[#This Row], [Team1 laps '[laps']]] - intermediate_results[[#This Row], [Team2 laps '[laps']]]</f>
        <v>0</v>
      </c>
      <c r="M214" s="3">
        <f>intermediate_results[[#This Row], [Team1 laps '[laps']]] - intermediate_results[[#This Row], [Team3 laps '[laps']]]</f>
        <v>0</v>
      </c>
      <c r="N214" s="3">
        <f>intermediate_results[[#This Row], [Team1 laps '[laps']]] - intermediate_results[[#This Row], [Team4 laps '[laps']]]</f>
        <v>0</v>
      </c>
      <c r="O214" s="3">
        <f>intermediate_results[[#This Row], [Team1 laps '[laps']]] - intermediate_results[[#This Row], [Team5 laps '[laps']]]</f>
        <v>0</v>
      </c>
      <c r="P214" s="3">
        <f>intermediate_results[[#This Row], [Team1 laps '[laps']]] - intermediate_results[[#This Row], [Team6 laps '[laps']]]</f>
        <v>0</v>
      </c>
      <c r="Q214" s="3">
        <f>intermediate_results[[#This Row], [Team1 laps '[laps']]] - intermediate_results[[#This Row], [Team7 laps '[laps']]]</f>
        <v>0</v>
      </c>
      <c r="R214" s="3">
        <f>intermediate_results[[#This Row], [Team1 laps '[laps']]] - intermediate_results[[#This Row], [Team8 laps '[laps']]]</f>
        <v>0</v>
      </c>
      <c r="S214" s="3">
        <f>intermediate_results[[#This Row], [Team1 laps '[laps']]] - intermediate_results[[#This Row], [Team9 laps '[laps']]]</f>
        <v>0</v>
      </c>
      <c r="T214" s="3">
        <f>MAX(intermediate_results[[#This Row], [Team1 laps '[laps']]:[Team9 laps '[laps']]]) - intermediate_results[[#This Row], [Team1 laps '[laps']]]</f>
        <v>0</v>
      </c>
      <c r="U214" s="3">
        <f>MAX(intermediate_results[[#This Row], [Team1 laps '[laps']]:[Team9 laps '[laps']]]) - intermediate_results[[#This Row], [Team2 laps '[laps']]]</f>
        <v>0</v>
      </c>
      <c r="V214" s="3">
        <f>MAX(intermediate_results[[#This Row], [Team1 laps '[laps']]:[Team9 laps '[laps']]]) - intermediate_results[[#This Row], [Team3 laps '[laps']]]</f>
        <v>0</v>
      </c>
      <c r="W214" s="3">
        <f>MAX(intermediate_results[[#This Row], [Team1 laps '[laps']]:[Team9 laps '[laps']]]) - intermediate_results[[#This Row], [Team4 laps '[laps']]]</f>
        <v>0</v>
      </c>
      <c r="X214" s="3">
        <f>MAX(intermediate_results[[#This Row], [Team1 laps '[laps']]:[Team9 laps '[laps']]]) - intermediate_results[[#This Row], [Team5 laps '[laps']]]</f>
        <v>0</v>
      </c>
      <c r="Y214" s="3">
        <f>MAX(intermediate_results[[#This Row], [Team1 laps '[laps']]:[Team9 laps '[laps']]]) - intermediate_results[[#This Row], [Team6 laps '[laps']]]</f>
        <v>0</v>
      </c>
      <c r="Z214" s="3">
        <f>MAX(intermediate_results[[#This Row], [Team1 laps '[laps']]:[Team9 laps '[laps']]]) - intermediate_results[[#This Row], [Team7 laps '[laps']]]</f>
        <v>0</v>
      </c>
      <c r="AA214" s="3">
        <f>MAX(intermediate_results[[#This Row], [Team1 laps '[laps']]:[Team9 laps '[laps']]]) - intermediate_results[[#This Row], [Team8 laps '[laps']]]</f>
        <v>0</v>
      </c>
      <c r="AB214" s="3">
        <f>MAX(intermediate_results[[#This Row], [Team1 laps '[laps']]:[Team9 laps '[laps']]]) - intermediate_results[[#This Row], [Team9 laps '[laps']]]</f>
        <v>0</v>
      </c>
      <c r="AC214" s="3">
        <f>9 * intermediate_results[[#This Row], [All cumulative times '[sec']]] / SUM(intermediate_results[[#This Row], [Team1 laps '[laps']]:[Team9 laps '[laps']]])</f>
        <v>0</v>
      </c>
      <c r="AD214" s="3">
        <f>intermediate_results[[#This Row], [All cumulative times '[sec']]] / intermediate_results[[#This Row], [Team1 laps '[laps']]] - intermediate_results[[#This Row], [Total running average '[sec']]]</f>
        <v>0</v>
      </c>
      <c r="AE214" s="3">
        <f>intermediate_results[[#This Row], [All cumulative times '[sec']]] / intermediate_results[[#This Row], [Team2 laps '[laps']]] - intermediate_results[[#This Row], [Total running average '[sec']]]</f>
        <v>0</v>
      </c>
      <c r="AF214" s="3">
        <f>intermediate_results[[#This Row], [All cumulative times '[sec']]] / intermediate_results[[#This Row], [Team3 laps '[laps']]] - intermediate_results[[#This Row], [Total running average '[sec']]]</f>
        <v>0</v>
      </c>
      <c r="AG214" s="3">
        <f>intermediate_results[[#This Row], [All cumulative times '[sec']]] / intermediate_results[[#This Row], [Team4 laps '[laps']]] - intermediate_results[[#This Row], [Total running average '[sec']]]</f>
        <v>0</v>
      </c>
      <c r="AH214" s="3">
        <f>intermediate_results[[#This Row], [All cumulative times '[sec']]] / intermediate_results[[#This Row], [Team5 laps '[laps']]] - intermediate_results[[#This Row], [Total running average '[sec']]]</f>
        <v>0</v>
      </c>
      <c r="AI214" s="3">
        <f>intermediate_results[[#This Row], [All cumulative times '[sec']]] / intermediate_results[[#This Row], [Team6 laps '[laps']]] - intermediate_results[[#This Row], [Total running average '[sec']]]</f>
        <v>0</v>
      </c>
      <c r="AJ214" s="3">
        <f>intermediate_results[[#This Row], [All cumulative times '[sec']]] / intermediate_results[[#This Row], [Team7 laps '[laps']]] - intermediate_results[[#This Row], [Total running average '[sec']]]</f>
        <v>0</v>
      </c>
      <c r="AK214" s="3">
        <f>intermediate_results[[#This Row], [All cumulative times '[sec']]] / intermediate_results[[#This Row], [Team8 laps '[laps']]] - intermediate_results[[#This Row], [Total running average '[sec']]]</f>
        <v>0</v>
      </c>
      <c r="AL214" s="3">
        <f>intermediate_results[[#This Row], [All cumulative times '[sec']]] / intermediate_results[[#This Row], [Team9 laps '[laps']]] - intermediate_results[[#This Row], [Total running average '[sec']]]</f>
        <v>0</v>
      </c>
    </row>
    <row r="215" spans="1:38">
      <c r="A215" s="3">
        <v>1316.897</v>
      </c>
      <c r="B21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5" s="3">
        <f>intermediate_results[[#This Row], [Team1 laps '[laps']]] - intermediate_results[[#This Row], [Team1 laps '[laps']]]</f>
        <v>0</v>
      </c>
      <c r="L215" s="3">
        <f>intermediate_results[[#This Row], [Team1 laps '[laps']]] - intermediate_results[[#This Row], [Team2 laps '[laps']]]</f>
        <v>0</v>
      </c>
      <c r="M215" s="3">
        <f>intermediate_results[[#This Row], [Team1 laps '[laps']]] - intermediate_results[[#This Row], [Team3 laps '[laps']]]</f>
        <v>0</v>
      </c>
      <c r="N215" s="3">
        <f>intermediate_results[[#This Row], [Team1 laps '[laps']]] - intermediate_results[[#This Row], [Team4 laps '[laps']]]</f>
        <v>0</v>
      </c>
      <c r="O215" s="3">
        <f>intermediate_results[[#This Row], [Team1 laps '[laps']]] - intermediate_results[[#This Row], [Team5 laps '[laps']]]</f>
        <v>0</v>
      </c>
      <c r="P215" s="3">
        <f>intermediate_results[[#This Row], [Team1 laps '[laps']]] - intermediate_results[[#This Row], [Team6 laps '[laps']]]</f>
        <v>0</v>
      </c>
      <c r="Q215" s="3">
        <f>intermediate_results[[#This Row], [Team1 laps '[laps']]] - intermediate_results[[#This Row], [Team7 laps '[laps']]]</f>
        <v>0</v>
      </c>
      <c r="R215" s="3">
        <f>intermediate_results[[#This Row], [Team1 laps '[laps']]] - intermediate_results[[#This Row], [Team8 laps '[laps']]]</f>
        <v>0</v>
      </c>
      <c r="S215" s="3">
        <f>intermediate_results[[#This Row], [Team1 laps '[laps']]] - intermediate_results[[#This Row], [Team9 laps '[laps']]]</f>
        <v>0</v>
      </c>
      <c r="T215" s="3">
        <f>MAX(intermediate_results[[#This Row], [Team1 laps '[laps']]:[Team9 laps '[laps']]]) - intermediate_results[[#This Row], [Team1 laps '[laps']]]</f>
        <v>0</v>
      </c>
      <c r="U215" s="3">
        <f>MAX(intermediate_results[[#This Row], [Team1 laps '[laps']]:[Team9 laps '[laps']]]) - intermediate_results[[#This Row], [Team2 laps '[laps']]]</f>
        <v>0</v>
      </c>
      <c r="V215" s="3">
        <f>MAX(intermediate_results[[#This Row], [Team1 laps '[laps']]:[Team9 laps '[laps']]]) - intermediate_results[[#This Row], [Team3 laps '[laps']]]</f>
        <v>0</v>
      </c>
      <c r="W215" s="3">
        <f>MAX(intermediate_results[[#This Row], [Team1 laps '[laps']]:[Team9 laps '[laps']]]) - intermediate_results[[#This Row], [Team4 laps '[laps']]]</f>
        <v>0</v>
      </c>
      <c r="X215" s="3">
        <f>MAX(intermediate_results[[#This Row], [Team1 laps '[laps']]:[Team9 laps '[laps']]]) - intermediate_results[[#This Row], [Team5 laps '[laps']]]</f>
        <v>0</v>
      </c>
      <c r="Y215" s="3">
        <f>MAX(intermediate_results[[#This Row], [Team1 laps '[laps']]:[Team9 laps '[laps']]]) - intermediate_results[[#This Row], [Team6 laps '[laps']]]</f>
        <v>0</v>
      </c>
      <c r="Z215" s="3">
        <f>MAX(intermediate_results[[#This Row], [Team1 laps '[laps']]:[Team9 laps '[laps']]]) - intermediate_results[[#This Row], [Team7 laps '[laps']]]</f>
        <v>0</v>
      </c>
      <c r="AA215" s="3">
        <f>MAX(intermediate_results[[#This Row], [Team1 laps '[laps']]:[Team9 laps '[laps']]]) - intermediate_results[[#This Row], [Team8 laps '[laps']]]</f>
        <v>0</v>
      </c>
      <c r="AB215" s="3">
        <f>MAX(intermediate_results[[#This Row], [Team1 laps '[laps']]:[Team9 laps '[laps']]]) - intermediate_results[[#This Row], [Team9 laps '[laps']]]</f>
        <v>0</v>
      </c>
      <c r="AC215" s="3">
        <f>9 * intermediate_results[[#This Row], [All cumulative times '[sec']]] / SUM(intermediate_results[[#This Row], [Team1 laps '[laps']]:[Team9 laps '[laps']]])</f>
        <v>0</v>
      </c>
      <c r="AD215" s="3">
        <f>intermediate_results[[#This Row], [All cumulative times '[sec']]] / intermediate_results[[#This Row], [Team1 laps '[laps']]] - intermediate_results[[#This Row], [Total running average '[sec']]]</f>
        <v>0</v>
      </c>
      <c r="AE215" s="3">
        <f>intermediate_results[[#This Row], [All cumulative times '[sec']]] / intermediate_results[[#This Row], [Team2 laps '[laps']]] - intermediate_results[[#This Row], [Total running average '[sec']]]</f>
        <v>0</v>
      </c>
      <c r="AF215" s="3">
        <f>intermediate_results[[#This Row], [All cumulative times '[sec']]] / intermediate_results[[#This Row], [Team3 laps '[laps']]] - intermediate_results[[#This Row], [Total running average '[sec']]]</f>
        <v>0</v>
      </c>
      <c r="AG215" s="3">
        <f>intermediate_results[[#This Row], [All cumulative times '[sec']]] / intermediate_results[[#This Row], [Team4 laps '[laps']]] - intermediate_results[[#This Row], [Total running average '[sec']]]</f>
        <v>0</v>
      </c>
      <c r="AH215" s="3">
        <f>intermediate_results[[#This Row], [All cumulative times '[sec']]] / intermediate_results[[#This Row], [Team5 laps '[laps']]] - intermediate_results[[#This Row], [Total running average '[sec']]]</f>
        <v>0</v>
      </c>
      <c r="AI215" s="3">
        <f>intermediate_results[[#This Row], [All cumulative times '[sec']]] / intermediate_results[[#This Row], [Team6 laps '[laps']]] - intermediate_results[[#This Row], [Total running average '[sec']]]</f>
        <v>0</v>
      </c>
      <c r="AJ215" s="3">
        <f>intermediate_results[[#This Row], [All cumulative times '[sec']]] / intermediate_results[[#This Row], [Team7 laps '[laps']]] - intermediate_results[[#This Row], [Total running average '[sec']]]</f>
        <v>0</v>
      </c>
      <c r="AK215" s="3">
        <f>intermediate_results[[#This Row], [All cumulative times '[sec']]] / intermediate_results[[#This Row], [Team8 laps '[laps']]] - intermediate_results[[#This Row], [Total running average '[sec']]]</f>
        <v>0</v>
      </c>
      <c r="AL215" s="3">
        <f>intermediate_results[[#This Row], [All cumulative times '[sec']]] / intermediate_results[[#This Row], [Team9 laps '[laps']]] - intermediate_results[[#This Row], [Total running average '[sec']]]</f>
        <v>0</v>
      </c>
    </row>
    <row r="216" spans="1:38">
      <c r="A216" s="3">
        <v>1327.065</v>
      </c>
      <c r="B21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6" s="3">
        <f>intermediate_results[[#This Row], [Team1 laps '[laps']]] - intermediate_results[[#This Row], [Team1 laps '[laps']]]</f>
        <v>0</v>
      </c>
      <c r="L216" s="3">
        <f>intermediate_results[[#This Row], [Team1 laps '[laps']]] - intermediate_results[[#This Row], [Team2 laps '[laps']]]</f>
        <v>0</v>
      </c>
      <c r="M216" s="3">
        <f>intermediate_results[[#This Row], [Team1 laps '[laps']]] - intermediate_results[[#This Row], [Team3 laps '[laps']]]</f>
        <v>0</v>
      </c>
      <c r="N216" s="3">
        <f>intermediate_results[[#This Row], [Team1 laps '[laps']]] - intermediate_results[[#This Row], [Team4 laps '[laps']]]</f>
        <v>0</v>
      </c>
      <c r="O216" s="3">
        <f>intermediate_results[[#This Row], [Team1 laps '[laps']]] - intermediate_results[[#This Row], [Team5 laps '[laps']]]</f>
        <v>0</v>
      </c>
      <c r="P216" s="3">
        <f>intermediate_results[[#This Row], [Team1 laps '[laps']]] - intermediate_results[[#This Row], [Team6 laps '[laps']]]</f>
        <v>0</v>
      </c>
      <c r="Q216" s="3">
        <f>intermediate_results[[#This Row], [Team1 laps '[laps']]] - intermediate_results[[#This Row], [Team7 laps '[laps']]]</f>
        <v>0</v>
      </c>
      <c r="R216" s="3">
        <f>intermediate_results[[#This Row], [Team1 laps '[laps']]] - intermediate_results[[#This Row], [Team8 laps '[laps']]]</f>
        <v>0</v>
      </c>
      <c r="S216" s="3">
        <f>intermediate_results[[#This Row], [Team1 laps '[laps']]] - intermediate_results[[#This Row], [Team9 laps '[laps']]]</f>
        <v>0</v>
      </c>
      <c r="T216" s="3">
        <f>MAX(intermediate_results[[#This Row], [Team1 laps '[laps']]:[Team9 laps '[laps']]]) - intermediate_results[[#This Row], [Team1 laps '[laps']]]</f>
        <v>0</v>
      </c>
      <c r="U216" s="3">
        <f>MAX(intermediate_results[[#This Row], [Team1 laps '[laps']]:[Team9 laps '[laps']]]) - intermediate_results[[#This Row], [Team2 laps '[laps']]]</f>
        <v>0</v>
      </c>
      <c r="V216" s="3">
        <f>MAX(intermediate_results[[#This Row], [Team1 laps '[laps']]:[Team9 laps '[laps']]]) - intermediate_results[[#This Row], [Team3 laps '[laps']]]</f>
        <v>0</v>
      </c>
      <c r="W216" s="3">
        <f>MAX(intermediate_results[[#This Row], [Team1 laps '[laps']]:[Team9 laps '[laps']]]) - intermediate_results[[#This Row], [Team4 laps '[laps']]]</f>
        <v>0</v>
      </c>
      <c r="X216" s="3">
        <f>MAX(intermediate_results[[#This Row], [Team1 laps '[laps']]:[Team9 laps '[laps']]]) - intermediate_results[[#This Row], [Team5 laps '[laps']]]</f>
        <v>0</v>
      </c>
      <c r="Y216" s="3">
        <f>MAX(intermediate_results[[#This Row], [Team1 laps '[laps']]:[Team9 laps '[laps']]]) - intermediate_results[[#This Row], [Team6 laps '[laps']]]</f>
        <v>0</v>
      </c>
      <c r="Z216" s="3">
        <f>MAX(intermediate_results[[#This Row], [Team1 laps '[laps']]:[Team9 laps '[laps']]]) - intermediate_results[[#This Row], [Team7 laps '[laps']]]</f>
        <v>0</v>
      </c>
      <c r="AA216" s="3">
        <f>MAX(intermediate_results[[#This Row], [Team1 laps '[laps']]:[Team9 laps '[laps']]]) - intermediate_results[[#This Row], [Team8 laps '[laps']]]</f>
        <v>0</v>
      </c>
      <c r="AB216" s="3">
        <f>MAX(intermediate_results[[#This Row], [Team1 laps '[laps']]:[Team9 laps '[laps']]]) - intermediate_results[[#This Row], [Team9 laps '[laps']]]</f>
        <v>0</v>
      </c>
      <c r="AC216" s="3">
        <f>9 * intermediate_results[[#This Row], [All cumulative times '[sec']]] / SUM(intermediate_results[[#This Row], [Team1 laps '[laps']]:[Team9 laps '[laps']]])</f>
        <v>0</v>
      </c>
      <c r="AD216" s="3">
        <f>intermediate_results[[#This Row], [All cumulative times '[sec']]] / intermediate_results[[#This Row], [Team1 laps '[laps']]] - intermediate_results[[#This Row], [Total running average '[sec']]]</f>
        <v>0</v>
      </c>
      <c r="AE216" s="3">
        <f>intermediate_results[[#This Row], [All cumulative times '[sec']]] / intermediate_results[[#This Row], [Team2 laps '[laps']]] - intermediate_results[[#This Row], [Total running average '[sec']]]</f>
        <v>0</v>
      </c>
      <c r="AF216" s="3">
        <f>intermediate_results[[#This Row], [All cumulative times '[sec']]] / intermediate_results[[#This Row], [Team3 laps '[laps']]] - intermediate_results[[#This Row], [Total running average '[sec']]]</f>
        <v>0</v>
      </c>
      <c r="AG216" s="3">
        <f>intermediate_results[[#This Row], [All cumulative times '[sec']]] / intermediate_results[[#This Row], [Team4 laps '[laps']]] - intermediate_results[[#This Row], [Total running average '[sec']]]</f>
        <v>0</v>
      </c>
      <c r="AH216" s="3">
        <f>intermediate_results[[#This Row], [All cumulative times '[sec']]] / intermediate_results[[#This Row], [Team5 laps '[laps']]] - intermediate_results[[#This Row], [Total running average '[sec']]]</f>
        <v>0</v>
      </c>
      <c r="AI216" s="3">
        <f>intermediate_results[[#This Row], [All cumulative times '[sec']]] / intermediate_results[[#This Row], [Team6 laps '[laps']]] - intermediate_results[[#This Row], [Total running average '[sec']]]</f>
        <v>0</v>
      </c>
      <c r="AJ216" s="3">
        <f>intermediate_results[[#This Row], [All cumulative times '[sec']]] / intermediate_results[[#This Row], [Team7 laps '[laps']]] - intermediate_results[[#This Row], [Total running average '[sec']]]</f>
        <v>0</v>
      </c>
      <c r="AK216" s="3">
        <f>intermediate_results[[#This Row], [All cumulative times '[sec']]] / intermediate_results[[#This Row], [Team8 laps '[laps']]] - intermediate_results[[#This Row], [Total running average '[sec']]]</f>
        <v>0</v>
      </c>
      <c r="AL216" s="3">
        <f>intermediate_results[[#This Row], [All cumulative times '[sec']]] / intermediate_results[[#This Row], [Team9 laps '[laps']]] - intermediate_results[[#This Row], [Total running average '[sec']]]</f>
        <v>0</v>
      </c>
    </row>
    <row r="217" spans="1:38">
      <c r="A217" s="3">
        <v>1334.078</v>
      </c>
      <c r="B21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7" s="3">
        <f>intermediate_results[[#This Row], [Team1 laps '[laps']]] - intermediate_results[[#This Row], [Team1 laps '[laps']]]</f>
        <v>0</v>
      </c>
      <c r="L217" s="3">
        <f>intermediate_results[[#This Row], [Team1 laps '[laps']]] - intermediate_results[[#This Row], [Team2 laps '[laps']]]</f>
        <v>0</v>
      </c>
      <c r="M217" s="3">
        <f>intermediate_results[[#This Row], [Team1 laps '[laps']]] - intermediate_results[[#This Row], [Team3 laps '[laps']]]</f>
        <v>0</v>
      </c>
      <c r="N217" s="3">
        <f>intermediate_results[[#This Row], [Team1 laps '[laps']]] - intermediate_results[[#This Row], [Team4 laps '[laps']]]</f>
        <v>0</v>
      </c>
      <c r="O217" s="3">
        <f>intermediate_results[[#This Row], [Team1 laps '[laps']]] - intermediate_results[[#This Row], [Team5 laps '[laps']]]</f>
        <v>0</v>
      </c>
      <c r="P217" s="3">
        <f>intermediate_results[[#This Row], [Team1 laps '[laps']]] - intermediate_results[[#This Row], [Team6 laps '[laps']]]</f>
        <v>0</v>
      </c>
      <c r="Q217" s="3">
        <f>intermediate_results[[#This Row], [Team1 laps '[laps']]] - intermediate_results[[#This Row], [Team7 laps '[laps']]]</f>
        <v>0</v>
      </c>
      <c r="R217" s="3">
        <f>intermediate_results[[#This Row], [Team1 laps '[laps']]] - intermediate_results[[#This Row], [Team8 laps '[laps']]]</f>
        <v>0</v>
      </c>
      <c r="S217" s="3">
        <f>intermediate_results[[#This Row], [Team1 laps '[laps']]] - intermediate_results[[#This Row], [Team9 laps '[laps']]]</f>
        <v>0</v>
      </c>
      <c r="T217" s="3">
        <f>MAX(intermediate_results[[#This Row], [Team1 laps '[laps']]:[Team9 laps '[laps']]]) - intermediate_results[[#This Row], [Team1 laps '[laps']]]</f>
        <v>0</v>
      </c>
      <c r="U217" s="3">
        <f>MAX(intermediate_results[[#This Row], [Team1 laps '[laps']]:[Team9 laps '[laps']]]) - intermediate_results[[#This Row], [Team2 laps '[laps']]]</f>
        <v>0</v>
      </c>
      <c r="V217" s="3">
        <f>MAX(intermediate_results[[#This Row], [Team1 laps '[laps']]:[Team9 laps '[laps']]]) - intermediate_results[[#This Row], [Team3 laps '[laps']]]</f>
        <v>0</v>
      </c>
      <c r="W217" s="3">
        <f>MAX(intermediate_results[[#This Row], [Team1 laps '[laps']]:[Team9 laps '[laps']]]) - intermediate_results[[#This Row], [Team4 laps '[laps']]]</f>
        <v>0</v>
      </c>
      <c r="X217" s="3">
        <f>MAX(intermediate_results[[#This Row], [Team1 laps '[laps']]:[Team9 laps '[laps']]]) - intermediate_results[[#This Row], [Team5 laps '[laps']]]</f>
        <v>0</v>
      </c>
      <c r="Y217" s="3">
        <f>MAX(intermediate_results[[#This Row], [Team1 laps '[laps']]:[Team9 laps '[laps']]]) - intermediate_results[[#This Row], [Team6 laps '[laps']]]</f>
        <v>0</v>
      </c>
      <c r="Z217" s="3">
        <f>MAX(intermediate_results[[#This Row], [Team1 laps '[laps']]:[Team9 laps '[laps']]]) - intermediate_results[[#This Row], [Team7 laps '[laps']]]</f>
        <v>0</v>
      </c>
      <c r="AA217" s="3">
        <f>MAX(intermediate_results[[#This Row], [Team1 laps '[laps']]:[Team9 laps '[laps']]]) - intermediate_results[[#This Row], [Team8 laps '[laps']]]</f>
        <v>0</v>
      </c>
      <c r="AB217" s="3">
        <f>MAX(intermediate_results[[#This Row], [Team1 laps '[laps']]:[Team9 laps '[laps']]]) - intermediate_results[[#This Row], [Team9 laps '[laps']]]</f>
        <v>0</v>
      </c>
      <c r="AC217" s="3">
        <f>9 * intermediate_results[[#This Row], [All cumulative times '[sec']]] / SUM(intermediate_results[[#This Row], [Team1 laps '[laps']]:[Team9 laps '[laps']]])</f>
        <v>0</v>
      </c>
      <c r="AD217" s="3">
        <f>intermediate_results[[#This Row], [All cumulative times '[sec']]] / intermediate_results[[#This Row], [Team1 laps '[laps']]] - intermediate_results[[#This Row], [Total running average '[sec']]]</f>
        <v>0</v>
      </c>
      <c r="AE217" s="3">
        <f>intermediate_results[[#This Row], [All cumulative times '[sec']]] / intermediate_results[[#This Row], [Team2 laps '[laps']]] - intermediate_results[[#This Row], [Total running average '[sec']]]</f>
        <v>0</v>
      </c>
      <c r="AF217" s="3">
        <f>intermediate_results[[#This Row], [All cumulative times '[sec']]] / intermediate_results[[#This Row], [Team3 laps '[laps']]] - intermediate_results[[#This Row], [Total running average '[sec']]]</f>
        <v>0</v>
      </c>
      <c r="AG217" s="3">
        <f>intermediate_results[[#This Row], [All cumulative times '[sec']]] / intermediate_results[[#This Row], [Team4 laps '[laps']]] - intermediate_results[[#This Row], [Total running average '[sec']]]</f>
        <v>0</v>
      </c>
      <c r="AH217" s="3">
        <f>intermediate_results[[#This Row], [All cumulative times '[sec']]] / intermediate_results[[#This Row], [Team5 laps '[laps']]] - intermediate_results[[#This Row], [Total running average '[sec']]]</f>
        <v>0</v>
      </c>
      <c r="AI217" s="3">
        <f>intermediate_results[[#This Row], [All cumulative times '[sec']]] / intermediate_results[[#This Row], [Team6 laps '[laps']]] - intermediate_results[[#This Row], [Total running average '[sec']]]</f>
        <v>0</v>
      </c>
      <c r="AJ217" s="3">
        <f>intermediate_results[[#This Row], [All cumulative times '[sec']]] / intermediate_results[[#This Row], [Team7 laps '[laps']]] - intermediate_results[[#This Row], [Total running average '[sec']]]</f>
        <v>0</v>
      </c>
      <c r="AK217" s="3">
        <f>intermediate_results[[#This Row], [All cumulative times '[sec']]] / intermediate_results[[#This Row], [Team8 laps '[laps']]] - intermediate_results[[#This Row], [Total running average '[sec']]]</f>
        <v>0</v>
      </c>
      <c r="AL217" s="3">
        <f>intermediate_results[[#This Row], [All cumulative times '[sec']]] / intermediate_results[[#This Row], [Team9 laps '[laps']]] - intermediate_results[[#This Row], [Total running average '[sec']]]</f>
        <v>0</v>
      </c>
    </row>
    <row r="218" spans="1:38">
      <c r="A218" s="3">
        <v>1343.328</v>
      </c>
      <c r="B21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8" s="3">
        <f>intermediate_results[[#This Row], [Team1 laps '[laps']]] - intermediate_results[[#This Row], [Team1 laps '[laps']]]</f>
        <v>0</v>
      </c>
      <c r="L218" s="3">
        <f>intermediate_results[[#This Row], [Team1 laps '[laps']]] - intermediate_results[[#This Row], [Team2 laps '[laps']]]</f>
        <v>0</v>
      </c>
      <c r="M218" s="3">
        <f>intermediate_results[[#This Row], [Team1 laps '[laps']]] - intermediate_results[[#This Row], [Team3 laps '[laps']]]</f>
        <v>0</v>
      </c>
      <c r="N218" s="3">
        <f>intermediate_results[[#This Row], [Team1 laps '[laps']]] - intermediate_results[[#This Row], [Team4 laps '[laps']]]</f>
        <v>0</v>
      </c>
      <c r="O218" s="3">
        <f>intermediate_results[[#This Row], [Team1 laps '[laps']]] - intermediate_results[[#This Row], [Team5 laps '[laps']]]</f>
        <v>0</v>
      </c>
      <c r="P218" s="3">
        <f>intermediate_results[[#This Row], [Team1 laps '[laps']]] - intermediate_results[[#This Row], [Team6 laps '[laps']]]</f>
        <v>0</v>
      </c>
      <c r="Q218" s="3">
        <f>intermediate_results[[#This Row], [Team1 laps '[laps']]] - intermediate_results[[#This Row], [Team7 laps '[laps']]]</f>
        <v>0</v>
      </c>
      <c r="R218" s="3">
        <f>intermediate_results[[#This Row], [Team1 laps '[laps']]] - intermediate_results[[#This Row], [Team8 laps '[laps']]]</f>
        <v>0</v>
      </c>
      <c r="S218" s="3">
        <f>intermediate_results[[#This Row], [Team1 laps '[laps']]] - intermediate_results[[#This Row], [Team9 laps '[laps']]]</f>
        <v>0</v>
      </c>
      <c r="T218" s="3">
        <f>MAX(intermediate_results[[#This Row], [Team1 laps '[laps']]:[Team9 laps '[laps']]]) - intermediate_results[[#This Row], [Team1 laps '[laps']]]</f>
        <v>0</v>
      </c>
      <c r="U218" s="3">
        <f>MAX(intermediate_results[[#This Row], [Team1 laps '[laps']]:[Team9 laps '[laps']]]) - intermediate_results[[#This Row], [Team2 laps '[laps']]]</f>
        <v>0</v>
      </c>
      <c r="V218" s="3">
        <f>MAX(intermediate_results[[#This Row], [Team1 laps '[laps']]:[Team9 laps '[laps']]]) - intermediate_results[[#This Row], [Team3 laps '[laps']]]</f>
        <v>0</v>
      </c>
      <c r="W218" s="3">
        <f>MAX(intermediate_results[[#This Row], [Team1 laps '[laps']]:[Team9 laps '[laps']]]) - intermediate_results[[#This Row], [Team4 laps '[laps']]]</f>
        <v>0</v>
      </c>
      <c r="X218" s="3">
        <f>MAX(intermediate_results[[#This Row], [Team1 laps '[laps']]:[Team9 laps '[laps']]]) - intermediate_results[[#This Row], [Team5 laps '[laps']]]</f>
        <v>0</v>
      </c>
      <c r="Y218" s="3">
        <f>MAX(intermediate_results[[#This Row], [Team1 laps '[laps']]:[Team9 laps '[laps']]]) - intermediate_results[[#This Row], [Team6 laps '[laps']]]</f>
        <v>0</v>
      </c>
      <c r="Z218" s="3">
        <f>MAX(intermediate_results[[#This Row], [Team1 laps '[laps']]:[Team9 laps '[laps']]]) - intermediate_results[[#This Row], [Team7 laps '[laps']]]</f>
        <v>0</v>
      </c>
      <c r="AA218" s="3">
        <f>MAX(intermediate_results[[#This Row], [Team1 laps '[laps']]:[Team9 laps '[laps']]]) - intermediate_results[[#This Row], [Team8 laps '[laps']]]</f>
        <v>0</v>
      </c>
      <c r="AB218" s="3">
        <f>MAX(intermediate_results[[#This Row], [Team1 laps '[laps']]:[Team9 laps '[laps']]]) - intermediate_results[[#This Row], [Team9 laps '[laps']]]</f>
        <v>0</v>
      </c>
      <c r="AC218" s="3">
        <f>9 * intermediate_results[[#This Row], [All cumulative times '[sec']]] / SUM(intermediate_results[[#This Row], [Team1 laps '[laps']]:[Team9 laps '[laps']]])</f>
        <v>0</v>
      </c>
      <c r="AD218" s="3">
        <f>intermediate_results[[#This Row], [All cumulative times '[sec']]] / intermediate_results[[#This Row], [Team1 laps '[laps']]] - intermediate_results[[#This Row], [Total running average '[sec']]]</f>
        <v>0</v>
      </c>
      <c r="AE218" s="3">
        <f>intermediate_results[[#This Row], [All cumulative times '[sec']]] / intermediate_results[[#This Row], [Team2 laps '[laps']]] - intermediate_results[[#This Row], [Total running average '[sec']]]</f>
        <v>0</v>
      </c>
      <c r="AF218" s="3">
        <f>intermediate_results[[#This Row], [All cumulative times '[sec']]] / intermediate_results[[#This Row], [Team3 laps '[laps']]] - intermediate_results[[#This Row], [Total running average '[sec']]]</f>
        <v>0</v>
      </c>
      <c r="AG218" s="3">
        <f>intermediate_results[[#This Row], [All cumulative times '[sec']]] / intermediate_results[[#This Row], [Team4 laps '[laps']]] - intermediate_results[[#This Row], [Total running average '[sec']]]</f>
        <v>0</v>
      </c>
      <c r="AH218" s="3">
        <f>intermediate_results[[#This Row], [All cumulative times '[sec']]] / intermediate_results[[#This Row], [Team5 laps '[laps']]] - intermediate_results[[#This Row], [Total running average '[sec']]]</f>
        <v>0</v>
      </c>
      <c r="AI218" s="3">
        <f>intermediate_results[[#This Row], [All cumulative times '[sec']]] / intermediate_results[[#This Row], [Team6 laps '[laps']]] - intermediate_results[[#This Row], [Total running average '[sec']]]</f>
        <v>0</v>
      </c>
      <c r="AJ218" s="3">
        <f>intermediate_results[[#This Row], [All cumulative times '[sec']]] / intermediate_results[[#This Row], [Team7 laps '[laps']]] - intermediate_results[[#This Row], [Total running average '[sec']]]</f>
        <v>0</v>
      </c>
      <c r="AK218" s="3">
        <f>intermediate_results[[#This Row], [All cumulative times '[sec']]] / intermediate_results[[#This Row], [Team8 laps '[laps']]] - intermediate_results[[#This Row], [Total running average '[sec']]]</f>
        <v>0</v>
      </c>
      <c r="AL218" s="3">
        <f>intermediate_results[[#This Row], [All cumulative times '[sec']]] / intermediate_results[[#This Row], [Team9 laps '[laps']]] - intermediate_results[[#This Row], [Total running average '[sec']]]</f>
        <v>0</v>
      </c>
    </row>
    <row r="219" spans="1:38">
      <c r="A219" s="3">
        <v>1353.563</v>
      </c>
      <c r="B21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1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1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1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1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1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1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1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1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19" s="3">
        <f>intermediate_results[[#This Row], [Team1 laps '[laps']]] - intermediate_results[[#This Row], [Team1 laps '[laps']]]</f>
        <v>0</v>
      </c>
      <c r="L219" s="3">
        <f>intermediate_results[[#This Row], [Team1 laps '[laps']]] - intermediate_results[[#This Row], [Team2 laps '[laps']]]</f>
        <v>0</v>
      </c>
      <c r="M219" s="3">
        <f>intermediate_results[[#This Row], [Team1 laps '[laps']]] - intermediate_results[[#This Row], [Team3 laps '[laps']]]</f>
        <v>0</v>
      </c>
      <c r="N219" s="3">
        <f>intermediate_results[[#This Row], [Team1 laps '[laps']]] - intermediate_results[[#This Row], [Team4 laps '[laps']]]</f>
        <v>0</v>
      </c>
      <c r="O219" s="3">
        <f>intermediate_results[[#This Row], [Team1 laps '[laps']]] - intermediate_results[[#This Row], [Team5 laps '[laps']]]</f>
        <v>0</v>
      </c>
      <c r="P219" s="3">
        <f>intermediate_results[[#This Row], [Team1 laps '[laps']]] - intermediate_results[[#This Row], [Team6 laps '[laps']]]</f>
        <v>0</v>
      </c>
      <c r="Q219" s="3">
        <f>intermediate_results[[#This Row], [Team1 laps '[laps']]] - intermediate_results[[#This Row], [Team7 laps '[laps']]]</f>
        <v>0</v>
      </c>
      <c r="R219" s="3">
        <f>intermediate_results[[#This Row], [Team1 laps '[laps']]] - intermediate_results[[#This Row], [Team8 laps '[laps']]]</f>
        <v>0</v>
      </c>
      <c r="S219" s="3">
        <f>intermediate_results[[#This Row], [Team1 laps '[laps']]] - intermediate_results[[#This Row], [Team9 laps '[laps']]]</f>
        <v>0</v>
      </c>
      <c r="T219" s="3">
        <f>MAX(intermediate_results[[#This Row], [Team1 laps '[laps']]:[Team9 laps '[laps']]]) - intermediate_results[[#This Row], [Team1 laps '[laps']]]</f>
        <v>0</v>
      </c>
      <c r="U219" s="3">
        <f>MAX(intermediate_results[[#This Row], [Team1 laps '[laps']]:[Team9 laps '[laps']]]) - intermediate_results[[#This Row], [Team2 laps '[laps']]]</f>
        <v>0</v>
      </c>
      <c r="V219" s="3">
        <f>MAX(intermediate_results[[#This Row], [Team1 laps '[laps']]:[Team9 laps '[laps']]]) - intermediate_results[[#This Row], [Team3 laps '[laps']]]</f>
        <v>0</v>
      </c>
      <c r="W219" s="3">
        <f>MAX(intermediate_results[[#This Row], [Team1 laps '[laps']]:[Team9 laps '[laps']]]) - intermediate_results[[#This Row], [Team4 laps '[laps']]]</f>
        <v>0</v>
      </c>
      <c r="X219" s="3">
        <f>MAX(intermediate_results[[#This Row], [Team1 laps '[laps']]:[Team9 laps '[laps']]]) - intermediate_results[[#This Row], [Team5 laps '[laps']]]</f>
        <v>0</v>
      </c>
      <c r="Y219" s="3">
        <f>MAX(intermediate_results[[#This Row], [Team1 laps '[laps']]:[Team9 laps '[laps']]]) - intermediate_results[[#This Row], [Team6 laps '[laps']]]</f>
        <v>0</v>
      </c>
      <c r="Z219" s="3">
        <f>MAX(intermediate_results[[#This Row], [Team1 laps '[laps']]:[Team9 laps '[laps']]]) - intermediate_results[[#This Row], [Team7 laps '[laps']]]</f>
        <v>0</v>
      </c>
      <c r="AA219" s="3">
        <f>MAX(intermediate_results[[#This Row], [Team1 laps '[laps']]:[Team9 laps '[laps']]]) - intermediate_results[[#This Row], [Team8 laps '[laps']]]</f>
        <v>0</v>
      </c>
      <c r="AB219" s="3">
        <f>MAX(intermediate_results[[#This Row], [Team1 laps '[laps']]:[Team9 laps '[laps']]]) - intermediate_results[[#This Row], [Team9 laps '[laps']]]</f>
        <v>0</v>
      </c>
      <c r="AC219" s="3">
        <f>9 * intermediate_results[[#This Row], [All cumulative times '[sec']]] / SUM(intermediate_results[[#This Row], [Team1 laps '[laps']]:[Team9 laps '[laps']]])</f>
        <v>0</v>
      </c>
      <c r="AD219" s="3">
        <f>intermediate_results[[#This Row], [All cumulative times '[sec']]] / intermediate_results[[#This Row], [Team1 laps '[laps']]] - intermediate_results[[#This Row], [Total running average '[sec']]]</f>
        <v>0</v>
      </c>
      <c r="AE219" s="3">
        <f>intermediate_results[[#This Row], [All cumulative times '[sec']]] / intermediate_results[[#This Row], [Team2 laps '[laps']]] - intermediate_results[[#This Row], [Total running average '[sec']]]</f>
        <v>0</v>
      </c>
      <c r="AF219" s="3">
        <f>intermediate_results[[#This Row], [All cumulative times '[sec']]] / intermediate_results[[#This Row], [Team3 laps '[laps']]] - intermediate_results[[#This Row], [Total running average '[sec']]]</f>
        <v>0</v>
      </c>
      <c r="AG219" s="3">
        <f>intermediate_results[[#This Row], [All cumulative times '[sec']]] / intermediate_results[[#This Row], [Team4 laps '[laps']]] - intermediate_results[[#This Row], [Total running average '[sec']]]</f>
        <v>0</v>
      </c>
      <c r="AH219" s="3">
        <f>intermediate_results[[#This Row], [All cumulative times '[sec']]] / intermediate_results[[#This Row], [Team5 laps '[laps']]] - intermediate_results[[#This Row], [Total running average '[sec']]]</f>
        <v>0</v>
      </c>
      <c r="AI219" s="3">
        <f>intermediate_results[[#This Row], [All cumulative times '[sec']]] / intermediate_results[[#This Row], [Team6 laps '[laps']]] - intermediate_results[[#This Row], [Total running average '[sec']]]</f>
        <v>0</v>
      </c>
      <c r="AJ219" s="3">
        <f>intermediate_results[[#This Row], [All cumulative times '[sec']]] / intermediate_results[[#This Row], [Team7 laps '[laps']]] - intermediate_results[[#This Row], [Total running average '[sec']]]</f>
        <v>0</v>
      </c>
      <c r="AK219" s="3">
        <f>intermediate_results[[#This Row], [All cumulative times '[sec']]] / intermediate_results[[#This Row], [Team8 laps '[laps']]] - intermediate_results[[#This Row], [Total running average '[sec']]]</f>
        <v>0</v>
      </c>
      <c r="AL219" s="3">
        <f>intermediate_results[[#This Row], [All cumulative times '[sec']]] / intermediate_results[[#This Row], [Team9 laps '[laps']]] - intermediate_results[[#This Row], [Total running average '[sec']]]</f>
        <v>0</v>
      </c>
    </row>
    <row r="220" spans="1:38">
      <c r="A220" s="3">
        <v>1355.049999999999</v>
      </c>
      <c r="B22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0" s="3">
        <f>intermediate_results[[#This Row], [Team1 laps '[laps']]] - intermediate_results[[#This Row], [Team1 laps '[laps']]]</f>
        <v>0</v>
      </c>
      <c r="L220" s="3">
        <f>intermediate_results[[#This Row], [Team1 laps '[laps']]] - intermediate_results[[#This Row], [Team2 laps '[laps']]]</f>
        <v>0</v>
      </c>
      <c r="M220" s="3">
        <f>intermediate_results[[#This Row], [Team1 laps '[laps']]] - intermediate_results[[#This Row], [Team3 laps '[laps']]]</f>
        <v>0</v>
      </c>
      <c r="N220" s="3">
        <f>intermediate_results[[#This Row], [Team1 laps '[laps']]] - intermediate_results[[#This Row], [Team4 laps '[laps']]]</f>
        <v>0</v>
      </c>
      <c r="O220" s="3">
        <f>intermediate_results[[#This Row], [Team1 laps '[laps']]] - intermediate_results[[#This Row], [Team5 laps '[laps']]]</f>
        <v>0</v>
      </c>
      <c r="P220" s="3">
        <f>intermediate_results[[#This Row], [Team1 laps '[laps']]] - intermediate_results[[#This Row], [Team6 laps '[laps']]]</f>
        <v>0</v>
      </c>
      <c r="Q220" s="3">
        <f>intermediate_results[[#This Row], [Team1 laps '[laps']]] - intermediate_results[[#This Row], [Team7 laps '[laps']]]</f>
        <v>0</v>
      </c>
      <c r="R220" s="3">
        <f>intermediate_results[[#This Row], [Team1 laps '[laps']]] - intermediate_results[[#This Row], [Team8 laps '[laps']]]</f>
        <v>0</v>
      </c>
      <c r="S220" s="3">
        <f>intermediate_results[[#This Row], [Team1 laps '[laps']]] - intermediate_results[[#This Row], [Team9 laps '[laps']]]</f>
        <v>0</v>
      </c>
      <c r="T220" s="3">
        <f>MAX(intermediate_results[[#This Row], [Team1 laps '[laps']]:[Team9 laps '[laps']]]) - intermediate_results[[#This Row], [Team1 laps '[laps']]]</f>
        <v>0</v>
      </c>
      <c r="U220" s="3">
        <f>MAX(intermediate_results[[#This Row], [Team1 laps '[laps']]:[Team9 laps '[laps']]]) - intermediate_results[[#This Row], [Team2 laps '[laps']]]</f>
        <v>0</v>
      </c>
      <c r="V220" s="3">
        <f>MAX(intermediate_results[[#This Row], [Team1 laps '[laps']]:[Team9 laps '[laps']]]) - intermediate_results[[#This Row], [Team3 laps '[laps']]]</f>
        <v>0</v>
      </c>
      <c r="W220" s="3">
        <f>MAX(intermediate_results[[#This Row], [Team1 laps '[laps']]:[Team9 laps '[laps']]]) - intermediate_results[[#This Row], [Team4 laps '[laps']]]</f>
        <v>0</v>
      </c>
      <c r="X220" s="3">
        <f>MAX(intermediate_results[[#This Row], [Team1 laps '[laps']]:[Team9 laps '[laps']]]) - intermediate_results[[#This Row], [Team5 laps '[laps']]]</f>
        <v>0</v>
      </c>
      <c r="Y220" s="3">
        <f>MAX(intermediate_results[[#This Row], [Team1 laps '[laps']]:[Team9 laps '[laps']]]) - intermediate_results[[#This Row], [Team6 laps '[laps']]]</f>
        <v>0</v>
      </c>
      <c r="Z220" s="3">
        <f>MAX(intermediate_results[[#This Row], [Team1 laps '[laps']]:[Team9 laps '[laps']]]) - intermediate_results[[#This Row], [Team7 laps '[laps']]]</f>
        <v>0</v>
      </c>
      <c r="AA220" s="3">
        <f>MAX(intermediate_results[[#This Row], [Team1 laps '[laps']]:[Team9 laps '[laps']]]) - intermediate_results[[#This Row], [Team8 laps '[laps']]]</f>
        <v>0</v>
      </c>
      <c r="AB220" s="3">
        <f>MAX(intermediate_results[[#This Row], [Team1 laps '[laps']]:[Team9 laps '[laps']]]) - intermediate_results[[#This Row], [Team9 laps '[laps']]]</f>
        <v>0</v>
      </c>
      <c r="AC220" s="3">
        <f>9 * intermediate_results[[#This Row], [All cumulative times '[sec']]] / SUM(intermediate_results[[#This Row], [Team1 laps '[laps']]:[Team9 laps '[laps']]])</f>
        <v>0</v>
      </c>
      <c r="AD220" s="3">
        <f>intermediate_results[[#This Row], [All cumulative times '[sec']]] / intermediate_results[[#This Row], [Team1 laps '[laps']]] - intermediate_results[[#This Row], [Total running average '[sec']]]</f>
        <v>0</v>
      </c>
      <c r="AE220" s="3">
        <f>intermediate_results[[#This Row], [All cumulative times '[sec']]] / intermediate_results[[#This Row], [Team2 laps '[laps']]] - intermediate_results[[#This Row], [Total running average '[sec']]]</f>
        <v>0</v>
      </c>
      <c r="AF220" s="3">
        <f>intermediate_results[[#This Row], [All cumulative times '[sec']]] / intermediate_results[[#This Row], [Team3 laps '[laps']]] - intermediate_results[[#This Row], [Total running average '[sec']]]</f>
        <v>0</v>
      </c>
      <c r="AG220" s="3">
        <f>intermediate_results[[#This Row], [All cumulative times '[sec']]] / intermediate_results[[#This Row], [Team4 laps '[laps']]] - intermediate_results[[#This Row], [Total running average '[sec']]]</f>
        <v>0</v>
      </c>
      <c r="AH220" s="3">
        <f>intermediate_results[[#This Row], [All cumulative times '[sec']]] / intermediate_results[[#This Row], [Team5 laps '[laps']]] - intermediate_results[[#This Row], [Total running average '[sec']]]</f>
        <v>0</v>
      </c>
      <c r="AI220" s="3">
        <f>intermediate_results[[#This Row], [All cumulative times '[sec']]] / intermediate_results[[#This Row], [Team6 laps '[laps']]] - intermediate_results[[#This Row], [Total running average '[sec']]]</f>
        <v>0</v>
      </c>
      <c r="AJ220" s="3">
        <f>intermediate_results[[#This Row], [All cumulative times '[sec']]] / intermediate_results[[#This Row], [Team7 laps '[laps']]] - intermediate_results[[#This Row], [Total running average '[sec']]]</f>
        <v>0</v>
      </c>
      <c r="AK220" s="3">
        <f>intermediate_results[[#This Row], [All cumulative times '[sec']]] / intermediate_results[[#This Row], [Team8 laps '[laps']]] - intermediate_results[[#This Row], [Total running average '[sec']]]</f>
        <v>0</v>
      </c>
      <c r="AL220" s="3">
        <f>intermediate_results[[#This Row], [All cumulative times '[sec']]] / intermediate_results[[#This Row], [Team9 laps '[laps']]] - intermediate_results[[#This Row], [Total running average '[sec']]]</f>
        <v>0</v>
      </c>
    </row>
    <row r="221" spans="1:38">
      <c r="A221" s="3">
        <v>1365.291</v>
      </c>
      <c r="B22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1" s="3">
        <f>intermediate_results[[#This Row], [Team1 laps '[laps']]] - intermediate_results[[#This Row], [Team1 laps '[laps']]]</f>
        <v>0</v>
      </c>
      <c r="L221" s="3">
        <f>intermediate_results[[#This Row], [Team1 laps '[laps']]] - intermediate_results[[#This Row], [Team2 laps '[laps']]]</f>
        <v>0</v>
      </c>
      <c r="M221" s="3">
        <f>intermediate_results[[#This Row], [Team1 laps '[laps']]] - intermediate_results[[#This Row], [Team3 laps '[laps']]]</f>
        <v>0</v>
      </c>
      <c r="N221" s="3">
        <f>intermediate_results[[#This Row], [Team1 laps '[laps']]] - intermediate_results[[#This Row], [Team4 laps '[laps']]]</f>
        <v>0</v>
      </c>
      <c r="O221" s="3">
        <f>intermediate_results[[#This Row], [Team1 laps '[laps']]] - intermediate_results[[#This Row], [Team5 laps '[laps']]]</f>
        <v>0</v>
      </c>
      <c r="P221" s="3">
        <f>intermediate_results[[#This Row], [Team1 laps '[laps']]] - intermediate_results[[#This Row], [Team6 laps '[laps']]]</f>
        <v>0</v>
      </c>
      <c r="Q221" s="3">
        <f>intermediate_results[[#This Row], [Team1 laps '[laps']]] - intermediate_results[[#This Row], [Team7 laps '[laps']]]</f>
        <v>0</v>
      </c>
      <c r="R221" s="3">
        <f>intermediate_results[[#This Row], [Team1 laps '[laps']]] - intermediate_results[[#This Row], [Team8 laps '[laps']]]</f>
        <v>0</v>
      </c>
      <c r="S221" s="3">
        <f>intermediate_results[[#This Row], [Team1 laps '[laps']]] - intermediate_results[[#This Row], [Team9 laps '[laps']]]</f>
        <v>0</v>
      </c>
      <c r="T221" s="3">
        <f>MAX(intermediate_results[[#This Row], [Team1 laps '[laps']]:[Team9 laps '[laps']]]) - intermediate_results[[#This Row], [Team1 laps '[laps']]]</f>
        <v>0</v>
      </c>
      <c r="U221" s="3">
        <f>MAX(intermediate_results[[#This Row], [Team1 laps '[laps']]:[Team9 laps '[laps']]]) - intermediate_results[[#This Row], [Team2 laps '[laps']]]</f>
        <v>0</v>
      </c>
      <c r="V221" s="3">
        <f>MAX(intermediate_results[[#This Row], [Team1 laps '[laps']]:[Team9 laps '[laps']]]) - intermediate_results[[#This Row], [Team3 laps '[laps']]]</f>
        <v>0</v>
      </c>
      <c r="W221" s="3">
        <f>MAX(intermediate_results[[#This Row], [Team1 laps '[laps']]:[Team9 laps '[laps']]]) - intermediate_results[[#This Row], [Team4 laps '[laps']]]</f>
        <v>0</v>
      </c>
      <c r="X221" s="3">
        <f>MAX(intermediate_results[[#This Row], [Team1 laps '[laps']]:[Team9 laps '[laps']]]) - intermediate_results[[#This Row], [Team5 laps '[laps']]]</f>
        <v>0</v>
      </c>
      <c r="Y221" s="3">
        <f>MAX(intermediate_results[[#This Row], [Team1 laps '[laps']]:[Team9 laps '[laps']]]) - intermediate_results[[#This Row], [Team6 laps '[laps']]]</f>
        <v>0</v>
      </c>
      <c r="Z221" s="3">
        <f>MAX(intermediate_results[[#This Row], [Team1 laps '[laps']]:[Team9 laps '[laps']]]) - intermediate_results[[#This Row], [Team7 laps '[laps']]]</f>
        <v>0</v>
      </c>
      <c r="AA221" s="3">
        <f>MAX(intermediate_results[[#This Row], [Team1 laps '[laps']]:[Team9 laps '[laps']]]) - intermediate_results[[#This Row], [Team8 laps '[laps']]]</f>
        <v>0</v>
      </c>
      <c r="AB221" s="3">
        <f>MAX(intermediate_results[[#This Row], [Team1 laps '[laps']]:[Team9 laps '[laps']]]) - intermediate_results[[#This Row], [Team9 laps '[laps']]]</f>
        <v>0</v>
      </c>
      <c r="AC221" s="3">
        <f>9 * intermediate_results[[#This Row], [All cumulative times '[sec']]] / SUM(intermediate_results[[#This Row], [Team1 laps '[laps']]:[Team9 laps '[laps']]])</f>
        <v>0</v>
      </c>
      <c r="AD221" s="3">
        <f>intermediate_results[[#This Row], [All cumulative times '[sec']]] / intermediate_results[[#This Row], [Team1 laps '[laps']]] - intermediate_results[[#This Row], [Total running average '[sec']]]</f>
        <v>0</v>
      </c>
      <c r="AE221" s="3">
        <f>intermediate_results[[#This Row], [All cumulative times '[sec']]] / intermediate_results[[#This Row], [Team2 laps '[laps']]] - intermediate_results[[#This Row], [Total running average '[sec']]]</f>
        <v>0</v>
      </c>
      <c r="AF221" s="3">
        <f>intermediate_results[[#This Row], [All cumulative times '[sec']]] / intermediate_results[[#This Row], [Team3 laps '[laps']]] - intermediate_results[[#This Row], [Total running average '[sec']]]</f>
        <v>0</v>
      </c>
      <c r="AG221" s="3">
        <f>intermediate_results[[#This Row], [All cumulative times '[sec']]] / intermediate_results[[#This Row], [Team4 laps '[laps']]] - intermediate_results[[#This Row], [Total running average '[sec']]]</f>
        <v>0</v>
      </c>
      <c r="AH221" s="3">
        <f>intermediate_results[[#This Row], [All cumulative times '[sec']]] / intermediate_results[[#This Row], [Team5 laps '[laps']]] - intermediate_results[[#This Row], [Total running average '[sec']]]</f>
        <v>0</v>
      </c>
      <c r="AI221" s="3">
        <f>intermediate_results[[#This Row], [All cumulative times '[sec']]] / intermediate_results[[#This Row], [Team6 laps '[laps']]] - intermediate_results[[#This Row], [Total running average '[sec']]]</f>
        <v>0</v>
      </c>
      <c r="AJ221" s="3">
        <f>intermediate_results[[#This Row], [All cumulative times '[sec']]] / intermediate_results[[#This Row], [Team7 laps '[laps']]] - intermediate_results[[#This Row], [Total running average '[sec']]]</f>
        <v>0</v>
      </c>
      <c r="AK221" s="3">
        <f>intermediate_results[[#This Row], [All cumulative times '[sec']]] / intermediate_results[[#This Row], [Team8 laps '[laps']]] - intermediate_results[[#This Row], [Total running average '[sec']]]</f>
        <v>0</v>
      </c>
      <c r="AL221" s="3">
        <f>intermediate_results[[#This Row], [All cumulative times '[sec']]] / intermediate_results[[#This Row], [Team9 laps '[laps']]] - intermediate_results[[#This Row], [Total running average '[sec']]]</f>
        <v>0</v>
      </c>
    </row>
    <row r="222" spans="1:38">
      <c r="A222" s="3">
        <v>1371.103</v>
      </c>
      <c r="B22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2" s="3">
        <f>intermediate_results[[#This Row], [Team1 laps '[laps']]] - intermediate_results[[#This Row], [Team1 laps '[laps']]]</f>
        <v>0</v>
      </c>
      <c r="L222" s="3">
        <f>intermediate_results[[#This Row], [Team1 laps '[laps']]] - intermediate_results[[#This Row], [Team2 laps '[laps']]]</f>
        <v>0</v>
      </c>
      <c r="M222" s="3">
        <f>intermediate_results[[#This Row], [Team1 laps '[laps']]] - intermediate_results[[#This Row], [Team3 laps '[laps']]]</f>
        <v>0</v>
      </c>
      <c r="N222" s="3">
        <f>intermediate_results[[#This Row], [Team1 laps '[laps']]] - intermediate_results[[#This Row], [Team4 laps '[laps']]]</f>
        <v>0</v>
      </c>
      <c r="O222" s="3">
        <f>intermediate_results[[#This Row], [Team1 laps '[laps']]] - intermediate_results[[#This Row], [Team5 laps '[laps']]]</f>
        <v>0</v>
      </c>
      <c r="P222" s="3">
        <f>intermediate_results[[#This Row], [Team1 laps '[laps']]] - intermediate_results[[#This Row], [Team6 laps '[laps']]]</f>
        <v>0</v>
      </c>
      <c r="Q222" s="3">
        <f>intermediate_results[[#This Row], [Team1 laps '[laps']]] - intermediate_results[[#This Row], [Team7 laps '[laps']]]</f>
        <v>0</v>
      </c>
      <c r="R222" s="3">
        <f>intermediate_results[[#This Row], [Team1 laps '[laps']]] - intermediate_results[[#This Row], [Team8 laps '[laps']]]</f>
        <v>0</v>
      </c>
      <c r="S222" s="3">
        <f>intermediate_results[[#This Row], [Team1 laps '[laps']]] - intermediate_results[[#This Row], [Team9 laps '[laps']]]</f>
        <v>0</v>
      </c>
      <c r="T222" s="3">
        <f>MAX(intermediate_results[[#This Row], [Team1 laps '[laps']]:[Team9 laps '[laps']]]) - intermediate_results[[#This Row], [Team1 laps '[laps']]]</f>
        <v>0</v>
      </c>
      <c r="U222" s="3">
        <f>MAX(intermediate_results[[#This Row], [Team1 laps '[laps']]:[Team9 laps '[laps']]]) - intermediate_results[[#This Row], [Team2 laps '[laps']]]</f>
        <v>0</v>
      </c>
      <c r="V222" s="3">
        <f>MAX(intermediate_results[[#This Row], [Team1 laps '[laps']]:[Team9 laps '[laps']]]) - intermediate_results[[#This Row], [Team3 laps '[laps']]]</f>
        <v>0</v>
      </c>
      <c r="W222" s="3">
        <f>MAX(intermediate_results[[#This Row], [Team1 laps '[laps']]:[Team9 laps '[laps']]]) - intermediate_results[[#This Row], [Team4 laps '[laps']]]</f>
        <v>0</v>
      </c>
      <c r="X222" s="3">
        <f>MAX(intermediate_results[[#This Row], [Team1 laps '[laps']]:[Team9 laps '[laps']]]) - intermediate_results[[#This Row], [Team5 laps '[laps']]]</f>
        <v>0</v>
      </c>
      <c r="Y222" s="3">
        <f>MAX(intermediate_results[[#This Row], [Team1 laps '[laps']]:[Team9 laps '[laps']]]) - intermediate_results[[#This Row], [Team6 laps '[laps']]]</f>
        <v>0</v>
      </c>
      <c r="Z222" s="3">
        <f>MAX(intermediate_results[[#This Row], [Team1 laps '[laps']]:[Team9 laps '[laps']]]) - intermediate_results[[#This Row], [Team7 laps '[laps']]]</f>
        <v>0</v>
      </c>
      <c r="AA222" s="3">
        <f>MAX(intermediate_results[[#This Row], [Team1 laps '[laps']]:[Team9 laps '[laps']]]) - intermediate_results[[#This Row], [Team8 laps '[laps']]]</f>
        <v>0</v>
      </c>
      <c r="AB222" s="3">
        <f>MAX(intermediate_results[[#This Row], [Team1 laps '[laps']]:[Team9 laps '[laps']]]) - intermediate_results[[#This Row], [Team9 laps '[laps']]]</f>
        <v>0</v>
      </c>
      <c r="AC222" s="3">
        <f>9 * intermediate_results[[#This Row], [All cumulative times '[sec']]] / SUM(intermediate_results[[#This Row], [Team1 laps '[laps']]:[Team9 laps '[laps']]])</f>
        <v>0</v>
      </c>
      <c r="AD222" s="3">
        <f>intermediate_results[[#This Row], [All cumulative times '[sec']]] / intermediate_results[[#This Row], [Team1 laps '[laps']]] - intermediate_results[[#This Row], [Total running average '[sec']]]</f>
        <v>0</v>
      </c>
      <c r="AE222" s="3">
        <f>intermediate_results[[#This Row], [All cumulative times '[sec']]] / intermediate_results[[#This Row], [Team2 laps '[laps']]] - intermediate_results[[#This Row], [Total running average '[sec']]]</f>
        <v>0</v>
      </c>
      <c r="AF222" s="3">
        <f>intermediate_results[[#This Row], [All cumulative times '[sec']]] / intermediate_results[[#This Row], [Team3 laps '[laps']]] - intermediate_results[[#This Row], [Total running average '[sec']]]</f>
        <v>0</v>
      </c>
      <c r="AG222" s="3">
        <f>intermediate_results[[#This Row], [All cumulative times '[sec']]] / intermediate_results[[#This Row], [Team4 laps '[laps']]] - intermediate_results[[#This Row], [Total running average '[sec']]]</f>
        <v>0</v>
      </c>
      <c r="AH222" s="3">
        <f>intermediate_results[[#This Row], [All cumulative times '[sec']]] / intermediate_results[[#This Row], [Team5 laps '[laps']]] - intermediate_results[[#This Row], [Total running average '[sec']]]</f>
        <v>0</v>
      </c>
      <c r="AI222" s="3">
        <f>intermediate_results[[#This Row], [All cumulative times '[sec']]] / intermediate_results[[#This Row], [Team6 laps '[laps']]] - intermediate_results[[#This Row], [Total running average '[sec']]]</f>
        <v>0</v>
      </c>
      <c r="AJ222" s="3">
        <f>intermediate_results[[#This Row], [All cumulative times '[sec']]] / intermediate_results[[#This Row], [Team7 laps '[laps']]] - intermediate_results[[#This Row], [Total running average '[sec']]]</f>
        <v>0</v>
      </c>
      <c r="AK222" s="3">
        <f>intermediate_results[[#This Row], [All cumulative times '[sec']]] / intermediate_results[[#This Row], [Team8 laps '[laps']]] - intermediate_results[[#This Row], [Total running average '[sec']]]</f>
        <v>0</v>
      </c>
      <c r="AL222" s="3">
        <f>intermediate_results[[#This Row], [All cumulative times '[sec']]] / intermediate_results[[#This Row], [Team9 laps '[laps']]] - intermediate_results[[#This Row], [Total running average '[sec']]]</f>
        <v>0</v>
      </c>
    </row>
    <row r="223" spans="1:38">
      <c r="A223" s="3">
        <v>1371.922</v>
      </c>
      <c r="B22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3" s="3">
        <f>intermediate_results[[#This Row], [Team1 laps '[laps']]] - intermediate_results[[#This Row], [Team1 laps '[laps']]]</f>
        <v>0</v>
      </c>
      <c r="L223" s="3">
        <f>intermediate_results[[#This Row], [Team1 laps '[laps']]] - intermediate_results[[#This Row], [Team2 laps '[laps']]]</f>
        <v>0</v>
      </c>
      <c r="M223" s="3">
        <f>intermediate_results[[#This Row], [Team1 laps '[laps']]] - intermediate_results[[#This Row], [Team3 laps '[laps']]]</f>
        <v>0</v>
      </c>
      <c r="N223" s="3">
        <f>intermediate_results[[#This Row], [Team1 laps '[laps']]] - intermediate_results[[#This Row], [Team4 laps '[laps']]]</f>
        <v>0</v>
      </c>
      <c r="O223" s="3">
        <f>intermediate_results[[#This Row], [Team1 laps '[laps']]] - intermediate_results[[#This Row], [Team5 laps '[laps']]]</f>
        <v>0</v>
      </c>
      <c r="P223" s="3">
        <f>intermediate_results[[#This Row], [Team1 laps '[laps']]] - intermediate_results[[#This Row], [Team6 laps '[laps']]]</f>
        <v>0</v>
      </c>
      <c r="Q223" s="3">
        <f>intermediate_results[[#This Row], [Team1 laps '[laps']]] - intermediate_results[[#This Row], [Team7 laps '[laps']]]</f>
        <v>0</v>
      </c>
      <c r="R223" s="3">
        <f>intermediate_results[[#This Row], [Team1 laps '[laps']]] - intermediate_results[[#This Row], [Team8 laps '[laps']]]</f>
        <v>0</v>
      </c>
      <c r="S223" s="3">
        <f>intermediate_results[[#This Row], [Team1 laps '[laps']]] - intermediate_results[[#This Row], [Team9 laps '[laps']]]</f>
        <v>0</v>
      </c>
      <c r="T223" s="3">
        <f>MAX(intermediate_results[[#This Row], [Team1 laps '[laps']]:[Team9 laps '[laps']]]) - intermediate_results[[#This Row], [Team1 laps '[laps']]]</f>
        <v>0</v>
      </c>
      <c r="U223" s="3">
        <f>MAX(intermediate_results[[#This Row], [Team1 laps '[laps']]:[Team9 laps '[laps']]]) - intermediate_results[[#This Row], [Team2 laps '[laps']]]</f>
        <v>0</v>
      </c>
      <c r="V223" s="3">
        <f>MAX(intermediate_results[[#This Row], [Team1 laps '[laps']]:[Team9 laps '[laps']]]) - intermediate_results[[#This Row], [Team3 laps '[laps']]]</f>
        <v>0</v>
      </c>
      <c r="W223" s="3">
        <f>MAX(intermediate_results[[#This Row], [Team1 laps '[laps']]:[Team9 laps '[laps']]]) - intermediate_results[[#This Row], [Team4 laps '[laps']]]</f>
        <v>0</v>
      </c>
      <c r="X223" s="3">
        <f>MAX(intermediate_results[[#This Row], [Team1 laps '[laps']]:[Team9 laps '[laps']]]) - intermediate_results[[#This Row], [Team5 laps '[laps']]]</f>
        <v>0</v>
      </c>
      <c r="Y223" s="3">
        <f>MAX(intermediate_results[[#This Row], [Team1 laps '[laps']]:[Team9 laps '[laps']]]) - intermediate_results[[#This Row], [Team6 laps '[laps']]]</f>
        <v>0</v>
      </c>
      <c r="Z223" s="3">
        <f>MAX(intermediate_results[[#This Row], [Team1 laps '[laps']]:[Team9 laps '[laps']]]) - intermediate_results[[#This Row], [Team7 laps '[laps']]]</f>
        <v>0</v>
      </c>
      <c r="AA223" s="3">
        <f>MAX(intermediate_results[[#This Row], [Team1 laps '[laps']]:[Team9 laps '[laps']]]) - intermediate_results[[#This Row], [Team8 laps '[laps']]]</f>
        <v>0</v>
      </c>
      <c r="AB223" s="3">
        <f>MAX(intermediate_results[[#This Row], [Team1 laps '[laps']]:[Team9 laps '[laps']]]) - intermediate_results[[#This Row], [Team9 laps '[laps']]]</f>
        <v>0</v>
      </c>
      <c r="AC223" s="3">
        <f>9 * intermediate_results[[#This Row], [All cumulative times '[sec']]] / SUM(intermediate_results[[#This Row], [Team1 laps '[laps']]:[Team9 laps '[laps']]])</f>
        <v>0</v>
      </c>
      <c r="AD223" s="3">
        <f>intermediate_results[[#This Row], [All cumulative times '[sec']]] / intermediate_results[[#This Row], [Team1 laps '[laps']]] - intermediate_results[[#This Row], [Total running average '[sec']]]</f>
        <v>0</v>
      </c>
      <c r="AE223" s="3">
        <f>intermediate_results[[#This Row], [All cumulative times '[sec']]] / intermediate_results[[#This Row], [Team2 laps '[laps']]] - intermediate_results[[#This Row], [Total running average '[sec']]]</f>
        <v>0</v>
      </c>
      <c r="AF223" s="3">
        <f>intermediate_results[[#This Row], [All cumulative times '[sec']]] / intermediate_results[[#This Row], [Team3 laps '[laps']]] - intermediate_results[[#This Row], [Total running average '[sec']]]</f>
        <v>0</v>
      </c>
      <c r="AG223" s="3">
        <f>intermediate_results[[#This Row], [All cumulative times '[sec']]] / intermediate_results[[#This Row], [Team4 laps '[laps']]] - intermediate_results[[#This Row], [Total running average '[sec']]]</f>
        <v>0</v>
      </c>
      <c r="AH223" s="3">
        <f>intermediate_results[[#This Row], [All cumulative times '[sec']]] / intermediate_results[[#This Row], [Team5 laps '[laps']]] - intermediate_results[[#This Row], [Total running average '[sec']]]</f>
        <v>0</v>
      </c>
      <c r="AI223" s="3">
        <f>intermediate_results[[#This Row], [All cumulative times '[sec']]] / intermediate_results[[#This Row], [Team6 laps '[laps']]] - intermediate_results[[#This Row], [Total running average '[sec']]]</f>
        <v>0</v>
      </c>
      <c r="AJ223" s="3">
        <f>intermediate_results[[#This Row], [All cumulative times '[sec']]] / intermediate_results[[#This Row], [Team7 laps '[laps']]] - intermediate_results[[#This Row], [Total running average '[sec']]]</f>
        <v>0</v>
      </c>
      <c r="AK223" s="3">
        <f>intermediate_results[[#This Row], [All cumulative times '[sec']]] / intermediate_results[[#This Row], [Team8 laps '[laps']]] - intermediate_results[[#This Row], [Total running average '[sec']]]</f>
        <v>0</v>
      </c>
      <c r="AL223" s="3">
        <f>intermediate_results[[#This Row], [All cumulative times '[sec']]] / intermediate_results[[#This Row], [Team9 laps '[laps']]] - intermediate_results[[#This Row], [Total running average '[sec']]]</f>
        <v>0</v>
      </c>
    </row>
    <row r="224" spans="1:38">
      <c r="A224" s="3">
        <v>1380.578</v>
      </c>
      <c r="B22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4" s="3">
        <f>intermediate_results[[#This Row], [Team1 laps '[laps']]] - intermediate_results[[#This Row], [Team1 laps '[laps']]]</f>
        <v>0</v>
      </c>
      <c r="L224" s="3">
        <f>intermediate_results[[#This Row], [Team1 laps '[laps']]] - intermediate_results[[#This Row], [Team2 laps '[laps']]]</f>
        <v>0</v>
      </c>
      <c r="M224" s="3">
        <f>intermediate_results[[#This Row], [Team1 laps '[laps']]] - intermediate_results[[#This Row], [Team3 laps '[laps']]]</f>
        <v>0</v>
      </c>
      <c r="N224" s="3">
        <f>intermediate_results[[#This Row], [Team1 laps '[laps']]] - intermediate_results[[#This Row], [Team4 laps '[laps']]]</f>
        <v>0</v>
      </c>
      <c r="O224" s="3">
        <f>intermediate_results[[#This Row], [Team1 laps '[laps']]] - intermediate_results[[#This Row], [Team5 laps '[laps']]]</f>
        <v>0</v>
      </c>
      <c r="P224" s="3">
        <f>intermediate_results[[#This Row], [Team1 laps '[laps']]] - intermediate_results[[#This Row], [Team6 laps '[laps']]]</f>
        <v>0</v>
      </c>
      <c r="Q224" s="3">
        <f>intermediate_results[[#This Row], [Team1 laps '[laps']]] - intermediate_results[[#This Row], [Team7 laps '[laps']]]</f>
        <v>0</v>
      </c>
      <c r="R224" s="3">
        <f>intermediate_results[[#This Row], [Team1 laps '[laps']]] - intermediate_results[[#This Row], [Team8 laps '[laps']]]</f>
        <v>0</v>
      </c>
      <c r="S224" s="3">
        <f>intermediate_results[[#This Row], [Team1 laps '[laps']]] - intermediate_results[[#This Row], [Team9 laps '[laps']]]</f>
        <v>0</v>
      </c>
      <c r="T224" s="3">
        <f>MAX(intermediate_results[[#This Row], [Team1 laps '[laps']]:[Team9 laps '[laps']]]) - intermediate_results[[#This Row], [Team1 laps '[laps']]]</f>
        <v>0</v>
      </c>
      <c r="U224" s="3">
        <f>MAX(intermediate_results[[#This Row], [Team1 laps '[laps']]:[Team9 laps '[laps']]]) - intermediate_results[[#This Row], [Team2 laps '[laps']]]</f>
        <v>0</v>
      </c>
      <c r="V224" s="3">
        <f>MAX(intermediate_results[[#This Row], [Team1 laps '[laps']]:[Team9 laps '[laps']]]) - intermediate_results[[#This Row], [Team3 laps '[laps']]]</f>
        <v>0</v>
      </c>
      <c r="W224" s="3">
        <f>MAX(intermediate_results[[#This Row], [Team1 laps '[laps']]:[Team9 laps '[laps']]]) - intermediate_results[[#This Row], [Team4 laps '[laps']]]</f>
        <v>0</v>
      </c>
      <c r="X224" s="3">
        <f>MAX(intermediate_results[[#This Row], [Team1 laps '[laps']]:[Team9 laps '[laps']]]) - intermediate_results[[#This Row], [Team5 laps '[laps']]]</f>
        <v>0</v>
      </c>
      <c r="Y224" s="3">
        <f>MAX(intermediate_results[[#This Row], [Team1 laps '[laps']]:[Team9 laps '[laps']]]) - intermediate_results[[#This Row], [Team6 laps '[laps']]]</f>
        <v>0</v>
      </c>
      <c r="Z224" s="3">
        <f>MAX(intermediate_results[[#This Row], [Team1 laps '[laps']]:[Team9 laps '[laps']]]) - intermediate_results[[#This Row], [Team7 laps '[laps']]]</f>
        <v>0</v>
      </c>
      <c r="AA224" s="3">
        <f>MAX(intermediate_results[[#This Row], [Team1 laps '[laps']]:[Team9 laps '[laps']]]) - intermediate_results[[#This Row], [Team8 laps '[laps']]]</f>
        <v>0</v>
      </c>
      <c r="AB224" s="3">
        <f>MAX(intermediate_results[[#This Row], [Team1 laps '[laps']]:[Team9 laps '[laps']]]) - intermediate_results[[#This Row], [Team9 laps '[laps']]]</f>
        <v>0</v>
      </c>
      <c r="AC224" s="3">
        <f>9 * intermediate_results[[#This Row], [All cumulative times '[sec']]] / SUM(intermediate_results[[#This Row], [Team1 laps '[laps']]:[Team9 laps '[laps']]])</f>
        <v>0</v>
      </c>
      <c r="AD224" s="3">
        <f>intermediate_results[[#This Row], [All cumulative times '[sec']]] / intermediate_results[[#This Row], [Team1 laps '[laps']]] - intermediate_results[[#This Row], [Total running average '[sec']]]</f>
        <v>0</v>
      </c>
      <c r="AE224" s="3">
        <f>intermediate_results[[#This Row], [All cumulative times '[sec']]] / intermediate_results[[#This Row], [Team2 laps '[laps']]] - intermediate_results[[#This Row], [Total running average '[sec']]]</f>
        <v>0</v>
      </c>
      <c r="AF224" s="3">
        <f>intermediate_results[[#This Row], [All cumulative times '[sec']]] / intermediate_results[[#This Row], [Team3 laps '[laps']]] - intermediate_results[[#This Row], [Total running average '[sec']]]</f>
        <v>0</v>
      </c>
      <c r="AG224" s="3">
        <f>intermediate_results[[#This Row], [All cumulative times '[sec']]] / intermediate_results[[#This Row], [Team4 laps '[laps']]] - intermediate_results[[#This Row], [Total running average '[sec']]]</f>
        <v>0</v>
      </c>
      <c r="AH224" s="3">
        <f>intermediate_results[[#This Row], [All cumulative times '[sec']]] / intermediate_results[[#This Row], [Team5 laps '[laps']]] - intermediate_results[[#This Row], [Total running average '[sec']]]</f>
        <v>0</v>
      </c>
      <c r="AI224" s="3">
        <f>intermediate_results[[#This Row], [All cumulative times '[sec']]] / intermediate_results[[#This Row], [Team6 laps '[laps']]] - intermediate_results[[#This Row], [Total running average '[sec']]]</f>
        <v>0</v>
      </c>
      <c r="AJ224" s="3">
        <f>intermediate_results[[#This Row], [All cumulative times '[sec']]] / intermediate_results[[#This Row], [Team7 laps '[laps']]] - intermediate_results[[#This Row], [Total running average '[sec']]]</f>
        <v>0</v>
      </c>
      <c r="AK224" s="3">
        <f>intermediate_results[[#This Row], [All cumulative times '[sec']]] / intermediate_results[[#This Row], [Team8 laps '[laps']]] - intermediate_results[[#This Row], [Total running average '[sec']]]</f>
        <v>0</v>
      </c>
      <c r="AL224" s="3">
        <f>intermediate_results[[#This Row], [All cumulative times '[sec']]] / intermediate_results[[#This Row], [Team9 laps '[laps']]] - intermediate_results[[#This Row], [Total running average '[sec']]]</f>
        <v>0</v>
      </c>
    </row>
    <row r="225" spans="1:38">
      <c r="A225" s="3">
        <v>1390.499</v>
      </c>
      <c r="B22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5" s="3">
        <f>intermediate_results[[#This Row], [Team1 laps '[laps']]] - intermediate_results[[#This Row], [Team1 laps '[laps']]]</f>
        <v>0</v>
      </c>
      <c r="L225" s="3">
        <f>intermediate_results[[#This Row], [Team1 laps '[laps']]] - intermediate_results[[#This Row], [Team2 laps '[laps']]]</f>
        <v>0</v>
      </c>
      <c r="M225" s="3">
        <f>intermediate_results[[#This Row], [Team1 laps '[laps']]] - intermediate_results[[#This Row], [Team3 laps '[laps']]]</f>
        <v>0</v>
      </c>
      <c r="N225" s="3">
        <f>intermediate_results[[#This Row], [Team1 laps '[laps']]] - intermediate_results[[#This Row], [Team4 laps '[laps']]]</f>
        <v>0</v>
      </c>
      <c r="O225" s="3">
        <f>intermediate_results[[#This Row], [Team1 laps '[laps']]] - intermediate_results[[#This Row], [Team5 laps '[laps']]]</f>
        <v>0</v>
      </c>
      <c r="P225" s="3">
        <f>intermediate_results[[#This Row], [Team1 laps '[laps']]] - intermediate_results[[#This Row], [Team6 laps '[laps']]]</f>
        <v>0</v>
      </c>
      <c r="Q225" s="3">
        <f>intermediate_results[[#This Row], [Team1 laps '[laps']]] - intermediate_results[[#This Row], [Team7 laps '[laps']]]</f>
        <v>0</v>
      </c>
      <c r="R225" s="3">
        <f>intermediate_results[[#This Row], [Team1 laps '[laps']]] - intermediate_results[[#This Row], [Team8 laps '[laps']]]</f>
        <v>0</v>
      </c>
      <c r="S225" s="3">
        <f>intermediate_results[[#This Row], [Team1 laps '[laps']]] - intermediate_results[[#This Row], [Team9 laps '[laps']]]</f>
        <v>0</v>
      </c>
      <c r="T225" s="3">
        <f>MAX(intermediate_results[[#This Row], [Team1 laps '[laps']]:[Team9 laps '[laps']]]) - intermediate_results[[#This Row], [Team1 laps '[laps']]]</f>
        <v>0</v>
      </c>
      <c r="U225" s="3">
        <f>MAX(intermediate_results[[#This Row], [Team1 laps '[laps']]:[Team9 laps '[laps']]]) - intermediate_results[[#This Row], [Team2 laps '[laps']]]</f>
        <v>0</v>
      </c>
      <c r="V225" s="3">
        <f>MAX(intermediate_results[[#This Row], [Team1 laps '[laps']]:[Team9 laps '[laps']]]) - intermediate_results[[#This Row], [Team3 laps '[laps']]]</f>
        <v>0</v>
      </c>
      <c r="W225" s="3">
        <f>MAX(intermediate_results[[#This Row], [Team1 laps '[laps']]:[Team9 laps '[laps']]]) - intermediate_results[[#This Row], [Team4 laps '[laps']]]</f>
        <v>0</v>
      </c>
      <c r="X225" s="3">
        <f>MAX(intermediate_results[[#This Row], [Team1 laps '[laps']]:[Team9 laps '[laps']]]) - intermediate_results[[#This Row], [Team5 laps '[laps']]]</f>
        <v>0</v>
      </c>
      <c r="Y225" s="3">
        <f>MAX(intermediate_results[[#This Row], [Team1 laps '[laps']]:[Team9 laps '[laps']]]) - intermediate_results[[#This Row], [Team6 laps '[laps']]]</f>
        <v>0</v>
      </c>
      <c r="Z225" s="3">
        <f>MAX(intermediate_results[[#This Row], [Team1 laps '[laps']]:[Team9 laps '[laps']]]) - intermediate_results[[#This Row], [Team7 laps '[laps']]]</f>
        <v>0</v>
      </c>
      <c r="AA225" s="3">
        <f>MAX(intermediate_results[[#This Row], [Team1 laps '[laps']]:[Team9 laps '[laps']]]) - intermediate_results[[#This Row], [Team8 laps '[laps']]]</f>
        <v>0</v>
      </c>
      <c r="AB225" s="3">
        <f>MAX(intermediate_results[[#This Row], [Team1 laps '[laps']]:[Team9 laps '[laps']]]) - intermediate_results[[#This Row], [Team9 laps '[laps']]]</f>
        <v>0</v>
      </c>
      <c r="AC225" s="3">
        <f>9 * intermediate_results[[#This Row], [All cumulative times '[sec']]] / SUM(intermediate_results[[#This Row], [Team1 laps '[laps']]:[Team9 laps '[laps']]])</f>
        <v>0</v>
      </c>
      <c r="AD225" s="3">
        <f>intermediate_results[[#This Row], [All cumulative times '[sec']]] / intermediate_results[[#This Row], [Team1 laps '[laps']]] - intermediate_results[[#This Row], [Total running average '[sec']]]</f>
        <v>0</v>
      </c>
      <c r="AE225" s="3">
        <f>intermediate_results[[#This Row], [All cumulative times '[sec']]] / intermediate_results[[#This Row], [Team2 laps '[laps']]] - intermediate_results[[#This Row], [Total running average '[sec']]]</f>
        <v>0</v>
      </c>
      <c r="AF225" s="3">
        <f>intermediate_results[[#This Row], [All cumulative times '[sec']]] / intermediate_results[[#This Row], [Team3 laps '[laps']]] - intermediate_results[[#This Row], [Total running average '[sec']]]</f>
        <v>0</v>
      </c>
      <c r="AG225" s="3">
        <f>intermediate_results[[#This Row], [All cumulative times '[sec']]] / intermediate_results[[#This Row], [Team4 laps '[laps']]] - intermediate_results[[#This Row], [Total running average '[sec']]]</f>
        <v>0</v>
      </c>
      <c r="AH225" s="3">
        <f>intermediate_results[[#This Row], [All cumulative times '[sec']]] / intermediate_results[[#This Row], [Team5 laps '[laps']]] - intermediate_results[[#This Row], [Total running average '[sec']]]</f>
        <v>0</v>
      </c>
      <c r="AI225" s="3">
        <f>intermediate_results[[#This Row], [All cumulative times '[sec']]] / intermediate_results[[#This Row], [Team6 laps '[laps']]] - intermediate_results[[#This Row], [Total running average '[sec']]]</f>
        <v>0</v>
      </c>
      <c r="AJ225" s="3">
        <f>intermediate_results[[#This Row], [All cumulative times '[sec']]] / intermediate_results[[#This Row], [Team7 laps '[laps']]] - intermediate_results[[#This Row], [Total running average '[sec']]]</f>
        <v>0</v>
      </c>
      <c r="AK225" s="3">
        <f>intermediate_results[[#This Row], [All cumulative times '[sec']]] / intermediate_results[[#This Row], [Team8 laps '[laps']]] - intermediate_results[[#This Row], [Total running average '[sec']]]</f>
        <v>0</v>
      </c>
      <c r="AL225" s="3">
        <f>intermediate_results[[#This Row], [All cumulative times '[sec']]] / intermediate_results[[#This Row], [Team9 laps '[laps']]] - intermediate_results[[#This Row], [Total running average '[sec']]]</f>
        <v>0</v>
      </c>
    </row>
    <row r="226" spans="1:38">
      <c r="A226" s="3">
        <v>1396.672</v>
      </c>
      <c r="B22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6" s="3">
        <f>intermediate_results[[#This Row], [Team1 laps '[laps']]] - intermediate_results[[#This Row], [Team1 laps '[laps']]]</f>
        <v>0</v>
      </c>
      <c r="L226" s="3">
        <f>intermediate_results[[#This Row], [Team1 laps '[laps']]] - intermediate_results[[#This Row], [Team2 laps '[laps']]]</f>
        <v>0</v>
      </c>
      <c r="M226" s="3">
        <f>intermediate_results[[#This Row], [Team1 laps '[laps']]] - intermediate_results[[#This Row], [Team3 laps '[laps']]]</f>
        <v>0</v>
      </c>
      <c r="N226" s="3">
        <f>intermediate_results[[#This Row], [Team1 laps '[laps']]] - intermediate_results[[#This Row], [Team4 laps '[laps']]]</f>
        <v>0</v>
      </c>
      <c r="O226" s="3">
        <f>intermediate_results[[#This Row], [Team1 laps '[laps']]] - intermediate_results[[#This Row], [Team5 laps '[laps']]]</f>
        <v>0</v>
      </c>
      <c r="P226" s="3">
        <f>intermediate_results[[#This Row], [Team1 laps '[laps']]] - intermediate_results[[#This Row], [Team6 laps '[laps']]]</f>
        <v>0</v>
      </c>
      <c r="Q226" s="3">
        <f>intermediate_results[[#This Row], [Team1 laps '[laps']]] - intermediate_results[[#This Row], [Team7 laps '[laps']]]</f>
        <v>0</v>
      </c>
      <c r="R226" s="3">
        <f>intermediate_results[[#This Row], [Team1 laps '[laps']]] - intermediate_results[[#This Row], [Team8 laps '[laps']]]</f>
        <v>0</v>
      </c>
      <c r="S226" s="3">
        <f>intermediate_results[[#This Row], [Team1 laps '[laps']]] - intermediate_results[[#This Row], [Team9 laps '[laps']]]</f>
        <v>0</v>
      </c>
      <c r="T226" s="3">
        <f>MAX(intermediate_results[[#This Row], [Team1 laps '[laps']]:[Team9 laps '[laps']]]) - intermediate_results[[#This Row], [Team1 laps '[laps']]]</f>
        <v>0</v>
      </c>
      <c r="U226" s="3">
        <f>MAX(intermediate_results[[#This Row], [Team1 laps '[laps']]:[Team9 laps '[laps']]]) - intermediate_results[[#This Row], [Team2 laps '[laps']]]</f>
        <v>0</v>
      </c>
      <c r="V226" s="3">
        <f>MAX(intermediate_results[[#This Row], [Team1 laps '[laps']]:[Team9 laps '[laps']]]) - intermediate_results[[#This Row], [Team3 laps '[laps']]]</f>
        <v>0</v>
      </c>
      <c r="W226" s="3">
        <f>MAX(intermediate_results[[#This Row], [Team1 laps '[laps']]:[Team9 laps '[laps']]]) - intermediate_results[[#This Row], [Team4 laps '[laps']]]</f>
        <v>0</v>
      </c>
      <c r="X226" s="3">
        <f>MAX(intermediate_results[[#This Row], [Team1 laps '[laps']]:[Team9 laps '[laps']]]) - intermediate_results[[#This Row], [Team5 laps '[laps']]]</f>
        <v>0</v>
      </c>
      <c r="Y226" s="3">
        <f>MAX(intermediate_results[[#This Row], [Team1 laps '[laps']]:[Team9 laps '[laps']]]) - intermediate_results[[#This Row], [Team6 laps '[laps']]]</f>
        <v>0</v>
      </c>
      <c r="Z226" s="3">
        <f>MAX(intermediate_results[[#This Row], [Team1 laps '[laps']]:[Team9 laps '[laps']]]) - intermediate_results[[#This Row], [Team7 laps '[laps']]]</f>
        <v>0</v>
      </c>
      <c r="AA226" s="3">
        <f>MAX(intermediate_results[[#This Row], [Team1 laps '[laps']]:[Team9 laps '[laps']]]) - intermediate_results[[#This Row], [Team8 laps '[laps']]]</f>
        <v>0</v>
      </c>
      <c r="AB226" s="3">
        <f>MAX(intermediate_results[[#This Row], [Team1 laps '[laps']]:[Team9 laps '[laps']]]) - intermediate_results[[#This Row], [Team9 laps '[laps']]]</f>
        <v>0</v>
      </c>
      <c r="AC226" s="3">
        <f>9 * intermediate_results[[#This Row], [All cumulative times '[sec']]] / SUM(intermediate_results[[#This Row], [Team1 laps '[laps']]:[Team9 laps '[laps']]])</f>
        <v>0</v>
      </c>
      <c r="AD226" s="3">
        <f>intermediate_results[[#This Row], [All cumulative times '[sec']]] / intermediate_results[[#This Row], [Team1 laps '[laps']]] - intermediate_results[[#This Row], [Total running average '[sec']]]</f>
        <v>0</v>
      </c>
      <c r="AE226" s="3">
        <f>intermediate_results[[#This Row], [All cumulative times '[sec']]] / intermediate_results[[#This Row], [Team2 laps '[laps']]] - intermediate_results[[#This Row], [Total running average '[sec']]]</f>
        <v>0</v>
      </c>
      <c r="AF226" s="3">
        <f>intermediate_results[[#This Row], [All cumulative times '[sec']]] / intermediate_results[[#This Row], [Team3 laps '[laps']]] - intermediate_results[[#This Row], [Total running average '[sec']]]</f>
        <v>0</v>
      </c>
      <c r="AG226" s="3">
        <f>intermediate_results[[#This Row], [All cumulative times '[sec']]] / intermediate_results[[#This Row], [Team4 laps '[laps']]] - intermediate_results[[#This Row], [Total running average '[sec']]]</f>
        <v>0</v>
      </c>
      <c r="AH226" s="3">
        <f>intermediate_results[[#This Row], [All cumulative times '[sec']]] / intermediate_results[[#This Row], [Team5 laps '[laps']]] - intermediate_results[[#This Row], [Total running average '[sec']]]</f>
        <v>0</v>
      </c>
      <c r="AI226" s="3">
        <f>intermediate_results[[#This Row], [All cumulative times '[sec']]] / intermediate_results[[#This Row], [Team6 laps '[laps']]] - intermediate_results[[#This Row], [Total running average '[sec']]]</f>
        <v>0</v>
      </c>
      <c r="AJ226" s="3">
        <f>intermediate_results[[#This Row], [All cumulative times '[sec']]] / intermediate_results[[#This Row], [Team7 laps '[laps']]] - intermediate_results[[#This Row], [Total running average '[sec']]]</f>
        <v>0</v>
      </c>
      <c r="AK226" s="3">
        <f>intermediate_results[[#This Row], [All cumulative times '[sec']]] / intermediate_results[[#This Row], [Team8 laps '[laps']]] - intermediate_results[[#This Row], [Total running average '[sec']]]</f>
        <v>0</v>
      </c>
      <c r="AL226" s="3">
        <f>intermediate_results[[#This Row], [All cumulative times '[sec']]] / intermediate_results[[#This Row], [Team9 laps '[laps']]] - intermediate_results[[#This Row], [Total running average '[sec']]]</f>
        <v>0</v>
      </c>
    </row>
    <row r="227" spans="1:38">
      <c r="A227" s="3">
        <v>1400.73</v>
      </c>
      <c r="B22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7" s="3">
        <f>intermediate_results[[#This Row], [Team1 laps '[laps']]] - intermediate_results[[#This Row], [Team1 laps '[laps']]]</f>
        <v>0</v>
      </c>
      <c r="L227" s="3">
        <f>intermediate_results[[#This Row], [Team1 laps '[laps']]] - intermediate_results[[#This Row], [Team2 laps '[laps']]]</f>
        <v>0</v>
      </c>
      <c r="M227" s="3">
        <f>intermediate_results[[#This Row], [Team1 laps '[laps']]] - intermediate_results[[#This Row], [Team3 laps '[laps']]]</f>
        <v>0</v>
      </c>
      <c r="N227" s="3">
        <f>intermediate_results[[#This Row], [Team1 laps '[laps']]] - intermediate_results[[#This Row], [Team4 laps '[laps']]]</f>
        <v>0</v>
      </c>
      <c r="O227" s="3">
        <f>intermediate_results[[#This Row], [Team1 laps '[laps']]] - intermediate_results[[#This Row], [Team5 laps '[laps']]]</f>
        <v>0</v>
      </c>
      <c r="P227" s="3">
        <f>intermediate_results[[#This Row], [Team1 laps '[laps']]] - intermediate_results[[#This Row], [Team6 laps '[laps']]]</f>
        <v>0</v>
      </c>
      <c r="Q227" s="3">
        <f>intermediate_results[[#This Row], [Team1 laps '[laps']]] - intermediate_results[[#This Row], [Team7 laps '[laps']]]</f>
        <v>0</v>
      </c>
      <c r="R227" s="3">
        <f>intermediate_results[[#This Row], [Team1 laps '[laps']]] - intermediate_results[[#This Row], [Team8 laps '[laps']]]</f>
        <v>0</v>
      </c>
      <c r="S227" s="3">
        <f>intermediate_results[[#This Row], [Team1 laps '[laps']]] - intermediate_results[[#This Row], [Team9 laps '[laps']]]</f>
        <v>0</v>
      </c>
      <c r="T227" s="3">
        <f>MAX(intermediate_results[[#This Row], [Team1 laps '[laps']]:[Team9 laps '[laps']]]) - intermediate_results[[#This Row], [Team1 laps '[laps']]]</f>
        <v>0</v>
      </c>
      <c r="U227" s="3">
        <f>MAX(intermediate_results[[#This Row], [Team1 laps '[laps']]:[Team9 laps '[laps']]]) - intermediate_results[[#This Row], [Team2 laps '[laps']]]</f>
        <v>0</v>
      </c>
      <c r="V227" s="3">
        <f>MAX(intermediate_results[[#This Row], [Team1 laps '[laps']]:[Team9 laps '[laps']]]) - intermediate_results[[#This Row], [Team3 laps '[laps']]]</f>
        <v>0</v>
      </c>
      <c r="W227" s="3">
        <f>MAX(intermediate_results[[#This Row], [Team1 laps '[laps']]:[Team9 laps '[laps']]]) - intermediate_results[[#This Row], [Team4 laps '[laps']]]</f>
        <v>0</v>
      </c>
      <c r="X227" s="3">
        <f>MAX(intermediate_results[[#This Row], [Team1 laps '[laps']]:[Team9 laps '[laps']]]) - intermediate_results[[#This Row], [Team5 laps '[laps']]]</f>
        <v>0</v>
      </c>
      <c r="Y227" s="3">
        <f>MAX(intermediate_results[[#This Row], [Team1 laps '[laps']]:[Team9 laps '[laps']]]) - intermediate_results[[#This Row], [Team6 laps '[laps']]]</f>
        <v>0</v>
      </c>
      <c r="Z227" s="3">
        <f>MAX(intermediate_results[[#This Row], [Team1 laps '[laps']]:[Team9 laps '[laps']]]) - intermediate_results[[#This Row], [Team7 laps '[laps']]]</f>
        <v>0</v>
      </c>
      <c r="AA227" s="3">
        <f>MAX(intermediate_results[[#This Row], [Team1 laps '[laps']]:[Team9 laps '[laps']]]) - intermediate_results[[#This Row], [Team8 laps '[laps']]]</f>
        <v>0</v>
      </c>
      <c r="AB227" s="3">
        <f>MAX(intermediate_results[[#This Row], [Team1 laps '[laps']]:[Team9 laps '[laps']]]) - intermediate_results[[#This Row], [Team9 laps '[laps']]]</f>
        <v>0</v>
      </c>
      <c r="AC227" s="3">
        <f>9 * intermediate_results[[#This Row], [All cumulative times '[sec']]] / SUM(intermediate_results[[#This Row], [Team1 laps '[laps']]:[Team9 laps '[laps']]])</f>
        <v>0</v>
      </c>
      <c r="AD227" s="3">
        <f>intermediate_results[[#This Row], [All cumulative times '[sec']]] / intermediate_results[[#This Row], [Team1 laps '[laps']]] - intermediate_results[[#This Row], [Total running average '[sec']]]</f>
        <v>0</v>
      </c>
      <c r="AE227" s="3">
        <f>intermediate_results[[#This Row], [All cumulative times '[sec']]] / intermediate_results[[#This Row], [Team2 laps '[laps']]] - intermediate_results[[#This Row], [Total running average '[sec']]]</f>
        <v>0</v>
      </c>
      <c r="AF227" s="3">
        <f>intermediate_results[[#This Row], [All cumulative times '[sec']]] / intermediate_results[[#This Row], [Team3 laps '[laps']]] - intermediate_results[[#This Row], [Total running average '[sec']]]</f>
        <v>0</v>
      </c>
      <c r="AG227" s="3">
        <f>intermediate_results[[#This Row], [All cumulative times '[sec']]] / intermediate_results[[#This Row], [Team4 laps '[laps']]] - intermediate_results[[#This Row], [Total running average '[sec']]]</f>
        <v>0</v>
      </c>
      <c r="AH227" s="3">
        <f>intermediate_results[[#This Row], [All cumulative times '[sec']]] / intermediate_results[[#This Row], [Team5 laps '[laps']]] - intermediate_results[[#This Row], [Total running average '[sec']]]</f>
        <v>0</v>
      </c>
      <c r="AI227" s="3">
        <f>intermediate_results[[#This Row], [All cumulative times '[sec']]] / intermediate_results[[#This Row], [Team6 laps '[laps']]] - intermediate_results[[#This Row], [Total running average '[sec']]]</f>
        <v>0</v>
      </c>
      <c r="AJ227" s="3">
        <f>intermediate_results[[#This Row], [All cumulative times '[sec']]] / intermediate_results[[#This Row], [Team7 laps '[laps']]] - intermediate_results[[#This Row], [Total running average '[sec']]]</f>
        <v>0</v>
      </c>
      <c r="AK227" s="3">
        <f>intermediate_results[[#This Row], [All cumulative times '[sec']]] / intermediate_results[[#This Row], [Team8 laps '[laps']]] - intermediate_results[[#This Row], [Total running average '[sec']]]</f>
        <v>0</v>
      </c>
      <c r="AL227" s="3">
        <f>intermediate_results[[#This Row], [All cumulative times '[sec']]] / intermediate_results[[#This Row], [Team9 laps '[laps']]] - intermediate_results[[#This Row], [Total running average '[sec']]]</f>
        <v>0</v>
      </c>
    </row>
    <row r="228" spans="1:38">
      <c r="A228" s="3">
        <v>1409.274</v>
      </c>
      <c r="B22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8" s="3">
        <f>intermediate_results[[#This Row], [Team1 laps '[laps']]] - intermediate_results[[#This Row], [Team1 laps '[laps']]]</f>
        <v>0</v>
      </c>
      <c r="L228" s="3">
        <f>intermediate_results[[#This Row], [Team1 laps '[laps']]] - intermediate_results[[#This Row], [Team2 laps '[laps']]]</f>
        <v>0</v>
      </c>
      <c r="M228" s="3">
        <f>intermediate_results[[#This Row], [Team1 laps '[laps']]] - intermediate_results[[#This Row], [Team3 laps '[laps']]]</f>
        <v>0</v>
      </c>
      <c r="N228" s="3">
        <f>intermediate_results[[#This Row], [Team1 laps '[laps']]] - intermediate_results[[#This Row], [Team4 laps '[laps']]]</f>
        <v>0</v>
      </c>
      <c r="O228" s="3">
        <f>intermediate_results[[#This Row], [Team1 laps '[laps']]] - intermediate_results[[#This Row], [Team5 laps '[laps']]]</f>
        <v>0</v>
      </c>
      <c r="P228" s="3">
        <f>intermediate_results[[#This Row], [Team1 laps '[laps']]] - intermediate_results[[#This Row], [Team6 laps '[laps']]]</f>
        <v>0</v>
      </c>
      <c r="Q228" s="3">
        <f>intermediate_results[[#This Row], [Team1 laps '[laps']]] - intermediate_results[[#This Row], [Team7 laps '[laps']]]</f>
        <v>0</v>
      </c>
      <c r="R228" s="3">
        <f>intermediate_results[[#This Row], [Team1 laps '[laps']]] - intermediate_results[[#This Row], [Team8 laps '[laps']]]</f>
        <v>0</v>
      </c>
      <c r="S228" s="3">
        <f>intermediate_results[[#This Row], [Team1 laps '[laps']]] - intermediate_results[[#This Row], [Team9 laps '[laps']]]</f>
        <v>0</v>
      </c>
      <c r="T228" s="3">
        <f>MAX(intermediate_results[[#This Row], [Team1 laps '[laps']]:[Team9 laps '[laps']]]) - intermediate_results[[#This Row], [Team1 laps '[laps']]]</f>
        <v>0</v>
      </c>
      <c r="U228" s="3">
        <f>MAX(intermediate_results[[#This Row], [Team1 laps '[laps']]:[Team9 laps '[laps']]]) - intermediate_results[[#This Row], [Team2 laps '[laps']]]</f>
        <v>0</v>
      </c>
      <c r="V228" s="3">
        <f>MAX(intermediate_results[[#This Row], [Team1 laps '[laps']]:[Team9 laps '[laps']]]) - intermediate_results[[#This Row], [Team3 laps '[laps']]]</f>
        <v>0</v>
      </c>
      <c r="W228" s="3">
        <f>MAX(intermediate_results[[#This Row], [Team1 laps '[laps']]:[Team9 laps '[laps']]]) - intermediate_results[[#This Row], [Team4 laps '[laps']]]</f>
        <v>0</v>
      </c>
      <c r="X228" s="3">
        <f>MAX(intermediate_results[[#This Row], [Team1 laps '[laps']]:[Team9 laps '[laps']]]) - intermediate_results[[#This Row], [Team5 laps '[laps']]]</f>
        <v>0</v>
      </c>
      <c r="Y228" s="3">
        <f>MAX(intermediate_results[[#This Row], [Team1 laps '[laps']]:[Team9 laps '[laps']]]) - intermediate_results[[#This Row], [Team6 laps '[laps']]]</f>
        <v>0</v>
      </c>
      <c r="Z228" s="3">
        <f>MAX(intermediate_results[[#This Row], [Team1 laps '[laps']]:[Team9 laps '[laps']]]) - intermediate_results[[#This Row], [Team7 laps '[laps']]]</f>
        <v>0</v>
      </c>
      <c r="AA228" s="3">
        <f>MAX(intermediate_results[[#This Row], [Team1 laps '[laps']]:[Team9 laps '[laps']]]) - intermediate_results[[#This Row], [Team8 laps '[laps']]]</f>
        <v>0</v>
      </c>
      <c r="AB228" s="3">
        <f>MAX(intermediate_results[[#This Row], [Team1 laps '[laps']]:[Team9 laps '[laps']]]) - intermediate_results[[#This Row], [Team9 laps '[laps']]]</f>
        <v>0</v>
      </c>
      <c r="AC228" s="3">
        <f>9 * intermediate_results[[#This Row], [All cumulative times '[sec']]] / SUM(intermediate_results[[#This Row], [Team1 laps '[laps']]:[Team9 laps '[laps']]])</f>
        <v>0</v>
      </c>
      <c r="AD228" s="3">
        <f>intermediate_results[[#This Row], [All cumulative times '[sec']]] / intermediate_results[[#This Row], [Team1 laps '[laps']]] - intermediate_results[[#This Row], [Total running average '[sec']]]</f>
        <v>0</v>
      </c>
      <c r="AE228" s="3">
        <f>intermediate_results[[#This Row], [All cumulative times '[sec']]] / intermediate_results[[#This Row], [Team2 laps '[laps']]] - intermediate_results[[#This Row], [Total running average '[sec']]]</f>
        <v>0</v>
      </c>
      <c r="AF228" s="3">
        <f>intermediate_results[[#This Row], [All cumulative times '[sec']]] / intermediate_results[[#This Row], [Team3 laps '[laps']]] - intermediate_results[[#This Row], [Total running average '[sec']]]</f>
        <v>0</v>
      </c>
      <c r="AG228" s="3">
        <f>intermediate_results[[#This Row], [All cumulative times '[sec']]] / intermediate_results[[#This Row], [Team4 laps '[laps']]] - intermediate_results[[#This Row], [Total running average '[sec']]]</f>
        <v>0</v>
      </c>
      <c r="AH228" s="3">
        <f>intermediate_results[[#This Row], [All cumulative times '[sec']]] / intermediate_results[[#This Row], [Team5 laps '[laps']]] - intermediate_results[[#This Row], [Total running average '[sec']]]</f>
        <v>0</v>
      </c>
      <c r="AI228" s="3">
        <f>intermediate_results[[#This Row], [All cumulative times '[sec']]] / intermediate_results[[#This Row], [Team6 laps '[laps']]] - intermediate_results[[#This Row], [Total running average '[sec']]]</f>
        <v>0</v>
      </c>
      <c r="AJ228" s="3">
        <f>intermediate_results[[#This Row], [All cumulative times '[sec']]] / intermediate_results[[#This Row], [Team7 laps '[laps']]] - intermediate_results[[#This Row], [Total running average '[sec']]]</f>
        <v>0</v>
      </c>
      <c r="AK228" s="3">
        <f>intermediate_results[[#This Row], [All cumulative times '[sec']]] / intermediate_results[[#This Row], [Team8 laps '[laps']]] - intermediate_results[[#This Row], [Total running average '[sec']]]</f>
        <v>0</v>
      </c>
      <c r="AL228" s="3">
        <f>intermediate_results[[#This Row], [All cumulative times '[sec']]] / intermediate_results[[#This Row], [Team9 laps '[laps']]] - intermediate_results[[#This Row], [Total running average '[sec']]]</f>
        <v>0</v>
      </c>
    </row>
    <row r="229" spans="1:38">
      <c r="A229" s="3">
        <v>1411.327</v>
      </c>
      <c r="B22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2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2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2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2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2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2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2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2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29" s="3">
        <f>intermediate_results[[#This Row], [Team1 laps '[laps']]] - intermediate_results[[#This Row], [Team1 laps '[laps']]]</f>
        <v>0</v>
      </c>
      <c r="L229" s="3">
        <f>intermediate_results[[#This Row], [Team1 laps '[laps']]] - intermediate_results[[#This Row], [Team2 laps '[laps']]]</f>
        <v>0</v>
      </c>
      <c r="M229" s="3">
        <f>intermediate_results[[#This Row], [Team1 laps '[laps']]] - intermediate_results[[#This Row], [Team3 laps '[laps']]]</f>
        <v>0</v>
      </c>
      <c r="N229" s="3">
        <f>intermediate_results[[#This Row], [Team1 laps '[laps']]] - intermediate_results[[#This Row], [Team4 laps '[laps']]]</f>
        <v>0</v>
      </c>
      <c r="O229" s="3">
        <f>intermediate_results[[#This Row], [Team1 laps '[laps']]] - intermediate_results[[#This Row], [Team5 laps '[laps']]]</f>
        <v>0</v>
      </c>
      <c r="P229" s="3">
        <f>intermediate_results[[#This Row], [Team1 laps '[laps']]] - intermediate_results[[#This Row], [Team6 laps '[laps']]]</f>
        <v>0</v>
      </c>
      <c r="Q229" s="3">
        <f>intermediate_results[[#This Row], [Team1 laps '[laps']]] - intermediate_results[[#This Row], [Team7 laps '[laps']]]</f>
        <v>0</v>
      </c>
      <c r="R229" s="3">
        <f>intermediate_results[[#This Row], [Team1 laps '[laps']]] - intermediate_results[[#This Row], [Team8 laps '[laps']]]</f>
        <v>0</v>
      </c>
      <c r="S229" s="3">
        <f>intermediate_results[[#This Row], [Team1 laps '[laps']]] - intermediate_results[[#This Row], [Team9 laps '[laps']]]</f>
        <v>0</v>
      </c>
      <c r="T229" s="3">
        <f>MAX(intermediate_results[[#This Row], [Team1 laps '[laps']]:[Team9 laps '[laps']]]) - intermediate_results[[#This Row], [Team1 laps '[laps']]]</f>
        <v>0</v>
      </c>
      <c r="U229" s="3">
        <f>MAX(intermediate_results[[#This Row], [Team1 laps '[laps']]:[Team9 laps '[laps']]]) - intermediate_results[[#This Row], [Team2 laps '[laps']]]</f>
        <v>0</v>
      </c>
      <c r="V229" s="3">
        <f>MAX(intermediate_results[[#This Row], [Team1 laps '[laps']]:[Team9 laps '[laps']]]) - intermediate_results[[#This Row], [Team3 laps '[laps']]]</f>
        <v>0</v>
      </c>
      <c r="W229" s="3">
        <f>MAX(intermediate_results[[#This Row], [Team1 laps '[laps']]:[Team9 laps '[laps']]]) - intermediate_results[[#This Row], [Team4 laps '[laps']]]</f>
        <v>0</v>
      </c>
      <c r="X229" s="3">
        <f>MAX(intermediate_results[[#This Row], [Team1 laps '[laps']]:[Team9 laps '[laps']]]) - intermediate_results[[#This Row], [Team5 laps '[laps']]]</f>
        <v>0</v>
      </c>
      <c r="Y229" s="3">
        <f>MAX(intermediate_results[[#This Row], [Team1 laps '[laps']]:[Team9 laps '[laps']]]) - intermediate_results[[#This Row], [Team6 laps '[laps']]]</f>
        <v>0</v>
      </c>
      <c r="Z229" s="3">
        <f>MAX(intermediate_results[[#This Row], [Team1 laps '[laps']]:[Team9 laps '[laps']]]) - intermediate_results[[#This Row], [Team7 laps '[laps']]]</f>
        <v>0</v>
      </c>
      <c r="AA229" s="3">
        <f>MAX(intermediate_results[[#This Row], [Team1 laps '[laps']]:[Team9 laps '[laps']]]) - intermediate_results[[#This Row], [Team8 laps '[laps']]]</f>
        <v>0</v>
      </c>
      <c r="AB229" s="3">
        <f>MAX(intermediate_results[[#This Row], [Team1 laps '[laps']]:[Team9 laps '[laps']]]) - intermediate_results[[#This Row], [Team9 laps '[laps']]]</f>
        <v>0</v>
      </c>
      <c r="AC229" s="3">
        <f>9 * intermediate_results[[#This Row], [All cumulative times '[sec']]] / SUM(intermediate_results[[#This Row], [Team1 laps '[laps']]:[Team9 laps '[laps']]])</f>
        <v>0</v>
      </c>
      <c r="AD229" s="3">
        <f>intermediate_results[[#This Row], [All cumulative times '[sec']]] / intermediate_results[[#This Row], [Team1 laps '[laps']]] - intermediate_results[[#This Row], [Total running average '[sec']]]</f>
        <v>0</v>
      </c>
      <c r="AE229" s="3">
        <f>intermediate_results[[#This Row], [All cumulative times '[sec']]] / intermediate_results[[#This Row], [Team2 laps '[laps']]] - intermediate_results[[#This Row], [Total running average '[sec']]]</f>
        <v>0</v>
      </c>
      <c r="AF229" s="3">
        <f>intermediate_results[[#This Row], [All cumulative times '[sec']]] / intermediate_results[[#This Row], [Team3 laps '[laps']]] - intermediate_results[[#This Row], [Total running average '[sec']]]</f>
        <v>0</v>
      </c>
      <c r="AG229" s="3">
        <f>intermediate_results[[#This Row], [All cumulative times '[sec']]] / intermediate_results[[#This Row], [Team4 laps '[laps']]] - intermediate_results[[#This Row], [Total running average '[sec']]]</f>
        <v>0</v>
      </c>
      <c r="AH229" s="3">
        <f>intermediate_results[[#This Row], [All cumulative times '[sec']]] / intermediate_results[[#This Row], [Team5 laps '[laps']]] - intermediate_results[[#This Row], [Total running average '[sec']]]</f>
        <v>0</v>
      </c>
      <c r="AI229" s="3">
        <f>intermediate_results[[#This Row], [All cumulative times '[sec']]] / intermediate_results[[#This Row], [Team6 laps '[laps']]] - intermediate_results[[#This Row], [Total running average '[sec']]]</f>
        <v>0</v>
      </c>
      <c r="AJ229" s="3">
        <f>intermediate_results[[#This Row], [All cumulative times '[sec']]] / intermediate_results[[#This Row], [Team7 laps '[laps']]] - intermediate_results[[#This Row], [Total running average '[sec']]]</f>
        <v>0</v>
      </c>
      <c r="AK229" s="3">
        <f>intermediate_results[[#This Row], [All cumulative times '[sec']]] / intermediate_results[[#This Row], [Team8 laps '[laps']]] - intermediate_results[[#This Row], [Total running average '[sec']]]</f>
        <v>0</v>
      </c>
      <c r="AL229" s="3">
        <f>intermediate_results[[#This Row], [All cumulative times '[sec']]] / intermediate_results[[#This Row], [Team9 laps '[laps']]] - intermediate_results[[#This Row], [Total running average '[sec']]]</f>
        <v>0</v>
      </c>
    </row>
    <row r="230" spans="1:38">
      <c r="A230" s="3">
        <v>1418.57</v>
      </c>
      <c r="B23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0" s="3">
        <f>intermediate_results[[#This Row], [Team1 laps '[laps']]] - intermediate_results[[#This Row], [Team1 laps '[laps']]]</f>
        <v>0</v>
      </c>
      <c r="L230" s="3">
        <f>intermediate_results[[#This Row], [Team1 laps '[laps']]] - intermediate_results[[#This Row], [Team2 laps '[laps']]]</f>
        <v>0</v>
      </c>
      <c r="M230" s="3">
        <f>intermediate_results[[#This Row], [Team1 laps '[laps']]] - intermediate_results[[#This Row], [Team3 laps '[laps']]]</f>
        <v>0</v>
      </c>
      <c r="N230" s="3">
        <f>intermediate_results[[#This Row], [Team1 laps '[laps']]] - intermediate_results[[#This Row], [Team4 laps '[laps']]]</f>
        <v>0</v>
      </c>
      <c r="O230" s="3">
        <f>intermediate_results[[#This Row], [Team1 laps '[laps']]] - intermediate_results[[#This Row], [Team5 laps '[laps']]]</f>
        <v>0</v>
      </c>
      <c r="P230" s="3">
        <f>intermediate_results[[#This Row], [Team1 laps '[laps']]] - intermediate_results[[#This Row], [Team6 laps '[laps']]]</f>
        <v>0</v>
      </c>
      <c r="Q230" s="3">
        <f>intermediate_results[[#This Row], [Team1 laps '[laps']]] - intermediate_results[[#This Row], [Team7 laps '[laps']]]</f>
        <v>0</v>
      </c>
      <c r="R230" s="3">
        <f>intermediate_results[[#This Row], [Team1 laps '[laps']]] - intermediate_results[[#This Row], [Team8 laps '[laps']]]</f>
        <v>0</v>
      </c>
      <c r="S230" s="3">
        <f>intermediate_results[[#This Row], [Team1 laps '[laps']]] - intermediate_results[[#This Row], [Team9 laps '[laps']]]</f>
        <v>0</v>
      </c>
      <c r="T230" s="3">
        <f>MAX(intermediate_results[[#This Row], [Team1 laps '[laps']]:[Team9 laps '[laps']]]) - intermediate_results[[#This Row], [Team1 laps '[laps']]]</f>
        <v>0</v>
      </c>
      <c r="U230" s="3">
        <f>MAX(intermediate_results[[#This Row], [Team1 laps '[laps']]:[Team9 laps '[laps']]]) - intermediate_results[[#This Row], [Team2 laps '[laps']]]</f>
        <v>0</v>
      </c>
      <c r="V230" s="3">
        <f>MAX(intermediate_results[[#This Row], [Team1 laps '[laps']]:[Team9 laps '[laps']]]) - intermediate_results[[#This Row], [Team3 laps '[laps']]]</f>
        <v>0</v>
      </c>
      <c r="W230" s="3">
        <f>MAX(intermediate_results[[#This Row], [Team1 laps '[laps']]:[Team9 laps '[laps']]]) - intermediate_results[[#This Row], [Team4 laps '[laps']]]</f>
        <v>0</v>
      </c>
      <c r="X230" s="3">
        <f>MAX(intermediate_results[[#This Row], [Team1 laps '[laps']]:[Team9 laps '[laps']]]) - intermediate_results[[#This Row], [Team5 laps '[laps']]]</f>
        <v>0</v>
      </c>
      <c r="Y230" s="3">
        <f>MAX(intermediate_results[[#This Row], [Team1 laps '[laps']]:[Team9 laps '[laps']]]) - intermediate_results[[#This Row], [Team6 laps '[laps']]]</f>
        <v>0</v>
      </c>
      <c r="Z230" s="3">
        <f>MAX(intermediate_results[[#This Row], [Team1 laps '[laps']]:[Team9 laps '[laps']]]) - intermediate_results[[#This Row], [Team7 laps '[laps']]]</f>
        <v>0</v>
      </c>
      <c r="AA230" s="3">
        <f>MAX(intermediate_results[[#This Row], [Team1 laps '[laps']]:[Team9 laps '[laps']]]) - intermediate_results[[#This Row], [Team8 laps '[laps']]]</f>
        <v>0</v>
      </c>
      <c r="AB230" s="3">
        <f>MAX(intermediate_results[[#This Row], [Team1 laps '[laps']]:[Team9 laps '[laps']]]) - intermediate_results[[#This Row], [Team9 laps '[laps']]]</f>
        <v>0</v>
      </c>
      <c r="AC230" s="3">
        <f>9 * intermediate_results[[#This Row], [All cumulative times '[sec']]] / SUM(intermediate_results[[#This Row], [Team1 laps '[laps']]:[Team9 laps '[laps']]])</f>
        <v>0</v>
      </c>
      <c r="AD230" s="3">
        <f>intermediate_results[[#This Row], [All cumulative times '[sec']]] / intermediate_results[[#This Row], [Team1 laps '[laps']]] - intermediate_results[[#This Row], [Total running average '[sec']]]</f>
        <v>0</v>
      </c>
      <c r="AE230" s="3">
        <f>intermediate_results[[#This Row], [All cumulative times '[sec']]] / intermediate_results[[#This Row], [Team2 laps '[laps']]] - intermediate_results[[#This Row], [Total running average '[sec']]]</f>
        <v>0</v>
      </c>
      <c r="AF230" s="3">
        <f>intermediate_results[[#This Row], [All cumulative times '[sec']]] / intermediate_results[[#This Row], [Team3 laps '[laps']]] - intermediate_results[[#This Row], [Total running average '[sec']]]</f>
        <v>0</v>
      </c>
      <c r="AG230" s="3">
        <f>intermediate_results[[#This Row], [All cumulative times '[sec']]] / intermediate_results[[#This Row], [Team4 laps '[laps']]] - intermediate_results[[#This Row], [Total running average '[sec']]]</f>
        <v>0</v>
      </c>
      <c r="AH230" s="3">
        <f>intermediate_results[[#This Row], [All cumulative times '[sec']]] / intermediate_results[[#This Row], [Team5 laps '[laps']]] - intermediate_results[[#This Row], [Total running average '[sec']]]</f>
        <v>0</v>
      </c>
      <c r="AI230" s="3">
        <f>intermediate_results[[#This Row], [All cumulative times '[sec']]] / intermediate_results[[#This Row], [Team6 laps '[laps']]] - intermediate_results[[#This Row], [Total running average '[sec']]]</f>
        <v>0</v>
      </c>
      <c r="AJ230" s="3">
        <f>intermediate_results[[#This Row], [All cumulative times '[sec']]] / intermediate_results[[#This Row], [Team7 laps '[laps']]] - intermediate_results[[#This Row], [Total running average '[sec']]]</f>
        <v>0</v>
      </c>
      <c r="AK230" s="3">
        <f>intermediate_results[[#This Row], [All cumulative times '[sec']]] / intermediate_results[[#This Row], [Team8 laps '[laps']]] - intermediate_results[[#This Row], [Total running average '[sec']]]</f>
        <v>0</v>
      </c>
      <c r="AL230" s="3">
        <f>intermediate_results[[#This Row], [All cumulative times '[sec']]] / intermediate_results[[#This Row], [Team9 laps '[laps']]] - intermediate_results[[#This Row], [Total running average '[sec']]]</f>
        <v>0</v>
      </c>
    </row>
    <row r="231" spans="1:38">
      <c r="A231" s="3">
        <v>1423.571</v>
      </c>
      <c r="B23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1" s="3">
        <f>intermediate_results[[#This Row], [Team1 laps '[laps']]] - intermediate_results[[#This Row], [Team1 laps '[laps']]]</f>
        <v>0</v>
      </c>
      <c r="L231" s="3">
        <f>intermediate_results[[#This Row], [Team1 laps '[laps']]] - intermediate_results[[#This Row], [Team2 laps '[laps']]]</f>
        <v>0</v>
      </c>
      <c r="M231" s="3">
        <f>intermediate_results[[#This Row], [Team1 laps '[laps']]] - intermediate_results[[#This Row], [Team3 laps '[laps']]]</f>
        <v>0</v>
      </c>
      <c r="N231" s="3">
        <f>intermediate_results[[#This Row], [Team1 laps '[laps']]] - intermediate_results[[#This Row], [Team4 laps '[laps']]]</f>
        <v>0</v>
      </c>
      <c r="O231" s="3">
        <f>intermediate_results[[#This Row], [Team1 laps '[laps']]] - intermediate_results[[#This Row], [Team5 laps '[laps']]]</f>
        <v>0</v>
      </c>
      <c r="P231" s="3">
        <f>intermediate_results[[#This Row], [Team1 laps '[laps']]] - intermediate_results[[#This Row], [Team6 laps '[laps']]]</f>
        <v>0</v>
      </c>
      <c r="Q231" s="3">
        <f>intermediate_results[[#This Row], [Team1 laps '[laps']]] - intermediate_results[[#This Row], [Team7 laps '[laps']]]</f>
        <v>0</v>
      </c>
      <c r="R231" s="3">
        <f>intermediate_results[[#This Row], [Team1 laps '[laps']]] - intermediate_results[[#This Row], [Team8 laps '[laps']]]</f>
        <v>0</v>
      </c>
      <c r="S231" s="3">
        <f>intermediate_results[[#This Row], [Team1 laps '[laps']]] - intermediate_results[[#This Row], [Team9 laps '[laps']]]</f>
        <v>0</v>
      </c>
      <c r="T231" s="3">
        <f>MAX(intermediate_results[[#This Row], [Team1 laps '[laps']]:[Team9 laps '[laps']]]) - intermediate_results[[#This Row], [Team1 laps '[laps']]]</f>
        <v>0</v>
      </c>
      <c r="U231" s="3">
        <f>MAX(intermediate_results[[#This Row], [Team1 laps '[laps']]:[Team9 laps '[laps']]]) - intermediate_results[[#This Row], [Team2 laps '[laps']]]</f>
        <v>0</v>
      </c>
      <c r="V231" s="3">
        <f>MAX(intermediate_results[[#This Row], [Team1 laps '[laps']]:[Team9 laps '[laps']]]) - intermediate_results[[#This Row], [Team3 laps '[laps']]]</f>
        <v>0</v>
      </c>
      <c r="W231" s="3">
        <f>MAX(intermediate_results[[#This Row], [Team1 laps '[laps']]:[Team9 laps '[laps']]]) - intermediate_results[[#This Row], [Team4 laps '[laps']]]</f>
        <v>0</v>
      </c>
      <c r="X231" s="3">
        <f>MAX(intermediate_results[[#This Row], [Team1 laps '[laps']]:[Team9 laps '[laps']]]) - intermediate_results[[#This Row], [Team5 laps '[laps']]]</f>
        <v>0</v>
      </c>
      <c r="Y231" s="3">
        <f>MAX(intermediate_results[[#This Row], [Team1 laps '[laps']]:[Team9 laps '[laps']]]) - intermediate_results[[#This Row], [Team6 laps '[laps']]]</f>
        <v>0</v>
      </c>
      <c r="Z231" s="3">
        <f>MAX(intermediate_results[[#This Row], [Team1 laps '[laps']]:[Team9 laps '[laps']]]) - intermediate_results[[#This Row], [Team7 laps '[laps']]]</f>
        <v>0</v>
      </c>
      <c r="AA231" s="3">
        <f>MAX(intermediate_results[[#This Row], [Team1 laps '[laps']]:[Team9 laps '[laps']]]) - intermediate_results[[#This Row], [Team8 laps '[laps']]]</f>
        <v>0</v>
      </c>
      <c r="AB231" s="3">
        <f>MAX(intermediate_results[[#This Row], [Team1 laps '[laps']]:[Team9 laps '[laps']]]) - intermediate_results[[#This Row], [Team9 laps '[laps']]]</f>
        <v>0</v>
      </c>
      <c r="AC231" s="3">
        <f>9 * intermediate_results[[#This Row], [All cumulative times '[sec']]] / SUM(intermediate_results[[#This Row], [Team1 laps '[laps']]:[Team9 laps '[laps']]])</f>
        <v>0</v>
      </c>
      <c r="AD231" s="3">
        <f>intermediate_results[[#This Row], [All cumulative times '[sec']]] / intermediate_results[[#This Row], [Team1 laps '[laps']]] - intermediate_results[[#This Row], [Total running average '[sec']]]</f>
        <v>0</v>
      </c>
      <c r="AE231" s="3">
        <f>intermediate_results[[#This Row], [All cumulative times '[sec']]] / intermediate_results[[#This Row], [Team2 laps '[laps']]] - intermediate_results[[#This Row], [Total running average '[sec']]]</f>
        <v>0</v>
      </c>
      <c r="AF231" s="3">
        <f>intermediate_results[[#This Row], [All cumulative times '[sec']]] / intermediate_results[[#This Row], [Team3 laps '[laps']]] - intermediate_results[[#This Row], [Total running average '[sec']]]</f>
        <v>0</v>
      </c>
      <c r="AG231" s="3">
        <f>intermediate_results[[#This Row], [All cumulative times '[sec']]] / intermediate_results[[#This Row], [Team4 laps '[laps']]] - intermediate_results[[#This Row], [Total running average '[sec']]]</f>
        <v>0</v>
      </c>
      <c r="AH231" s="3">
        <f>intermediate_results[[#This Row], [All cumulative times '[sec']]] / intermediate_results[[#This Row], [Team5 laps '[laps']]] - intermediate_results[[#This Row], [Total running average '[sec']]]</f>
        <v>0</v>
      </c>
      <c r="AI231" s="3">
        <f>intermediate_results[[#This Row], [All cumulative times '[sec']]] / intermediate_results[[#This Row], [Team6 laps '[laps']]] - intermediate_results[[#This Row], [Total running average '[sec']]]</f>
        <v>0</v>
      </c>
      <c r="AJ231" s="3">
        <f>intermediate_results[[#This Row], [All cumulative times '[sec']]] / intermediate_results[[#This Row], [Team7 laps '[laps']]] - intermediate_results[[#This Row], [Total running average '[sec']]]</f>
        <v>0</v>
      </c>
      <c r="AK231" s="3">
        <f>intermediate_results[[#This Row], [All cumulative times '[sec']]] / intermediate_results[[#This Row], [Team8 laps '[laps']]] - intermediate_results[[#This Row], [Total running average '[sec']]]</f>
        <v>0</v>
      </c>
      <c r="AL231" s="3">
        <f>intermediate_results[[#This Row], [All cumulative times '[sec']]] / intermediate_results[[#This Row], [Team9 laps '[laps']]] - intermediate_results[[#This Row], [Total running average '[sec']]]</f>
        <v>0</v>
      </c>
    </row>
    <row r="232" spans="1:38">
      <c r="A232" s="3">
        <v>1426.067</v>
      </c>
      <c r="B23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2" s="3">
        <f>intermediate_results[[#This Row], [Team1 laps '[laps']]] - intermediate_results[[#This Row], [Team1 laps '[laps']]]</f>
        <v>0</v>
      </c>
      <c r="L232" s="3">
        <f>intermediate_results[[#This Row], [Team1 laps '[laps']]] - intermediate_results[[#This Row], [Team2 laps '[laps']]]</f>
        <v>0</v>
      </c>
      <c r="M232" s="3">
        <f>intermediate_results[[#This Row], [Team1 laps '[laps']]] - intermediate_results[[#This Row], [Team3 laps '[laps']]]</f>
        <v>0</v>
      </c>
      <c r="N232" s="3">
        <f>intermediate_results[[#This Row], [Team1 laps '[laps']]] - intermediate_results[[#This Row], [Team4 laps '[laps']]]</f>
        <v>0</v>
      </c>
      <c r="O232" s="3">
        <f>intermediate_results[[#This Row], [Team1 laps '[laps']]] - intermediate_results[[#This Row], [Team5 laps '[laps']]]</f>
        <v>0</v>
      </c>
      <c r="P232" s="3">
        <f>intermediate_results[[#This Row], [Team1 laps '[laps']]] - intermediate_results[[#This Row], [Team6 laps '[laps']]]</f>
        <v>0</v>
      </c>
      <c r="Q232" s="3">
        <f>intermediate_results[[#This Row], [Team1 laps '[laps']]] - intermediate_results[[#This Row], [Team7 laps '[laps']]]</f>
        <v>0</v>
      </c>
      <c r="R232" s="3">
        <f>intermediate_results[[#This Row], [Team1 laps '[laps']]] - intermediate_results[[#This Row], [Team8 laps '[laps']]]</f>
        <v>0</v>
      </c>
      <c r="S232" s="3">
        <f>intermediate_results[[#This Row], [Team1 laps '[laps']]] - intermediate_results[[#This Row], [Team9 laps '[laps']]]</f>
        <v>0</v>
      </c>
      <c r="T232" s="3">
        <f>MAX(intermediate_results[[#This Row], [Team1 laps '[laps']]:[Team9 laps '[laps']]]) - intermediate_results[[#This Row], [Team1 laps '[laps']]]</f>
        <v>0</v>
      </c>
      <c r="U232" s="3">
        <f>MAX(intermediate_results[[#This Row], [Team1 laps '[laps']]:[Team9 laps '[laps']]]) - intermediate_results[[#This Row], [Team2 laps '[laps']]]</f>
        <v>0</v>
      </c>
      <c r="V232" s="3">
        <f>MAX(intermediate_results[[#This Row], [Team1 laps '[laps']]:[Team9 laps '[laps']]]) - intermediate_results[[#This Row], [Team3 laps '[laps']]]</f>
        <v>0</v>
      </c>
      <c r="W232" s="3">
        <f>MAX(intermediate_results[[#This Row], [Team1 laps '[laps']]:[Team9 laps '[laps']]]) - intermediate_results[[#This Row], [Team4 laps '[laps']]]</f>
        <v>0</v>
      </c>
      <c r="X232" s="3">
        <f>MAX(intermediate_results[[#This Row], [Team1 laps '[laps']]:[Team9 laps '[laps']]]) - intermediate_results[[#This Row], [Team5 laps '[laps']]]</f>
        <v>0</v>
      </c>
      <c r="Y232" s="3">
        <f>MAX(intermediate_results[[#This Row], [Team1 laps '[laps']]:[Team9 laps '[laps']]]) - intermediate_results[[#This Row], [Team6 laps '[laps']]]</f>
        <v>0</v>
      </c>
      <c r="Z232" s="3">
        <f>MAX(intermediate_results[[#This Row], [Team1 laps '[laps']]:[Team9 laps '[laps']]]) - intermediate_results[[#This Row], [Team7 laps '[laps']]]</f>
        <v>0</v>
      </c>
      <c r="AA232" s="3">
        <f>MAX(intermediate_results[[#This Row], [Team1 laps '[laps']]:[Team9 laps '[laps']]]) - intermediate_results[[#This Row], [Team8 laps '[laps']]]</f>
        <v>0</v>
      </c>
      <c r="AB232" s="3">
        <f>MAX(intermediate_results[[#This Row], [Team1 laps '[laps']]:[Team9 laps '[laps']]]) - intermediate_results[[#This Row], [Team9 laps '[laps']]]</f>
        <v>0</v>
      </c>
      <c r="AC232" s="3">
        <f>9 * intermediate_results[[#This Row], [All cumulative times '[sec']]] / SUM(intermediate_results[[#This Row], [Team1 laps '[laps']]:[Team9 laps '[laps']]])</f>
        <v>0</v>
      </c>
      <c r="AD232" s="3">
        <f>intermediate_results[[#This Row], [All cumulative times '[sec']]] / intermediate_results[[#This Row], [Team1 laps '[laps']]] - intermediate_results[[#This Row], [Total running average '[sec']]]</f>
        <v>0</v>
      </c>
      <c r="AE232" s="3">
        <f>intermediate_results[[#This Row], [All cumulative times '[sec']]] / intermediate_results[[#This Row], [Team2 laps '[laps']]] - intermediate_results[[#This Row], [Total running average '[sec']]]</f>
        <v>0</v>
      </c>
      <c r="AF232" s="3">
        <f>intermediate_results[[#This Row], [All cumulative times '[sec']]] / intermediate_results[[#This Row], [Team3 laps '[laps']]] - intermediate_results[[#This Row], [Total running average '[sec']]]</f>
        <v>0</v>
      </c>
      <c r="AG232" s="3">
        <f>intermediate_results[[#This Row], [All cumulative times '[sec']]] / intermediate_results[[#This Row], [Team4 laps '[laps']]] - intermediate_results[[#This Row], [Total running average '[sec']]]</f>
        <v>0</v>
      </c>
      <c r="AH232" s="3">
        <f>intermediate_results[[#This Row], [All cumulative times '[sec']]] / intermediate_results[[#This Row], [Team5 laps '[laps']]] - intermediate_results[[#This Row], [Total running average '[sec']]]</f>
        <v>0</v>
      </c>
      <c r="AI232" s="3">
        <f>intermediate_results[[#This Row], [All cumulative times '[sec']]] / intermediate_results[[#This Row], [Team6 laps '[laps']]] - intermediate_results[[#This Row], [Total running average '[sec']]]</f>
        <v>0</v>
      </c>
      <c r="AJ232" s="3">
        <f>intermediate_results[[#This Row], [All cumulative times '[sec']]] / intermediate_results[[#This Row], [Team7 laps '[laps']]] - intermediate_results[[#This Row], [Total running average '[sec']]]</f>
        <v>0</v>
      </c>
      <c r="AK232" s="3">
        <f>intermediate_results[[#This Row], [All cumulative times '[sec']]] / intermediate_results[[#This Row], [Team8 laps '[laps']]] - intermediate_results[[#This Row], [Total running average '[sec']]]</f>
        <v>0</v>
      </c>
      <c r="AL232" s="3">
        <f>intermediate_results[[#This Row], [All cumulative times '[sec']]] / intermediate_results[[#This Row], [Team9 laps '[laps']]] - intermediate_results[[#This Row], [Total running average '[sec']]]</f>
        <v>0</v>
      </c>
    </row>
    <row r="233" spans="1:38">
      <c r="A233" s="3">
        <v>1433.551</v>
      </c>
      <c r="B23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3" s="3">
        <f>intermediate_results[[#This Row], [Team1 laps '[laps']]] - intermediate_results[[#This Row], [Team1 laps '[laps']]]</f>
        <v>0</v>
      </c>
      <c r="L233" s="3">
        <f>intermediate_results[[#This Row], [Team1 laps '[laps']]] - intermediate_results[[#This Row], [Team2 laps '[laps']]]</f>
        <v>0</v>
      </c>
      <c r="M233" s="3">
        <f>intermediate_results[[#This Row], [Team1 laps '[laps']]] - intermediate_results[[#This Row], [Team3 laps '[laps']]]</f>
        <v>0</v>
      </c>
      <c r="N233" s="3">
        <f>intermediate_results[[#This Row], [Team1 laps '[laps']]] - intermediate_results[[#This Row], [Team4 laps '[laps']]]</f>
        <v>0</v>
      </c>
      <c r="O233" s="3">
        <f>intermediate_results[[#This Row], [Team1 laps '[laps']]] - intermediate_results[[#This Row], [Team5 laps '[laps']]]</f>
        <v>0</v>
      </c>
      <c r="P233" s="3">
        <f>intermediate_results[[#This Row], [Team1 laps '[laps']]] - intermediate_results[[#This Row], [Team6 laps '[laps']]]</f>
        <v>0</v>
      </c>
      <c r="Q233" s="3">
        <f>intermediate_results[[#This Row], [Team1 laps '[laps']]] - intermediate_results[[#This Row], [Team7 laps '[laps']]]</f>
        <v>0</v>
      </c>
      <c r="R233" s="3">
        <f>intermediate_results[[#This Row], [Team1 laps '[laps']]] - intermediate_results[[#This Row], [Team8 laps '[laps']]]</f>
        <v>0</v>
      </c>
      <c r="S233" s="3">
        <f>intermediate_results[[#This Row], [Team1 laps '[laps']]] - intermediate_results[[#This Row], [Team9 laps '[laps']]]</f>
        <v>0</v>
      </c>
      <c r="T233" s="3">
        <f>MAX(intermediate_results[[#This Row], [Team1 laps '[laps']]:[Team9 laps '[laps']]]) - intermediate_results[[#This Row], [Team1 laps '[laps']]]</f>
        <v>0</v>
      </c>
      <c r="U233" s="3">
        <f>MAX(intermediate_results[[#This Row], [Team1 laps '[laps']]:[Team9 laps '[laps']]]) - intermediate_results[[#This Row], [Team2 laps '[laps']]]</f>
        <v>0</v>
      </c>
      <c r="V233" s="3">
        <f>MAX(intermediate_results[[#This Row], [Team1 laps '[laps']]:[Team9 laps '[laps']]]) - intermediate_results[[#This Row], [Team3 laps '[laps']]]</f>
        <v>0</v>
      </c>
      <c r="W233" s="3">
        <f>MAX(intermediate_results[[#This Row], [Team1 laps '[laps']]:[Team9 laps '[laps']]]) - intermediate_results[[#This Row], [Team4 laps '[laps']]]</f>
        <v>0</v>
      </c>
      <c r="X233" s="3">
        <f>MAX(intermediate_results[[#This Row], [Team1 laps '[laps']]:[Team9 laps '[laps']]]) - intermediate_results[[#This Row], [Team5 laps '[laps']]]</f>
        <v>0</v>
      </c>
      <c r="Y233" s="3">
        <f>MAX(intermediate_results[[#This Row], [Team1 laps '[laps']]:[Team9 laps '[laps']]]) - intermediate_results[[#This Row], [Team6 laps '[laps']]]</f>
        <v>0</v>
      </c>
      <c r="Z233" s="3">
        <f>MAX(intermediate_results[[#This Row], [Team1 laps '[laps']]:[Team9 laps '[laps']]]) - intermediate_results[[#This Row], [Team7 laps '[laps']]]</f>
        <v>0</v>
      </c>
      <c r="AA233" s="3">
        <f>MAX(intermediate_results[[#This Row], [Team1 laps '[laps']]:[Team9 laps '[laps']]]) - intermediate_results[[#This Row], [Team8 laps '[laps']]]</f>
        <v>0</v>
      </c>
      <c r="AB233" s="3">
        <f>MAX(intermediate_results[[#This Row], [Team1 laps '[laps']]:[Team9 laps '[laps']]]) - intermediate_results[[#This Row], [Team9 laps '[laps']]]</f>
        <v>0</v>
      </c>
      <c r="AC233" s="3">
        <f>9 * intermediate_results[[#This Row], [All cumulative times '[sec']]] / SUM(intermediate_results[[#This Row], [Team1 laps '[laps']]:[Team9 laps '[laps']]])</f>
        <v>0</v>
      </c>
      <c r="AD233" s="3">
        <f>intermediate_results[[#This Row], [All cumulative times '[sec']]] / intermediate_results[[#This Row], [Team1 laps '[laps']]] - intermediate_results[[#This Row], [Total running average '[sec']]]</f>
        <v>0</v>
      </c>
      <c r="AE233" s="3">
        <f>intermediate_results[[#This Row], [All cumulative times '[sec']]] / intermediate_results[[#This Row], [Team2 laps '[laps']]] - intermediate_results[[#This Row], [Total running average '[sec']]]</f>
        <v>0</v>
      </c>
      <c r="AF233" s="3">
        <f>intermediate_results[[#This Row], [All cumulative times '[sec']]] / intermediate_results[[#This Row], [Team3 laps '[laps']]] - intermediate_results[[#This Row], [Total running average '[sec']]]</f>
        <v>0</v>
      </c>
      <c r="AG233" s="3">
        <f>intermediate_results[[#This Row], [All cumulative times '[sec']]] / intermediate_results[[#This Row], [Team4 laps '[laps']]] - intermediate_results[[#This Row], [Total running average '[sec']]]</f>
        <v>0</v>
      </c>
      <c r="AH233" s="3">
        <f>intermediate_results[[#This Row], [All cumulative times '[sec']]] / intermediate_results[[#This Row], [Team5 laps '[laps']]] - intermediate_results[[#This Row], [Total running average '[sec']]]</f>
        <v>0</v>
      </c>
      <c r="AI233" s="3">
        <f>intermediate_results[[#This Row], [All cumulative times '[sec']]] / intermediate_results[[#This Row], [Team6 laps '[laps']]] - intermediate_results[[#This Row], [Total running average '[sec']]]</f>
        <v>0</v>
      </c>
      <c r="AJ233" s="3">
        <f>intermediate_results[[#This Row], [All cumulative times '[sec']]] / intermediate_results[[#This Row], [Team7 laps '[laps']]] - intermediate_results[[#This Row], [Total running average '[sec']]]</f>
        <v>0</v>
      </c>
      <c r="AK233" s="3">
        <f>intermediate_results[[#This Row], [All cumulative times '[sec']]] / intermediate_results[[#This Row], [Team8 laps '[laps']]] - intermediate_results[[#This Row], [Total running average '[sec']]]</f>
        <v>0</v>
      </c>
      <c r="AL233" s="3">
        <f>intermediate_results[[#This Row], [All cumulative times '[sec']]] / intermediate_results[[#This Row], [Team9 laps '[laps']]] - intermediate_results[[#This Row], [Total running average '[sec']]]</f>
        <v>0</v>
      </c>
    </row>
    <row r="234" spans="1:38">
      <c r="A234" s="3">
        <v>1445.697</v>
      </c>
      <c r="B23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4" s="3">
        <f>intermediate_results[[#This Row], [Team1 laps '[laps']]] - intermediate_results[[#This Row], [Team1 laps '[laps']]]</f>
        <v>0</v>
      </c>
      <c r="L234" s="3">
        <f>intermediate_results[[#This Row], [Team1 laps '[laps']]] - intermediate_results[[#This Row], [Team2 laps '[laps']]]</f>
        <v>0</v>
      </c>
      <c r="M234" s="3">
        <f>intermediate_results[[#This Row], [Team1 laps '[laps']]] - intermediate_results[[#This Row], [Team3 laps '[laps']]]</f>
        <v>0</v>
      </c>
      <c r="N234" s="3">
        <f>intermediate_results[[#This Row], [Team1 laps '[laps']]] - intermediate_results[[#This Row], [Team4 laps '[laps']]]</f>
        <v>0</v>
      </c>
      <c r="O234" s="3">
        <f>intermediate_results[[#This Row], [Team1 laps '[laps']]] - intermediate_results[[#This Row], [Team5 laps '[laps']]]</f>
        <v>0</v>
      </c>
      <c r="P234" s="3">
        <f>intermediate_results[[#This Row], [Team1 laps '[laps']]] - intermediate_results[[#This Row], [Team6 laps '[laps']]]</f>
        <v>0</v>
      </c>
      <c r="Q234" s="3">
        <f>intermediate_results[[#This Row], [Team1 laps '[laps']]] - intermediate_results[[#This Row], [Team7 laps '[laps']]]</f>
        <v>0</v>
      </c>
      <c r="R234" s="3">
        <f>intermediate_results[[#This Row], [Team1 laps '[laps']]] - intermediate_results[[#This Row], [Team8 laps '[laps']]]</f>
        <v>0</v>
      </c>
      <c r="S234" s="3">
        <f>intermediate_results[[#This Row], [Team1 laps '[laps']]] - intermediate_results[[#This Row], [Team9 laps '[laps']]]</f>
        <v>0</v>
      </c>
      <c r="T234" s="3">
        <f>MAX(intermediate_results[[#This Row], [Team1 laps '[laps']]:[Team9 laps '[laps']]]) - intermediate_results[[#This Row], [Team1 laps '[laps']]]</f>
        <v>0</v>
      </c>
      <c r="U234" s="3">
        <f>MAX(intermediate_results[[#This Row], [Team1 laps '[laps']]:[Team9 laps '[laps']]]) - intermediate_results[[#This Row], [Team2 laps '[laps']]]</f>
        <v>0</v>
      </c>
      <c r="V234" s="3">
        <f>MAX(intermediate_results[[#This Row], [Team1 laps '[laps']]:[Team9 laps '[laps']]]) - intermediate_results[[#This Row], [Team3 laps '[laps']]]</f>
        <v>0</v>
      </c>
      <c r="W234" s="3">
        <f>MAX(intermediate_results[[#This Row], [Team1 laps '[laps']]:[Team9 laps '[laps']]]) - intermediate_results[[#This Row], [Team4 laps '[laps']]]</f>
        <v>0</v>
      </c>
      <c r="X234" s="3">
        <f>MAX(intermediate_results[[#This Row], [Team1 laps '[laps']]:[Team9 laps '[laps']]]) - intermediate_results[[#This Row], [Team5 laps '[laps']]]</f>
        <v>0</v>
      </c>
      <c r="Y234" s="3">
        <f>MAX(intermediate_results[[#This Row], [Team1 laps '[laps']]:[Team9 laps '[laps']]]) - intermediate_results[[#This Row], [Team6 laps '[laps']]]</f>
        <v>0</v>
      </c>
      <c r="Z234" s="3">
        <f>MAX(intermediate_results[[#This Row], [Team1 laps '[laps']]:[Team9 laps '[laps']]]) - intermediate_results[[#This Row], [Team7 laps '[laps']]]</f>
        <v>0</v>
      </c>
      <c r="AA234" s="3">
        <f>MAX(intermediate_results[[#This Row], [Team1 laps '[laps']]:[Team9 laps '[laps']]]) - intermediate_results[[#This Row], [Team8 laps '[laps']]]</f>
        <v>0</v>
      </c>
      <c r="AB234" s="3">
        <f>MAX(intermediate_results[[#This Row], [Team1 laps '[laps']]:[Team9 laps '[laps']]]) - intermediate_results[[#This Row], [Team9 laps '[laps']]]</f>
        <v>0</v>
      </c>
      <c r="AC234" s="3">
        <f>9 * intermediate_results[[#This Row], [All cumulative times '[sec']]] / SUM(intermediate_results[[#This Row], [Team1 laps '[laps']]:[Team9 laps '[laps']]])</f>
        <v>0</v>
      </c>
      <c r="AD234" s="3">
        <f>intermediate_results[[#This Row], [All cumulative times '[sec']]] / intermediate_results[[#This Row], [Team1 laps '[laps']]] - intermediate_results[[#This Row], [Total running average '[sec']]]</f>
        <v>0</v>
      </c>
      <c r="AE234" s="3">
        <f>intermediate_results[[#This Row], [All cumulative times '[sec']]] / intermediate_results[[#This Row], [Team2 laps '[laps']]] - intermediate_results[[#This Row], [Total running average '[sec']]]</f>
        <v>0</v>
      </c>
      <c r="AF234" s="3">
        <f>intermediate_results[[#This Row], [All cumulative times '[sec']]] / intermediate_results[[#This Row], [Team3 laps '[laps']]] - intermediate_results[[#This Row], [Total running average '[sec']]]</f>
        <v>0</v>
      </c>
      <c r="AG234" s="3">
        <f>intermediate_results[[#This Row], [All cumulative times '[sec']]] / intermediate_results[[#This Row], [Team4 laps '[laps']]] - intermediate_results[[#This Row], [Total running average '[sec']]]</f>
        <v>0</v>
      </c>
      <c r="AH234" s="3">
        <f>intermediate_results[[#This Row], [All cumulative times '[sec']]] / intermediate_results[[#This Row], [Team5 laps '[laps']]] - intermediate_results[[#This Row], [Total running average '[sec']]]</f>
        <v>0</v>
      </c>
      <c r="AI234" s="3">
        <f>intermediate_results[[#This Row], [All cumulative times '[sec']]] / intermediate_results[[#This Row], [Team6 laps '[laps']]] - intermediate_results[[#This Row], [Total running average '[sec']]]</f>
        <v>0</v>
      </c>
      <c r="AJ234" s="3">
        <f>intermediate_results[[#This Row], [All cumulative times '[sec']]] / intermediate_results[[#This Row], [Team7 laps '[laps']]] - intermediate_results[[#This Row], [Total running average '[sec']]]</f>
        <v>0</v>
      </c>
      <c r="AK234" s="3">
        <f>intermediate_results[[#This Row], [All cumulative times '[sec']]] / intermediate_results[[#This Row], [Team8 laps '[laps']]] - intermediate_results[[#This Row], [Total running average '[sec']]]</f>
        <v>0</v>
      </c>
      <c r="AL234" s="3">
        <f>intermediate_results[[#This Row], [All cumulative times '[sec']]] / intermediate_results[[#This Row], [Team9 laps '[laps']]] - intermediate_results[[#This Row], [Total running average '[sec']]]</f>
        <v>0</v>
      </c>
    </row>
    <row r="235" spans="1:38">
      <c r="A235" s="3">
        <v>1449.525</v>
      </c>
      <c r="B23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5" s="3">
        <f>intermediate_results[[#This Row], [Team1 laps '[laps']]] - intermediate_results[[#This Row], [Team1 laps '[laps']]]</f>
        <v>0</v>
      </c>
      <c r="L235" s="3">
        <f>intermediate_results[[#This Row], [Team1 laps '[laps']]] - intermediate_results[[#This Row], [Team2 laps '[laps']]]</f>
        <v>0</v>
      </c>
      <c r="M235" s="3">
        <f>intermediate_results[[#This Row], [Team1 laps '[laps']]] - intermediate_results[[#This Row], [Team3 laps '[laps']]]</f>
        <v>0</v>
      </c>
      <c r="N235" s="3">
        <f>intermediate_results[[#This Row], [Team1 laps '[laps']]] - intermediate_results[[#This Row], [Team4 laps '[laps']]]</f>
        <v>0</v>
      </c>
      <c r="O235" s="3">
        <f>intermediate_results[[#This Row], [Team1 laps '[laps']]] - intermediate_results[[#This Row], [Team5 laps '[laps']]]</f>
        <v>0</v>
      </c>
      <c r="P235" s="3">
        <f>intermediate_results[[#This Row], [Team1 laps '[laps']]] - intermediate_results[[#This Row], [Team6 laps '[laps']]]</f>
        <v>0</v>
      </c>
      <c r="Q235" s="3">
        <f>intermediate_results[[#This Row], [Team1 laps '[laps']]] - intermediate_results[[#This Row], [Team7 laps '[laps']]]</f>
        <v>0</v>
      </c>
      <c r="R235" s="3">
        <f>intermediate_results[[#This Row], [Team1 laps '[laps']]] - intermediate_results[[#This Row], [Team8 laps '[laps']]]</f>
        <v>0</v>
      </c>
      <c r="S235" s="3">
        <f>intermediate_results[[#This Row], [Team1 laps '[laps']]] - intermediate_results[[#This Row], [Team9 laps '[laps']]]</f>
        <v>0</v>
      </c>
      <c r="T235" s="3">
        <f>MAX(intermediate_results[[#This Row], [Team1 laps '[laps']]:[Team9 laps '[laps']]]) - intermediate_results[[#This Row], [Team1 laps '[laps']]]</f>
        <v>0</v>
      </c>
      <c r="U235" s="3">
        <f>MAX(intermediate_results[[#This Row], [Team1 laps '[laps']]:[Team9 laps '[laps']]]) - intermediate_results[[#This Row], [Team2 laps '[laps']]]</f>
        <v>0</v>
      </c>
      <c r="V235" s="3">
        <f>MAX(intermediate_results[[#This Row], [Team1 laps '[laps']]:[Team9 laps '[laps']]]) - intermediate_results[[#This Row], [Team3 laps '[laps']]]</f>
        <v>0</v>
      </c>
      <c r="W235" s="3">
        <f>MAX(intermediate_results[[#This Row], [Team1 laps '[laps']]:[Team9 laps '[laps']]]) - intermediate_results[[#This Row], [Team4 laps '[laps']]]</f>
        <v>0</v>
      </c>
      <c r="X235" s="3">
        <f>MAX(intermediate_results[[#This Row], [Team1 laps '[laps']]:[Team9 laps '[laps']]]) - intermediate_results[[#This Row], [Team5 laps '[laps']]]</f>
        <v>0</v>
      </c>
      <c r="Y235" s="3">
        <f>MAX(intermediate_results[[#This Row], [Team1 laps '[laps']]:[Team9 laps '[laps']]]) - intermediate_results[[#This Row], [Team6 laps '[laps']]]</f>
        <v>0</v>
      </c>
      <c r="Z235" s="3">
        <f>MAX(intermediate_results[[#This Row], [Team1 laps '[laps']]:[Team9 laps '[laps']]]) - intermediate_results[[#This Row], [Team7 laps '[laps']]]</f>
        <v>0</v>
      </c>
      <c r="AA235" s="3">
        <f>MAX(intermediate_results[[#This Row], [Team1 laps '[laps']]:[Team9 laps '[laps']]]) - intermediate_results[[#This Row], [Team8 laps '[laps']]]</f>
        <v>0</v>
      </c>
      <c r="AB235" s="3">
        <f>MAX(intermediate_results[[#This Row], [Team1 laps '[laps']]:[Team9 laps '[laps']]]) - intermediate_results[[#This Row], [Team9 laps '[laps']]]</f>
        <v>0</v>
      </c>
      <c r="AC235" s="3">
        <f>9 * intermediate_results[[#This Row], [All cumulative times '[sec']]] / SUM(intermediate_results[[#This Row], [Team1 laps '[laps']]:[Team9 laps '[laps']]])</f>
        <v>0</v>
      </c>
      <c r="AD235" s="3">
        <f>intermediate_results[[#This Row], [All cumulative times '[sec']]] / intermediate_results[[#This Row], [Team1 laps '[laps']]] - intermediate_results[[#This Row], [Total running average '[sec']]]</f>
        <v>0</v>
      </c>
      <c r="AE235" s="3">
        <f>intermediate_results[[#This Row], [All cumulative times '[sec']]] / intermediate_results[[#This Row], [Team2 laps '[laps']]] - intermediate_results[[#This Row], [Total running average '[sec']]]</f>
        <v>0</v>
      </c>
      <c r="AF235" s="3">
        <f>intermediate_results[[#This Row], [All cumulative times '[sec']]] / intermediate_results[[#This Row], [Team3 laps '[laps']]] - intermediate_results[[#This Row], [Total running average '[sec']]]</f>
        <v>0</v>
      </c>
      <c r="AG235" s="3">
        <f>intermediate_results[[#This Row], [All cumulative times '[sec']]] / intermediate_results[[#This Row], [Team4 laps '[laps']]] - intermediate_results[[#This Row], [Total running average '[sec']]]</f>
        <v>0</v>
      </c>
      <c r="AH235" s="3">
        <f>intermediate_results[[#This Row], [All cumulative times '[sec']]] / intermediate_results[[#This Row], [Team5 laps '[laps']]] - intermediate_results[[#This Row], [Total running average '[sec']]]</f>
        <v>0</v>
      </c>
      <c r="AI235" s="3">
        <f>intermediate_results[[#This Row], [All cumulative times '[sec']]] / intermediate_results[[#This Row], [Team6 laps '[laps']]] - intermediate_results[[#This Row], [Total running average '[sec']]]</f>
        <v>0</v>
      </c>
      <c r="AJ235" s="3">
        <f>intermediate_results[[#This Row], [All cumulative times '[sec']]] / intermediate_results[[#This Row], [Team7 laps '[laps']]] - intermediate_results[[#This Row], [Total running average '[sec']]]</f>
        <v>0</v>
      </c>
      <c r="AK235" s="3">
        <f>intermediate_results[[#This Row], [All cumulative times '[sec']]] / intermediate_results[[#This Row], [Team8 laps '[laps']]] - intermediate_results[[#This Row], [Total running average '[sec']]]</f>
        <v>0</v>
      </c>
      <c r="AL235" s="3">
        <f>intermediate_results[[#This Row], [All cumulative times '[sec']]] / intermediate_results[[#This Row], [Team9 laps '[laps']]] - intermediate_results[[#This Row], [Total running average '[sec']]]</f>
        <v>0</v>
      </c>
    </row>
    <row r="236" spans="1:38">
      <c r="A236" s="3">
        <v>1454.166</v>
      </c>
      <c r="B23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6" s="3">
        <f>intermediate_results[[#This Row], [Team1 laps '[laps']]] - intermediate_results[[#This Row], [Team1 laps '[laps']]]</f>
        <v>0</v>
      </c>
      <c r="L236" s="3">
        <f>intermediate_results[[#This Row], [Team1 laps '[laps']]] - intermediate_results[[#This Row], [Team2 laps '[laps']]]</f>
        <v>0</v>
      </c>
      <c r="M236" s="3">
        <f>intermediate_results[[#This Row], [Team1 laps '[laps']]] - intermediate_results[[#This Row], [Team3 laps '[laps']]]</f>
        <v>0</v>
      </c>
      <c r="N236" s="3">
        <f>intermediate_results[[#This Row], [Team1 laps '[laps']]] - intermediate_results[[#This Row], [Team4 laps '[laps']]]</f>
        <v>0</v>
      </c>
      <c r="O236" s="3">
        <f>intermediate_results[[#This Row], [Team1 laps '[laps']]] - intermediate_results[[#This Row], [Team5 laps '[laps']]]</f>
        <v>0</v>
      </c>
      <c r="P236" s="3">
        <f>intermediate_results[[#This Row], [Team1 laps '[laps']]] - intermediate_results[[#This Row], [Team6 laps '[laps']]]</f>
        <v>0</v>
      </c>
      <c r="Q236" s="3">
        <f>intermediate_results[[#This Row], [Team1 laps '[laps']]] - intermediate_results[[#This Row], [Team7 laps '[laps']]]</f>
        <v>0</v>
      </c>
      <c r="R236" s="3">
        <f>intermediate_results[[#This Row], [Team1 laps '[laps']]] - intermediate_results[[#This Row], [Team8 laps '[laps']]]</f>
        <v>0</v>
      </c>
      <c r="S236" s="3">
        <f>intermediate_results[[#This Row], [Team1 laps '[laps']]] - intermediate_results[[#This Row], [Team9 laps '[laps']]]</f>
        <v>0</v>
      </c>
      <c r="T236" s="3">
        <f>MAX(intermediate_results[[#This Row], [Team1 laps '[laps']]:[Team9 laps '[laps']]]) - intermediate_results[[#This Row], [Team1 laps '[laps']]]</f>
        <v>0</v>
      </c>
      <c r="U236" s="3">
        <f>MAX(intermediate_results[[#This Row], [Team1 laps '[laps']]:[Team9 laps '[laps']]]) - intermediate_results[[#This Row], [Team2 laps '[laps']]]</f>
        <v>0</v>
      </c>
      <c r="V236" s="3">
        <f>MAX(intermediate_results[[#This Row], [Team1 laps '[laps']]:[Team9 laps '[laps']]]) - intermediate_results[[#This Row], [Team3 laps '[laps']]]</f>
        <v>0</v>
      </c>
      <c r="W236" s="3">
        <f>MAX(intermediate_results[[#This Row], [Team1 laps '[laps']]:[Team9 laps '[laps']]]) - intermediate_results[[#This Row], [Team4 laps '[laps']]]</f>
        <v>0</v>
      </c>
      <c r="X236" s="3">
        <f>MAX(intermediate_results[[#This Row], [Team1 laps '[laps']]:[Team9 laps '[laps']]]) - intermediate_results[[#This Row], [Team5 laps '[laps']]]</f>
        <v>0</v>
      </c>
      <c r="Y236" s="3">
        <f>MAX(intermediate_results[[#This Row], [Team1 laps '[laps']]:[Team9 laps '[laps']]]) - intermediate_results[[#This Row], [Team6 laps '[laps']]]</f>
        <v>0</v>
      </c>
      <c r="Z236" s="3">
        <f>MAX(intermediate_results[[#This Row], [Team1 laps '[laps']]:[Team9 laps '[laps']]]) - intermediate_results[[#This Row], [Team7 laps '[laps']]]</f>
        <v>0</v>
      </c>
      <c r="AA236" s="3">
        <f>MAX(intermediate_results[[#This Row], [Team1 laps '[laps']]:[Team9 laps '[laps']]]) - intermediate_results[[#This Row], [Team8 laps '[laps']]]</f>
        <v>0</v>
      </c>
      <c r="AB236" s="3">
        <f>MAX(intermediate_results[[#This Row], [Team1 laps '[laps']]:[Team9 laps '[laps']]]) - intermediate_results[[#This Row], [Team9 laps '[laps']]]</f>
        <v>0</v>
      </c>
      <c r="AC236" s="3">
        <f>9 * intermediate_results[[#This Row], [All cumulative times '[sec']]] / SUM(intermediate_results[[#This Row], [Team1 laps '[laps']]:[Team9 laps '[laps']]])</f>
        <v>0</v>
      </c>
      <c r="AD236" s="3">
        <f>intermediate_results[[#This Row], [All cumulative times '[sec']]] / intermediate_results[[#This Row], [Team1 laps '[laps']]] - intermediate_results[[#This Row], [Total running average '[sec']]]</f>
        <v>0</v>
      </c>
      <c r="AE236" s="3">
        <f>intermediate_results[[#This Row], [All cumulative times '[sec']]] / intermediate_results[[#This Row], [Team2 laps '[laps']]] - intermediate_results[[#This Row], [Total running average '[sec']]]</f>
        <v>0</v>
      </c>
      <c r="AF236" s="3">
        <f>intermediate_results[[#This Row], [All cumulative times '[sec']]] / intermediate_results[[#This Row], [Team3 laps '[laps']]] - intermediate_results[[#This Row], [Total running average '[sec']]]</f>
        <v>0</v>
      </c>
      <c r="AG236" s="3">
        <f>intermediate_results[[#This Row], [All cumulative times '[sec']]] / intermediate_results[[#This Row], [Team4 laps '[laps']]] - intermediate_results[[#This Row], [Total running average '[sec']]]</f>
        <v>0</v>
      </c>
      <c r="AH236" s="3">
        <f>intermediate_results[[#This Row], [All cumulative times '[sec']]] / intermediate_results[[#This Row], [Team5 laps '[laps']]] - intermediate_results[[#This Row], [Total running average '[sec']]]</f>
        <v>0</v>
      </c>
      <c r="AI236" s="3">
        <f>intermediate_results[[#This Row], [All cumulative times '[sec']]] / intermediate_results[[#This Row], [Team6 laps '[laps']]] - intermediate_results[[#This Row], [Total running average '[sec']]]</f>
        <v>0</v>
      </c>
      <c r="AJ236" s="3">
        <f>intermediate_results[[#This Row], [All cumulative times '[sec']]] / intermediate_results[[#This Row], [Team7 laps '[laps']]] - intermediate_results[[#This Row], [Total running average '[sec']]]</f>
        <v>0</v>
      </c>
      <c r="AK236" s="3">
        <f>intermediate_results[[#This Row], [All cumulative times '[sec']]] / intermediate_results[[#This Row], [Team8 laps '[laps']]] - intermediate_results[[#This Row], [Total running average '[sec']]]</f>
        <v>0</v>
      </c>
      <c r="AL236" s="3">
        <f>intermediate_results[[#This Row], [All cumulative times '[sec']]] / intermediate_results[[#This Row], [Team9 laps '[laps']]] - intermediate_results[[#This Row], [Total running average '[sec']]]</f>
        <v>0</v>
      </c>
    </row>
    <row r="237" spans="1:38">
      <c r="A237" s="3">
        <v>1464.657</v>
      </c>
      <c r="B23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7" s="3">
        <f>intermediate_results[[#This Row], [Team1 laps '[laps']]] - intermediate_results[[#This Row], [Team1 laps '[laps']]]</f>
        <v>0</v>
      </c>
      <c r="L237" s="3">
        <f>intermediate_results[[#This Row], [Team1 laps '[laps']]] - intermediate_results[[#This Row], [Team2 laps '[laps']]]</f>
        <v>0</v>
      </c>
      <c r="M237" s="3">
        <f>intermediate_results[[#This Row], [Team1 laps '[laps']]] - intermediate_results[[#This Row], [Team3 laps '[laps']]]</f>
        <v>0</v>
      </c>
      <c r="N237" s="3">
        <f>intermediate_results[[#This Row], [Team1 laps '[laps']]] - intermediate_results[[#This Row], [Team4 laps '[laps']]]</f>
        <v>0</v>
      </c>
      <c r="O237" s="3">
        <f>intermediate_results[[#This Row], [Team1 laps '[laps']]] - intermediate_results[[#This Row], [Team5 laps '[laps']]]</f>
        <v>0</v>
      </c>
      <c r="P237" s="3">
        <f>intermediate_results[[#This Row], [Team1 laps '[laps']]] - intermediate_results[[#This Row], [Team6 laps '[laps']]]</f>
        <v>0</v>
      </c>
      <c r="Q237" s="3">
        <f>intermediate_results[[#This Row], [Team1 laps '[laps']]] - intermediate_results[[#This Row], [Team7 laps '[laps']]]</f>
        <v>0</v>
      </c>
      <c r="R237" s="3">
        <f>intermediate_results[[#This Row], [Team1 laps '[laps']]] - intermediate_results[[#This Row], [Team8 laps '[laps']]]</f>
        <v>0</v>
      </c>
      <c r="S237" s="3">
        <f>intermediate_results[[#This Row], [Team1 laps '[laps']]] - intermediate_results[[#This Row], [Team9 laps '[laps']]]</f>
        <v>0</v>
      </c>
      <c r="T237" s="3">
        <f>MAX(intermediate_results[[#This Row], [Team1 laps '[laps']]:[Team9 laps '[laps']]]) - intermediate_results[[#This Row], [Team1 laps '[laps']]]</f>
        <v>0</v>
      </c>
      <c r="U237" s="3">
        <f>MAX(intermediate_results[[#This Row], [Team1 laps '[laps']]:[Team9 laps '[laps']]]) - intermediate_results[[#This Row], [Team2 laps '[laps']]]</f>
        <v>0</v>
      </c>
      <c r="V237" s="3">
        <f>MAX(intermediate_results[[#This Row], [Team1 laps '[laps']]:[Team9 laps '[laps']]]) - intermediate_results[[#This Row], [Team3 laps '[laps']]]</f>
        <v>0</v>
      </c>
      <c r="W237" s="3">
        <f>MAX(intermediate_results[[#This Row], [Team1 laps '[laps']]:[Team9 laps '[laps']]]) - intermediate_results[[#This Row], [Team4 laps '[laps']]]</f>
        <v>0</v>
      </c>
      <c r="X237" s="3">
        <f>MAX(intermediate_results[[#This Row], [Team1 laps '[laps']]:[Team9 laps '[laps']]]) - intermediate_results[[#This Row], [Team5 laps '[laps']]]</f>
        <v>0</v>
      </c>
      <c r="Y237" s="3">
        <f>MAX(intermediate_results[[#This Row], [Team1 laps '[laps']]:[Team9 laps '[laps']]]) - intermediate_results[[#This Row], [Team6 laps '[laps']]]</f>
        <v>0</v>
      </c>
      <c r="Z237" s="3">
        <f>MAX(intermediate_results[[#This Row], [Team1 laps '[laps']]:[Team9 laps '[laps']]]) - intermediate_results[[#This Row], [Team7 laps '[laps']]]</f>
        <v>0</v>
      </c>
      <c r="AA237" s="3">
        <f>MAX(intermediate_results[[#This Row], [Team1 laps '[laps']]:[Team9 laps '[laps']]]) - intermediate_results[[#This Row], [Team8 laps '[laps']]]</f>
        <v>0</v>
      </c>
      <c r="AB237" s="3">
        <f>MAX(intermediate_results[[#This Row], [Team1 laps '[laps']]:[Team9 laps '[laps']]]) - intermediate_results[[#This Row], [Team9 laps '[laps']]]</f>
        <v>0</v>
      </c>
      <c r="AC237" s="3">
        <f>9 * intermediate_results[[#This Row], [All cumulative times '[sec']]] / SUM(intermediate_results[[#This Row], [Team1 laps '[laps']]:[Team9 laps '[laps']]])</f>
        <v>0</v>
      </c>
      <c r="AD237" s="3">
        <f>intermediate_results[[#This Row], [All cumulative times '[sec']]] / intermediate_results[[#This Row], [Team1 laps '[laps']]] - intermediate_results[[#This Row], [Total running average '[sec']]]</f>
        <v>0</v>
      </c>
      <c r="AE237" s="3">
        <f>intermediate_results[[#This Row], [All cumulative times '[sec']]] / intermediate_results[[#This Row], [Team2 laps '[laps']]] - intermediate_results[[#This Row], [Total running average '[sec']]]</f>
        <v>0</v>
      </c>
      <c r="AF237" s="3">
        <f>intermediate_results[[#This Row], [All cumulative times '[sec']]] / intermediate_results[[#This Row], [Team3 laps '[laps']]] - intermediate_results[[#This Row], [Total running average '[sec']]]</f>
        <v>0</v>
      </c>
      <c r="AG237" s="3">
        <f>intermediate_results[[#This Row], [All cumulative times '[sec']]] / intermediate_results[[#This Row], [Team4 laps '[laps']]] - intermediate_results[[#This Row], [Total running average '[sec']]]</f>
        <v>0</v>
      </c>
      <c r="AH237" s="3">
        <f>intermediate_results[[#This Row], [All cumulative times '[sec']]] / intermediate_results[[#This Row], [Team5 laps '[laps']]] - intermediate_results[[#This Row], [Total running average '[sec']]]</f>
        <v>0</v>
      </c>
      <c r="AI237" s="3">
        <f>intermediate_results[[#This Row], [All cumulative times '[sec']]] / intermediate_results[[#This Row], [Team6 laps '[laps']]] - intermediate_results[[#This Row], [Total running average '[sec']]]</f>
        <v>0</v>
      </c>
      <c r="AJ237" s="3">
        <f>intermediate_results[[#This Row], [All cumulative times '[sec']]] / intermediate_results[[#This Row], [Team7 laps '[laps']]] - intermediate_results[[#This Row], [Total running average '[sec']]]</f>
        <v>0</v>
      </c>
      <c r="AK237" s="3">
        <f>intermediate_results[[#This Row], [All cumulative times '[sec']]] / intermediate_results[[#This Row], [Team8 laps '[laps']]] - intermediate_results[[#This Row], [Total running average '[sec']]]</f>
        <v>0</v>
      </c>
      <c r="AL237" s="3">
        <f>intermediate_results[[#This Row], [All cumulative times '[sec']]] / intermediate_results[[#This Row], [Team9 laps '[laps']]] - intermediate_results[[#This Row], [Total running average '[sec']]]</f>
        <v>0</v>
      </c>
    </row>
    <row r="238" spans="1:38">
      <c r="A238" s="3">
        <v>1466.481</v>
      </c>
      <c r="B23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8" s="3">
        <f>intermediate_results[[#This Row], [Team1 laps '[laps']]] - intermediate_results[[#This Row], [Team1 laps '[laps']]]</f>
        <v>0</v>
      </c>
      <c r="L238" s="3">
        <f>intermediate_results[[#This Row], [Team1 laps '[laps']]] - intermediate_results[[#This Row], [Team2 laps '[laps']]]</f>
        <v>0</v>
      </c>
      <c r="M238" s="3">
        <f>intermediate_results[[#This Row], [Team1 laps '[laps']]] - intermediate_results[[#This Row], [Team3 laps '[laps']]]</f>
        <v>0</v>
      </c>
      <c r="N238" s="3">
        <f>intermediate_results[[#This Row], [Team1 laps '[laps']]] - intermediate_results[[#This Row], [Team4 laps '[laps']]]</f>
        <v>0</v>
      </c>
      <c r="O238" s="3">
        <f>intermediate_results[[#This Row], [Team1 laps '[laps']]] - intermediate_results[[#This Row], [Team5 laps '[laps']]]</f>
        <v>0</v>
      </c>
      <c r="P238" s="3">
        <f>intermediate_results[[#This Row], [Team1 laps '[laps']]] - intermediate_results[[#This Row], [Team6 laps '[laps']]]</f>
        <v>0</v>
      </c>
      <c r="Q238" s="3">
        <f>intermediate_results[[#This Row], [Team1 laps '[laps']]] - intermediate_results[[#This Row], [Team7 laps '[laps']]]</f>
        <v>0</v>
      </c>
      <c r="R238" s="3">
        <f>intermediate_results[[#This Row], [Team1 laps '[laps']]] - intermediate_results[[#This Row], [Team8 laps '[laps']]]</f>
        <v>0</v>
      </c>
      <c r="S238" s="3">
        <f>intermediate_results[[#This Row], [Team1 laps '[laps']]] - intermediate_results[[#This Row], [Team9 laps '[laps']]]</f>
        <v>0</v>
      </c>
      <c r="T238" s="3">
        <f>MAX(intermediate_results[[#This Row], [Team1 laps '[laps']]:[Team9 laps '[laps']]]) - intermediate_results[[#This Row], [Team1 laps '[laps']]]</f>
        <v>0</v>
      </c>
      <c r="U238" s="3">
        <f>MAX(intermediate_results[[#This Row], [Team1 laps '[laps']]:[Team9 laps '[laps']]]) - intermediate_results[[#This Row], [Team2 laps '[laps']]]</f>
        <v>0</v>
      </c>
      <c r="V238" s="3">
        <f>MAX(intermediate_results[[#This Row], [Team1 laps '[laps']]:[Team9 laps '[laps']]]) - intermediate_results[[#This Row], [Team3 laps '[laps']]]</f>
        <v>0</v>
      </c>
      <c r="W238" s="3">
        <f>MAX(intermediate_results[[#This Row], [Team1 laps '[laps']]:[Team9 laps '[laps']]]) - intermediate_results[[#This Row], [Team4 laps '[laps']]]</f>
        <v>0</v>
      </c>
      <c r="X238" s="3">
        <f>MAX(intermediate_results[[#This Row], [Team1 laps '[laps']]:[Team9 laps '[laps']]]) - intermediate_results[[#This Row], [Team5 laps '[laps']]]</f>
        <v>0</v>
      </c>
      <c r="Y238" s="3">
        <f>MAX(intermediate_results[[#This Row], [Team1 laps '[laps']]:[Team9 laps '[laps']]]) - intermediate_results[[#This Row], [Team6 laps '[laps']]]</f>
        <v>0</v>
      </c>
      <c r="Z238" s="3">
        <f>MAX(intermediate_results[[#This Row], [Team1 laps '[laps']]:[Team9 laps '[laps']]]) - intermediate_results[[#This Row], [Team7 laps '[laps']]]</f>
        <v>0</v>
      </c>
      <c r="AA238" s="3">
        <f>MAX(intermediate_results[[#This Row], [Team1 laps '[laps']]:[Team9 laps '[laps']]]) - intermediate_results[[#This Row], [Team8 laps '[laps']]]</f>
        <v>0</v>
      </c>
      <c r="AB238" s="3">
        <f>MAX(intermediate_results[[#This Row], [Team1 laps '[laps']]:[Team9 laps '[laps']]]) - intermediate_results[[#This Row], [Team9 laps '[laps']]]</f>
        <v>0</v>
      </c>
      <c r="AC238" s="3">
        <f>9 * intermediate_results[[#This Row], [All cumulative times '[sec']]] / SUM(intermediate_results[[#This Row], [Team1 laps '[laps']]:[Team9 laps '[laps']]])</f>
        <v>0</v>
      </c>
      <c r="AD238" s="3">
        <f>intermediate_results[[#This Row], [All cumulative times '[sec']]] / intermediate_results[[#This Row], [Team1 laps '[laps']]] - intermediate_results[[#This Row], [Total running average '[sec']]]</f>
        <v>0</v>
      </c>
      <c r="AE238" s="3">
        <f>intermediate_results[[#This Row], [All cumulative times '[sec']]] / intermediate_results[[#This Row], [Team2 laps '[laps']]] - intermediate_results[[#This Row], [Total running average '[sec']]]</f>
        <v>0</v>
      </c>
      <c r="AF238" s="3">
        <f>intermediate_results[[#This Row], [All cumulative times '[sec']]] / intermediate_results[[#This Row], [Team3 laps '[laps']]] - intermediate_results[[#This Row], [Total running average '[sec']]]</f>
        <v>0</v>
      </c>
      <c r="AG238" s="3">
        <f>intermediate_results[[#This Row], [All cumulative times '[sec']]] / intermediate_results[[#This Row], [Team4 laps '[laps']]] - intermediate_results[[#This Row], [Total running average '[sec']]]</f>
        <v>0</v>
      </c>
      <c r="AH238" s="3">
        <f>intermediate_results[[#This Row], [All cumulative times '[sec']]] / intermediate_results[[#This Row], [Team5 laps '[laps']]] - intermediate_results[[#This Row], [Total running average '[sec']]]</f>
        <v>0</v>
      </c>
      <c r="AI238" s="3">
        <f>intermediate_results[[#This Row], [All cumulative times '[sec']]] / intermediate_results[[#This Row], [Team6 laps '[laps']]] - intermediate_results[[#This Row], [Total running average '[sec']]]</f>
        <v>0</v>
      </c>
      <c r="AJ238" s="3">
        <f>intermediate_results[[#This Row], [All cumulative times '[sec']]] / intermediate_results[[#This Row], [Team7 laps '[laps']]] - intermediate_results[[#This Row], [Total running average '[sec']]]</f>
        <v>0</v>
      </c>
      <c r="AK238" s="3">
        <f>intermediate_results[[#This Row], [All cumulative times '[sec']]] / intermediate_results[[#This Row], [Team8 laps '[laps']]] - intermediate_results[[#This Row], [Total running average '[sec']]]</f>
        <v>0</v>
      </c>
      <c r="AL238" s="3">
        <f>intermediate_results[[#This Row], [All cumulative times '[sec']]] / intermediate_results[[#This Row], [Team9 laps '[laps']]] - intermediate_results[[#This Row], [Total running average '[sec']]]</f>
        <v>0</v>
      </c>
    </row>
    <row r="239" spans="1:38">
      <c r="A239" s="3">
        <v>1472.396</v>
      </c>
      <c r="B23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3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3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3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3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3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3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3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3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39" s="3">
        <f>intermediate_results[[#This Row], [Team1 laps '[laps']]] - intermediate_results[[#This Row], [Team1 laps '[laps']]]</f>
        <v>0</v>
      </c>
      <c r="L239" s="3">
        <f>intermediate_results[[#This Row], [Team1 laps '[laps']]] - intermediate_results[[#This Row], [Team2 laps '[laps']]]</f>
        <v>0</v>
      </c>
      <c r="M239" s="3">
        <f>intermediate_results[[#This Row], [Team1 laps '[laps']]] - intermediate_results[[#This Row], [Team3 laps '[laps']]]</f>
        <v>0</v>
      </c>
      <c r="N239" s="3">
        <f>intermediate_results[[#This Row], [Team1 laps '[laps']]] - intermediate_results[[#This Row], [Team4 laps '[laps']]]</f>
        <v>0</v>
      </c>
      <c r="O239" s="3">
        <f>intermediate_results[[#This Row], [Team1 laps '[laps']]] - intermediate_results[[#This Row], [Team5 laps '[laps']]]</f>
        <v>0</v>
      </c>
      <c r="P239" s="3">
        <f>intermediate_results[[#This Row], [Team1 laps '[laps']]] - intermediate_results[[#This Row], [Team6 laps '[laps']]]</f>
        <v>0</v>
      </c>
      <c r="Q239" s="3">
        <f>intermediate_results[[#This Row], [Team1 laps '[laps']]] - intermediate_results[[#This Row], [Team7 laps '[laps']]]</f>
        <v>0</v>
      </c>
      <c r="R239" s="3">
        <f>intermediate_results[[#This Row], [Team1 laps '[laps']]] - intermediate_results[[#This Row], [Team8 laps '[laps']]]</f>
        <v>0</v>
      </c>
      <c r="S239" s="3">
        <f>intermediate_results[[#This Row], [Team1 laps '[laps']]] - intermediate_results[[#This Row], [Team9 laps '[laps']]]</f>
        <v>0</v>
      </c>
      <c r="T239" s="3">
        <f>MAX(intermediate_results[[#This Row], [Team1 laps '[laps']]:[Team9 laps '[laps']]]) - intermediate_results[[#This Row], [Team1 laps '[laps']]]</f>
        <v>0</v>
      </c>
      <c r="U239" s="3">
        <f>MAX(intermediate_results[[#This Row], [Team1 laps '[laps']]:[Team9 laps '[laps']]]) - intermediate_results[[#This Row], [Team2 laps '[laps']]]</f>
        <v>0</v>
      </c>
      <c r="V239" s="3">
        <f>MAX(intermediate_results[[#This Row], [Team1 laps '[laps']]:[Team9 laps '[laps']]]) - intermediate_results[[#This Row], [Team3 laps '[laps']]]</f>
        <v>0</v>
      </c>
      <c r="W239" s="3">
        <f>MAX(intermediate_results[[#This Row], [Team1 laps '[laps']]:[Team9 laps '[laps']]]) - intermediate_results[[#This Row], [Team4 laps '[laps']]]</f>
        <v>0</v>
      </c>
      <c r="X239" s="3">
        <f>MAX(intermediate_results[[#This Row], [Team1 laps '[laps']]:[Team9 laps '[laps']]]) - intermediate_results[[#This Row], [Team5 laps '[laps']]]</f>
        <v>0</v>
      </c>
      <c r="Y239" s="3">
        <f>MAX(intermediate_results[[#This Row], [Team1 laps '[laps']]:[Team9 laps '[laps']]]) - intermediate_results[[#This Row], [Team6 laps '[laps']]]</f>
        <v>0</v>
      </c>
      <c r="Z239" s="3">
        <f>MAX(intermediate_results[[#This Row], [Team1 laps '[laps']]:[Team9 laps '[laps']]]) - intermediate_results[[#This Row], [Team7 laps '[laps']]]</f>
        <v>0</v>
      </c>
      <c r="AA239" s="3">
        <f>MAX(intermediate_results[[#This Row], [Team1 laps '[laps']]:[Team9 laps '[laps']]]) - intermediate_results[[#This Row], [Team8 laps '[laps']]]</f>
        <v>0</v>
      </c>
      <c r="AB239" s="3">
        <f>MAX(intermediate_results[[#This Row], [Team1 laps '[laps']]:[Team9 laps '[laps']]]) - intermediate_results[[#This Row], [Team9 laps '[laps']]]</f>
        <v>0</v>
      </c>
      <c r="AC239" s="3">
        <f>9 * intermediate_results[[#This Row], [All cumulative times '[sec']]] / SUM(intermediate_results[[#This Row], [Team1 laps '[laps']]:[Team9 laps '[laps']]])</f>
        <v>0</v>
      </c>
      <c r="AD239" s="3">
        <f>intermediate_results[[#This Row], [All cumulative times '[sec']]] / intermediate_results[[#This Row], [Team1 laps '[laps']]] - intermediate_results[[#This Row], [Total running average '[sec']]]</f>
        <v>0</v>
      </c>
      <c r="AE239" s="3">
        <f>intermediate_results[[#This Row], [All cumulative times '[sec']]] / intermediate_results[[#This Row], [Team2 laps '[laps']]] - intermediate_results[[#This Row], [Total running average '[sec']]]</f>
        <v>0</v>
      </c>
      <c r="AF239" s="3">
        <f>intermediate_results[[#This Row], [All cumulative times '[sec']]] / intermediate_results[[#This Row], [Team3 laps '[laps']]] - intermediate_results[[#This Row], [Total running average '[sec']]]</f>
        <v>0</v>
      </c>
      <c r="AG239" s="3">
        <f>intermediate_results[[#This Row], [All cumulative times '[sec']]] / intermediate_results[[#This Row], [Team4 laps '[laps']]] - intermediate_results[[#This Row], [Total running average '[sec']]]</f>
        <v>0</v>
      </c>
      <c r="AH239" s="3">
        <f>intermediate_results[[#This Row], [All cumulative times '[sec']]] / intermediate_results[[#This Row], [Team5 laps '[laps']]] - intermediate_results[[#This Row], [Total running average '[sec']]]</f>
        <v>0</v>
      </c>
      <c r="AI239" s="3">
        <f>intermediate_results[[#This Row], [All cumulative times '[sec']]] / intermediate_results[[#This Row], [Team6 laps '[laps']]] - intermediate_results[[#This Row], [Total running average '[sec']]]</f>
        <v>0</v>
      </c>
      <c r="AJ239" s="3">
        <f>intermediate_results[[#This Row], [All cumulative times '[sec']]] / intermediate_results[[#This Row], [Team7 laps '[laps']]] - intermediate_results[[#This Row], [Total running average '[sec']]]</f>
        <v>0</v>
      </c>
      <c r="AK239" s="3">
        <f>intermediate_results[[#This Row], [All cumulative times '[sec']]] / intermediate_results[[#This Row], [Team8 laps '[laps']]] - intermediate_results[[#This Row], [Total running average '[sec']]]</f>
        <v>0</v>
      </c>
      <c r="AL239" s="3">
        <f>intermediate_results[[#This Row], [All cumulative times '[sec']]] / intermediate_results[[#This Row], [Team9 laps '[laps']]] - intermediate_results[[#This Row], [Total running average '[sec']]]</f>
        <v>0</v>
      </c>
    </row>
    <row r="240" spans="1:38">
      <c r="A240" s="3">
        <v>1476.029</v>
      </c>
      <c r="B24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0" s="3">
        <f>intermediate_results[[#This Row], [Team1 laps '[laps']]] - intermediate_results[[#This Row], [Team1 laps '[laps']]]</f>
        <v>0</v>
      </c>
      <c r="L240" s="3">
        <f>intermediate_results[[#This Row], [Team1 laps '[laps']]] - intermediate_results[[#This Row], [Team2 laps '[laps']]]</f>
        <v>0</v>
      </c>
      <c r="M240" s="3">
        <f>intermediate_results[[#This Row], [Team1 laps '[laps']]] - intermediate_results[[#This Row], [Team3 laps '[laps']]]</f>
        <v>0</v>
      </c>
      <c r="N240" s="3">
        <f>intermediate_results[[#This Row], [Team1 laps '[laps']]] - intermediate_results[[#This Row], [Team4 laps '[laps']]]</f>
        <v>0</v>
      </c>
      <c r="O240" s="3">
        <f>intermediate_results[[#This Row], [Team1 laps '[laps']]] - intermediate_results[[#This Row], [Team5 laps '[laps']]]</f>
        <v>0</v>
      </c>
      <c r="P240" s="3">
        <f>intermediate_results[[#This Row], [Team1 laps '[laps']]] - intermediate_results[[#This Row], [Team6 laps '[laps']]]</f>
        <v>0</v>
      </c>
      <c r="Q240" s="3">
        <f>intermediate_results[[#This Row], [Team1 laps '[laps']]] - intermediate_results[[#This Row], [Team7 laps '[laps']]]</f>
        <v>0</v>
      </c>
      <c r="R240" s="3">
        <f>intermediate_results[[#This Row], [Team1 laps '[laps']]] - intermediate_results[[#This Row], [Team8 laps '[laps']]]</f>
        <v>0</v>
      </c>
      <c r="S240" s="3">
        <f>intermediate_results[[#This Row], [Team1 laps '[laps']]] - intermediate_results[[#This Row], [Team9 laps '[laps']]]</f>
        <v>0</v>
      </c>
      <c r="T240" s="3">
        <f>MAX(intermediate_results[[#This Row], [Team1 laps '[laps']]:[Team9 laps '[laps']]]) - intermediate_results[[#This Row], [Team1 laps '[laps']]]</f>
        <v>0</v>
      </c>
      <c r="U240" s="3">
        <f>MAX(intermediate_results[[#This Row], [Team1 laps '[laps']]:[Team9 laps '[laps']]]) - intermediate_results[[#This Row], [Team2 laps '[laps']]]</f>
        <v>0</v>
      </c>
      <c r="V240" s="3">
        <f>MAX(intermediate_results[[#This Row], [Team1 laps '[laps']]:[Team9 laps '[laps']]]) - intermediate_results[[#This Row], [Team3 laps '[laps']]]</f>
        <v>0</v>
      </c>
      <c r="W240" s="3">
        <f>MAX(intermediate_results[[#This Row], [Team1 laps '[laps']]:[Team9 laps '[laps']]]) - intermediate_results[[#This Row], [Team4 laps '[laps']]]</f>
        <v>0</v>
      </c>
      <c r="X240" s="3">
        <f>MAX(intermediate_results[[#This Row], [Team1 laps '[laps']]:[Team9 laps '[laps']]]) - intermediate_results[[#This Row], [Team5 laps '[laps']]]</f>
        <v>0</v>
      </c>
      <c r="Y240" s="3">
        <f>MAX(intermediate_results[[#This Row], [Team1 laps '[laps']]:[Team9 laps '[laps']]]) - intermediate_results[[#This Row], [Team6 laps '[laps']]]</f>
        <v>0</v>
      </c>
      <c r="Z240" s="3">
        <f>MAX(intermediate_results[[#This Row], [Team1 laps '[laps']]:[Team9 laps '[laps']]]) - intermediate_results[[#This Row], [Team7 laps '[laps']]]</f>
        <v>0</v>
      </c>
      <c r="AA240" s="3">
        <f>MAX(intermediate_results[[#This Row], [Team1 laps '[laps']]:[Team9 laps '[laps']]]) - intermediate_results[[#This Row], [Team8 laps '[laps']]]</f>
        <v>0</v>
      </c>
      <c r="AB240" s="3">
        <f>MAX(intermediate_results[[#This Row], [Team1 laps '[laps']]:[Team9 laps '[laps']]]) - intermediate_results[[#This Row], [Team9 laps '[laps']]]</f>
        <v>0</v>
      </c>
      <c r="AC240" s="3">
        <f>9 * intermediate_results[[#This Row], [All cumulative times '[sec']]] / SUM(intermediate_results[[#This Row], [Team1 laps '[laps']]:[Team9 laps '[laps']]])</f>
        <v>0</v>
      </c>
      <c r="AD240" s="3">
        <f>intermediate_results[[#This Row], [All cumulative times '[sec']]] / intermediate_results[[#This Row], [Team1 laps '[laps']]] - intermediate_results[[#This Row], [Total running average '[sec']]]</f>
        <v>0</v>
      </c>
      <c r="AE240" s="3">
        <f>intermediate_results[[#This Row], [All cumulative times '[sec']]] / intermediate_results[[#This Row], [Team2 laps '[laps']]] - intermediate_results[[#This Row], [Total running average '[sec']]]</f>
        <v>0</v>
      </c>
      <c r="AF240" s="3">
        <f>intermediate_results[[#This Row], [All cumulative times '[sec']]] / intermediate_results[[#This Row], [Team3 laps '[laps']]] - intermediate_results[[#This Row], [Total running average '[sec']]]</f>
        <v>0</v>
      </c>
      <c r="AG240" s="3">
        <f>intermediate_results[[#This Row], [All cumulative times '[sec']]] / intermediate_results[[#This Row], [Team4 laps '[laps']]] - intermediate_results[[#This Row], [Total running average '[sec']]]</f>
        <v>0</v>
      </c>
      <c r="AH240" s="3">
        <f>intermediate_results[[#This Row], [All cumulative times '[sec']]] / intermediate_results[[#This Row], [Team5 laps '[laps']]] - intermediate_results[[#This Row], [Total running average '[sec']]]</f>
        <v>0</v>
      </c>
      <c r="AI240" s="3">
        <f>intermediate_results[[#This Row], [All cumulative times '[sec']]] / intermediate_results[[#This Row], [Team6 laps '[laps']]] - intermediate_results[[#This Row], [Total running average '[sec']]]</f>
        <v>0</v>
      </c>
      <c r="AJ240" s="3">
        <f>intermediate_results[[#This Row], [All cumulative times '[sec']]] / intermediate_results[[#This Row], [Team7 laps '[laps']]] - intermediate_results[[#This Row], [Total running average '[sec']]]</f>
        <v>0</v>
      </c>
      <c r="AK240" s="3">
        <f>intermediate_results[[#This Row], [All cumulative times '[sec']]] / intermediate_results[[#This Row], [Team8 laps '[laps']]] - intermediate_results[[#This Row], [Total running average '[sec']]]</f>
        <v>0</v>
      </c>
      <c r="AL240" s="3">
        <f>intermediate_results[[#This Row], [All cumulative times '[sec']]] / intermediate_results[[#This Row], [Team9 laps '[laps']]] - intermediate_results[[#This Row], [Total running average '[sec']]]</f>
        <v>0</v>
      </c>
    </row>
    <row r="241" spans="1:38">
      <c r="A241" s="3">
        <v>1481.104</v>
      </c>
      <c r="B24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1" s="3">
        <f>intermediate_results[[#This Row], [Team1 laps '[laps']]] - intermediate_results[[#This Row], [Team1 laps '[laps']]]</f>
        <v>0</v>
      </c>
      <c r="L241" s="3">
        <f>intermediate_results[[#This Row], [Team1 laps '[laps']]] - intermediate_results[[#This Row], [Team2 laps '[laps']]]</f>
        <v>0</v>
      </c>
      <c r="M241" s="3">
        <f>intermediate_results[[#This Row], [Team1 laps '[laps']]] - intermediate_results[[#This Row], [Team3 laps '[laps']]]</f>
        <v>0</v>
      </c>
      <c r="N241" s="3">
        <f>intermediate_results[[#This Row], [Team1 laps '[laps']]] - intermediate_results[[#This Row], [Team4 laps '[laps']]]</f>
        <v>0</v>
      </c>
      <c r="O241" s="3">
        <f>intermediate_results[[#This Row], [Team1 laps '[laps']]] - intermediate_results[[#This Row], [Team5 laps '[laps']]]</f>
        <v>0</v>
      </c>
      <c r="P241" s="3">
        <f>intermediate_results[[#This Row], [Team1 laps '[laps']]] - intermediate_results[[#This Row], [Team6 laps '[laps']]]</f>
        <v>0</v>
      </c>
      <c r="Q241" s="3">
        <f>intermediate_results[[#This Row], [Team1 laps '[laps']]] - intermediate_results[[#This Row], [Team7 laps '[laps']]]</f>
        <v>0</v>
      </c>
      <c r="R241" s="3">
        <f>intermediate_results[[#This Row], [Team1 laps '[laps']]] - intermediate_results[[#This Row], [Team8 laps '[laps']]]</f>
        <v>0</v>
      </c>
      <c r="S241" s="3">
        <f>intermediate_results[[#This Row], [Team1 laps '[laps']]] - intermediate_results[[#This Row], [Team9 laps '[laps']]]</f>
        <v>0</v>
      </c>
      <c r="T241" s="3">
        <f>MAX(intermediate_results[[#This Row], [Team1 laps '[laps']]:[Team9 laps '[laps']]]) - intermediate_results[[#This Row], [Team1 laps '[laps']]]</f>
        <v>0</v>
      </c>
      <c r="U241" s="3">
        <f>MAX(intermediate_results[[#This Row], [Team1 laps '[laps']]:[Team9 laps '[laps']]]) - intermediate_results[[#This Row], [Team2 laps '[laps']]]</f>
        <v>0</v>
      </c>
      <c r="V241" s="3">
        <f>MAX(intermediate_results[[#This Row], [Team1 laps '[laps']]:[Team9 laps '[laps']]]) - intermediate_results[[#This Row], [Team3 laps '[laps']]]</f>
        <v>0</v>
      </c>
      <c r="W241" s="3">
        <f>MAX(intermediate_results[[#This Row], [Team1 laps '[laps']]:[Team9 laps '[laps']]]) - intermediate_results[[#This Row], [Team4 laps '[laps']]]</f>
        <v>0</v>
      </c>
      <c r="X241" s="3">
        <f>MAX(intermediate_results[[#This Row], [Team1 laps '[laps']]:[Team9 laps '[laps']]]) - intermediate_results[[#This Row], [Team5 laps '[laps']]]</f>
        <v>0</v>
      </c>
      <c r="Y241" s="3">
        <f>MAX(intermediate_results[[#This Row], [Team1 laps '[laps']]:[Team9 laps '[laps']]]) - intermediate_results[[#This Row], [Team6 laps '[laps']]]</f>
        <v>0</v>
      </c>
      <c r="Z241" s="3">
        <f>MAX(intermediate_results[[#This Row], [Team1 laps '[laps']]:[Team9 laps '[laps']]]) - intermediate_results[[#This Row], [Team7 laps '[laps']]]</f>
        <v>0</v>
      </c>
      <c r="AA241" s="3">
        <f>MAX(intermediate_results[[#This Row], [Team1 laps '[laps']]:[Team9 laps '[laps']]]) - intermediate_results[[#This Row], [Team8 laps '[laps']]]</f>
        <v>0</v>
      </c>
      <c r="AB241" s="3">
        <f>MAX(intermediate_results[[#This Row], [Team1 laps '[laps']]:[Team9 laps '[laps']]]) - intermediate_results[[#This Row], [Team9 laps '[laps']]]</f>
        <v>0</v>
      </c>
      <c r="AC241" s="3">
        <f>9 * intermediate_results[[#This Row], [All cumulative times '[sec']]] / SUM(intermediate_results[[#This Row], [Team1 laps '[laps']]:[Team9 laps '[laps']]])</f>
        <v>0</v>
      </c>
      <c r="AD241" s="3">
        <f>intermediate_results[[#This Row], [All cumulative times '[sec']]] / intermediate_results[[#This Row], [Team1 laps '[laps']]] - intermediate_results[[#This Row], [Total running average '[sec']]]</f>
        <v>0</v>
      </c>
      <c r="AE241" s="3">
        <f>intermediate_results[[#This Row], [All cumulative times '[sec']]] / intermediate_results[[#This Row], [Team2 laps '[laps']]] - intermediate_results[[#This Row], [Total running average '[sec']]]</f>
        <v>0</v>
      </c>
      <c r="AF241" s="3">
        <f>intermediate_results[[#This Row], [All cumulative times '[sec']]] / intermediate_results[[#This Row], [Team3 laps '[laps']]] - intermediate_results[[#This Row], [Total running average '[sec']]]</f>
        <v>0</v>
      </c>
      <c r="AG241" s="3">
        <f>intermediate_results[[#This Row], [All cumulative times '[sec']]] / intermediate_results[[#This Row], [Team4 laps '[laps']]] - intermediate_results[[#This Row], [Total running average '[sec']]]</f>
        <v>0</v>
      </c>
      <c r="AH241" s="3">
        <f>intermediate_results[[#This Row], [All cumulative times '[sec']]] / intermediate_results[[#This Row], [Team5 laps '[laps']]] - intermediate_results[[#This Row], [Total running average '[sec']]]</f>
        <v>0</v>
      </c>
      <c r="AI241" s="3">
        <f>intermediate_results[[#This Row], [All cumulative times '[sec']]] / intermediate_results[[#This Row], [Team6 laps '[laps']]] - intermediate_results[[#This Row], [Total running average '[sec']]]</f>
        <v>0</v>
      </c>
      <c r="AJ241" s="3">
        <f>intermediate_results[[#This Row], [All cumulative times '[sec']]] / intermediate_results[[#This Row], [Team7 laps '[laps']]] - intermediate_results[[#This Row], [Total running average '[sec']]]</f>
        <v>0</v>
      </c>
      <c r="AK241" s="3">
        <f>intermediate_results[[#This Row], [All cumulative times '[sec']]] / intermediate_results[[#This Row], [Team8 laps '[laps']]] - intermediate_results[[#This Row], [Total running average '[sec']]]</f>
        <v>0</v>
      </c>
      <c r="AL241" s="3">
        <f>intermediate_results[[#This Row], [All cumulative times '[sec']]] / intermediate_results[[#This Row], [Team9 laps '[laps']]] - intermediate_results[[#This Row], [Total running average '[sec']]]</f>
        <v>0</v>
      </c>
    </row>
    <row r="242" spans="1:38">
      <c r="A242" s="3">
        <v>1486.465</v>
      </c>
      <c r="B24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2" s="3">
        <f>intermediate_results[[#This Row], [Team1 laps '[laps']]] - intermediate_results[[#This Row], [Team1 laps '[laps']]]</f>
        <v>0</v>
      </c>
      <c r="L242" s="3">
        <f>intermediate_results[[#This Row], [Team1 laps '[laps']]] - intermediate_results[[#This Row], [Team2 laps '[laps']]]</f>
        <v>0</v>
      </c>
      <c r="M242" s="3">
        <f>intermediate_results[[#This Row], [Team1 laps '[laps']]] - intermediate_results[[#This Row], [Team3 laps '[laps']]]</f>
        <v>0</v>
      </c>
      <c r="N242" s="3">
        <f>intermediate_results[[#This Row], [Team1 laps '[laps']]] - intermediate_results[[#This Row], [Team4 laps '[laps']]]</f>
        <v>0</v>
      </c>
      <c r="O242" s="3">
        <f>intermediate_results[[#This Row], [Team1 laps '[laps']]] - intermediate_results[[#This Row], [Team5 laps '[laps']]]</f>
        <v>0</v>
      </c>
      <c r="P242" s="3">
        <f>intermediate_results[[#This Row], [Team1 laps '[laps']]] - intermediate_results[[#This Row], [Team6 laps '[laps']]]</f>
        <v>0</v>
      </c>
      <c r="Q242" s="3">
        <f>intermediate_results[[#This Row], [Team1 laps '[laps']]] - intermediate_results[[#This Row], [Team7 laps '[laps']]]</f>
        <v>0</v>
      </c>
      <c r="R242" s="3">
        <f>intermediate_results[[#This Row], [Team1 laps '[laps']]] - intermediate_results[[#This Row], [Team8 laps '[laps']]]</f>
        <v>0</v>
      </c>
      <c r="S242" s="3">
        <f>intermediate_results[[#This Row], [Team1 laps '[laps']]] - intermediate_results[[#This Row], [Team9 laps '[laps']]]</f>
        <v>0</v>
      </c>
      <c r="T242" s="3">
        <f>MAX(intermediate_results[[#This Row], [Team1 laps '[laps']]:[Team9 laps '[laps']]]) - intermediate_results[[#This Row], [Team1 laps '[laps']]]</f>
        <v>0</v>
      </c>
      <c r="U242" s="3">
        <f>MAX(intermediate_results[[#This Row], [Team1 laps '[laps']]:[Team9 laps '[laps']]]) - intermediate_results[[#This Row], [Team2 laps '[laps']]]</f>
        <v>0</v>
      </c>
      <c r="V242" s="3">
        <f>MAX(intermediate_results[[#This Row], [Team1 laps '[laps']]:[Team9 laps '[laps']]]) - intermediate_results[[#This Row], [Team3 laps '[laps']]]</f>
        <v>0</v>
      </c>
      <c r="W242" s="3">
        <f>MAX(intermediate_results[[#This Row], [Team1 laps '[laps']]:[Team9 laps '[laps']]]) - intermediate_results[[#This Row], [Team4 laps '[laps']]]</f>
        <v>0</v>
      </c>
      <c r="X242" s="3">
        <f>MAX(intermediate_results[[#This Row], [Team1 laps '[laps']]:[Team9 laps '[laps']]]) - intermediate_results[[#This Row], [Team5 laps '[laps']]]</f>
        <v>0</v>
      </c>
      <c r="Y242" s="3">
        <f>MAX(intermediate_results[[#This Row], [Team1 laps '[laps']]:[Team9 laps '[laps']]]) - intermediate_results[[#This Row], [Team6 laps '[laps']]]</f>
        <v>0</v>
      </c>
      <c r="Z242" s="3">
        <f>MAX(intermediate_results[[#This Row], [Team1 laps '[laps']]:[Team9 laps '[laps']]]) - intermediate_results[[#This Row], [Team7 laps '[laps']]]</f>
        <v>0</v>
      </c>
      <c r="AA242" s="3">
        <f>MAX(intermediate_results[[#This Row], [Team1 laps '[laps']]:[Team9 laps '[laps']]]) - intermediate_results[[#This Row], [Team8 laps '[laps']]]</f>
        <v>0</v>
      </c>
      <c r="AB242" s="3">
        <f>MAX(intermediate_results[[#This Row], [Team1 laps '[laps']]:[Team9 laps '[laps']]]) - intermediate_results[[#This Row], [Team9 laps '[laps']]]</f>
        <v>0</v>
      </c>
      <c r="AC242" s="3">
        <f>9 * intermediate_results[[#This Row], [All cumulative times '[sec']]] / SUM(intermediate_results[[#This Row], [Team1 laps '[laps']]:[Team9 laps '[laps']]])</f>
        <v>0</v>
      </c>
      <c r="AD242" s="3">
        <f>intermediate_results[[#This Row], [All cumulative times '[sec']]] / intermediate_results[[#This Row], [Team1 laps '[laps']]] - intermediate_results[[#This Row], [Total running average '[sec']]]</f>
        <v>0</v>
      </c>
      <c r="AE242" s="3">
        <f>intermediate_results[[#This Row], [All cumulative times '[sec']]] / intermediate_results[[#This Row], [Team2 laps '[laps']]] - intermediate_results[[#This Row], [Total running average '[sec']]]</f>
        <v>0</v>
      </c>
      <c r="AF242" s="3">
        <f>intermediate_results[[#This Row], [All cumulative times '[sec']]] / intermediate_results[[#This Row], [Team3 laps '[laps']]] - intermediate_results[[#This Row], [Total running average '[sec']]]</f>
        <v>0</v>
      </c>
      <c r="AG242" s="3">
        <f>intermediate_results[[#This Row], [All cumulative times '[sec']]] / intermediate_results[[#This Row], [Team4 laps '[laps']]] - intermediate_results[[#This Row], [Total running average '[sec']]]</f>
        <v>0</v>
      </c>
      <c r="AH242" s="3">
        <f>intermediate_results[[#This Row], [All cumulative times '[sec']]] / intermediate_results[[#This Row], [Team5 laps '[laps']]] - intermediate_results[[#This Row], [Total running average '[sec']]]</f>
        <v>0</v>
      </c>
      <c r="AI242" s="3">
        <f>intermediate_results[[#This Row], [All cumulative times '[sec']]] / intermediate_results[[#This Row], [Team6 laps '[laps']]] - intermediate_results[[#This Row], [Total running average '[sec']]]</f>
        <v>0</v>
      </c>
      <c r="AJ242" s="3">
        <f>intermediate_results[[#This Row], [All cumulative times '[sec']]] / intermediate_results[[#This Row], [Team7 laps '[laps']]] - intermediate_results[[#This Row], [Total running average '[sec']]]</f>
        <v>0</v>
      </c>
      <c r="AK242" s="3">
        <f>intermediate_results[[#This Row], [All cumulative times '[sec']]] / intermediate_results[[#This Row], [Team8 laps '[laps']]] - intermediate_results[[#This Row], [Total running average '[sec']]]</f>
        <v>0</v>
      </c>
      <c r="AL242" s="3">
        <f>intermediate_results[[#This Row], [All cumulative times '[sec']]] / intermediate_results[[#This Row], [Team9 laps '[laps']]] - intermediate_results[[#This Row], [Total running average '[sec']]]</f>
        <v>0</v>
      </c>
    </row>
    <row r="243" spans="1:38">
      <c r="A243" s="3">
        <v>1500.119</v>
      </c>
      <c r="B24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3" s="3">
        <f>intermediate_results[[#This Row], [Team1 laps '[laps']]] - intermediate_results[[#This Row], [Team1 laps '[laps']]]</f>
        <v>0</v>
      </c>
      <c r="L243" s="3">
        <f>intermediate_results[[#This Row], [Team1 laps '[laps']]] - intermediate_results[[#This Row], [Team2 laps '[laps']]]</f>
        <v>0</v>
      </c>
      <c r="M243" s="3">
        <f>intermediate_results[[#This Row], [Team1 laps '[laps']]] - intermediate_results[[#This Row], [Team3 laps '[laps']]]</f>
        <v>0</v>
      </c>
      <c r="N243" s="3">
        <f>intermediate_results[[#This Row], [Team1 laps '[laps']]] - intermediate_results[[#This Row], [Team4 laps '[laps']]]</f>
        <v>0</v>
      </c>
      <c r="O243" s="3">
        <f>intermediate_results[[#This Row], [Team1 laps '[laps']]] - intermediate_results[[#This Row], [Team5 laps '[laps']]]</f>
        <v>0</v>
      </c>
      <c r="P243" s="3">
        <f>intermediate_results[[#This Row], [Team1 laps '[laps']]] - intermediate_results[[#This Row], [Team6 laps '[laps']]]</f>
        <v>0</v>
      </c>
      <c r="Q243" s="3">
        <f>intermediate_results[[#This Row], [Team1 laps '[laps']]] - intermediate_results[[#This Row], [Team7 laps '[laps']]]</f>
        <v>0</v>
      </c>
      <c r="R243" s="3">
        <f>intermediate_results[[#This Row], [Team1 laps '[laps']]] - intermediate_results[[#This Row], [Team8 laps '[laps']]]</f>
        <v>0</v>
      </c>
      <c r="S243" s="3">
        <f>intermediate_results[[#This Row], [Team1 laps '[laps']]] - intermediate_results[[#This Row], [Team9 laps '[laps']]]</f>
        <v>0</v>
      </c>
      <c r="T243" s="3">
        <f>MAX(intermediate_results[[#This Row], [Team1 laps '[laps']]:[Team9 laps '[laps']]]) - intermediate_results[[#This Row], [Team1 laps '[laps']]]</f>
        <v>0</v>
      </c>
      <c r="U243" s="3">
        <f>MAX(intermediate_results[[#This Row], [Team1 laps '[laps']]:[Team9 laps '[laps']]]) - intermediate_results[[#This Row], [Team2 laps '[laps']]]</f>
        <v>0</v>
      </c>
      <c r="V243" s="3">
        <f>MAX(intermediate_results[[#This Row], [Team1 laps '[laps']]:[Team9 laps '[laps']]]) - intermediate_results[[#This Row], [Team3 laps '[laps']]]</f>
        <v>0</v>
      </c>
      <c r="W243" s="3">
        <f>MAX(intermediate_results[[#This Row], [Team1 laps '[laps']]:[Team9 laps '[laps']]]) - intermediate_results[[#This Row], [Team4 laps '[laps']]]</f>
        <v>0</v>
      </c>
      <c r="X243" s="3">
        <f>MAX(intermediate_results[[#This Row], [Team1 laps '[laps']]:[Team9 laps '[laps']]]) - intermediate_results[[#This Row], [Team5 laps '[laps']]]</f>
        <v>0</v>
      </c>
      <c r="Y243" s="3">
        <f>MAX(intermediate_results[[#This Row], [Team1 laps '[laps']]:[Team9 laps '[laps']]]) - intermediate_results[[#This Row], [Team6 laps '[laps']]]</f>
        <v>0</v>
      </c>
      <c r="Z243" s="3">
        <f>MAX(intermediate_results[[#This Row], [Team1 laps '[laps']]:[Team9 laps '[laps']]]) - intermediate_results[[#This Row], [Team7 laps '[laps']]]</f>
        <v>0</v>
      </c>
      <c r="AA243" s="3">
        <f>MAX(intermediate_results[[#This Row], [Team1 laps '[laps']]:[Team9 laps '[laps']]]) - intermediate_results[[#This Row], [Team8 laps '[laps']]]</f>
        <v>0</v>
      </c>
      <c r="AB243" s="3">
        <f>MAX(intermediate_results[[#This Row], [Team1 laps '[laps']]:[Team9 laps '[laps']]]) - intermediate_results[[#This Row], [Team9 laps '[laps']]]</f>
        <v>0</v>
      </c>
      <c r="AC243" s="3">
        <f>9 * intermediate_results[[#This Row], [All cumulative times '[sec']]] / SUM(intermediate_results[[#This Row], [Team1 laps '[laps']]:[Team9 laps '[laps']]])</f>
        <v>0</v>
      </c>
      <c r="AD243" s="3">
        <f>intermediate_results[[#This Row], [All cumulative times '[sec']]] / intermediate_results[[#This Row], [Team1 laps '[laps']]] - intermediate_results[[#This Row], [Total running average '[sec']]]</f>
        <v>0</v>
      </c>
      <c r="AE243" s="3">
        <f>intermediate_results[[#This Row], [All cumulative times '[sec']]] / intermediate_results[[#This Row], [Team2 laps '[laps']]] - intermediate_results[[#This Row], [Total running average '[sec']]]</f>
        <v>0</v>
      </c>
      <c r="AF243" s="3">
        <f>intermediate_results[[#This Row], [All cumulative times '[sec']]] / intermediate_results[[#This Row], [Team3 laps '[laps']]] - intermediate_results[[#This Row], [Total running average '[sec']]]</f>
        <v>0</v>
      </c>
      <c r="AG243" s="3">
        <f>intermediate_results[[#This Row], [All cumulative times '[sec']]] / intermediate_results[[#This Row], [Team4 laps '[laps']]] - intermediate_results[[#This Row], [Total running average '[sec']]]</f>
        <v>0</v>
      </c>
      <c r="AH243" s="3">
        <f>intermediate_results[[#This Row], [All cumulative times '[sec']]] / intermediate_results[[#This Row], [Team5 laps '[laps']]] - intermediate_results[[#This Row], [Total running average '[sec']]]</f>
        <v>0</v>
      </c>
      <c r="AI243" s="3">
        <f>intermediate_results[[#This Row], [All cumulative times '[sec']]] / intermediate_results[[#This Row], [Team6 laps '[laps']]] - intermediate_results[[#This Row], [Total running average '[sec']]]</f>
        <v>0</v>
      </c>
      <c r="AJ243" s="3">
        <f>intermediate_results[[#This Row], [All cumulative times '[sec']]] / intermediate_results[[#This Row], [Team7 laps '[laps']]] - intermediate_results[[#This Row], [Total running average '[sec']]]</f>
        <v>0</v>
      </c>
      <c r="AK243" s="3">
        <f>intermediate_results[[#This Row], [All cumulative times '[sec']]] / intermediate_results[[#This Row], [Team8 laps '[laps']]] - intermediate_results[[#This Row], [Total running average '[sec']]]</f>
        <v>0</v>
      </c>
      <c r="AL243" s="3">
        <f>intermediate_results[[#This Row], [All cumulative times '[sec']]] / intermediate_results[[#This Row], [Team9 laps '[laps']]] - intermediate_results[[#This Row], [Total running average '[sec']]]</f>
        <v>0</v>
      </c>
    </row>
    <row r="244" spans="1:38">
      <c r="A244" s="3">
        <v>1502.512</v>
      </c>
      <c r="B24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4" s="3">
        <f>intermediate_results[[#This Row], [Team1 laps '[laps']]] - intermediate_results[[#This Row], [Team1 laps '[laps']]]</f>
        <v>0</v>
      </c>
      <c r="L244" s="3">
        <f>intermediate_results[[#This Row], [Team1 laps '[laps']]] - intermediate_results[[#This Row], [Team2 laps '[laps']]]</f>
        <v>0</v>
      </c>
      <c r="M244" s="3">
        <f>intermediate_results[[#This Row], [Team1 laps '[laps']]] - intermediate_results[[#This Row], [Team3 laps '[laps']]]</f>
        <v>0</v>
      </c>
      <c r="N244" s="3">
        <f>intermediate_results[[#This Row], [Team1 laps '[laps']]] - intermediate_results[[#This Row], [Team4 laps '[laps']]]</f>
        <v>0</v>
      </c>
      <c r="O244" s="3">
        <f>intermediate_results[[#This Row], [Team1 laps '[laps']]] - intermediate_results[[#This Row], [Team5 laps '[laps']]]</f>
        <v>0</v>
      </c>
      <c r="P244" s="3">
        <f>intermediate_results[[#This Row], [Team1 laps '[laps']]] - intermediate_results[[#This Row], [Team6 laps '[laps']]]</f>
        <v>0</v>
      </c>
      <c r="Q244" s="3">
        <f>intermediate_results[[#This Row], [Team1 laps '[laps']]] - intermediate_results[[#This Row], [Team7 laps '[laps']]]</f>
        <v>0</v>
      </c>
      <c r="R244" s="3">
        <f>intermediate_results[[#This Row], [Team1 laps '[laps']]] - intermediate_results[[#This Row], [Team8 laps '[laps']]]</f>
        <v>0</v>
      </c>
      <c r="S244" s="3">
        <f>intermediate_results[[#This Row], [Team1 laps '[laps']]] - intermediate_results[[#This Row], [Team9 laps '[laps']]]</f>
        <v>0</v>
      </c>
      <c r="T244" s="3">
        <f>MAX(intermediate_results[[#This Row], [Team1 laps '[laps']]:[Team9 laps '[laps']]]) - intermediate_results[[#This Row], [Team1 laps '[laps']]]</f>
        <v>0</v>
      </c>
      <c r="U244" s="3">
        <f>MAX(intermediate_results[[#This Row], [Team1 laps '[laps']]:[Team9 laps '[laps']]]) - intermediate_results[[#This Row], [Team2 laps '[laps']]]</f>
        <v>0</v>
      </c>
      <c r="V244" s="3">
        <f>MAX(intermediate_results[[#This Row], [Team1 laps '[laps']]:[Team9 laps '[laps']]]) - intermediate_results[[#This Row], [Team3 laps '[laps']]]</f>
        <v>0</v>
      </c>
      <c r="W244" s="3">
        <f>MAX(intermediate_results[[#This Row], [Team1 laps '[laps']]:[Team9 laps '[laps']]]) - intermediate_results[[#This Row], [Team4 laps '[laps']]]</f>
        <v>0</v>
      </c>
      <c r="X244" s="3">
        <f>MAX(intermediate_results[[#This Row], [Team1 laps '[laps']]:[Team9 laps '[laps']]]) - intermediate_results[[#This Row], [Team5 laps '[laps']]]</f>
        <v>0</v>
      </c>
      <c r="Y244" s="3">
        <f>MAX(intermediate_results[[#This Row], [Team1 laps '[laps']]:[Team9 laps '[laps']]]) - intermediate_results[[#This Row], [Team6 laps '[laps']]]</f>
        <v>0</v>
      </c>
      <c r="Z244" s="3">
        <f>MAX(intermediate_results[[#This Row], [Team1 laps '[laps']]:[Team9 laps '[laps']]]) - intermediate_results[[#This Row], [Team7 laps '[laps']]]</f>
        <v>0</v>
      </c>
      <c r="AA244" s="3">
        <f>MAX(intermediate_results[[#This Row], [Team1 laps '[laps']]:[Team9 laps '[laps']]]) - intermediate_results[[#This Row], [Team8 laps '[laps']]]</f>
        <v>0</v>
      </c>
      <c r="AB244" s="3">
        <f>MAX(intermediate_results[[#This Row], [Team1 laps '[laps']]:[Team9 laps '[laps']]]) - intermediate_results[[#This Row], [Team9 laps '[laps']]]</f>
        <v>0</v>
      </c>
      <c r="AC244" s="3">
        <f>9 * intermediate_results[[#This Row], [All cumulative times '[sec']]] / SUM(intermediate_results[[#This Row], [Team1 laps '[laps']]:[Team9 laps '[laps']]])</f>
        <v>0</v>
      </c>
      <c r="AD244" s="3">
        <f>intermediate_results[[#This Row], [All cumulative times '[sec']]] / intermediate_results[[#This Row], [Team1 laps '[laps']]] - intermediate_results[[#This Row], [Total running average '[sec']]]</f>
        <v>0</v>
      </c>
      <c r="AE244" s="3">
        <f>intermediate_results[[#This Row], [All cumulative times '[sec']]] / intermediate_results[[#This Row], [Team2 laps '[laps']]] - intermediate_results[[#This Row], [Total running average '[sec']]]</f>
        <v>0</v>
      </c>
      <c r="AF244" s="3">
        <f>intermediate_results[[#This Row], [All cumulative times '[sec']]] / intermediate_results[[#This Row], [Team3 laps '[laps']]] - intermediate_results[[#This Row], [Total running average '[sec']]]</f>
        <v>0</v>
      </c>
      <c r="AG244" s="3">
        <f>intermediate_results[[#This Row], [All cumulative times '[sec']]] / intermediate_results[[#This Row], [Team4 laps '[laps']]] - intermediate_results[[#This Row], [Total running average '[sec']]]</f>
        <v>0</v>
      </c>
      <c r="AH244" s="3">
        <f>intermediate_results[[#This Row], [All cumulative times '[sec']]] / intermediate_results[[#This Row], [Team5 laps '[laps']]] - intermediate_results[[#This Row], [Total running average '[sec']]]</f>
        <v>0</v>
      </c>
      <c r="AI244" s="3">
        <f>intermediate_results[[#This Row], [All cumulative times '[sec']]] / intermediate_results[[#This Row], [Team6 laps '[laps']]] - intermediate_results[[#This Row], [Total running average '[sec']]]</f>
        <v>0</v>
      </c>
      <c r="AJ244" s="3">
        <f>intermediate_results[[#This Row], [All cumulative times '[sec']]] / intermediate_results[[#This Row], [Team7 laps '[laps']]] - intermediate_results[[#This Row], [Total running average '[sec']]]</f>
        <v>0</v>
      </c>
      <c r="AK244" s="3">
        <f>intermediate_results[[#This Row], [All cumulative times '[sec']]] / intermediate_results[[#This Row], [Team8 laps '[laps']]] - intermediate_results[[#This Row], [Total running average '[sec']]]</f>
        <v>0</v>
      </c>
      <c r="AL244" s="3">
        <f>intermediate_results[[#This Row], [All cumulative times '[sec']]] / intermediate_results[[#This Row], [Team9 laps '[laps']]] - intermediate_results[[#This Row], [Total running average '[sec']]]</f>
        <v>0</v>
      </c>
    </row>
    <row r="245" spans="1:38">
      <c r="A245" s="3">
        <v>1507.449</v>
      </c>
      <c r="B24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5" s="3">
        <f>intermediate_results[[#This Row], [Team1 laps '[laps']]] - intermediate_results[[#This Row], [Team1 laps '[laps']]]</f>
        <v>0</v>
      </c>
      <c r="L245" s="3">
        <f>intermediate_results[[#This Row], [Team1 laps '[laps']]] - intermediate_results[[#This Row], [Team2 laps '[laps']]]</f>
        <v>0</v>
      </c>
      <c r="M245" s="3">
        <f>intermediate_results[[#This Row], [Team1 laps '[laps']]] - intermediate_results[[#This Row], [Team3 laps '[laps']]]</f>
        <v>0</v>
      </c>
      <c r="N245" s="3">
        <f>intermediate_results[[#This Row], [Team1 laps '[laps']]] - intermediate_results[[#This Row], [Team4 laps '[laps']]]</f>
        <v>0</v>
      </c>
      <c r="O245" s="3">
        <f>intermediate_results[[#This Row], [Team1 laps '[laps']]] - intermediate_results[[#This Row], [Team5 laps '[laps']]]</f>
        <v>0</v>
      </c>
      <c r="P245" s="3">
        <f>intermediate_results[[#This Row], [Team1 laps '[laps']]] - intermediate_results[[#This Row], [Team6 laps '[laps']]]</f>
        <v>0</v>
      </c>
      <c r="Q245" s="3">
        <f>intermediate_results[[#This Row], [Team1 laps '[laps']]] - intermediate_results[[#This Row], [Team7 laps '[laps']]]</f>
        <v>0</v>
      </c>
      <c r="R245" s="3">
        <f>intermediate_results[[#This Row], [Team1 laps '[laps']]] - intermediate_results[[#This Row], [Team8 laps '[laps']]]</f>
        <v>0</v>
      </c>
      <c r="S245" s="3">
        <f>intermediate_results[[#This Row], [Team1 laps '[laps']]] - intermediate_results[[#This Row], [Team9 laps '[laps']]]</f>
        <v>0</v>
      </c>
      <c r="T245" s="3">
        <f>MAX(intermediate_results[[#This Row], [Team1 laps '[laps']]:[Team9 laps '[laps']]]) - intermediate_results[[#This Row], [Team1 laps '[laps']]]</f>
        <v>0</v>
      </c>
      <c r="U245" s="3">
        <f>MAX(intermediate_results[[#This Row], [Team1 laps '[laps']]:[Team9 laps '[laps']]]) - intermediate_results[[#This Row], [Team2 laps '[laps']]]</f>
        <v>0</v>
      </c>
      <c r="V245" s="3">
        <f>MAX(intermediate_results[[#This Row], [Team1 laps '[laps']]:[Team9 laps '[laps']]]) - intermediate_results[[#This Row], [Team3 laps '[laps']]]</f>
        <v>0</v>
      </c>
      <c r="W245" s="3">
        <f>MAX(intermediate_results[[#This Row], [Team1 laps '[laps']]:[Team9 laps '[laps']]]) - intermediate_results[[#This Row], [Team4 laps '[laps']]]</f>
        <v>0</v>
      </c>
      <c r="X245" s="3">
        <f>MAX(intermediate_results[[#This Row], [Team1 laps '[laps']]:[Team9 laps '[laps']]]) - intermediate_results[[#This Row], [Team5 laps '[laps']]]</f>
        <v>0</v>
      </c>
      <c r="Y245" s="3">
        <f>MAX(intermediate_results[[#This Row], [Team1 laps '[laps']]:[Team9 laps '[laps']]]) - intermediate_results[[#This Row], [Team6 laps '[laps']]]</f>
        <v>0</v>
      </c>
      <c r="Z245" s="3">
        <f>MAX(intermediate_results[[#This Row], [Team1 laps '[laps']]:[Team9 laps '[laps']]]) - intermediate_results[[#This Row], [Team7 laps '[laps']]]</f>
        <v>0</v>
      </c>
      <c r="AA245" s="3">
        <f>MAX(intermediate_results[[#This Row], [Team1 laps '[laps']]:[Team9 laps '[laps']]]) - intermediate_results[[#This Row], [Team8 laps '[laps']]]</f>
        <v>0</v>
      </c>
      <c r="AB245" s="3">
        <f>MAX(intermediate_results[[#This Row], [Team1 laps '[laps']]:[Team9 laps '[laps']]]) - intermediate_results[[#This Row], [Team9 laps '[laps']]]</f>
        <v>0</v>
      </c>
      <c r="AC245" s="3">
        <f>9 * intermediate_results[[#This Row], [All cumulative times '[sec']]] / SUM(intermediate_results[[#This Row], [Team1 laps '[laps']]:[Team9 laps '[laps']]])</f>
        <v>0</v>
      </c>
      <c r="AD245" s="3">
        <f>intermediate_results[[#This Row], [All cumulative times '[sec']]] / intermediate_results[[#This Row], [Team1 laps '[laps']]] - intermediate_results[[#This Row], [Total running average '[sec']]]</f>
        <v>0</v>
      </c>
      <c r="AE245" s="3">
        <f>intermediate_results[[#This Row], [All cumulative times '[sec']]] / intermediate_results[[#This Row], [Team2 laps '[laps']]] - intermediate_results[[#This Row], [Total running average '[sec']]]</f>
        <v>0</v>
      </c>
      <c r="AF245" s="3">
        <f>intermediate_results[[#This Row], [All cumulative times '[sec']]] / intermediate_results[[#This Row], [Team3 laps '[laps']]] - intermediate_results[[#This Row], [Total running average '[sec']]]</f>
        <v>0</v>
      </c>
      <c r="AG245" s="3">
        <f>intermediate_results[[#This Row], [All cumulative times '[sec']]] / intermediate_results[[#This Row], [Team4 laps '[laps']]] - intermediate_results[[#This Row], [Total running average '[sec']]]</f>
        <v>0</v>
      </c>
      <c r="AH245" s="3">
        <f>intermediate_results[[#This Row], [All cumulative times '[sec']]] / intermediate_results[[#This Row], [Team5 laps '[laps']]] - intermediate_results[[#This Row], [Total running average '[sec']]]</f>
        <v>0</v>
      </c>
      <c r="AI245" s="3">
        <f>intermediate_results[[#This Row], [All cumulative times '[sec']]] / intermediate_results[[#This Row], [Team6 laps '[laps']]] - intermediate_results[[#This Row], [Total running average '[sec']]]</f>
        <v>0</v>
      </c>
      <c r="AJ245" s="3">
        <f>intermediate_results[[#This Row], [All cumulative times '[sec']]] / intermediate_results[[#This Row], [Team7 laps '[laps']]] - intermediate_results[[#This Row], [Total running average '[sec']]]</f>
        <v>0</v>
      </c>
      <c r="AK245" s="3">
        <f>intermediate_results[[#This Row], [All cumulative times '[sec']]] / intermediate_results[[#This Row], [Team8 laps '[laps']]] - intermediate_results[[#This Row], [Total running average '[sec']]]</f>
        <v>0</v>
      </c>
      <c r="AL245" s="3">
        <f>intermediate_results[[#This Row], [All cumulative times '[sec']]] / intermediate_results[[#This Row], [Team9 laps '[laps']]] - intermediate_results[[#This Row], [Total running average '[sec']]]</f>
        <v>0</v>
      </c>
    </row>
    <row r="246" spans="1:38">
      <c r="A246" s="3">
        <v>1521.09</v>
      </c>
      <c r="B24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6" s="3">
        <f>intermediate_results[[#This Row], [Team1 laps '[laps']]] - intermediate_results[[#This Row], [Team1 laps '[laps']]]</f>
        <v>0</v>
      </c>
      <c r="L246" s="3">
        <f>intermediate_results[[#This Row], [Team1 laps '[laps']]] - intermediate_results[[#This Row], [Team2 laps '[laps']]]</f>
        <v>0</v>
      </c>
      <c r="M246" s="3">
        <f>intermediate_results[[#This Row], [Team1 laps '[laps']]] - intermediate_results[[#This Row], [Team3 laps '[laps']]]</f>
        <v>0</v>
      </c>
      <c r="N246" s="3">
        <f>intermediate_results[[#This Row], [Team1 laps '[laps']]] - intermediate_results[[#This Row], [Team4 laps '[laps']]]</f>
        <v>0</v>
      </c>
      <c r="O246" s="3">
        <f>intermediate_results[[#This Row], [Team1 laps '[laps']]] - intermediate_results[[#This Row], [Team5 laps '[laps']]]</f>
        <v>0</v>
      </c>
      <c r="P246" s="3">
        <f>intermediate_results[[#This Row], [Team1 laps '[laps']]] - intermediate_results[[#This Row], [Team6 laps '[laps']]]</f>
        <v>0</v>
      </c>
      <c r="Q246" s="3">
        <f>intermediate_results[[#This Row], [Team1 laps '[laps']]] - intermediate_results[[#This Row], [Team7 laps '[laps']]]</f>
        <v>0</v>
      </c>
      <c r="R246" s="3">
        <f>intermediate_results[[#This Row], [Team1 laps '[laps']]] - intermediate_results[[#This Row], [Team8 laps '[laps']]]</f>
        <v>0</v>
      </c>
      <c r="S246" s="3">
        <f>intermediate_results[[#This Row], [Team1 laps '[laps']]] - intermediate_results[[#This Row], [Team9 laps '[laps']]]</f>
        <v>0</v>
      </c>
      <c r="T246" s="3">
        <f>MAX(intermediate_results[[#This Row], [Team1 laps '[laps']]:[Team9 laps '[laps']]]) - intermediate_results[[#This Row], [Team1 laps '[laps']]]</f>
        <v>0</v>
      </c>
      <c r="U246" s="3">
        <f>MAX(intermediate_results[[#This Row], [Team1 laps '[laps']]:[Team9 laps '[laps']]]) - intermediate_results[[#This Row], [Team2 laps '[laps']]]</f>
        <v>0</v>
      </c>
      <c r="V246" s="3">
        <f>MAX(intermediate_results[[#This Row], [Team1 laps '[laps']]:[Team9 laps '[laps']]]) - intermediate_results[[#This Row], [Team3 laps '[laps']]]</f>
        <v>0</v>
      </c>
      <c r="W246" s="3">
        <f>MAX(intermediate_results[[#This Row], [Team1 laps '[laps']]:[Team9 laps '[laps']]]) - intermediate_results[[#This Row], [Team4 laps '[laps']]]</f>
        <v>0</v>
      </c>
      <c r="X246" s="3">
        <f>MAX(intermediate_results[[#This Row], [Team1 laps '[laps']]:[Team9 laps '[laps']]]) - intermediate_results[[#This Row], [Team5 laps '[laps']]]</f>
        <v>0</v>
      </c>
      <c r="Y246" s="3">
        <f>MAX(intermediate_results[[#This Row], [Team1 laps '[laps']]:[Team9 laps '[laps']]]) - intermediate_results[[#This Row], [Team6 laps '[laps']]]</f>
        <v>0</v>
      </c>
      <c r="Z246" s="3">
        <f>MAX(intermediate_results[[#This Row], [Team1 laps '[laps']]:[Team9 laps '[laps']]]) - intermediate_results[[#This Row], [Team7 laps '[laps']]]</f>
        <v>0</v>
      </c>
      <c r="AA246" s="3">
        <f>MAX(intermediate_results[[#This Row], [Team1 laps '[laps']]:[Team9 laps '[laps']]]) - intermediate_results[[#This Row], [Team8 laps '[laps']]]</f>
        <v>0</v>
      </c>
      <c r="AB246" s="3">
        <f>MAX(intermediate_results[[#This Row], [Team1 laps '[laps']]:[Team9 laps '[laps']]]) - intermediate_results[[#This Row], [Team9 laps '[laps']]]</f>
        <v>0</v>
      </c>
      <c r="AC246" s="3">
        <f>9 * intermediate_results[[#This Row], [All cumulative times '[sec']]] / SUM(intermediate_results[[#This Row], [Team1 laps '[laps']]:[Team9 laps '[laps']]])</f>
        <v>0</v>
      </c>
      <c r="AD246" s="3">
        <f>intermediate_results[[#This Row], [All cumulative times '[sec']]] / intermediate_results[[#This Row], [Team1 laps '[laps']]] - intermediate_results[[#This Row], [Total running average '[sec']]]</f>
        <v>0</v>
      </c>
      <c r="AE246" s="3">
        <f>intermediate_results[[#This Row], [All cumulative times '[sec']]] / intermediate_results[[#This Row], [Team2 laps '[laps']]] - intermediate_results[[#This Row], [Total running average '[sec']]]</f>
        <v>0</v>
      </c>
      <c r="AF246" s="3">
        <f>intermediate_results[[#This Row], [All cumulative times '[sec']]] / intermediate_results[[#This Row], [Team3 laps '[laps']]] - intermediate_results[[#This Row], [Total running average '[sec']]]</f>
        <v>0</v>
      </c>
      <c r="AG246" s="3">
        <f>intermediate_results[[#This Row], [All cumulative times '[sec']]] / intermediate_results[[#This Row], [Team4 laps '[laps']]] - intermediate_results[[#This Row], [Total running average '[sec']]]</f>
        <v>0</v>
      </c>
      <c r="AH246" s="3">
        <f>intermediate_results[[#This Row], [All cumulative times '[sec']]] / intermediate_results[[#This Row], [Team5 laps '[laps']]] - intermediate_results[[#This Row], [Total running average '[sec']]]</f>
        <v>0</v>
      </c>
      <c r="AI246" s="3">
        <f>intermediate_results[[#This Row], [All cumulative times '[sec']]] / intermediate_results[[#This Row], [Team6 laps '[laps']]] - intermediate_results[[#This Row], [Total running average '[sec']]]</f>
        <v>0</v>
      </c>
      <c r="AJ246" s="3">
        <f>intermediate_results[[#This Row], [All cumulative times '[sec']]] / intermediate_results[[#This Row], [Team7 laps '[laps']]] - intermediate_results[[#This Row], [Total running average '[sec']]]</f>
        <v>0</v>
      </c>
      <c r="AK246" s="3">
        <f>intermediate_results[[#This Row], [All cumulative times '[sec']]] / intermediate_results[[#This Row], [Team8 laps '[laps']]] - intermediate_results[[#This Row], [Total running average '[sec']]]</f>
        <v>0</v>
      </c>
      <c r="AL246" s="3">
        <f>intermediate_results[[#This Row], [All cumulative times '[sec']]] / intermediate_results[[#This Row], [Team9 laps '[laps']]] - intermediate_results[[#This Row], [Total running average '[sec']]]</f>
        <v>0</v>
      </c>
    </row>
    <row r="247" spans="1:38">
      <c r="A247" s="3">
        <v>1525.594</v>
      </c>
      <c r="B24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7" s="3">
        <f>intermediate_results[[#This Row], [Team1 laps '[laps']]] - intermediate_results[[#This Row], [Team1 laps '[laps']]]</f>
        <v>0</v>
      </c>
      <c r="L247" s="3">
        <f>intermediate_results[[#This Row], [Team1 laps '[laps']]] - intermediate_results[[#This Row], [Team2 laps '[laps']]]</f>
        <v>0</v>
      </c>
      <c r="M247" s="3">
        <f>intermediate_results[[#This Row], [Team1 laps '[laps']]] - intermediate_results[[#This Row], [Team3 laps '[laps']]]</f>
        <v>0</v>
      </c>
      <c r="N247" s="3">
        <f>intermediate_results[[#This Row], [Team1 laps '[laps']]] - intermediate_results[[#This Row], [Team4 laps '[laps']]]</f>
        <v>0</v>
      </c>
      <c r="O247" s="3">
        <f>intermediate_results[[#This Row], [Team1 laps '[laps']]] - intermediate_results[[#This Row], [Team5 laps '[laps']]]</f>
        <v>0</v>
      </c>
      <c r="P247" s="3">
        <f>intermediate_results[[#This Row], [Team1 laps '[laps']]] - intermediate_results[[#This Row], [Team6 laps '[laps']]]</f>
        <v>0</v>
      </c>
      <c r="Q247" s="3">
        <f>intermediate_results[[#This Row], [Team1 laps '[laps']]] - intermediate_results[[#This Row], [Team7 laps '[laps']]]</f>
        <v>0</v>
      </c>
      <c r="R247" s="3">
        <f>intermediate_results[[#This Row], [Team1 laps '[laps']]] - intermediate_results[[#This Row], [Team8 laps '[laps']]]</f>
        <v>0</v>
      </c>
      <c r="S247" s="3">
        <f>intermediate_results[[#This Row], [Team1 laps '[laps']]] - intermediate_results[[#This Row], [Team9 laps '[laps']]]</f>
        <v>0</v>
      </c>
      <c r="T247" s="3">
        <f>MAX(intermediate_results[[#This Row], [Team1 laps '[laps']]:[Team9 laps '[laps']]]) - intermediate_results[[#This Row], [Team1 laps '[laps']]]</f>
        <v>0</v>
      </c>
      <c r="U247" s="3">
        <f>MAX(intermediate_results[[#This Row], [Team1 laps '[laps']]:[Team9 laps '[laps']]]) - intermediate_results[[#This Row], [Team2 laps '[laps']]]</f>
        <v>0</v>
      </c>
      <c r="V247" s="3">
        <f>MAX(intermediate_results[[#This Row], [Team1 laps '[laps']]:[Team9 laps '[laps']]]) - intermediate_results[[#This Row], [Team3 laps '[laps']]]</f>
        <v>0</v>
      </c>
      <c r="W247" s="3">
        <f>MAX(intermediate_results[[#This Row], [Team1 laps '[laps']]:[Team9 laps '[laps']]]) - intermediate_results[[#This Row], [Team4 laps '[laps']]]</f>
        <v>0</v>
      </c>
      <c r="X247" s="3">
        <f>MAX(intermediate_results[[#This Row], [Team1 laps '[laps']]:[Team9 laps '[laps']]]) - intermediate_results[[#This Row], [Team5 laps '[laps']]]</f>
        <v>0</v>
      </c>
      <c r="Y247" s="3">
        <f>MAX(intermediate_results[[#This Row], [Team1 laps '[laps']]:[Team9 laps '[laps']]]) - intermediate_results[[#This Row], [Team6 laps '[laps']]]</f>
        <v>0</v>
      </c>
      <c r="Z247" s="3">
        <f>MAX(intermediate_results[[#This Row], [Team1 laps '[laps']]:[Team9 laps '[laps']]]) - intermediate_results[[#This Row], [Team7 laps '[laps']]]</f>
        <v>0</v>
      </c>
      <c r="AA247" s="3">
        <f>MAX(intermediate_results[[#This Row], [Team1 laps '[laps']]:[Team9 laps '[laps']]]) - intermediate_results[[#This Row], [Team8 laps '[laps']]]</f>
        <v>0</v>
      </c>
      <c r="AB247" s="3">
        <f>MAX(intermediate_results[[#This Row], [Team1 laps '[laps']]:[Team9 laps '[laps']]]) - intermediate_results[[#This Row], [Team9 laps '[laps']]]</f>
        <v>0</v>
      </c>
      <c r="AC247" s="3">
        <f>9 * intermediate_results[[#This Row], [All cumulative times '[sec']]] / SUM(intermediate_results[[#This Row], [Team1 laps '[laps']]:[Team9 laps '[laps']]])</f>
        <v>0</v>
      </c>
      <c r="AD247" s="3">
        <f>intermediate_results[[#This Row], [All cumulative times '[sec']]] / intermediate_results[[#This Row], [Team1 laps '[laps']]] - intermediate_results[[#This Row], [Total running average '[sec']]]</f>
        <v>0</v>
      </c>
      <c r="AE247" s="3">
        <f>intermediate_results[[#This Row], [All cumulative times '[sec']]] / intermediate_results[[#This Row], [Team2 laps '[laps']]] - intermediate_results[[#This Row], [Total running average '[sec']]]</f>
        <v>0</v>
      </c>
      <c r="AF247" s="3">
        <f>intermediate_results[[#This Row], [All cumulative times '[sec']]] / intermediate_results[[#This Row], [Team3 laps '[laps']]] - intermediate_results[[#This Row], [Total running average '[sec']]]</f>
        <v>0</v>
      </c>
      <c r="AG247" s="3">
        <f>intermediate_results[[#This Row], [All cumulative times '[sec']]] / intermediate_results[[#This Row], [Team4 laps '[laps']]] - intermediate_results[[#This Row], [Total running average '[sec']]]</f>
        <v>0</v>
      </c>
      <c r="AH247" s="3">
        <f>intermediate_results[[#This Row], [All cumulative times '[sec']]] / intermediate_results[[#This Row], [Team5 laps '[laps']]] - intermediate_results[[#This Row], [Total running average '[sec']]]</f>
        <v>0</v>
      </c>
      <c r="AI247" s="3">
        <f>intermediate_results[[#This Row], [All cumulative times '[sec']]] / intermediate_results[[#This Row], [Team6 laps '[laps']]] - intermediate_results[[#This Row], [Total running average '[sec']]]</f>
        <v>0</v>
      </c>
      <c r="AJ247" s="3">
        <f>intermediate_results[[#This Row], [All cumulative times '[sec']]] / intermediate_results[[#This Row], [Team7 laps '[laps']]] - intermediate_results[[#This Row], [Total running average '[sec']]]</f>
        <v>0</v>
      </c>
      <c r="AK247" s="3">
        <f>intermediate_results[[#This Row], [All cumulative times '[sec']]] / intermediate_results[[#This Row], [Team8 laps '[laps']]] - intermediate_results[[#This Row], [Total running average '[sec']]]</f>
        <v>0</v>
      </c>
      <c r="AL247" s="3">
        <f>intermediate_results[[#This Row], [All cumulative times '[sec']]] / intermediate_results[[#This Row], [Team9 laps '[laps']]] - intermediate_results[[#This Row], [Total running average '[sec']]]</f>
        <v>0</v>
      </c>
    </row>
    <row r="248" spans="1:38">
      <c r="A248" s="3">
        <v>1527.826</v>
      </c>
      <c r="B24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8" s="3">
        <f>intermediate_results[[#This Row], [Team1 laps '[laps']]] - intermediate_results[[#This Row], [Team1 laps '[laps']]]</f>
        <v>0</v>
      </c>
      <c r="L248" s="3">
        <f>intermediate_results[[#This Row], [Team1 laps '[laps']]] - intermediate_results[[#This Row], [Team2 laps '[laps']]]</f>
        <v>0</v>
      </c>
      <c r="M248" s="3">
        <f>intermediate_results[[#This Row], [Team1 laps '[laps']]] - intermediate_results[[#This Row], [Team3 laps '[laps']]]</f>
        <v>0</v>
      </c>
      <c r="N248" s="3">
        <f>intermediate_results[[#This Row], [Team1 laps '[laps']]] - intermediate_results[[#This Row], [Team4 laps '[laps']]]</f>
        <v>0</v>
      </c>
      <c r="O248" s="3">
        <f>intermediate_results[[#This Row], [Team1 laps '[laps']]] - intermediate_results[[#This Row], [Team5 laps '[laps']]]</f>
        <v>0</v>
      </c>
      <c r="P248" s="3">
        <f>intermediate_results[[#This Row], [Team1 laps '[laps']]] - intermediate_results[[#This Row], [Team6 laps '[laps']]]</f>
        <v>0</v>
      </c>
      <c r="Q248" s="3">
        <f>intermediate_results[[#This Row], [Team1 laps '[laps']]] - intermediate_results[[#This Row], [Team7 laps '[laps']]]</f>
        <v>0</v>
      </c>
      <c r="R248" s="3">
        <f>intermediate_results[[#This Row], [Team1 laps '[laps']]] - intermediate_results[[#This Row], [Team8 laps '[laps']]]</f>
        <v>0</v>
      </c>
      <c r="S248" s="3">
        <f>intermediate_results[[#This Row], [Team1 laps '[laps']]] - intermediate_results[[#This Row], [Team9 laps '[laps']]]</f>
        <v>0</v>
      </c>
      <c r="T248" s="3">
        <f>MAX(intermediate_results[[#This Row], [Team1 laps '[laps']]:[Team9 laps '[laps']]]) - intermediate_results[[#This Row], [Team1 laps '[laps']]]</f>
        <v>0</v>
      </c>
      <c r="U248" s="3">
        <f>MAX(intermediate_results[[#This Row], [Team1 laps '[laps']]:[Team9 laps '[laps']]]) - intermediate_results[[#This Row], [Team2 laps '[laps']]]</f>
        <v>0</v>
      </c>
      <c r="V248" s="3">
        <f>MAX(intermediate_results[[#This Row], [Team1 laps '[laps']]:[Team9 laps '[laps']]]) - intermediate_results[[#This Row], [Team3 laps '[laps']]]</f>
        <v>0</v>
      </c>
      <c r="W248" s="3">
        <f>MAX(intermediate_results[[#This Row], [Team1 laps '[laps']]:[Team9 laps '[laps']]]) - intermediate_results[[#This Row], [Team4 laps '[laps']]]</f>
        <v>0</v>
      </c>
      <c r="X248" s="3">
        <f>MAX(intermediate_results[[#This Row], [Team1 laps '[laps']]:[Team9 laps '[laps']]]) - intermediate_results[[#This Row], [Team5 laps '[laps']]]</f>
        <v>0</v>
      </c>
      <c r="Y248" s="3">
        <f>MAX(intermediate_results[[#This Row], [Team1 laps '[laps']]:[Team9 laps '[laps']]]) - intermediate_results[[#This Row], [Team6 laps '[laps']]]</f>
        <v>0</v>
      </c>
      <c r="Z248" s="3">
        <f>MAX(intermediate_results[[#This Row], [Team1 laps '[laps']]:[Team9 laps '[laps']]]) - intermediate_results[[#This Row], [Team7 laps '[laps']]]</f>
        <v>0</v>
      </c>
      <c r="AA248" s="3">
        <f>MAX(intermediate_results[[#This Row], [Team1 laps '[laps']]:[Team9 laps '[laps']]]) - intermediate_results[[#This Row], [Team8 laps '[laps']]]</f>
        <v>0</v>
      </c>
      <c r="AB248" s="3">
        <f>MAX(intermediate_results[[#This Row], [Team1 laps '[laps']]:[Team9 laps '[laps']]]) - intermediate_results[[#This Row], [Team9 laps '[laps']]]</f>
        <v>0</v>
      </c>
      <c r="AC248" s="3">
        <f>9 * intermediate_results[[#This Row], [All cumulative times '[sec']]] / SUM(intermediate_results[[#This Row], [Team1 laps '[laps']]:[Team9 laps '[laps']]])</f>
        <v>0</v>
      </c>
      <c r="AD248" s="3">
        <f>intermediate_results[[#This Row], [All cumulative times '[sec']]] / intermediate_results[[#This Row], [Team1 laps '[laps']]] - intermediate_results[[#This Row], [Total running average '[sec']]]</f>
        <v>0</v>
      </c>
      <c r="AE248" s="3">
        <f>intermediate_results[[#This Row], [All cumulative times '[sec']]] / intermediate_results[[#This Row], [Team2 laps '[laps']]] - intermediate_results[[#This Row], [Total running average '[sec']]]</f>
        <v>0</v>
      </c>
      <c r="AF248" s="3">
        <f>intermediate_results[[#This Row], [All cumulative times '[sec']]] / intermediate_results[[#This Row], [Team3 laps '[laps']]] - intermediate_results[[#This Row], [Total running average '[sec']]]</f>
        <v>0</v>
      </c>
      <c r="AG248" s="3">
        <f>intermediate_results[[#This Row], [All cumulative times '[sec']]] / intermediate_results[[#This Row], [Team4 laps '[laps']]] - intermediate_results[[#This Row], [Total running average '[sec']]]</f>
        <v>0</v>
      </c>
      <c r="AH248" s="3">
        <f>intermediate_results[[#This Row], [All cumulative times '[sec']]] / intermediate_results[[#This Row], [Team5 laps '[laps']]] - intermediate_results[[#This Row], [Total running average '[sec']]]</f>
        <v>0</v>
      </c>
      <c r="AI248" s="3">
        <f>intermediate_results[[#This Row], [All cumulative times '[sec']]] / intermediate_results[[#This Row], [Team6 laps '[laps']]] - intermediate_results[[#This Row], [Total running average '[sec']]]</f>
        <v>0</v>
      </c>
      <c r="AJ248" s="3">
        <f>intermediate_results[[#This Row], [All cumulative times '[sec']]] / intermediate_results[[#This Row], [Team7 laps '[laps']]] - intermediate_results[[#This Row], [Total running average '[sec']]]</f>
        <v>0</v>
      </c>
      <c r="AK248" s="3">
        <f>intermediate_results[[#This Row], [All cumulative times '[sec']]] / intermediate_results[[#This Row], [Team8 laps '[laps']]] - intermediate_results[[#This Row], [Total running average '[sec']]]</f>
        <v>0</v>
      </c>
      <c r="AL248" s="3">
        <f>intermediate_results[[#This Row], [All cumulative times '[sec']]] / intermediate_results[[#This Row], [Team9 laps '[laps']]] - intermediate_results[[#This Row], [Total running average '[sec']]]</f>
        <v>0</v>
      </c>
    </row>
    <row r="249" spans="1:38">
      <c r="A249" s="3">
        <v>1529.785</v>
      </c>
      <c r="B24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4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4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4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4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4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4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4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4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49" s="3">
        <f>intermediate_results[[#This Row], [Team1 laps '[laps']]] - intermediate_results[[#This Row], [Team1 laps '[laps']]]</f>
        <v>0</v>
      </c>
      <c r="L249" s="3">
        <f>intermediate_results[[#This Row], [Team1 laps '[laps']]] - intermediate_results[[#This Row], [Team2 laps '[laps']]]</f>
        <v>0</v>
      </c>
      <c r="M249" s="3">
        <f>intermediate_results[[#This Row], [Team1 laps '[laps']]] - intermediate_results[[#This Row], [Team3 laps '[laps']]]</f>
        <v>0</v>
      </c>
      <c r="N249" s="3">
        <f>intermediate_results[[#This Row], [Team1 laps '[laps']]] - intermediate_results[[#This Row], [Team4 laps '[laps']]]</f>
        <v>0</v>
      </c>
      <c r="O249" s="3">
        <f>intermediate_results[[#This Row], [Team1 laps '[laps']]] - intermediate_results[[#This Row], [Team5 laps '[laps']]]</f>
        <v>0</v>
      </c>
      <c r="P249" s="3">
        <f>intermediate_results[[#This Row], [Team1 laps '[laps']]] - intermediate_results[[#This Row], [Team6 laps '[laps']]]</f>
        <v>0</v>
      </c>
      <c r="Q249" s="3">
        <f>intermediate_results[[#This Row], [Team1 laps '[laps']]] - intermediate_results[[#This Row], [Team7 laps '[laps']]]</f>
        <v>0</v>
      </c>
      <c r="R249" s="3">
        <f>intermediate_results[[#This Row], [Team1 laps '[laps']]] - intermediate_results[[#This Row], [Team8 laps '[laps']]]</f>
        <v>0</v>
      </c>
      <c r="S249" s="3">
        <f>intermediate_results[[#This Row], [Team1 laps '[laps']]] - intermediate_results[[#This Row], [Team9 laps '[laps']]]</f>
        <v>0</v>
      </c>
      <c r="T249" s="3">
        <f>MAX(intermediate_results[[#This Row], [Team1 laps '[laps']]:[Team9 laps '[laps']]]) - intermediate_results[[#This Row], [Team1 laps '[laps']]]</f>
        <v>0</v>
      </c>
      <c r="U249" s="3">
        <f>MAX(intermediate_results[[#This Row], [Team1 laps '[laps']]:[Team9 laps '[laps']]]) - intermediate_results[[#This Row], [Team2 laps '[laps']]]</f>
        <v>0</v>
      </c>
      <c r="V249" s="3">
        <f>MAX(intermediate_results[[#This Row], [Team1 laps '[laps']]:[Team9 laps '[laps']]]) - intermediate_results[[#This Row], [Team3 laps '[laps']]]</f>
        <v>0</v>
      </c>
      <c r="W249" s="3">
        <f>MAX(intermediate_results[[#This Row], [Team1 laps '[laps']]:[Team9 laps '[laps']]]) - intermediate_results[[#This Row], [Team4 laps '[laps']]]</f>
        <v>0</v>
      </c>
      <c r="X249" s="3">
        <f>MAX(intermediate_results[[#This Row], [Team1 laps '[laps']]:[Team9 laps '[laps']]]) - intermediate_results[[#This Row], [Team5 laps '[laps']]]</f>
        <v>0</v>
      </c>
      <c r="Y249" s="3">
        <f>MAX(intermediate_results[[#This Row], [Team1 laps '[laps']]:[Team9 laps '[laps']]]) - intermediate_results[[#This Row], [Team6 laps '[laps']]]</f>
        <v>0</v>
      </c>
      <c r="Z249" s="3">
        <f>MAX(intermediate_results[[#This Row], [Team1 laps '[laps']]:[Team9 laps '[laps']]]) - intermediate_results[[#This Row], [Team7 laps '[laps']]]</f>
        <v>0</v>
      </c>
      <c r="AA249" s="3">
        <f>MAX(intermediate_results[[#This Row], [Team1 laps '[laps']]:[Team9 laps '[laps']]]) - intermediate_results[[#This Row], [Team8 laps '[laps']]]</f>
        <v>0</v>
      </c>
      <c r="AB249" s="3">
        <f>MAX(intermediate_results[[#This Row], [Team1 laps '[laps']]:[Team9 laps '[laps']]]) - intermediate_results[[#This Row], [Team9 laps '[laps']]]</f>
        <v>0</v>
      </c>
      <c r="AC249" s="3">
        <f>9 * intermediate_results[[#This Row], [All cumulative times '[sec']]] / SUM(intermediate_results[[#This Row], [Team1 laps '[laps']]:[Team9 laps '[laps']]])</f>
        <v>0</v>
      </c>
      <c r="AD249" s="3">
        <f>intermediate_results[[#This Row], [All cumulative times '[sec']]] / intermediate_results[[#This Row], [Team1 laps '[laps']]] - intermediate_results[[#This Row], [Total running average '[sec']]]</f>
        <v>0</v>
      </c>
      <c r="AE249" s="3">
        <f>intermediate_results[[#This Row], [All cumulative times '[sec']]] / intermediate_results[[#This Row], [Team2 laps '[laps']]] - intermediate_results[[#This Row], [Total running average '[sec']]]</f>
        <v>0</v>
      </c>
      <c r="AF249" s="3">
        <f>intermediate_results[[#This Row], [All cumulative times '[sec']]] / intermediate_results[[#This Row], [Team3 laps '[laps']]] - intermediate_results[[#This Row], [Total running average '[sec']]]</f>
        <v>0</v>
      </c>
      <c r="AG249" s="3">
        <f>intermediate_results[[#This Row], [All cumulative times '[sec']]] / intermediate_results[[#This Row], [Team4 laps '[laps']]] - intermediate_results[[#This Row], [Total running average '[sec']]]</f>
        <v>0</v>
      </c>
      <c r="AH249" s="3">
        <f>intermediate_results[[#This Row], [All cumulative times '[sec']]] / intermediate_results[[#This Row], [Team5 laps '[laps']]] - intermediate_results[[#This Row], [Total running average '[sec']]]</f>
        <v>0</v>
      </c>
      <c r="AI249" s="3">
        <f>intermediate_results[[#This Row], [All cumulative times '[sec']]] / intermediate_results[[#This Row], [Team6 laps '[laps']]] - intermediate_results[[#This Row], [Total running average '[sec']]]</f>
        <v>0</v>
      </c>
      <c r="AJ249" s="3">
        <f>intermediate_results[[#This Row], [All cumulative times '[sec']]] / intermediate_results[[#This Row], [Team7 laps '[laps']]] - intermediate_results[[#This Row], [Total running average '[sec']]]</f>
        <v>0</v>
      </c>
      <c r="AK249" s="3">
        <f>intermediate_results[[#This Row], [All cumulative times '[sec']]] / intermediate_results[[#This Row], [Team8 laps '[laps']]] - intermediate_results[[#This Row], [Total running average '[sec']]]</f>
        <v>0</v>
      </c>
      <c r="AL249" s="3">
        <f>intermediate_results[[#This Row], [All cumulative times '[sec']]] / intermediate_results[[#This Row], [Team9 laps '[laps']]] - intermediate_results[[#This Row], [Total running average '[sec']]]</f>
        <v>0</v>
      </c>
    </row>
    <row r="250" spans="1:38">
      <c r="A250" s="3">
        <v>1535.702</v>
      </c>
      <c r="B25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0" s="3">
        <f>intermediate_results[[#This Row], [Team1 laps '[laps']]] - intermediate_results[[#This Row], [Team1 laps '[laps']]]</f>
        <v>0</v>
      </c>
      <c r="L250" s="3">
        <f>intermediate_results[[#This Row], [Team1 laps '[laps']]] - intermediate_results[[#This Row], [Team2 laps '[laps']]]</f>
        <v>0</v>
      </c>
      <c r="M250" s="3">
        <f>intermediate_results[[#This Row], [Team1 laps '[laps']]] - intermediate_results[[#This Row], [Team3 laps '[laps']]]</f>
        <v>0</v>
      </c>
      <c r="N250" s="3">
        <f>intermediate_results[[#This Row], [Team1 laps '[laps']]] - intermediate_results[[#This Row], [Team4 laps '[laps']]]</f>
        <v>0</v>
      </c>
      <c r="O250" s="3">
        <f>intermediate_results[[#This Row], [Team1 laps '[laps']]] - intermediate_results[[#This Row], [Team5 laps '[laps']]]</f>
        <v>0</v>
      </c>
      <c r="P250" s="3">
        <f>intermediate_results[[#This Row], [Team1 laps '[laps']]] - intermediate_results[[#This Row], [Team6 laps '[laps']]]</f>
        <v>0</v>
      </c>
      <c r="Q250" s="3">
        <f>intermediate_results[[#This Row], [Team1 laps '[laps']]] - intermediate_results[[#This Row], [Team7 laps '[laps']]]</f>
        <v>0</v>
      </c>
      <c r="R250" s="3">
        <f>intermediate_results[[#This Row], [Team1 laps '[laps']]] - intermediate_results[[#This Row], [Team8 laps '[laps']]]</f>
        <v>0</v>
      </c>
      <c r="S250" s="3">
        <f>intermediate_results[[#This Row], [Team1 laps '[laps']]] - intermediate_results[[#This Row], [Team9 laps '[laps']]]</f>
        <v>0</v>
      </c>
      <c r="T250" s="3">
        <f>MAX(intermediate_results[[#This Row], [Team1 laps '[laps']]:[Team9 laps '[laps']]]) - intermediate_results[[#This Row], [Team1 laps '[laps']]]</f>
        <v>0</v>
      </c>
      <c r="U250" s="3">
        <f>MAX(intermediate_results[[#This Row], [Team1 laps '[laps']]:[Team9 laps '[laps']]]) - intermediate_results[[#This Row], [Team2 laps '[laps']]]</f>
        <v>0</v>
      </c>
      <c r="V250" s="3">
        <f>MAX(intermediate_results[[#This Row], [Team1 laps '[laps']]:[Team9 laps '[laps']]]) - intermediate_results[[#This Row], [Team3 laps '[laps']]]</f>
        <v>0</v>
      </c>
      <c r="W250" s="3">
        <f>MAX(intermediate_results[[#This Row], [Team1 laps '[laps']]:[Team9 laps '[laps']]]) - intermediate_results[[#This Row], [Team4 laps '[laps']]]</f>
        <v>0</v>
      </c>
      <c r="X250" s="3">
        <f>MAX(intermediate_results[[#This Row], [Team1 laps '[laps']]:[Team9 laps '[laps']]]) - intermediate_results[[#This Row], [Team5 laps '[laps']]]</f>
        <v>0</v>
      </c>
      <c r="Y250" s="3">
        <f>MAX(intermediate_results[[#This Row], [Team1 laps '[laps']]:[Team9 laps '[laps']]]) - intermediate_results[[#This Row], [Team6 laps '[laps']]]</f>
        <v>0</v>
      </c>
      <c r="Z250" s="3">
        <f>MAX(intermediate_results[[#This Row], [Team1 laps '[laps']]:[Team9 laps '[laps']]]) - intermediate_results[[#This Row], [Team7 laps '[laps']]]</f>
        <v>0</v>
      </c>
      <c r="AA250" s="3">
        <f>MAX(intermediate_results[[#This Row], [Team1 laps '[laps']]:[Team9 laps '[laps']]]) - intermediate_results[[#This Row], [Team8 laps '[laps']]]</f>
        <v>0</v>
      </c>
      <c r="AB250" s="3">
        <f>MAX(intermediate_results[[#This Row], [Team1 laps '[laps']]:[Team9 laps '[laps']]]) - intermediate_results[[#This Row], [Team9 laps '[laps']]]</f>
        <v>0</v>
      </c>
      <c r="AC250" s="3">
        <f>9 * intermediate_results[[#This Row], [All cumulative times '[sec']]] / SUM(intermediate_results[[#This Row], [Team1 laps '[laps']]:[Team9 laps '[laps']]])</f>
        <v>0</v>
      </c>
      <c r="AD250" s="3">
        <f>intermediate_results[[#This Row], [All cumulative times '[sec']]] / intermediate_results[[#This Row], [Team1 laps '[laps']]] - intermediate_results[[#This Row], [Total running average '[sec']]]</f>
        <v>0</v>
      </c>
      <c r="AE250" s="3">
        <f>intermediate_results[[#This Row], [All cumulative times '[sec']]] / intermediate_results[[#This Row], [Team2 laps '[laps']]] - intermediate_results[[#This Row], [Total running average '[sec']]]</f>
        <v>0</v>
      </c>
      <c r="AF250" s="3">
        <f>intermediate_results[[#This Row], [All cumulative times '[sec']]] / intermediate_results[[#This Row], [Team3 laps '[laps']]] - intermediate_results[[#This Row], [Total running average '[sec']]]</f>
        <v>0</v>
      </c>
      <c r="AG250" s="3">
        <f>intermediate_results[[#This Row], [All cumulative times '[sec']]] / intermediate_results[[#This Row], [Team4 laps '[laps']]] - intermediate_results[[#This Row], [Total running average '[sec']]]</f>
        <v>0</v>
      </c>
      <c r="AH250" s="3">
        <f>intermediate_results[[#This Row], [All cumulative times '[sec']]] / intermediate_results[[#This Row], [Team5 laps '[laps']]] - intermediate_results[[#This Row], [Total running average '[sec']]]</f>
        <v>0</v>
      </c>
      <c r="AI250" s="3">
        <f>intermediate_results[[#This Row], [All cumulative times '[sec']]] / intermediate_results[[#This Row], [Team6 laps '[laps']]] - intermediate_results[[#This Row], [Total running average '[sec']]]</f>
        <v>0</v>
      </c>
      <c r="AJ250" s="3">
        <f>intermediate_results[[#This Row], [All cumulative times '[sec']]] / intermediate_results[[#This Row], [Team7 laps '[laps']]] - intermediate_results[[#This Row], [Total running average '[sec']]]</f>
        <v>0</v>
      </c>
      <c r="AK250" s="3">
        <f>intermediate_results[[#This Row], [All cumulative times '[sec']]] / intermediate_results[[#This Row], [Team8 laps '[laps']]] - intermediate_results[[#This Row], [Total running average '[sec']]]</f>
        <v>0</v>
      </c>
      <c r="AL250" s="3">
        <f>intermediate_results[[#This Row], [All cumulative times '[sec']]] / intermediate_results[[#This Row], [Team9 laps '[laps']]] - intermediate_results[[#This Row], [Total running average '[sec']]]</f>
        <v>0</v>
      </c>
    </row>
    <row r="251" spans="1:38">
      <c r="A251" s="3">
        <v>1539.453</v>
      </c>
      <c r="B25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1" s="3">
        <f>intermediate_results[[#This Row], [Team1 laps '[laps']]] - intermediate_results[[#This Row], [Team1 laps '[laps']]]</f>
        <v>0</v>
      </c>
      <c r="L251" s="3">
        <f>intermediate_results[[#This Row], [Team1 laps '[laps']]] - intermediate_results[[#This Row], [Team2 laps '[laps']]]</f>
        <v>0</v>
      </c>
      <c r="M251" s="3">
        <f>intermediate_results[[#This Row], [Team1 laps '[laps']]] - intermediate_results[[#This Row], [Team3 laps '[laps']]]</f>
        <v>0</v>
      </c>
      <c r="N251" s="3">
        <f>intermediate_results[[#This Row], [Team1 laps '[laps']]] - intermediate_results[[#This Row], [Team4 laps '[laps']]]</f>
        <v>0</v>
      </c>
      <c r="O251" s="3">
        <f>intermediate_results[[#This Row], [Team1 laps '[laps']]] - intermediate_results[[#This Row], [Team5 laps '[laps']]]</f>
        <v>0</v>
      </c>
      <c r="P251" s="3">
        <f>intermediate_results[[#This Row], [Team1 laps '[laps']]] - intermediate_results[[#This Row], [Team6 laps '[laps']]]</f>
        <v>0</v>
      </c>
      <c r="Q251" s="3">
        <f>intermediate_results[[#This Row], [Team1 laps '[laps']]] - intermediate_results[[#This Row], [Team7 laps '[laps']]]</f>
        <v>0</v>
      </c>
      <c r="R251" s="3">
        <f>intermediate_results[[#This Row], [Team1 laps '[laps']]] - intermediate_results[[#This Row], [Team8 laps '[laps']]]</f>
        <v>0</v>
      </c>
      <c r="S251" s="3">
        <f>intermediate_results[[#This Row], [Team1 laps '[laps']]] - intermediate_results[[#This Row], [Team9 laps '[laps']]]</f>
        <v>0</v>
      </c>
      <c r="T251" s="3">
        <f>MAX(intermediate_results[[#This Row], [Team1 laps '[laps']]:[Team9 laps '[laps']]]) - intermediate_results[[#This Row], [Team1 laps '[laps']]]</f>
        <v>0</v>
      </c>
      <c r="U251" s="3">
        <f>MAX(intermediate_results[[#This Row], [Team1 laps '[laps']]:[Team9 laps '[laps']]]) - intermediate_results[[#This Row], [Team2 laps '[laps']]]</f>
        <v>0</v>
      </c>
      <c r="V251" s="3">
        <f>MAX(intermediate_results[[#This Row], [Team1 laps '[laps']]:[Team9 laps '[laps']]]) - intermediate_results[[#This Row], [Team3 laps '[laps']]]</f>
        <v>0</v>
      </c>
      <c r="W251" s="3">
        <f>MAX(intermediate_results[[#This Row], [Team1 laps '[laps']]:[Team9 laps '[laps']]]) - intermediate_results[[#This Row], [Team4 laps '[laps']]]</f>
        <v>0</v>
      </c>
      <c r="X251" s="3">
        <f>MAX(intermediate_results[[#This Row], [Team1 laps '[laps']]:[Team9 laps '[laps']]]) - intermediate_results[[#This Row], [Team5 laps '[laps']]]</f>
        <v>0</v>
      </c>
      <c r="Y251" s="3">
        <f>MAX(intermediate_results[[#This Row], [Team1 laps '[laps']]:[Team9 laps '[laps']]]) - intermediate_results[[#This Row], [Team6 laps '[laps']]]</f>
        <v>0</v>
      </c>
      <c r="Z251" s="3">
        <f>MAX(intermediate_results[[#This Row], [Team1 laps '[laps']]:[Team9 laps '[laps']]]) - intermediate_results[[#This Row], [Team7 laps '[laps']]]</f>
        <v>0</v>
      </c>
      <c r="AA251" s="3">
        <f>MAX(intermediate_results[[#This Row], [Team1 laps '[laps']]:[Team9 laps '[laps']]]) - intermediate_results[[#This Row], [Team8 laps '[laps']]]</f>
        <v>0</v>
      </c>
      <c r="AB251" s="3">
        <f>MAX(intermediate_results[[#This Row], [Team1 laps '[laps']]:[Team9 laps '[laps']]]) - intermediate_results[[#This Row], [Team9 laps '[laps']]]</f>
        <v>0</v>
      </c>
      <c r="AC251" s="3">
        <f>9 * intermediate_results[[#This Row], [All cumulative times '[sec']]] / SUM(intermediate_results[[#This Row], [Team1 laps '[laps']]:[Team9 laps '[laps']]])</f>
        <v>0</v>
      </c>
      <c r="AD251" s="3">
        <f>intermediate_results[[#This Row], [All cumulative times '[sec']]] / intermediate_results[[#This Row], [Team1 laps '[laps']]] - intermediate_results[[#This Row], [Total running average '[sec']]]</f>
        <v>0</v>
      </c>
      <c r="AE251" s="3">
        <f>intermediate_results[[#This Row], [All cumulative times '[sec']]] / intermediate_results[[#This Row], [Team2 laps '[laps']]] - intermediate_results[[#This Row], [Total running average '[sec']]]</f>
        <v>0</v>
      </c>
      <c r="AF251" s="3">
        <f>intermediate_results[[#This Row], [All cumulative times '[sec']]] / intermediate_results[[#This Row], [Team3 laps '[laps']]] - intermediate_results[[#This Row], [Total running average '[sec']]]</f>
        <v>0</v>
      </c>
      <c r="AG251" s="3">
        <f>intermediate_results[[#This Row], [All cumulative times '[sec']]] / intermediate_results[[#This Row], [Team4 laps '[laps']]] - intermediate_results[[#This Row], [Total running average '[sec']]]</f>
        <v>0</v>
      </c>
      <c r="AH251" s="3">
        <f>intermediate_results[[#This Row], [All cumulative times '[sec']]] / intermediate_results[[#This Row], [Team5 laps '[laps']]] - intermediate_results[[#This Row], [Total running average '[sec']]]</f>
        <v>0</v>
      </c>
      <c r="AI251" s="3">
        <f>intermediate_results[[#This Row], [All cumulative times '[sec']]] / intermediate_results[[#This Row], [Team6 laps '[laps']]] - intermediate_results[[#This Row], [Total running average '[sec']]]</f>
        <v>0</v>
      </c>
      <c r="AJ251" s="3">
        <f>intermediate_results[[#This Row], [All cumulative times '[sec']]] / intermediate_results[[#This Row], [Team7 laps '[laps']]] - intermediate_results[[#This Row], [Total running average '[sec']]]</f>
        <v>0</v>
      </c>
      <c r="AK251" s="3">
        <f>intermediate_results[[#This Row], [All cumulative times '[sec']]] / intermediate_results[[#This Row], [Team8 laps '[laps']]] - intermediate_results[[#This Row], [Total running average '[sec']]]</f>
        <v>0</v>
      </c>
      <c r="AL251" s="3">
        <f>intermediate_results[[#This Row], [All cumulative times '[sec']]] / intermediate_results[[#This Row], [Team9 laps '[laps']]] - intermediate_results[[#This Row], [Total running average '[sec']]]</f>
        <v>0</v>
      </c>
    </row>
    <row r="252" spans="1:38">
      <c r="A252" s="3">
        <v>1554.765</v>
      </c>
      <c r="B25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2" s="3">
        <f>intermediate_results[[#This Row], [Team1 laps '[laps']]] - intermediate_results[[#This Row], [Team1 laps '[laps']]]</f>
        <v>0</v>
      </c>
      <c r="L252" s="3">
        <f>intermediate_results[[#This Row], [Team1 laps '[laps']]] - intermediate_results[[#This Row], [Team2 laps '[laps']]]</f>
        <v>0</v>
      </c>
      <c r="M252" s="3">
        <f>intermediate_results[[#This Row], [Team1 laps '[laps']]] - intermediate_results[[#This Row], [Team3 laps '[laps']]]</f>
        <v>0</v>
      </c>
      <c r="N252" s="3">
        <f>intermediate_results[[#This Row], [Team1 laps '[laps']]] - intermediate_results[[#This Row], [Team4 laps '[laps']]]</f>
        <v>0</v>
      </c>
      <c r="O252" s="3">
        <f>intermediate_results[[#This Row], [Team1 laps '[laps']]] - intermediate_results[[#This Row], [Team5 laps '[laps']]]</f>
        <v>0</v>
      </c>
      <c r="P252" s="3">
        <f>intermediate_results[[#This Row], [Team1 laps '[laps']]] - intermediate_results[[#This Row], [Team6 laps '[laps']]]</f>
        <v>0</v>
      </c>
      <c r="Q252" s="3">
        <f>intermediate_results[[#This Row], [Team1 laps '[laps']]] - intermediate_results[[#This Row], [Team7 laps '[laps']]]</f>
        <v>0</v>
      </c>
      <c r="R252" s="3">
        <f>intermediate_results[[#This Row], [Team1 laps '[laps']]] - intermediate_results[[#This Row], [Team8 laps '[laps']]]</f>
        <v>0</v>
      </c>
      <c r="S252" s="3">
        <f>intermediate_results[[#This Row], [Team1 laps '[laps']]] - intermediate_results[[#This Row], [Team9 laps '[laps']]]</f>
        <v>0</v>
      </c>
      <c r="T252" s="3">
        <f>MAX(intermediate_results[[#This Row], [Team1 laps '[laps']]:[Team9 laps '[laps']]]) - intermediate_results[[#This Row], [Team1 laps '[laps']]]</f>
        <v>0</v>
      </c>
      <c r="U252" s="3">
        <f>MAX(intermediate_results[[#This Row], [Team1 laps '[laps']]:[Team9 laps '[laps']]]) - intermediate_results[[#This Row], [Team2 laps '[laps']]]</f>
        <v>0</v>
      </c>
      <c r="V252" s="3">
        <f>MAX(intermediate_results[[#This Row], [Team1 laps '[laps']]:[Team9 laps '[laps']]]) - intermediate_results[[#This Row], [Team3 laps '[laps']]]</f>
        <v>0</v>
      </c>
      <c r="W252" s="3">
        <f>MAX(intermediate_results[[#This Row], [Team1 laps '[laps']]:[Team9 laps '[laps']]]) - intermediate_results[[#This Row], [Team4 laps '[laps']]]</f>
        <v>0</v>
      </c>
      <c r="X252" s="3">
        <f>MAX(intermediate_results[[#This Row], [Team1 laps '[laps']]:[Team9 laps '[laps']]]) - intermediate_results[[#This Row], [Team5 laps '[laps']]]</f>
        <v>0</v>
      </c>
      <c r="Y252" s="3">
        <f>MAX(intermediate_results[[#This Row], [Team1 laps '[laps']]:[Team9 laps '[laps']]]) - intermediate_results[[#This Row], [Team6 laps '[laps']]]</f>
        <v>0</v>
      </c>
      <c r="Z252" s="3">
        <f>MAX(intermediate_results[[#This Row], [Team1 laps '[laps']]:[Team9 laps '[laps']]]) - intermediate_results[[#This Row], [Team7 laps '[laps']]]</f>
        <v>0</v>
      </c>
      <c r="AA252" s="3">
        <f>MAX(intermediate_results[[#This Row], [Team1 laps '[laps']]:[Team9 laps '[laps']]]) - intermediate_results[[#This Row], [Team8 laps '[laps']]]</f>
        <v>0</v>
      </c>
      <c r="AB252" s="3">
        <f>MAX(intermediate_results[[#This Row], [Team1 laps '[laps']]:[Team9 laps '[laps']]]) - intermediate_results[[#This Row], [Team9 laps '[laps']]]</f>
        <v>0</v>
      </c>
      <c r="AC252" s="3">
        <f>9 * intermediate_results[[#This Row], [All cumulative times '[sec']]] / SUM(intermediate_results[[#This Row], [Team1 laps '[laps']]:[Team9 laps '[laps']]])</f>
        <v>0</v>
      </c>
      <c r="AD252" s="3">
        <f>intermediate_results[[#This Row], [All cumulative times '[sec']]] / intermediate_results[[#This Row], [Team1 laps '[laps']]] - intermediate_results[[#This Row], [Total running average '[sec']]]</f>
        <v>0</v>
      </c>
      <c r="AE252" s="3">
        <f>intermediate_results[[#This Row], [All cumulative times '[sec']]] / intermediate_results[[#This Row], [Team2 laps '[laps']]] - intermediate_results[[#This Row], [Total running average '[sec']]]</f>
        <v>0</v>
      </c>
      <c r="AF252" s="3">
        <f>intermediate_results[[#This Row], [All cumulative times '[sec']]] / intermediate_results[[#This Row], [Team3 laps '[laps']]] - intermediate_results[[#This Row], [Total running average '[sec']]]</f>
        <v>0</v>
      </c>
      <c r="AG252" s="3">
        <f>intermediate_results[[#This Row], [All cumulative times '[sec']]] / intermediate_results[[#This Row], [Team4 laps '[laps']]] - intermediate_results[[#This Row], [Total running average '[sec']]]</f>
        <v>0</v>
      </c>
      <c r="AH252" s="3">
        <f>intermediate_results[[#This Row], [All cumulative times '[sec']]] / intermediate_results[[#This Row], [Team5 laps '[laps']]] - intermediate_results[[#This Row], [Total running average '[sec']]]</f>
        <v>0</v>
      </c>
      <c r="AI252" s="3">
        <f>intermediate_results[[#This Row], [All cumulative times '[sec']]] / intermediate_results[[#This Row], [Team6 laps '[laps']]] - intermediate_results[[#This Row], [Total running average '[sec']]]</f>
        <v>0</v>
      </c>
      <c r="AJ252" s="3">
        <f>intermediate_results[[#This Row], [All cumulative times '[sec']]] / intermediate_results[[#This Row], [Team7 laps '[laps']]] - intermediate_results[[#This Row], [Total running average '[sec']]]</f>
        <v>0</v>
      </c>
      <c r="AK252" s="3">
        <f>intermediate_results[[#This Row], [All cumulative times '[sec']]] / intermediate_results[[#This Row], [Team8 laps '[laps']]] - intermediate_results[[#This Row], [Total running average '[sec']]]</f>
        <v>0</v>
      </c>
      <c r="AL252" s="3">
        <f>intermediate_results[[#This Row], [All cumulative times '[sec']]] / intermediate_results[[#This Row], [Team9 laps '[laps']]] - intermediate_results[[#This Row], [Total running average '[sec']]]</f>
        <v>0</v>
      </c>
    </row>
    <row r="253" spans="1:38">
      <c r="A253" s="3">
        <v>1555.56</v>
      </c>
      <c r="B25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3" s="3">
        <f>intermediate_results[[#This Row], [Team1 laps '[laps']]] - intermediate_results[[#This Row], [Team1 laps '[laps']]]</f>
        <v>0</v>
      </c>
      <c r="L253" s="3">
        <f>intermediate_results[[#This Row], [Team1 laps '[laps']]] - intermediate_results[[#This Row], [Team2 laps '[laps']]]</f>
        <v>0</v>
      </c>
      <c r="M253" s="3">
        <f>intermediate_results[[#This Row], [Team1 laps '[laps']]] - intermediate_results[[#This Row], [Team3 laps '[laps']]]</f>
        <v>0</v>
      </c>
      <c r="N253" s="3">
        <f>intermediate_results[[#This Row], [Team1 laps '[laps']]] - intermediate_results[[#This Row], [Team4 laps '[laps']]]</f>
        <v>0</v>
      </c>
      <c r="O253" s="3">
        <f>intermediate_results[[#This Row], [Team1 laps '[laps']]] - intermediate_results[[#This Row], [Team5 laps '[laps']]]</f>
        <v>0</v>
      </c>
      <c r="P253" s="3">
        <f>intermediate_results[[#This Row], [Team1 laps '[laps']]] - intermediate_results[[#This Row], [Team6 laps '[laps']]]</f>
        <v>0</v>
      </c>
      <c r="Q253" s="3">
        <f>intermediate_results[[#This Row], [Team1 laps '[laps']]] - intermediate_results[[#This Row], [Team7 laps '[laps']]]</f>
        <v>0</v>
      </c>
      <c r="R253" s="3">
        <f>intermediate_results[[#This Row], [Team1 laps '[laps']]] - intermediate_results[[#This Row], [Team8 laps '[laps']]]</f>
        <v>0</v>
      </c>
      <c r="S253" s="3">
        <f>intermediate_results[[#This Row], [Team1 laps '[laps']]] - intermediate_results[[#This Row], [Team9 laps '[laps']]]</f>
        <v>0</v>
      </c>
      <c r="T253" s="3">
        <f>MAX(intermediate_results[[#This Row], [Team1 laps '[laps']]:[Team9 laps '[laps']]]) - intermediate_results[[#This Row], [Team1 laps '[laps']]]</f>
        <v>0</v>
      </c>
      <c r="U253" s="3">
        <f>MAX(intermediate_results[[#This Row], [Team1 laps '[laps']]:[Team9 laps '[laps']]]) - intermediate_results[[#This Row], [Team2 laps '[laps']]]</f>
        <v>0</v>
      </c>
      <c r="V253" s="3">
        <f>MAX(intermediate_results[[#This Row], [Team1 laps '[laps']]:[Team9 laps '[laps']]]) - intermediate_results[[#This Row], [Team3 laps '[laps']]]</f>
        <v>0</v>
      </c>
      <c r="W253" s="3">
        <f>MAX(intermediate_results[[#This Row], [Team1 laps '[laps']]:[Team9 laps '[laps']]]) - intermediate_results[[#This Row], [Team4 laps '[laps']]]</f>
        <v>0</v>
      </c>
      <c r="X253" s="3">
        <f>MAX(intermediate_results[[#This Row], [Team1 laps '[laps']]:[Team9 laps '[laps']]]) - intermediate_results[[#This Row], [Team5 laps '[laps']]]</f>
        <v>0</v>
      </c>
      <c r="Y253" s="3">
        <f>MAX(intermediate_results[[#This Row], [Team1 laps '[laps']]:[Team9 laps '[laps']]]) - intermediate_results[[#This Row], [Team6 laps '[laps']]]</f>
        <v>0</v>
      </c>
      <c r="Z253" s="3">
        <f>MAX(intermediate_results[[#This Row], [Team1 laps '[laps']]:[Team9 laps '[laps']]]) - intermediate_results[[#This Row], [Team7 laps '[laps']]]</f>
        <v>0</v>
      </c>
      <c r="AA253" s="3">
        <f>MAX(intermediate_results[[#This Row], [Team1 laps '[laps']]:[Team9 laps '[laps']]]) - intermediate_results[[#This Row], [Team8 laps '[laps']]]</f>
        <v>0</v>
      </c>
      <c r="AB253" s="3">
        <f>MAX(intermediate_results[[#This Row], [Team1 laps '[laps']]:[Team9 laps '[laps']]]) - intermediate_results[[#This Row], [Team9 laps '[laps']]]</f>
        <v>0</v>
      </c>
      <c r="AC253" s="3">
        <f>9 * intermediate_results[[#This Row], [All cumulative times '[sec']]] / SUM(intermediate_results[[#This Row], [Team1 laps '[laps']]:[Team9 laps '[laps']]])</f>
        <v>0</v>
      </c>
      <c r="AD253" s="3">
        <f>intermediate_results[[#This Row], [All cumulative times '[sec']]] / intermediate_results[[#This Row], [Team1 laps '[laps']]] - intermediate_results[[#This Row], [Total running average '[sec']]]</f>
        <v>0</v>
      </c>
      <c r="AE253" s="3">
        <f>intermediate_results[[#This Row], [All cumulative times '[sec']]] / intermediate_results[[#This Row], [Team2 laps '[laps']]] - intermediate_results[[#This Row], [Total running average '[sec']]]</f>
        <v>0</v>
      </c>
      <c r="AF253" s="3">
        <f>intermediate_results[[#This Row], [All cumulative times '[sec']]] / intermediate_results[[#This Row], [Team3 laps '[laps']]] - intermediate_results[[#This Row], [Total running average '[sec']]]</f>
        <v>0</v>
      </c>
      <c r="AG253" s="3">
        <f>intermediate_results[[#This Row], [All cumulative times '[sec']]] / intermediate_results[[#This Row], [Team4 laps '[laps']]] - intermediate_results[[#This Row], [Total running average '[sec']]]</f>
        <v>0</v>
      </c>
      <c r="AH253" s="3">
        <f>intermediate_results[[#This Row], [All cumulative times '[sec']]] / intermediate_results[[#This Row], [Team5 laps '[laps']]] - intermediate_results[[#This Row], [Total running average '[sec']]]</f>
        <v>0</v>
      </c>
      <c r="AI253" s="3">
        <f>intermediate_results[[#This Row], [All cumulative times '[sec']]] / intermediate_results[[#This Row], [Team6 laps '[laps']]] - intermediate_results[[#This Row], [Total running average '[sec']]]</f>
        <v>0</v>
      </c>
      <c r="AJ253" s="3">
        <f>intermediate_results[[#This Row], [All cumulative times '[sec']]] / intermediate_results[[#This Row], [Team7 laps '[laps']]] - intermediate_results[[#This Row], [Total running average '[sec']]]</f>
        <v>0</v>
      </c>
      <c r="AK253" s="3">
        <f>intermediate_results[[#This Row], [All cumulative times '[sec']]] / intermediate_results[[#This Row], [Team8 laps '[laps']]] - intermediate_results[[#This Row], [Total running average '[sec']]]</f>
        <v>0</v>
      </c>
      <c r="AL253" s="3">
        <f>intermediate_results[[#This Row], [All cumulative times '[sec']]] / intermediate_results[[#This Row], [Team9 laps '[laps']]] - intermediate_results[[#This Row], [Total running average '[sec']]]</f>
        <v>0</v>
      </c>
    </row>
    <row r="254" spans="1:38">
      <c r="A254" s="3">
        <v>1560.393</v>
      </c>
      <c r="B25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4" s="3">
        <f>intermediate_results[[#This Row], [Team1 laps '[laps']]] - intermediate_results[[#This Row], [Team1 laps '[laps']]]</f>
        <v>0</v>
      </c>
      <c r="L254" s="3">
        <f>intermediate_results[[#This Row], [Team1 laps '[laps']]] - intermediate_results[[#This Row], [Team2 laps '[laps']]]</f>
        <v>0</v>
      </c>
      <c r="M254" s="3">
        <f>intermediate_results[[#This Row], [Team1 laps '[laps']]] - intermediate_results[[#This Row], [Team3 laps '[laps']]]</f>
        <v>0</v>
      </c>
      <c r="N254" s="3">
        <f>intermediate_results[[#This Row], [Team1 laps '[laps']]] - intermediate_results[[#This Row], [Team4 laps '[laps']]]</f>
        <v>0</v>
      </c>
      <c r="O254" s="3">
        <f>intermediate_results[[#This Row], [Team1 laps '[laps']]] - intermediate_results[[#This Row], [Team5 laps '[laps']]]</f>
        <v>0</v>
      </c>
      <c r="P254" s="3">
        <f>intermediate_results[[#This Row], [Team1 laps '[laps']]] - intermediate_results[[#This Row], [Team6 laps '[laps']]]</f>
        <v>0</v>
      </c>
      <c r="Q254" s="3">
        <f>intermediate_results[[#This Row], [Team1 laps '[laps']]] - intermediate_results[[#This Row], [Team7 laps '[laps']]]</f>
        <v>0</v>
      </c>
      <c r="R254" s="3">
        <f>intermediate_results[[#This Row], [Team1 laps '[laps']]] - intermediate_results[[#This Row], [Team8 laps '[laps']]]</f>
        <v>0</v>
      </c>
      <c r="S254" s="3">
        <f>intermediate_results[[#This Row], [Team1 laps '[laps']]] - intermediate_results[[#This Row], [Team9 laps '[laps']]]</f>
        <v>0</v>
      </c>
      <c r="T254" s="3">
        <f>MAX(intermediate_results[[#This Row], [Team1 laps '[laps']]:[Team9 laps '[laps']]]) - intermediate_results[[#This Row], [Team1 laps '[laps']]]</f>
        <v>0</v>
      </c>
      <c r="U254" s="3">
        <f>MAX(intermediate_results[[#This Row], [Team1 laps '[laps']]:[Team9 laps '[laps']]]) - intermediate_results[[#This Row], [Team2 laps '[laps']]]</f>
        <v>0</v>
      </c>
      <c r="V254" s="3">
        <f>MAX(intermediate_results[[#This Row], [Team1 laps '[laps']]:[Team9 laps '[laps']]]) - intermediate_results[[#This Row], [Team3 laps '[laps']]]</f>
        <v>0</v>
      </c>
      <c r="W254" s="3">
        <f>MAX(intermediate_results[[#This Row], [Team1 laps '[laps']]:[Team9 laps '[laps']]]) - intermediate_results[[#This Row], [Team4 laps '[laps']]]</f>
        <v>0</v>
      </c>
      <c r="X254" s="3">
        <f>MAX(intermediate_results[[#This Row], [Team1 laps '[laps']]:[Team9 laps '[laps']]]) - intermediate_results[[#This Row], [Team5 laps '[laps']]]</f>
        <v>0</v>
      </c>
      <c r="Y254" s="3">
        <f>MAX(intermediate_results[[#This Row], [Team1 laps '[laps']]:[Team9 laps '[laps']]]) - intermediate_results[[#This Row], [Team6 laps '[laps']]]</f>
        <v>0</v>
      </c>
      <c r="Z254" s="3">
        <f>MAX(intermediate_results[[#This Row], [Team1 laps '[laps']]:[Team9 laps '[laps']]]) - intermediate_results[[#This Row], [Team7 laps '[laps']]]</f>
        <v>0</v>
      </c>
      <c r="AA254" s="3">
        <f>MAX(intermediate_results[[#This Row], [Team1 laps '[laps']]:[Team9 laps '[laps']]]) - intermediate_results[[#This Row], [Team8 laps '[laps']]]</f>
        <v>0</v>
      </c>
      <c r="AB254" s="3">
        <f>MAX(intermediate_results[[#This Row], [Team1 laps '[laps']]:[Team9 laps '[laps']]]) - intermediate_results[[#This Row], [Team9 laps '[laps']]]</f>
        <v>0</v>
      </c>
      <c r="AC254" s="3">
        <f>9 * intermediate_results[[#This Row], [All cumulative times '[sec']]] / SUM(intermediate_results[[#This Row], [Team1 laps '[laps']]:[Team9 laps '[laps']]])</f>
        <v>0</v>
      </c>
      <c r="AD254" s="3">
        <f>intermediate_results[[#This Row], [All cumulative times '[sec']]] / intermediate_results[[#This Row], [Team1 laps '[laps']]] - intermediate_results[[#This Row], [Total running average '[sec']]]</f>
        <v>0</v>
      </c>
      <c r="AE254" s="3">
        <f>intermediate_results[[#This Row], [All cumulative times '[sec']]] / intermediate_results[[#This Row], [Team2 laps '[laps']]] - intermediate_results[[#This Row], [Total running average '[sec']]]</f>
        <v>0</v>
      </c>
      <c r="AF254" s="3">
        <f>intermediate_results[[#This Row], [All cumulative times '[sec']]] / intermediate_results[[#This Row], [Team3 laps '[laps']]] - intermediate_results[[#This Row], [Total running average '[sec']]]</f>
        <v>0</v>
      </c>
      <c r="AG254" s="3">
        <f>intermediate_results[[#This Row], [All cumulative times '[sec']]] / intermediate_results[[#This Row], [Team4 laps '[laps']]] - intermediate_results[[#This Row], [Total running average '[sec']]]</f>
        <v>0</v>
      </c>
      <c r="AH254" s="3">
        <f>intermediate_results[[#This Row], [All cumulative times '[sec']]] / intermediate_results[[#This Row], [Team5 laps '[laps']]] - intermediate_results[[#This Row], [Total running average '[sec']]]</f>
        <v>0</v>
      </c>
      <c r="AI254" s="3">
        <f>intermediate_results[[#This Row], [All cumulative times '[sec']]] / intermediate_results[[#This Row], [Team6 laps '[laps']]] - intermediate_results[[#This Row], [Total running average '[sec']]]</f>
        <v>0</v>
      </c>
      <c r="AJ254" s="3">
        <f>intermediate_results[[#This Row], [All cumulative times '[sec']]] / intermediate_results[[#This Row], [Team7 laps '[laps']]] - intermediate_results[[#This Row], [Total running average '[sec']]]</f>
        <v>0</v>
      </c>
      <c r="AK254" s="3">
        <f>intermediate_results[[#This Row], [All cumulative times '[sec']]] / intermediate_results[[#This Row], [Team8 laps '[laps']]] - intermediate_results[[#This Row], [Total running average '[sec']]]</f>
        <v>0</v>
      </c>
      <c r="AL254" s="3">
        <f>intermediate_results[[#This Row], [All cumulative times '[sec']]] / intermediate_results[[#This Row], [Team9 laps '[laps']]] - intermediate_results[[#This Row], [Total running average '[sec']]]</f>
        <v>0</v>
      </c>
    </row>
    <row r="255" spans="1:38">
      <c r="A255" s="3">
        <v>1578.941</v>
      </c>
      <c r="B25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5" s="3">
        <f>intermediate_results[[#This Row], [Team1 laps '[laps']]] - intermediate_results[[#This Row], [Team1 laps '[laps']]]</f>
        <v>0</v>
      </c>
      <c r="L255" s="3">
        <f>intermediate_results[[#This Row], [Team1 laps '[laps']]] - intermediate_results[[#This Row], [Team2 laps '[laps']]]</f>
        <v>0</v>
      </c>
      <c r="M255" s="3">
        <f>intermediate_results[[#This Row], [Team1 laps '[laps']]] - intermediate_results[[#This Row], [Team3 laps '[laps']]]</f>
        <v>0</v>
      </c>
      <c r="N255" s="3">
        <f>intermediate_results[[#This Row], [Team1 laps '[laps']]] - intermediate_results[[#This Row], [Team4 laps '[laps']]]</f>
        <v>0</v>
      </c>
      <c r="O255" s="3">
        <f>intermediate_results[[#This Row], [Team1 laps '[laps']]] - intermediate_results[[#This Row], [Team5 laps '[laps']]]</f>
        <v>0</v>
      </c>
      <c r="P255" s="3">
        <f>intermediate_results[[#This Row], [Team1 laps '[laps']]] - intermediate_results[[#This Row], [Team6 laps '[laps']]]</f>
        <v>0</v>
      </c>
      <c r="Q255" s="3">
        <f>intermediate_results[[#This Row], [Team1 laps '[laps']]] - intermediate_results[[#This Row], [Team7 laps '[laps']]]</f>
        <v>0</v>
      </c>
      <c r="R255" s="3">
        <f>intermediate_results[[#This Row], [Team1 laps '[laps']]] - intermediate_results[[#This Row], [Team8 laps '[laps']]]</f>
        <v>0</v>
      </c>
      <c r="S255" s="3">
        <f>intermediate_results[[#This Row], [Team1 laps '[laps']]] - intermediate_results[[#This Row], [Team9 laps '[laps']]]</f>
        <v>0</v>
      </c>
      <c r="T255" s="3">
        <f>MAX(intermediate_results[[#This Row], [Team1 laps '[laps']]:[Team9 laps '[laps']]]) - intermediate_results[[#This Row], [Team1 laps '[laps']]]</f>
        <v>0</v>
      </c>
      <c r="U255" s="3">
        <f>MAX(intermediate_results[[#This Row], [Team1 laps '[laps']]:[Team9 laps '[laps']]]) - intermediate_results[[#This Row], [Team2 laps '[laps']]]</f>
        <v>0</v>
      </c>
      <c r="V255" s="3">
        <f>MAX(intermediate_results[[#This Row], [Team1 laps '[laps']]:[Team9 laps '[laps']]]) - intermediate_results[[#This Row], [Team3 laps '[laps']]]</f>
        <v>0</v>
      </c>
      <c r="W255" s="3">
        <f>MAX(intermediate_results[[#This Row], [Team1 laps '[laps']]:[Team9 laps '[laps']]]) - intermediate_results[[#This Row], [Team4 laps '[laps']]]</f>
        <v>0</v>
      </c>
      <c r="X255" s="3">
        <f>MAX(intermediate_results[[#This Row], [Team1 laps '[laps']]:[Team9 laps '[laps']]]) - intermediate_results[[#This Row], [Team5 laps '[laps']]]</f>
        <v>0</v>
      </c>
      <c r="Y255" s="3">
        <f>MAX(intermediate_results[[#This Row], [Team1 laps '[laps']]:[Team9 laps '[laps']]]) - intermediate_results[[#This Row], [Team6 laps '[laps']]]</f>
        <v>0</v>
      </c>
      <c r="Z255" s="3">
        <f>MAX(intermediate_results[[#This Row], [Team1 laps '[laps']]:[Team9 laps '[laps']]]) - intermediate_results[[#This Row], [Team7 laps '[laps']]]</f>
        <v>0</v>
      </c>
      <c r="AA255" s="3">
        <f>MAX(intermediate_results[[#This Row], [Team1 laps '[laps']]:[Team9 laps '[laps']]]) - intermediate_results[[#This Row], [Team8 laps '[laps']]]</f>
        <v>0</v>
      </c>
      <c r="AB255" s="3">
        <f>MAX(intermediate_results[[#This Row], [Team1 laps '[laps']]:[Team9 laps '[laps']]]) - intermediate_results[[#This Row], [Team9 laps '[laps']]]</f>
        <v>0</v>
      </c>
      <c r="AC255" s="3">
        <f>9 * intermediate_results[[#This Row], [All cumulative times '[sec']]] / SUM(intermediate_results[[#This Row], [Team1 laps '[laps']]:[Team9 laps '[laps']]])</f>
        <v>0</v>
      </c>
      <c r="AD255" s="3">
        <f>intermediate_results[[#This Row], [All cumulative times '[sec']]] / intermediate_results[[#This Row], [Team1 laps '[laps']]] - intermediate_results[[#This Row], [Total running average '[sec']]]</f>
        <v>0</v>
      </c>
      <c r="AE255" s="3">
        <f>intermediate_results[[#This Row], [All cumulative times '[sec']]] / intermediate_results[[#This Row], [Team2 laps '[laps']]] - intermediate_results[[#This Row], [Total running average '[sec']]]</f>
        <v>0</v>
      </c>
      <c r="AF255" s="3">
        <f>intermediate_results[[#This Row], [All cumulative times '[sec']]] / intermediate_results[[#This Row], [Team3 laps '[laps']]] - intermediate_results[[#This Row], [Total running average '[sec']]]</f>
        <v>0</v>
      </c>
      <c r="AG255" s="3">
        <f>intermediate_results[[#This Row], [All cumulative times '[sec']]] / intermediate_results[[#This Row], [Team4 laps '[laps']]] - intermediate_results[[#This Row], [Total running average '[sec']]]</f>
        <v>0</v>
      </c>
      <c r="AH255" s="3">
        <f>intermediate_results[[#This Row], [All cumulative times '[sec']]] / intermediate_results[[#This Row], [Team5 laps '[laps']]] - intermediate_results[[#This Row], [Total running average '[sec']]]</f>
        <v>0</v>
      </c>
      <c r="AI255" s="3">
        <f>intermediate_results[[#This Row], [All cumulative times '[sec']]] / intermediate_results[[#This Row], [Team6 laps '[laps']]] - intermediate_results[[#This Row], [Total running average '[sec']]]</f>
        <v>0</v>
      </c>
      <c r="AJ255" s="3">
        <f>intermediate_results[[#This Row], [All cumulative times '[sec']]] / intermediate_results[[#This Row], [Team7 laps '[laps']]] - intermediate_results[[#This Row], [Total running average '[sec']]]</f>
        <v>0</v>
      </c>
      <c r="AK255" s="3">
        <f>intermediate_results[[#This Row], [All cumulative times '[sec']]] / intermediate_results[[#This Row], [Team8 laps '[laps']]] - intermediate_results[[#This Row], [Total running average '[sec']]]</f>
        <v>0</v>
      </c>
      <c r="AL255" s="3">
        <f>intermediate_results[[#This Row], [All cumulative times '[sec']]] / intermediate_results[[#This Row], [Team9 laps '[laps']]] - intermediate_results[[#This Row], [Total running average '[sec']]]</f>
        <v>0</v>
      </c>
    </row>
    <row r="256" spans="1:38">
      <c r="A256" s="3">
        <v>1581.619</v>
      </c>
      <c r="B25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6" s="3">
        <f>intermediate_results[[#This Row], [Team1 laps '[laps']]] - intermediate_results[[#This Row], [Team1 laps '[laps']]]</f>
        <v>0</v>
      </c>
      <c r="L256" s="3">
        <f>intermediate_results[[#This Row], [Team1 laps '[laps']]] - intermediate_results[[#This Row], [Team2 laps '[laps']]]</f>
        <v>0</v>
      </c>
      <c r="M256" s="3">
        <f>intermediate_results[[#This Row], [Team1 laps '[laps']]] - intermediate_results[[#This Row], [Team3 laps '[laps']]]</f>
        <v>0</v>
      </c>
      <c r="N256" s="3">
        <f>intermediate_results[[#This Row], [Team1 laps '[laps']]] - intermediate_results[[#This Row], [Team4 laps '[laps']]]</f>
        <v>0</v>
      </c>
      <c r="O256" s="3">
        <f>intermediate_results[[#This Row], [Team1 laps '[laps']]] - intermediate_results[[#This Row], [Team5 laps '[laps']]]</f>
        <v>0</v>
      </c>
      <c r="P256" s="3">
        <f>intermediate_results[[#This Row], [Team1 laps '[laps']]] - intermediate_results[[#This Row], [Team6 laps '[laps']]]</f>
        <v>0</v>
      </c>
      <c r="Q256" s="3">
        <f>intermediate_results[[#This Row], [Team1 laps '[laps']]] - intermediate_results[[#This Row], [Team7 laps '[laps']]]</f>
        <v>0</v>
      </c>
      <c r="R256" s="3">
        <f>intermediate_results[[#This Row], [Team1 laps '[laps']]] - intermediate_results[[#This Row], [Team8 laps '[laps']]]</f>
        <v>0</v>
      </c>
      <c r="S256" s="3">
        <f>intermediate_results[[#This Row], [Team1 laps '[laps']]] - intermediate_results[[#This Row], [Team9 laps '[laps']]]</f>
        <v>0</v>
      </c>
      <c r="T256" s="3">
        <f>MAX(intermediate_results[[#This Row], [Team1 laps '[laps']]:[Team9 laps '[laps']]]) - intermediate_results[[#This Row], [Team1 laps '[laps']]]</f>
        <v>0</v>
      </c>
      <c r="U256" s="3">
        <f>MAX(intermediate_results[[#This Row], [Team1 laps '[laps']]:[Team9 laps '[laps']]]) - intermediate_results[[#This Row], [Team2 laps '[laps']]]</f>
        <v>0</v>
      </c>
      <c r="V256" s="3">
        <f>MAX(intermediate_results[[#This Row], [Team1 laps '[laps']]:[Team9 laps '[laps']]]) - intermediate_results[[#This Row], [Team3 laps '[laps']]]</f>
        <v>0</v>
      </c>
      <c r="W256" s="3">
        <f>MAX(intermediate_results[[#This Row], [Team1 laps '[laps']]:[Team9 laps '[laps']]]) - intermediate_results[[#This Row], [Team4 laps '[laps']]]</f>
        <v>0</v>
      </c>
      <c r="X256" s="3">
        <f>MAX(intermediate_results[[#This Row], [Team1 laps '[laps']]:[Team9 laps '[laps']]]) - intermediate_results[[#This Row], [Team5 laps '[laps']]]</f>
        <v>0</v>
      </c>
      <c r="Y256" s="3">
        <f>MAX(intermediate_results[[#This Row], [Team1 laps '[laps']]:[Team9 laps '[laps']]]) - intermediate_results[[#This Row], [Team6 laps '[laps']]]</f>
        <v>0</v>
      </c>
      <c r="Z256" s="3">
        <f>MAX(intermediate_results[[#This Row], [Team1 laps '[laps']]:[Team9 laps '[laps']]]) - intermediate_results[[#This Row], [Team7 laps '[laps']]]</f>
        <v>0</v>
      </c>
      <c r="AA256" s="3">
        <f>MAX(intermediate_results[[#This Row], [Team1 laps '[laps']]:[Team9 laps '[laps']]]) - intermediate_results[[#This Row], [Team8 laps '[laps']]]</f>
        <v>0</v>
      </c>
      <c r="AB256" s="3">
        <f>MAX(intermediate_results[[#This Row], [Team1 laps '[laps']]:[Team9 laps '[laps']]]) - intermediate_results[[#This Row], [Team9 laps '[laps']]]</f>
        <v>0</v>
      </c>
      <c r="AC256" s="3">
        <f>9 * intermediate_results[[#This Row], [All cumulative times '[sec']]] / SUM(intermediate_results[[#This Row], [Team1 laps '[laps']]:[Team9 laps '[laps']]])</f>
        <v>0</v>
      </c>
      <c r="AD256" s="3">
        <f>intermediate_results[[#This Row], [All cumulative times '[sec']]] / intermediate_results[[#This Row], [Team1 laps '[laps']]] - intermediate_results[[#This Row], [Total running average '[sec']]]</f>
        <v>0</v>
      </c>
      <c r="AE256" s="3">
        <f>intermediate_results[[#This Row], [All cumulative times '[sec']]] / intermediate_results[[#This Row], [Team2 laps '[laps']]] - intermediate_results[[#This Row], [Total running average '[sec']]]</f>
        <v>0</v>
      </c>
      <c r="AF256" s="3">
        <f>intermediate_results[[#This Row], [All cumulative times '[sec']]] / intermediate_results[[#This Row], [Team3 laps '[laps']]] - intermediate_results[[#This Row], [Total running average '[sec']]]</f>
        <v>0</v>
      </c>
      <c r="AG256" s="3">
        <f>intermediate_results[[#This Row], [All cumulative times '[sec']]] / intermediate_results[[#This Row], [Team4 laps '[laps']]] - intermediate_results[[#This Row], [Total running average '[sec']]]</f>
        <v>0</v>
      </c>
      <c r="AH256" s="3">
        <f>intermediate_results[[#This Row], [All cumulative times '[sec']]] / intermediate_results[[#This Row], [Team5 laps '[laps']]] - intermediate_results[[#This Row], [Total running average '[sec']]]</f>
        <v>0</v>
      </c>
      <c r="AI256" s="3">
        <f>intermediate_results[[#This Row], [All cumulative times '[sec']]] / intermediate_results[[#This Row], [Team6 laps '[laps']]] - intermediate_results[[#This Row], [Total running average '[sec']]]</f>
        <v>0</v>
      </c>
      <c r="AJ256" s="3">
        <f>intermediate_results[[#This Row], [All cumulative times '[sec']]] / intermediate_results[[#This Row], [Team7 laps '[laps']]] - intermediate_results[[#This Row], [Total running average '[sec']]]</f>
        <v>0</v>
      </c>
      <c r="AK256" s="3">
        <f>intermediate_results[[#This Row], [All cumulative times '[sec']]] / intermediate_results[[#This Row], [Team8 laps '[laps']]] - intermediate_results[[#This Row], [Total running average '[sec']]]</f>
        <v>0</v>
      </c>
      <c r="AL256" s="3">
        <f>intermediate_results[[#This Row], [All cumulative times '[sec']]] / intermediate_results[[#This Row], [Team9 laps '[laps']]] - intermediate_results[[#This Row], [Total running average '[sec']]]</f>
        <v>0</v>
      </c>
    </row>
    <row r="257" spans="1:38">
      <c r="A257" s="3">
        <v>1582.057</v>
      </c>
      <c r="B25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7" s="3">
        <f>intermediate_results[[#This Row], [Team1 laps '[laps']]] - intermediate_results[[#This Row], [Team1 laps '[laps']]]</f>
        <v>0</v>
      </c>
      <c r="L257" s="3">
        <f>intermediate_results[[#This Row], [Team1 laps '[laps']]] - intermediate_results[[#This Row], [Team2 laps '[laps']]]</f>
        <v>0</v>
      </c>
      <c r="M257" s="3">
        <f>intermediate_results[[#This Row], [Team1 laps '[laps']]] - intermediate_results[[#This Row], [Team3 laps '[laps']]]</f>
        <v>0</v>
      </c>
      <c r="N257" s="3">
        <f>intermediate_results[[#This Row], [Team1 laps '[laps']]] - intermediate_results[[#This Row], [Team4 laps '[laps']]]</f>
        <v>0</v>
      </c>
      <c r="O257" s="3">
        <f>intermediate_results[[#This Row], [Team1 laps '[laps']]] - intermediate_results[[#This Row], [Team5 laps '[laps']]]</f>
        <v>0</v>
      </c>
      <c r="P257" s="3">
        <f>intermediate_results[[#This Row], [Team1 laps '[laps']]] - intermediate_results[[#This Row], [Team6 laps '[laps']]]</f>
        <v>0</v>
      </c>
      <c r="Q257" s="3">
        <f>intermediate_results[[#This Row], [Team1 laps '[laps']]] - intermediate_results[[#This Row], [Team7 laps '[laps']]]</f>
        <v>0</v>
      </c>
      <c r="R257" s="3">
        <f>intermediate_results[[#This Row], [Team1 laps '[laps']]] - intermediate_results[[#This Row], [Team8 laps '[laps']]]</f>
        <v>0</v>
      </c>
      <c r="S257" s="3">
        <f>intermediate_results[[#This Row], [Team1 laps '[laps']]] - intermediate_results[[#This Row], [Team9 laps '[laps']]]</f>
        <v>0</v>
      </c>
      <c r="T257" s="3">
        <f>MAX(intermediate_results[[#This Row], [Team1 laps '[laps']]:[Team9 laps '[laps']]]) - intermediate_results[[#This Row], [Team1 laps '[laps']]]</f>
        <v>0</v>
      </c>
      <c r="U257" s="3">
        <f>MAX(intermediate_results[[#This Row], [Team1 laps '[laps']]:[Team9 laps '[laps']]]) - intermediate_results[[#This Row], [Team2 laps '[laps']]]</f>
        <v>0</v>
      </c>
      <c r="V257" s="3">
        <f>MAX(intermediate_results[[#This Row], [Team1 laps '[laps']]:[Team9 laps '[laps']]]) - intermediate_results[[#This Row], [Team3 laps '[laps']]]</f>
        <v>0</v>
      </c>
      <c r="W257" s="3">
        <f>MAX(intermediate_results[[#This Row], [Team1 laps '[laps']]:[Team9 laps '[laps']]]) - intermediate_results[[#This Row], [Team4 laps '[laps']]]</f>
        <v>0</v>
      </c>
      <c r="X257" s="3">
        <f>MAX(intermediate_results[[#This Row], [Team1 laps '[laps']]:[Team9 laps '[laps']]]) - intermediate_results[[#This Row], [Team5 laps '[laps']]]</f>
        <v>0</v>
      </c>
      <c r="Y257" s="3">
        <f>MAX(intermediate_results[[#This Row], [Team1 laps '[laps']]:[Team9 laps '[laps']]]) - intermediate_results[[#This Row], [Team6 laps '[laps']]]</f>
        <v>0</v>
      </c>
      <c r="Z257" s="3">
        <f>MAX(intermediate_results[[#This Row], [Team1 laps '[laps']]:[Team9 laps '[laps']]]) - intermediate_results[[#This Row], [Team7 laps '[laps']]]</f>
        <v>0</v>
      </c>
      <c r="AA257" s="3">
        <f>MAX(intermediate_results[[#This Row], [Team1 laps '[laps']]:[Team9 laps '[laps']]]) - intermediate_results[[#This Row], [Team8 laps '[laps']]]</f>
        <v>0</v>
      </c>
      <c r="AB257" s="3">
        <f>MAX(intermediate_results[[#This Row], [Team1 laps '[laps']]:[Team9 laps '[laps']]]) - intermediate_results[[#This Row], [Team9 laps '[laps']]]</f>
        <v>0</v>
      </c>
      <c r="AC257" s="3">
        <f>9 * intermediate_results[[#This Row], [All cumulative times '[sec']]] / SUM(intermediate_results[[#This Row], [Team1 laps '[laps']]:[Team9 laps '[laps']]])</f>
        <v>0</v>
      </c>
      <c r="AD257" s="3">
        <f>intermediate_results[[#This Row], [All cumulative times '[sec']]] / intermediate_results[[#This Row], [Team1 laps '[laps']]] - intermediate_results[[#This Row], [Total running average '[sec']]]</f>
        <v>0</v>
      </c>
      <c r="AE257" s="3">
        <f>intermediate_results[[#This Row], [All cumulative times '[sec']]] / intermediate_results[[#This Row], [Team2 laps '[laps']]] - intermediate_results[[#This Row], [Total running average '[sec']]]</f>
        <v>0</v>
      </c>
      <c r="AF257" s="3">
        <f>intermediate_results[[#This Row], [All cumulative times '[sec']]] / intermediate_results[[#This Row], [Team3 laps '[laps']]] - intermediate_results[[#This Row], [Total running average '[sec']]]</f>
        <v>0</v>
      </c>
      <c r="AG257" s="3">
        <f>intermediate_results[[#This Row], [All cumulative times '[sec']]] / intermediate_results[[#This Row], [Team4 laps '[laps']]] - intermediate_results[[#This Row], [Total running average '[sec']]]</f>
        <v>0</v>
      </c>
      <c r="AH257" s="3">
        <f>intermediate_results[[#This Row], [All cumulative times '[sec']]] / intermediate_results[[#This Row], [Team5 laps '[laps']]] - intermediate_results[[#This Row], [Total running average '[sec']]]</f>
        <v>0</v>
      </c>
      <c r="AI257" s="3">
        <f>intermediate_results[[#This Row], [All cumulative times '[sec']]] / intermediate_results[[#This Row], [Team6 laps '[laps']]] - intermediate_results[[#This Row], [Total running average '[sec']]]</f>
        <v>0</v>
      </c>
      <c r="AJ257" s="3">
        <f>intermediate_results[[#This Row], [All cumulative times '[sec']]] / intermediate_results[[#This Row], [Team7 laps '[laps']]] - intermediate_results[[#This Row], [Total running average '[sec']]]</f>
        <v>0</v>
      </c>
      <c r="AK257" s="3">
        <f>intermediate_results[[#This Row], [All cumulative times '[sec']]] / intermediate_results[[#This Row], [Team8 laps '[laps']]] - intermediate_results[[#This Row], [Total running average '[sec']]]</f>
        <v>0</v>
      </c>
      <c r="AL257" s="3">
        <f>intermediate_results[[#This Row], [All cumulative times '[sec']]] / intermediate_results[[#This Row], [Team9 laps '[laps']]] - intermediate_results[[#This Row], [Total running average '[sec']]]</f>
        <v>0</v>
      </c>
    </row>
    <row r="258" spans="1:38">
      <c r="A258" s="3">
        <v>1582.367</v>
      </c>
      <c r="B25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8" s="3">
        <f>intermediate_results[[#This Row], [Team1 laps '[laps']]] - intermediate_results[[#This Row], [Team1 laps '[laps']]]</f>
        <v>0</v>
      </c>
      <c r="L258" s="3">
        <f>intermediate_results[[#This Row], [Team1 laps '[laps']]] - intermediate_results[[#This Row], [Team2 laps '[laps']]]</f>
        <v>0</v>
      </c>
      <c r="M258" s="3">
        <f>intermediate_results[[#This Row], [Team1 laps '[laps']]] - intermediate_results[[#This Row], [Team3 laps '[laps']]]</f>
        <v>0</v>
      </c>
      <c r="N258" s="3">
        <f>intermediate_results[[#This Row], [Team1 laps '[laps']]] - intermediate_results[[#This Row], [Team4 laps '[laps']]]</f>
        <v>0</v>
      </c>
      <c r="O258" s="3">
        <f>intermediate_results[[#This Row], [Team1 laps '[laps']]] - intermediate_results[[#This Row], [Team5 laps '[laps']]]</f>
        <v>0</v>
      </c>
      <c r="P258" s="3">
        <f>intermediate_results[[#This Row], [Team1 laps '[laps']]] - intermediate_results[[#This Row], [Team6 laps '[laps']]]</f>
        <v>0</v>
      </c>
      <c r="Q258" s="3">
        <f>intermediate_results[[#This Row], [Team1 laps '[laps']]] - intermediate_results[[#This Row], [Team7 laps '[laps']]]</f>
        <v>0</v>
      </c>
      <c r="R258" s="3">
        <f>intermediate_results[[#This Row], [Team1 laps '[laps']]] - intermediate_results[[#This Row], [Team8 laps '[laps']]]</f>
        <v>0</v>
      </c>
      <c r="S258" s="3">
        <f>intermediate_results[[#This Row], [Team1 laps '[laps']]] - intermediate_results[[#This Row], [Team9 laps '[laps']]]</f>
        <v>0</v>
      </c>
      <c r="T258" s="3">
        <f>MAX(intermediate_results[[#This Row], [Team1 laps '[laps']]:[Team9 laps '[laps']]]) - intermediate_results[[#This Row], [Team1 laps '[laps']]]</f>
        <v>0</v>
      </c>
      <c r="U258" s="3">
        <f>MAX(intermediate_results[[#This Row], [Team1 laps '[laps']]:[Team9 laps '[laps']]]) - intermediate_results[[#This Row], [Team2 laps '[laps']]]</f>
        <v>0</v>
      </c>
      <c r="V258" s="3">
        <f>MAX(intermediate_results[[#This Row], [Team1 laps '[laps']]:[Team9 laps '[laps']]]) - intermediate_results[[#This Row], [Team3 laps '[laps']]]</f>
        <v>0</v>
      </c>
      <c r="W258" s="3">
        <f>MAX(intermediate_results[[#This Row], [Team1 laps '[laps']]:[Team9 laps '[laps']]]) - intermediate_results[[#This Row], [Team4 laps '[laps']]]</f>
        <v>0</v>
      </c>
      <c r="X258" s="3">
        <f>MAX(intermediate_results[[#This Row], [Team1 laps '[laps']]:[Team9 laps '[laps']]]) - intermediate_results[[#This Row], [Team5 laps '[laps']]]</f>
        <v>0</v>
      </c>
      <c r="Y258" s="3">
        <f>MAX(intermediate_results[[#This Row], [Team1 laps '[laps']]:[Team9 laps '[laps']]]) - intermediate_results[[#This Row], [Team6 laps '[laps']]]</f>
        <v>0</v>
      </c>
      <c r="Z258" s="3">
        <f>MAX(intermediate_results[[#This Row], [Team1 laps '[laps']]:[Team9 laps '[laps']]]) - intermediate_results[[#This Row], [Team7 laps '[laps']]]</f>
        <v>0</v>
      </c>
      <c r="AA258" s="3">
        <f>MAX(intermediate_results[[#This Row], [Team1 laps '[laps']]:[Team9 laps '[laps']]]) - intermediate_results[[#This Row], [Team8 laps '[laps']]]</f>
        <v>0</v>
      </c>
      <c r="AB258" s="3">
        <f>MAX(intermediate_results[[#This Row], [Team1 laps '[laps']]:[Team9 laps '[laps']]]) - intermediate_results[[#This Row], [Team9 laps '[laps']]]</f>
        <v>0</v>
      </c>
      <c r="AC258" s="3">
        <f>9 * intermediate_results[[#This Row], [All cumulative times '[sec']]] / SUM(intermediate_results[[#This Row], [Team1 laps '[laps']]:[Team9 laps '[laps']]])</f>
        <v>0</v>
      </c>
      <c r="AD258" s="3">
        <f>intermediate_results[[#This Row], [All cumulative times '[sec']]] / intermediate_results[[#This Row], [Team1 laps '[laps']]] - intermediate_results[[#This Row], [Total running average '[sec']]]</f>
        <v>0</v>
      </c>
      <c r="AE258" s="3">
        <f>intermediate_results[[#This Row], [All cumulative times '[sec']]] / intermediate_results[[#This Row], [Team2 laps '[laps']]] - intermediate_results[[#This Row], [Total running average '[sec']]]</f>
        <v>0</v>
      </c>
      <c r="AF258" s="3">
        <f>intermediate_results[[#This Row], [All cumulative times '[sec']]] / intermediate_results[[#This Row], [Team3 laps '[laps']]] - intermediate_results[[#This Row], [Total running average '[sec']]]</f>
        <v>0</v>
      </c>
      <c r="AG258" s="3">
        <f>intermediate_results[[#This Row], [All cumulative times '[sec']]] / intermediate_results[[#This Row], [Team4 laps '[laps']]] - intermediate_results[[#This Row], [Total running average '[sec']]]</f>
        <v>0</v>
      </c>
      <c r="AH258" s="3">
        <f>intermediate_results[[#This Row], [All cumulative times '[sec']]] / intermediate_results[[#This Row], [Team5 laps '[laps']]] - intermediate_results[[#This Row], [Total running average '[sec']]]</f>
        <v>0</v>
      </c>
      <c r="AI258" s="3">
        <f>intermediate_results[[#This Row], [All cumulative times '[sec']]] / intermediate_results[[#This Row], [Team6 laps '[laps']]] - intermediate_results[[#This Row], [Total running average '[sec']]]</f>
        <v>0</v>
      </c>
      <c r="AJ258" s="3">
        <f>intermediate_results[[#This Row], [All cumulative times '[sec']]] / intermediate_results[[#This Row], [Team7 laps '[laps']]] - intermediate_results[[#This Row], [Total running average '[sec']]]</f>
        <v>0</v>
      </c>
      <c r="AK258" s="3">
        <f>intermediate_results[[#This Row], [All cumulative times '[sec']]] / intermediate_results[[#This Row], [Team8 laps '[laps']]] - intermediate_results[[#This Row], [Total running average '[sec']]]</f>
        <v>0</v>
      </c>
      <c r="AL258" s="3">
        <f>intermediate_results[[#This Row], [All cumulative times '[sec']]] / intermediate_results[[#This Row], [Team9 laps '[laps']]] - intermediate_results[[#This Row], [Total running average '[sec']]]</f>
        <v>0</v>
      </c>
    </row>
    <row r="259" spans="1:38">
      <c r="A259" s="3">
        <v>1590.637</v>
      </c>
      <c r="B25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5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5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5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5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5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5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5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5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59" s="3">
        <f>intermediate_results[[#This Row], [Team1 laps '[laps']]] - intermediate_results[[#This Row], [Team1 laps '[laps']]]</f>
        <v>0</v>
      </c>
      <c r="L259" s="3">
        <f>intermediate_results[[#This Row], [Team1 laps '[laps']]] - intermediate_results[[#This Row], [Team2 laps '[laps']]]</f>
        <v>0</v>
      </c>
      <c r="M259" s="3">
        <f>intermediate_results[[#This Row], [Team1 laps '[laps']]] - intermediate_results[[#This Row], [Team3 laps '[laps']]]</f>
        <v>0</v>
      </c>
      <c r="N259" s="3">
        <f>intermediate_results[[#This Row], [Team1 laps '[laps']]] - intermediate_results[[#This Row], [Team4 laps '[laps']]]</f>
        <v>0</v>
      </c>
      <c r="O259" s="3">
        <f>intermediate_results[[#This Row], [Team1 laps '[laps']]] - intermediate_results[[#This Row], [Team5 laps '[laps']]]</f>
        <v>0</v>
      </c>
      <c r="P259" s="3">
        <f>intermediate_results[[#This Row], [Team1 laps '[laps']]] - intermediate_results[[#This Row], [Team6 laps '[laps']]]</f>
        <v>0</v>
      </c>
      <c r="Q259" s="3">
        <f>intermediate_results[[#This Row], [Team1 laps '[laps']]] - intermediate_results[[#This Row], [Team7 laps '[laps']]]</f>
        <v>0</v>
      </c>
      <c r="R259" s="3">
        <f>intermediate_results[[#This Row], [Team1 laps '[laps']]] - intermediate_results[[#This Row], [Team8 laps '[laps']]]</f>
        <v>0</v>
      </c>
      <c r="S259" s="3">
        <f>intermediate_results[[#This Row], [Team1 laps '[laps']]] - intermediate_results[[#This Row], [Team9 laps '[laps']]]</f>
        <v>0</v>
      </c>
      <c r="T259" s="3">
        <f>MAX(intermediate_results[[#This Row], [Team1 laps '[laps']]:[Team9 laps '[laps']]]) - intermediate_results[[#This Row], [Team1 laps '[laps']]]</f>
        <v>0</v>
      </c>
      <c r="U259" s="3">
        <f>MAX(intermediate_results[[#This Row], [Team1 laps '[laps']]:[Team9 laps '[laps']]]) - intermediate_results[[#This Row], [Team2 laps '[laps']]]</f>
        <v>0</v>
      </c>
      <c r="V259" s="3">
        <f>MAX(intermediate_results[[#This Row], [Team1 laps '[laps']]:[Team9 laps '[laps']]]) - intermediate_results[[#This Row], [Team3 laps '[laps']]]</f>
        <v>0</v>
      </c>
      <c r="W259" s="3">
        <f>MAX(intermediate_results[[#This Row], [Team1 laps '[laps']]:[Team9 laps '[laps']]]) - intermediate_results[[#This Row], [Team4 laps '[laps']]]</f>
        <v>0</v>
      </c>
      <c r="X259" s="3">
        <f>MAX(intermediate_results[[#This Row], [Team1 laps '[laps']]:[Team9 laps '[laps']]]) - intermediate_results[[#This Row], [Team5 laps '[laps']]]</f>
        <v>0</v>
      </c>
      <c r="Y259" s="3">
        <f>MAX(intermediate_results[[#This Row], [Team1 laps '[laps']]:[Team9 laps '[laps']]]) - intermediate_results[[#This Row], [Team6 laps '[laps']]]</f>
        <v>0</v>
      </c>
      <c r="Z259" s="3">
        <f>MAX(intermediate_results[[#This Row], [Team1 laps '[laps']]:[Team9 laps '[laps']]]) - intermediate_results[[#This Row], [Team7 laps '[laps']]]</f>
        <v>0</v>
      </c>
      <c r="AA259" s="3">
        <f>MAX(intermediate_results[[#This Row], [Team1 laps '[laps']]:[Team9 laps '[laps']]]) - intermediate_results[[#This Row], [Team8 laps '[laps']]]</f>
        <v>0</v>
      </c>
      <c r="AB259" s="3">
        <f>MAX(intermediate_results[[#This Row], [Team1 laps '[laps']]:[Team9 laps '[laps']]]) - intermediate_results[[#This Row], [Team9 laps '[laps']]]</f>
        <v>0</v>
      </c>
      <c r="AC259" s="3">
        <f>9 * intermediate_results[[#This Row], [All cumulative times '[sec']]] / SUM(intermediate_results[[#This Row], [Team1 laps '[laps']]:[Team9 laps '[laps']]])</f>
        <v>0</v>
      </c>
      <c r="AD259" s="3">
        <f>intermediate_results[[#This Row], [All cumulative times '[sec']]] / intermediate_results[[#This Row], [Team1 laps '[laps']]] - intermediate_results[[#This Row], [Total running average '[sec']]]</f>
        <v>0</v>
      </c>
      <c r="AE259" s="3">
        <f>intermediate_results[[#This Row], [All cumulative times '[sec']]] / intermediate_results[[#This Row], [Team2 laps '[laps']]] - intermediate_results[[#This Row], [Total running average '[sec']]]</f>
        <v>0</v>
      </c>
      <c r="AF259" s="3">
        <f>intermediate_results[[#This Row], [All cumulative times '[sec']]] / intermediate_results[[#This Row], [Team3 laps '[laps']]] - intermediate_results[[#This Row], [Total running average '[sec']]]</f>
        <v>0</v>
      </c>
      <c r="AG259" s="3">
        <f>intermediate_results[[#This Row], [All cumulative times '[sec']]] / intermediate_results[[#This Row], [Team4 laps '[laps']]] - intermediate_results[[#This Row], [Total running average '[sec']]]</f>
        <v>0</v>
      </c>
      <c r="AH259" s="3">
        <f>intermediate_results[[#This Row], [All cumulative times '[sec']]] / intermediate_results[[#This Row], [Team5 laps '[laps']]] - intermediate_results[[#This Row], [Total running average '[sec']]]</f>
        <v>0</v>
      </c>
      <c r="AI259" s="3">
        <f>intermediate_results[[#This Row], [All cumulative times '[sec']]] / intermediate_results[[#This Row], [Team6 laps '[laps']]] - intermediate_results[[#This Row], [Total running average '[sec']]]</f>
        <v>0</v>
      </c>
      <c r="AJ259" s="3">
        <f>intermediate_results[[#This Row], [All cumulative times '[sec']]] / intermediate_results[[#This Row], [Team7 laps '[laps']]] - intermediate_results[[#This Row], [Total running average '[sec']]]</f>
        <v>0</v>
      </c>
      <c r="AK259" s="3">
        <f>intermediate_results[[#This Row], [All cumulative times '[sec']]] / intermediate_results[[#This Row], [Team8 laps '[laps']]] - intermediate_results[[#This Row], [Total running average '[sec']]]</f>
        <v>0</v>
      </c>
      <c r="AL259" s="3">
        <f>intermediate_results[[#This Row], [All cumulative times '[sec']]] / intermediate_results[[#This Row], [Team9 laps '[laps']]] - intermediate_results[[#This Row], [Total running average '[sec']]]</f>
        <v>0</v>
      </c>
    </row>
    <row r="260" spans="1:38">
      <c r="A260" s="3">
        <v>1593.943</v>
      </c>
      <c r="B26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0" s="3">
        <f>intermediate_results[[#This Row], [Team1 laps '[laps']]] - intermediate_results[[#This Row], [Team1 laps '[laps']]]</f>
        <v>0</v>
      </c>
      <c r="L260" s="3">
        <f>intermediate_results[[#This Row], [Team1 laps '[laps']]] - intermediate_results[[#This Row], [Team2 laps '[laps']]]</f>
        <v>0</v>
      </c>
      <c r="M260" s="3">
        <f>intermediate_results[[#This Row], [Team1 laps '[laps']]] - intermediate_results[[#This Row], [Team3 laps '[laps']]]</f>
        <v>0</v>
      </c>
      <c r="N260" s="3">
        <f>intermediate_results[[#This Row], [Team1 laps '[laps']]] - intermediate_results[[#This Row], [Team4 laps '[laps']]]</f>
        <v>0</v>
      </c>
      <c r="O260" s="3">
        <f>intermediate_results[[#This Row], [Team1 laps '[laps']]] - intermediate_results[[#This Row], [Team5 laps '[laps']]]</f>
        <v>0</v>
      </c>
      <c r="P260" s="3">
        <f>intermediate_results[[#This Row], [Team1 laps '[laps']]] - intermediate_results[[#This Row], [Team6 laps '[laps']]]</f>
        <v>0</v>
      </c>
      <c r="Q260" s="3">
        <f>intermediate_results[[#This Row], [Team1 laps '[laps']]] - intermediate_results[[#This Row], [Team7 laps '[laps']]]</f>
        <v>0</v>
      </c>
      <c r="R260" s="3">
        <f>intermediate_results[[#This Row], [Team1 laps '[laps']]] - intermediate_results[[#This Row], [Team8 laps '[laps']]]</f>
        <v>0</v>
      </c>
      <c r="S260" s="3">
        <f>intermediate_results[[#This Row], [Team1 laps '[laps']]] - intermediate_results[[#This Row], [Team9 laps '[laps']]]</f>
        <v>0</v>
      </c>
      <c r="T260" s="3">
        <f>MAX(intermediate_results[[#This Row], [Team1 laps '[laps']]:[Team9 laps '[laps']]]) - intermediate_results[[#This Row], [Team1 laps '[laps']]]</f>
        <v>0</v>
      </c>
      <c r="U260" s="3">
        <f>MAX(intermediate_results[[#This Row], [Team1 laps '[laps']]:[Team9 laps '[laps']]]) - intermediate_results[[#This Row], [Team2 laps '[laps']]]</f>
        <v>0</v>
      </c>
      <c r="V260" s="3">
        <f>MAX(intermediate_results[[#This Row], [Team1 laps '[laps']]:[Team9 laps '[laps']]]) - intermediate_results[[#This Row], [Team3 laps '[laps']]]</f>
        <v>0</v>
      </c>
      <c r="W260" s="3">
        <f>MAX(intermediate_results[[#This Row], [Team1 laps '[laps']]:[Team9 laps '[laps']]]) - intermediate_results[[#This Row], [Team4 laps '[laps']]]</f>
        <v>0</v>
      </c>
      <c r="X260" s="3">
        <f>MAX(intermediate_results[[#This Row], [Team1 laps '[laps']]:[Team9 laps '[laps']]]) - intermediate_results[[#This Row], [Team5 laps '[laps']]]</f>
        <v>0</v>
      </c>
      <c r="Y260" s="3">
        <f>MAX(intermediate_results[[#This Row], [Team1 laps '[laps']]:[Team9 laps '[laps']]]) - intermediate_results[[#This Row], [Team6 laps '[laps']]]</f>
        <v>0</v>
      </c>
      <c r="Z260" s="3">
        <f>MAX(intermediate_results[[#This Row], [Team1 laps '[laps']]:[Team9 laps '[laps']]]) - intermediate_results[[#This Row], [Team7 laps '[laps']]]</f>
        <v>0</v>
      </c>
      <c r="AA260" s="3">
        <f>MAX(intermediate_results[[#This Row], [Team1 laps '[laps']]:[Team9 laps '[laps']]]) - intermediate_results[[#This Row], [Team8 laps '[laps']]]</f>
        <v>0</v>
      </c>
      <c r="AB260" s="3">
        <f>MAX(intermediate_results[[#This Row], [Team1 laps '[laps']]:[Team9 laps '[laps']]]) - intermediate_results[[#This Row], [Team9 laps '[laps']]]</f>
        <v>0</v>
      </c>
      <c r="AC260" s="3">
        <f>9 * intermediate_results[[#This Row], [All cumulative times '[sec']]] / SUM(intermediate_results[[#This Row], [Team1 laps '[laps']]:[Team9 laps '[laps']]])</f>
        <v>0</v>
      </c>
      <c r="AD260" s="3">
        <f>intermediate_results[[#This Row], [All cumulative times '[sec']]] / intermediate_results[[#This Row], [Team1 laps '[laps']]] - intermediate_results[[#This Row], [Total running average '[sec']]]</f>
        <v>0</v>
      </c>
      <c r="AE260" s="3">
        <f>intermediate_results[[#This Row], [All cumulative times '[sec']]] / intermediate_results[[#This Row], [Team2 laps '[laps']]] - intermediate_results[[#This Row], [Total running average '[sec']]]</f>
        <v>0</v>
      </c>
      <c r="AF260" s="3">
        <f>intermediate_results[[#This Row], [All cumulative times '[sec']]] / intermediate_results[[#This Row], [Team3 laps '[laps']]] - intermediate_results[[#This Row], [Total running average '[sec']]]</f>
        <v>0</v>
      </c>
      <c r="AG260" s="3">
        <f>intermediate_results[[#This Row], [All cumulative times '[sec']]] / intermediate_results[[#This Row], [Team4 laps '[laps']]] - intermediate_results[[#This Row], [Total running average '[sec']]]</f>
        <v>0</v>
      </c>
      <c r="AH260" s="3">
        <f>intermediate_results[[#This Row], [All cumulative times '[sec']]] / intermediate_results[[#This Row], [Team5 laps '[laps']]] - intermediate_results[[#This Row], [Total running average '[sec']]]</f>
        <v>0</v>
      </c>
      <c r="AI260" s="3">
        <f>intermediate_results[[#This Row], [All cumulative times '[sec']]] / intermediate_results[[#This Row], [Team6 laps '[laps']]] - intermediate_results[[#This Row], [Total running average '[sec']]]</f>
        <v>0</v>
      </c>
      <c r="AJ260" s="3">
        <f>intermediate_results[[#This Row], [All cumulative times '[sec']]] / intermediate_results[[#This Row], [Team7 laps '[laps']]] - intermediate_results[[#This Row], [Total running average '[sec']]]</f>
        <v>0</v>
      </c>
      <c r="AK260" s="3">
        <f>intermediate_results[[#This Row], [All cumulative times '[sec']]] / intermediate_results[[#This Row], [Team8 laps '[laps']]] - intermediate_results[[#This Row], [Total running average '[sec']]]</f>
        <v>0</v>
      </c>
      <c r="AL260" s="3">
        <f>intermediate_results[[#This Row], [All cumulative times '[sec']]] / intermediate_results[[#This Row], [Team9 laps '[laps']]] - intermediate_results[[#This Row], [Total running average '[sec']]]</f>
        <v>0</v>
      </c>
    </row>
    <row r="261" spans="1:38">
      <c r="A261" s="3">
        <v>1608.148</v>
      </c>
      <c r="B26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1" s="3">
        <f>intermediate_results[[#This Row], [Team1 laps '[laps']]] - intermediate_results[[#This Row], [Team1 laps '[laps']]]</f>
        <v>0</v>
      </c>
      <c r="L261" s="3">
        <f>intermediate_results[[#This Row], [Team1 laps '[laps']]] - intermediate_results[[#This Row], [Team2 laps '[laps']]]</f>
        <v>0</v>
      </c>
      <c r="M261" s="3">
        <f>intermediate_results[[#This Row], [Team1 laps '[laps']]] - intermediate_results[[#This Row], [Team3 laps '[laps']]]</f>
        <v>0</v>
      </c>
      <c r="N261" s="3">
        <f>intermediate_results[[#This Row], [Team1 laps '[laps']]] - intermediate_results[[#This Row], [Team4 laps '[laps']]]</f>
        <v>0</v>
      </c>
      <c r="O261" s="3">
        <f>intermediate_results[[#This Row], [Team1 laps '[laps']]] - intermediate_results[[#This Row], [Team5 laps '[laps']]]</f>
        <v>0</v>
      </c>
      <c r="P261" s="3">
        <f>intermediate_results[[#This Row], [Team1 laps '[laps']]] - intermediate_results[[#This Row], [Team6 laps '[laps']]]</f>
        <v>0</v>
      </c>
      <c r="Q261" s="3">
        <f>intermediate_results[[#This Row], [Team1 laps '[laps']]] - intermediate_results[[#This Row], [Team7 laps '[laps']]]</f>
        <v>0</v>
      </c>
      <c r="R261" s="3">
        <f>intermediate_results[[#This Row], [Team1 laps '[laps']]] - intermediate_results[[#This Row], [Team8 laps '[laps']]]</f>
        <v>0</v>
      </c>
      <c r="S261" s="3">
        <f>intermediate_results[[#This Row], [Team1 laps '[laps']]] - intermediate_results[[#This Row], [Team9 laps '[laps']]]</f>
        <v>0</v>
      </c>
      <c r="T261" s="3">
        <f>MAX(intermediate_results[[#This Row], [Team1 laps '[laps']]:[Team9 laps '[laps']]]) - intermediate_results[[#This Row], [Team1 laps '[laps']]]</f>
        <v>0</v>
      </c>
      <c r="U261" s="3">
        <f>MAX(intermediate_results[[#This Row], [Team1 laps '[laps']]:[Team9 laps '[laps']]]) - intermediate_results[[#This Row], [Team2 laps '[laps']]]</f>
        <v>0</v>
      </c>
      <c r="V261" s="3">
        <f>MAX(intermediate_results[[#This Row], [Team1 laps '[laps']]:[Team9 laps '[laps']]]) - intermediate_results[[#This Row], [Team3 laps '[laps']]]</f>
        <v>0</v>
      </c>
      <c r="W261" s="3">
        <f>MAX(intermediate_results[[#This Row], [Team1 laps '[laps']]:[Team9 laps '[laps']]]) - intermediate_results[[#This Row], [Team4 laps '[laps']]]</f>
        <v>0</v>
      </c>
      <c r="X261" s="3">
        <f>MAX(intermediate_results[[#This Row], [Team1 laps '[laps']]:[Team9 laps '[laps']]]) - intermediate_results[[#This Row], [Team5 laps '[laps']]]</f>
        <v>0</v>
      </c>
      <c r="Y261" s="3">
        <f>MAX(intermediate_results[[#This Row], [Team1 laps '[laps']]:[Team9 laps '[laps']]]) - intermediate_results[[#This Row], [Team6 laps '[laps']]]</f>
        <v>0</v>
      </c>
      <c r="Z261" s="3">
        <f>MAX(intermediate_results[[#This Row], [Team1 laps '[laps']]:[Team9 laps '[laps']]]) - intermediate_results[[#This Row], [Team7 laps '[laps']]]</f>
        <v>0</v>
      </c>
      <c r="AA261" s="3">
        <f>MAX(intermediate_results[[#This Row], [Team1 laps '[laps']]:[Team9 laps '[laps']]]) - intermediate_results[[#This Row], [Team8 laps '[laps']]]</f>
        <v>0</v>
      </c>
      <c r="AB261" s="3">
        <f>MAX(intermediate_results[[#This Row], [Team1 laps '[laps']]:[Team9 laps '[laps']]]) - intermediate_results[[#This Row], [Team9 laps '[laps']]]</f>
        <v>0</v>
      </c>
      <c r="AC261" s="3">
        <f>9 * intermediate_results[[#This Row], [All cumulative times '[sec']]] / SUM(intermediate_results[[#This Row], [Team1 laps '[laps']]:[Team9 laps '[laps']]])</f>
        <v>0</v>
      </c>
      <c r="AD261" s="3">
        <f>intermediate_results[[#This Row], [All cumulative times '[sec']]] / intermediate_results[[#This Row], [Team1 laps '[laps']]] - intermediate_results[[#This Row], [Total running average '[sec']]]</f>
        <v>0</v>
      </c>
      <c r="AE261" s="3">
        <f>intermediate_results[[#This Row], [All cumulative times '[sec']]] / intermediate_results[[#This Row], [Team2 laps '[laps']]] - intermediate_results[[#This Row], [Total running average '[sec']]]</f>
        <v>0</v>
      </c>
      <c r="AF261" s="3">
        <f>intermediate_results[[#This Row], [All cumulative times '[sec']]] / intermediate_results[[#This Row], [Team3 laps '[laps']]] - intermediate_results[[#This Row], [Total running average '[sec']]]</f>
        <v>0</v>
      </c>
      <c r="AG261" s="3">
        <f>intermediate_results[[#This Row], [All cumulative times '[sec']]] / intermediate_results[[#This Row], [Team4 laps '[laps']]] - intermediate_results[[#This Row], [Total running average '[sec']]]</f>
        <v>0</v>
      </c>
      <c r="AH261" s="3">
        <f>intermediate_results[[#This Row], [All cumulative times '[sec']]] / intermediate_results[[#This Row], [Team5 laps '[laps']]] - intermediate_results[[#This Row], [Total running average '[sec']]]</f>
        <v>0</v>
      </c>
      <c r="AI261" s="3">
        <f>intermediate_results[[#This Row], [All cumulative times '[sec']]] / intermediate_results[[#This Row], [Team6 laps '[laps']]] - intermediate_results[[#This Row], [Total running average '[sec']]]</f>
        <v>0</v>
      </c>
      <c r="AJ261" s="3">
        <f>intermediate_results[[#This Row], [All cumulative times '[sec']]] / intermediate_results[[#This Row], [Team7 laps '[laps']]] - intermediate_results[[#This Row], [Total running average '[sec']]]</f>
        <v>0</v>
      </c>
      <c r="AK261" s="3">
        <f>intermediate_results[[#This Row], [All cumulative times '[sec']]] / intermediate_results[[#This Row], [Team8 laps '[laps']]] - intermediate_results[[#This Row], [Total running average '[sec']]]</f>
        <v>0</v>
      </c>
      <c r="AL261" s="3">
        <f>intermediate_results[[#This Row], [All cumulative times '[sec']]] / intermediate_results[[#This Row], [Team9 laps '[laps']]] - intermediate_results[[#This Row], [Total running average '[sec']]]</f>
        <v>0</v>
      </c>
    </row>
    <row r="262" spans="1:38">
      <c r="A262" s="3">
        <v>1609.286</v>
      </c>
      <c r="B26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2" s="3">
        <f>intermediate_results[[#This Row], [Team1 laps '[laps']]] - intermediate_results[[#This Row], [Team1 laps '[laps']]]</f>
        <v>0</v>
      </c>
      <c r="L262" s="3">
        <f>intermediate_results[[#This Row], [Team1 laps '[laps']]] - intermediate_results[[#This Row], [Team2 laps '[laps']]]</f>
        <v>0</v>
      </c>
      <c r="M262" s="3">
        <f>intermediate_results[[#This Row], [Team1 laps '[laps']]] - intermediate_results[[#This Row], [Team3 laps '[laps']]]</f>
        <v>0</v>
      </c>
      <c r="N262" s="3">
        <f>intermediate_results[[#This Row], [Team1 laps '[laps']]] - intermediate_results[[#This Row], [Team4 laps '[laps']]]</f>
        <v>0</v>
      </c>
      <c r="O262" s="3">
        <f>intermediate_results[[#This Row], [Team1 laps '[laps']]] - intermediate_results[[#This Row], [Team5 laps '[laps']]]</f>
        <v>0</v>
      </c>
      <c r="P262" s="3">
        <f>intermediate_results[[#This Row], [Team1 laps '[laps']]] - intermediate_results[[#This Row], [Team6 laps '[laps']]]</f>
        <v>0</v>
      </c>
      <c r="Q262" s="3">
        <f>intermediate_results[[#This Row], [Team1 laps '[laps']]] - intermediate_results[[#This Row], [Team7 laps '[laps']]]</f>
        <v>0</v>
      </c>
      <c r="R262" s="3">
        <f>intermediate_results[[#This Row], [Team1 laps '[laps']]] - intermediate_results[[#This Row], [Team8 laps '[laps']]]</f>
        <v>0</v>
      </c>
      <c r="S262" s="3">
        <f>intermediate_results[[#This Row], [Team1 laps '[laps']]] - intermediate_results[[#This Row], [Team9 laps '[laps']]]</f>
        <v>0</v>
      </c>
      <c r="T262" s="3">
        <f>MAX(intermediate_results[[#This Row], [Team1 laps '[laps']]:[Team9 laps '[laps']]]) - intermediate_results[[#This Row], [Team1 laps '[laps']]]</f>
        <v>0</v>
      </c>
      <c r="U262" s="3">
        <f>MAX(intermediate_results[[#This Row], [Team1 laps '[laps']]:[Team9 laps '[laps']]]) - intermediate_results[[#This Row], [Team2 laps '[laps']]]</f>
        <v>0</v>
      </c>
      <c r="V262" s="3">
        <f>MAX(intermediate_results[[#This Row], [Team1 laps '[laps']]:[Team9 laps '[laps']]]) - intermediate_results[[#This Row], [Team3 laps '[laps']]]</f>
        <v>0</v>
      </c>
      <c r="W262" s="3">
        <f>MAX(intermediate_results[[#This Row], [Team1 laps '[laps']]:[Team9 laps '[laps']]]) - intermediate_results[[#This Row], [Team4 laps '[laps']]]</f>
        <v>0</v>
      </c>
      <c r="X262" s="3">
        <f>MAX(intermediate_results[[#This Row], [Team1 laps '[laps']]:[Team9 laps '[laps']]]) - intermediate_results[[#This Row], [Team5 laps '[laps']]]</f>
        <v>0</v>
      </c>
      <c r="Y262" s="3">
        <f>MAX(intermediate_results[[#This Row], [Team1 laps '[laps']]:[Team9 laps '[laps']]]) - intermediate_results[[#This Row], [Team6 laps '[laps']]]</f>
        <v>0</v>
      </c>
      <c r="Z262" s="3">
        <f>MAX(intermediate_results[[#This Row], [Team1 laps '[laps']]:[Team9 laps '[laps']]]) - intermediate_results[[#This Row], [Team7 laps '[laps']]]</f>
        <v>0</v>
      </c>
      <c r="AA262" s="3">
        <f>MAX(intermediate_results[[#This Row], [Team1 laps '[laps']]:[Team9 laps '[laps']]]) - intermediate_results[[#This Row], [Team8 laps '[laps']]]</f>
        <v>0</v>
      </c>
      <c r="AB262" s="3">
        <f>MAX(intermediate_results[[#This Row], [Team1 laps '[laps']]:[Team9 laps '[laps']]]) - intermediate_results[[#This Row], [Team9 laps '[laps']]]</f>
        <v>0</v>
      </c>
      <c r="AC262" s="3">
        <f>9 * intermediate_results[[#This Row], [All cumulative times '[sec']]] / SUM(intermediate_results[[#This Row], [Team1 laps '[laps']]:[Team9 laps '[laps']]])</f>
        <v>0</v>
      </c>
      <c r="AD262" s="3">
        <f>intermediate_results[[#This Row], [All cumulative times '[sec']]] / intermediate_results[[#This Row], [Team1 laps '[laps']]] - intermediate_results[[#This Row], [Total running average '[sec']]]</f>
        <v>0</v>
      </c>
      <c r="AE262" s="3">
        <f>intermediate_results[[#This Row], [All cumulative times '[sec']]] / intermediate_results[[#This Row], [Team2 laps '[laps']]] - intermediate_results[[#This Row], [Total running average '[sec']]]</f>
        <v>0</v>
      </c>
      <c r="AF262" s="3">
        <f>intermediate_results[[#This Row], [All cumulative times '[sec']]] / intermediate_results[[#This Row], [Team3 laps '[laps']]] - intermediate_results[[#This Row], [Total running average '[sec']]]</f>
        <v>0</v>
      </c>
      <c r="AG262" s="3">
        <f>intermediate_results[[#This Row], [All cumulative times '[sec']]] / intermediate_results[[#This Row], [Team4 laps '[laps']]] - intermediate_results[[#This Row], [Total running average '[sec']]]</f>
        <v>0</v>
      </c>
      <c r="AH262" s="3">
        <f>intermediate_results[[#This Row], [All cumulative times '[sec']]] / intermediate_results[[#This Row], [Team5 laps '[laps']]] - intermediate_results[[#This Row], [Total running average '[sec']]]</f>
        <v>0</v>
      </c>
      <c r="AI262" s="3">
        <f>intermediate_results[[#This Row], [All cumulative times '[sec']]] / intermediate_results[[#This Row], [Team6 laps '[laps']]] - intermediate_results[[#This Row], [Total running average '[sec']]]</f>
        <v>0</v>
      </c>
      <c r="AJ262" s="3">
        <f>intermediate_results[[#This Row], [All cumulative times '[sec']]] / intermediate_results[[#This Row], [Team7 laps '[laps']]] - intermediate_results[[#This Row], [Total running average '[sec']]]</f>
        <v>0</v>
      </c>
      <c r="AK262" s="3">
        <f>intermediate_results[[#This Row], [All cumulative times '[sec']]] / intermediate_results[[#This Row], [Team8 laps '[laps']]] - intermediate_results[[#This Row], [Total running average '[sec']]]</f>
        <v>0</v>
      </c>
      <c r="AL262" s="3">
        <f>intermediate_results[[#This Row], [All cumulative times '[sec']]] / intermediate_results[[#This Row], [Team9 laps '[laps']]] - intermediate_results[[#This Row], [Total running average '[sec']]]</f>
        <v>0</v>
      </c>
    </row>
    <row r="263" spans="1:38">
      <c r="A263" s="3">
        <v>1613.301</v>
      </c>
      <c r="B26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3" s="3">
        <f>intermediate_results[[#This Row], [Team1 laps '[laps']]] - intermediate_results[[#This Row], [Team1 laps '[laps']]]</f>
        <v>0</v>
      </c>
      <c r="L263" s="3">
        <f>intermediate_results[[#This Row], [Team1 laps '[laps']]] - intermediate_results[[#This Row], [Team2 laps '[laps']]]</f>
        <v>0</v>
      </c>
      <c r="M263" s="3">
        <f>intermediate_results[[#This Row], [Team1 laps '[laps']]] - intermediate_results[[#This Row], [Team3 laps '[laps']]]</f>
        <v>0</v>
      </c>
      <c r="N263" s="3">
        <f>intermediate_results[[#This Row], [Team1 laps '[laps']]] - intermediate_results[[#This Row], [Team4 laps '[laps']]]</f>
        <v>0</v>
      </c>
      <c r="O263" s="3">
        <f>intermediate_results[[#This Row], [Team1 laps '[laps']]] - intermediate_results[[#This Row], [Team5 laps '[laps']]]</f>
        <v>0</v>
      </c>
      <c r="P263" s="3">
        <f>intermediate_results[[#This Row], [Team1 laps '[laps']]] - intermediate_results[[#This Row], [Team6 laps '[laps']]]</f>
        <v>0</v>
      </c>
      <c r="Q263" s="3">
        <f>intermediate_results[[#This Row], [Team1 laps '[laps']]] - intermediate_results[[#This Row], [Team7 laps '[laps']]]</f>
        <v>0</v>
      </c>
      <c r="R263" s="3">
        <f>intermediate_results[[#This Row], [Team1 laps '[laps']]] - intermediate_results[[#This Row], [Team8 laps '[laps']]]</f>
        <v>0</v>
      </c>
      <c r="S263" s="3">
        <f>intermediate_results[[#This Row], [Team1 laps '[laps']]] - intermediate_results[[#This Row], [Team9 laps '[laps']]]</f>
        <v>0</v>
      </c>
      <c r="T263" s="3">
        <f>MAX(intermediate_results[[#This Row], [Team1 laps '[laps']]:[Team9 laps '[laps']]]) - intermediate_results[[#This Row], [Team1 laps '[laps']]]</f>
        <v>0</v>
      </c>
      <c r="U263" s="3">
        <f>MAX(intermediate_results[[#This Row], [Team1 laps '[laps']]:[Team9 laps '[laps']]]) - intermediate_results[[#This Row], [Team2 laps '[laps']]]</f>
        <v>0</v>
      </c>
      <c r="V263" s="3">
        <f>MAX(intermediate_results[[#This Row], [Team1 laps '[laps']]:[Team9 laps '[laps']]]) - intermediate_results[[#This Row], [Team3 laps '[laps']]]</f>
        <v>0</v>
      </c>
      <c r="W263" s="3">
        <f>MAX(intermediate_results[[#This Row], [Team1 laps '[laps']]:[Team9 laps '[laps']]]) - intermediate_results[[#This Row], [Team4 laps '[laps']]]</f>
        <v>0</v>
      </c>
      <c r="X263" s="3">
        <f>MAX(intermediate_results[[#This Row], [Team1 laps '[laps']]:[Team9 laps '[laps']]]) - intermediate_results[[#This Row], [Team5 laps '[laps']]]</f>
        <v>0</v>
      </c>
      <c r="Y263" s="3">
        <f>MAX(intermediate_results[[#This Row], [Team1 laps '[laps']]:[Team9 laps '[laps']]]) - intermediate_results[[#This Row], [Team6 laps '[laps']]]</f>
        <v>0</v>
      </c>
      <c r="Z263" s="3">
        <f>MAX(intermediate_results[[#This Row], [Team1 laps '[laps']]:[Team9 laps '[laps']]]) - intermediate_results[[#This Row], [Team7 laps '[laps']]]</f>
        <v>0</v>
      </c>
      <c r="AA263" s="3">
        <f>MAX(intermediate_results[[#This Row], [Team1 laps '[laps']]:[Team9 laps '[laps']]]) - intermediate_results[[#This Row], [Team8 laps '[laps']]]</f>
        <v>0</v>
      </c>
      <c r="AB263" s="3">
        <f>MAX(intermediate_results[[#This Row], [Team1 laps '[laps']]:[Team9 laps '[laps']]]) - intermediate_results[[#This Row], [Team9 laps '[laps']]]</f>
        <v>0</v>
      </c>
      <c r="AC263" s="3">
        <f>9 * intermediate_results[[#This Row], [All cumulative times '[sec']]] / SUM(intermediate_results[[#This Row], [Team1 laps '[laps']]:[Team9 laps '[laps']]])</f>
        <v>0</v>
      </c>
      <c r="AD263" s="3">
        <f>intermediate_results[[#This Row], [All cumulative times '[sec']]] / intermediate_results[[#This Row], [Team1 laps '[laps']]] - intermediate_results[[#This Row], [Total running average '[sec']]]</f>
        <v>0</v>
      </c>
      <c r="AE263" s="3">
        <f>intermediate_results[[#This Row], [All cumulative times '[sec']]] / intermediate_results[[#This Row], [Team2 laps '[laps']]] - intermediate_results[[#This Row], [Total running average '[sec']]]</f>
        <v>0</v>
      </c>
      <c r="AF263" s="3">
        <f>intermediate_results[[#This Row], [All cumulative times '[sec']]] / intermediate_results[[#This Row], [Team3 laps '[laps']]] - intermediate_results[[#This Row], [Total running average '[sec']]]</f>
        <v>0</v>
      </c>
      <c r="AG263" s="3">
        <f>intermediate_results[[#This Row], [All cumulative times '[sec']]] / intermediate_results[[#This Row], [Team4 laps '[laps']]] - intermediate_results[[#This Row], [Total running average '[sec']]]</f>
        <v>0</v>
      </c>
      <c r="AH263" s="3">
        <f>intermediate_results[[#This Row], [All cumulative times '[sec']]] / intermediate_results[[#This Row], [Team5 laps '[laps']]] - intermediate_results[[#This Row], [Total running average '[sec']]]</f>
        <v>0</v>
      </c>
      <c r="AI263" s="3">
        <f>intermediate_results[[#This Row], [All cumulative times '[sec']]] / intermediate_results[[#This Row], [Team6 laps '[laps']]] - intermediate_results[[#This Row], [Total running average '[sec']]]</f>
        <v>0</v>
      </c>
      <c r="AJ263" s="3">
        <f>intermediate_results[[#This Row], [All cumulative times '[sec']]] / intermediate_results[[#This Row], [Team7 laps '[laps']]] - intermediate_results[[#This Row], [Total running average '[sec']]]</f>
        <v>0</v>
      </c>
      <c r="AK263" s="3">
        <f>intermediate_results[[#This Row], [All cumulative times '[sec']]] / intermediate_results[[#This Row], [Team8 laps '[laps']]] - intermediate_results[[#This Row], [Total running average '[sec']]]</f>
        <v>0</v>
      </c>
      <c r="AL263" s="3">
        <f>intermediate_results[[#This Row], [All cumulative times '[sec']]] / intermediate_results[[#This Row], [Team9 laps '[laps']]] - intermediate_results[[#This Row], [Total running average '[sec']]]</f>
        <v>0</v>
      </c>
    </row>
    <row r="264" spans="1:38">
      <c r="A264" s="3">
        <v>1634.247</v>
      </c>
      <c r="B26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4" s="3">
        <f>intermediate_results[[#This Row], [Team1 laps '[laps']]] - intermediate_results[[#This Row], [Team1 laps '[laps']]]</f>
        <v>0</v>
      </c>
      <c r="L264" s="3">
        <f>intermediate_results[[#This Row], [Team1 laps '[laps']]] - intermediate_results[[#This Row], [Team2 laps '[laps']]]</f>
        <v>0</v>
      </c>
      <c r="M264" s="3">
        <f>intermediate_results[[#This Row], [Team1 laps '[laps']]] - intermediate_results[[#This Row], [Team3 laps '[laps']]]</f>
        <v>0</v>
      </c>
      <c r="N264" s="3">
        <f>intermediate_results[[#This Row], [Team1 laps '[laps']]] - intermediate_results[[#This Row], [Team4 laps '[laps']]]</f>
        <v>0</v>
      </c>
      <c r="O264" s="3">
        <f>intermediate_results[[#This Row], [Team1 laps '[laps']]] - intermediate_results[[#This Row], [Team5 laps '[laps']]]</f>
        <v>0</v>
      </c>
      <c r="P264" s="3">
        <f>intermediate_results[[#This Row], [Team1 laps '[laps']]] - intermediate_results[[#This Row], [Team6 laps '[laps']]]</f>
        <v>0</v>
      </c>
      <c r="Q264" s="3">
        <f>intermediate_results[[#This Row], [Team1 laps '[laps']]] - intermediate_results[[#This Row], [Team7 laps '[laps']]]</f>
        <v>0</v>
      </c>
      <c r="R264" s="3">
        <f>intermediate_results[[#This Row], [Team1 laps '[laps']]] - intermediate_results[[#This Row], [Team8 laps '[laps']]]</f>
        <v>0</v>
      </c>
      <c r="S264" s="3">
        <f>intermediate_results[[#This Row], [Team1 laps '[laps']]] - intermediate_results[[#This Row], [Team9 laps '[laps']]]</f>
        <v>0</v>
      </c>
      <c r="T264" s="3">
        <f>MAX(intermediate_results[[#This Row], [Team1 laps '[laps']]:[Team9 laps '[laps']]]) - intermediate_results[[#This Row], [Team1 laps '[laps']]]</f>
        <v>0</v>
      </c>
      <c r="U264" s="3">
        <f>MAX(intermediate_results[[#This Row], [Team1 laps '[laps']]:[Team9 laps '[laps']]]) - intermediate_results[[#This Row], [Team2 laps '[laps']]]</f>
        <v>0</v>
      </c>
      <c r="V264" s="3">
        <f>MAX(intermediate_results[[#This Row], [Team1 laps '[laps']]:[Team9 laps '[laps']]]) - intermediate_results[[#This Row], [Team3 laps '[laps']]]</f>
        <v>0</v>
      </c>
      <c r="W264" s="3">
        <f>MAX(intermediate_results[[#This Row], [Team1 laps '[laps']]:[Team9 laps '[laps']]]) - intermediate_results[[#This Row], [Team4 laps '[laps']]]</f>
        <v>0</v>
      </c>
      <c r="X264" s="3">
        <f>MAX(intermediate_results[[#This Row], [Team1 laps '[laps']]:[Team9 laps '[laps']]]) - intermediate_results[[#This Row], [Team5 laps '[laps']]]</f>
        <v>0</v>
      </c>
      <c r="Y264" s="3">
        <f>MAX(intermediate_results[[#This Row], [Team1 laps '[laps']]:[Team9 laps '[laps']]]) - intermediate_results[[#This Row], [Team6 laps '[laps']]]</f>
        <v>0</v>
      </c>
      <c r="Z264" s="3">
        <f>MAX(intermediate_results[[#This Row], [Team1 laps '[laps']]:[Team9 laps '[laps']]]) - intermediate_results[[#This Row], [Team7 laps '[laps']]]</f>
        <v>0</v>
      </c>
      <c r="AA264" s="3">
        <f>MAX(intermediate_results[[#This Row], [Team1 laps '[laps']]:[Team9 laps '[laps']]]) - intermediate_results[[#This Row], [Team8 laps '[laps']]]</f>
        <v>0</v>
      </c>
      <c r="AB264" s="3">
        <f>MAX(intermediate_results[[#This Row], [Team1 laps '[laps']]:[Team9 laps '[laps']]]) - intermediate_results[[#This Row], [Team9 laps '[laps']]]</f>
        <v>0</v>
      </c>
      <c r="AC264" s="3">
        <f>9 * intermediate_results[[#This Row], [All cumulative times '[sec']]] / SUM(intermediate_results[[#This Row], [Team1 laps '[laps']]:[Team9 laps '[laps']]])</f>
        <v>0</v>
      </c>
      <c r="AD264" s="3">
        <f>intermediate_results[[#This Row], [All cumulative times '[sec']]] / intermediate_results[[#This Row], [Team1 laps '[laps']]] - intermediate_results[[#This Row], [Total running average '[sec']]]</f>
        <v>0</v>
      </c>
      <c r="AE264" s="3">
        <f>intermediate_results[[#This Row], [All cumulative times '[sec']]] / intermediate_results[[#This Row], [Team2 laps '[laps']]] - intermediate_results[[#This Row], [Total running average '[sec']]]</f>
        <v>0</v>
      </c>
      <c r="AF264" s="3">
        <f>intermediate_results[[#This Row], [All cumulative times '[sec']]] / intermediate_results[[#This Row], [Team3 laps '[laps']]] - intermediate_results[[#This Row], [Total running average '[sec']]]</f>
        <v>0</v>
      </c>
      <c r="AG264" s="3">
        <f>intermediate_results[[#This Row], [All cumulative times '[sec']]] / intermediate_results[[#This Row], [Team4 laps '[laps']]] - intermediate_results[[#This Row], [Total running average '[sec']]]</f>
        <v>0</v>
      </c>
      <c r="AH264" s="3">
        <f>intermediate_results[[#This Row], [All cumulative times '[sec']]] / intermediate_results[[#This Row], [Team5 laps '[laps']]] - intermediate_results[[#This Row], [Total running average '[sec']]]</f>
        <v>0</v>
      </c>
      <c r="AI264" s="3">
        <f>intermediate_results[[#This Row], [All cumulative times '[sec']]] / intermediate_results[[#This Row], [Team6 laps '[laps']]] - intermediate_results[[#This Row], [Total running average '[sec']]]</f>
        <v>0</v>
      </c>
      <c r="AJ264" s="3">
        <f>intermediate_results[[#This Row], [All cumulative times '[sec']]] / intermediate_results[[#This Row], [Team7 laps '[laps']]] - intermediate_results[[#This Row], [Total running average '[sec']]]</f>
        <v>0</v>
      </c>
      <c r="AK264" s="3">
        <f>intermediate_results[[#This Row], [All cumulative times '[sec']]] / intermediate_results[[#This Row], [Team8 laps '[laps']]] - intermediate_results[[#This Row], [Total running average '[sec']]]</f>
        <v>0</v>
      </c>
      <c r="AL264" s="3">
        <f>intermediate_results[[#This Row], [All cumulative times '[sec']]] / intermediate_results[[#This Row], [Team9 laps '[laps']]] - intermediate_results[[#This Row], [Total running average '[sec']]]</f>
        <v>0</v>
      </c>
    </row>
    <row r="265" spans="1:38">
      <c r="A265" s="3">
        <v>1634.453</v>
      </c>
      <c r="B26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5" s="3">
        <f>intermediate_results[[#This Row], [Team1 laps '[laps']]] - intermediate_results[[#This Row], [Team1 laps '[laps']]]</f>
        <v>0</v>
      </c>
      <c r="L265" s="3">
        <f>intermediate_results[[#This Row], [Team1 laps '[laps']]] - intermediate_results[[#This Row], [Team2 laps '[laps']]]</f>
        <v>0</v>
      </c>
      <c r="M265" s="3">
        <f>intermediate_results[[#This Row], [Team1 laps '[laps']]] - intermediate_results[[#This Row], [Team3 laps '[laps']]]</f>
        <v>0</v>
      </c>
      <c r="N265" s="3">
        <f>intermediate_results[[#This Row], [Team1 laps '[laps']]] - intermediate_results[[#This Row], [Team4 laps '[laps']]]</f>
        <v>0</v>
      </c>
      <c r="O265" s="3">
        <f>intermediate_results[[#This Row], [Team1 laps '[laps']]] - intermediate_results[[#This Row], [Team5 laps '[laps']]]</f>
        <v>0</v>
      </c>
      <c r="P265" s="3">
        <f>intermediate_results[[#This Row], [Team1 laps '[laps']]] - intermediate_results[[#This Row], [Team6 laps '[laps']]]</f>
        <v>0</v>
      </c>
      <c r="Q265" s="3">
        <f>intermediate_results[[#This Row], [Team1 laps '[laps']]] - intermediate_results[[#This Row], [Team7 laps '[laps']]]</f>
        <v>0</v>
      </c>
      <c r="R265" s="3">
        <f>intermediate_results[[#This Row], [Team1 laps '[laps']]] - intermediate_results[[#This Row], [Team8 laps '[laps']]]</f>
        <v>0</v>
      </c>
      <c r="S265" s="3">
        <f>intermediate_results[[#This Row], [Team1 laps '[laps']]] - intermediate_results[[#This Row], [Team9 laps '[laps']]]</f>
        <v>0</v>
      </c>
      <c r="T265" s="3">
        <f>MAX(intermediate_results[[#This Row], [Team1 laps '[laps']]:[Team9 laps '[laps']]]) - intermediate_results[[#This Row], [Team1 laps '[laps']]]</f>
        <v>0</v>
      </c>
      <c r="U265" s="3">
        <f>MAX(intermediate_results[[#This Row], [Team1 laps '[laps']]:[Team9 laps '[laps']]]) - intermediate_results[[#This Row], [Team2 laps '[laps']]]</f>
        <v>0</v>
      </c>
      <c r="V265" s="3">
        <f>MAX(intermediate_results[[#This Row], [Team1 laps '[laps']]:[Team9 laps '[laps']]]) - intermediate_results[[#This Row], [Team3 laps '[laps']]]</f>
        <v>0</v>
      </c>
      <c r="W265" s="3">
        <f>MAX(intermediate_results[[#This Row], [Team1 laps '[laps']]:[Team9 laps '[laps']]]) - intermediate_results[[#This Row], [Team4 laps '[laps']]]</f>
        <v>0</v>
      </c>
      <c r="X265" s="3">
        <f>MAX(intermediate_results[[#This Row], [Team1 laps '[laps']]:[Team9 laps '[laps']]]) - intermediate_results[[#This Row], [Team5 laps '[laps']]]</f>
        <v>0</v>
      </c>
      <c r="Y265" s="3">
        <f>MAX(intermediate_results[[#This Row], [Team1 laps '[laps']]:[Team9 laps '[laps']]]) - intermediate_results[[#This Row], [Team6 laps '[laps']]]</f>
        <v>0</v>
      </c>
      <c r="Z265" s="3">
        <f>MAX(intermediate_results[[#This Row], [Team1 laps '[laps']]:[Team9 laps '[laps']]]) - intermediate_results[[#This Row], [Team7 laps '[laps']]]</f>
        <v>0</v>
      </c>
      <c r="AA265" s="3">
        <f>MAX(intermediate_results[[#This Row], [Team1 laps '[laps']]:[Team9 laps '[laps']]]) - intermediate_results[[#This Row], [Team8 laps '[laps']]]</f>
        <v>0</v>
      </c>
      <c r="AB265" s="3">
        <f>MAX(intermediate_results[[#This Row], [Team1 laps '[laps']]:[Team9 laps '[laps']]]) - intermediate_results[[#This Row], [Team9 laps '[laps']]]</f>
        <v>0</v>
      </c>
      <c r="AC265" s="3">
        <f>9 * intermediate_results[[#This Row], [All cumulative times '[sec']]] / SUM(intermediate_results[[#This Row], [Team1 laps '[laps']]:[Team9 laps '[laps']]])</f>
        <v>0</v>
      </c>
      <c r="AD265" s="3">
        <f>intermediate_results[[#This Row], [All cumulative times '[sec']]] / intermediate_results[[#This Row], [Team1 laps '[laps']]] - intermediate_results[[#This Row], [Total running average '[sec']]]</f>
        <v>0</v>
      </c>
      <c r="AE265" s="3">
        <f>intermediate_results[[#This Row], [All cumulative times '[sec']]] / intermediate_results[[#This Row], [Team2 laps '[laps']]] - intermediate_results[[#This Row], [Total running average '[sec']]]</f>
        <v>0</v>
      </c>
      <c r="AF265" s="3">
        <f>intermediate_results[[#This Row], [All cumulative times '[sec']]] / intermediate_results[[#This Row], [Team3 laps '[laps']]] - intermediate_results[[#This Row], [Total running average '[sec']]]</f>
        <v>0</v>
      </c>
      <c r="AG265" s="3">
        <f>intermediate_results[[#This Row], [All cumulative times '[sec']]] / intermediate_results[[#This Row], [Team4 laps '[laps']]] - intermediate_results[[#This Row], [Total running average '[sec']]]</f>
        <v>0</v>
      </c>
      <c r="AH265" s="3">
        <f>intermediate_results[[#This Row], [All cumulative times '[sec']]] / intermediate_results[[#This Row], [Team5 laps '[laps']]] - intermediate_results[[#This Row], [Total running average '[sec']]]</f>
        <v>0</v>
      </c>
      <c r="AI265" s="3">
        <f>intermediate_results[[#This Row], [All cumulative times '[sec']]] / intermediate_results[[#This Row], [Team6 laps '[laps']]] - intermediate_results[[#This Row], [Total running average '[sec']]]</f>
        <v>0</v>
      </c>
      <c r="AJ265" s="3">
        <f>intermediate_results[[#This Row], [All cumulative times '[sec']]] / intermediate_results[[#This Row], [Team7 laps '[laps']]] - intermediate_results[[#This Row], [Total running average '[sec']]]</f>
        <v>0</v>
      </c>
      <c r="AK265" s="3">
        <f>intermediate_results[[#This Row], [All cumulative times '[sec']]] / intermediate_results[[#This Row], [Team8 laps '[laps']]] - intermediate_results[[#This Row], [Total running average '[sec']]]</f>
        <v>0</v>
      </c>
      <c r="AL265" s="3">
        <f>intermediate_results[[#This Row], [All cumulative times '[sec']]] / intermediate_results[[#This Row], [Team9 laps '[laps']]] - intermediate_results[[#This Row], [Total running average '[sec']]]</f>
        <v>0</v>
      </c>
    </row>
    <row r="266" spans="1:38">
      <c r="A266" s="3">
        <v>1635.501</v>
      </c>
      <c r="B26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6" s="3">
        <f>intermediate_results[[#This Row], [Team1 laps '[laps']]] - intermediate_results[[#This Row], [Team1 laps '[laps']]]</f>
        <v>0</v>
      </c>
      <c r="L266" s="3">
        <f>intermediate_results[[#This Row], [Team1 laps '[laps']]] - intermediate_results[[#This Row], [Team2 laps '[laps']]]</f>
        <v>0</v>
      </c>
      <c r="M266" s="3">
        <f>intermediate_results[[#This Row], [Team1 laps '[laps']]] - intermediate_results[[#This Row], [Team3 laps '[laps']]]</f>
        <v>0</v>
      </c>
      <c r="N266" s="3">
        <f>intermediate_results[[#This Row], [Team1 laps '[laps']]] - intermediate_results[[#This Row], [Team4 laps '[laps']]]</f>
        <v>0</v>
      </c>
      <c r="O266" s="3">
        <f>intermediate_results[[#This Row], [Team1 laps '[laps']]] - intermediate_results[[#This Row], [Team5 laps '[laps']]]</f>
        <v>0</v>
      </c>
      <c r="P266" s="3">
        <f>intermediate_results[[#This Row], [Team1 laps '[laps']]] - intermediate_results[[#This Row], [Team6 laps '[laps']]]</f>
        <v>0</v>
      </c>
      <c r="Q266" s="3">
        <f>intermediate_results[[#This Row], [Team1 laps '[laps']]] - intermediate_results[[#This Row], [Team7 laps '[laps']]]</f>
        <v>0</v>
      </c>
      <c r="R266" s="3">
        <f>intermediate_results[[#This Row], [Team1 laps '[laps']]] - intermediate_results[[#This Row], [Team8 laps '[laps']]]</f>
        <v>0</v>
      </c>
      <c r="S266" s="3">
        <f>intermediate_results[[#This Row], [Team1 laps '[laps']]] - intermediate_results[[#This Row], [Team9 laps '[laps']]]</f>
        <v>0</v>
      </c>
      <c r="T266" s="3">
        <f>MAX(intermediate_results[[#This Row], [Team1 laps '[laps']]:[Team9 laps '[laps']]]) - intermediate_results[[#This Row], [Team1 laps '[laps']]]</f>
        <v>0</v>
      </c>
      <c r="U266" s="3">
        <f>MAX(intermediate_results[[#This Row], [Team1 laps '[laps']]:[Team9 laps '[laps']]]) - intermediate_results[[#This Row], [Team2 laps '[laps']]]</f>
        <v>0</v>
      </c>
      <c r="V266" s="3">
        <f>MAX(intermediate_results[[#This Row], [Team1 laps '[laps']]:[Team9 laps '[laps']]]) - intermediate_results[[#This Row], [Team3 laps '[laps']]]</f>
        <v>0</v>
      </c>
      <c r="W266" s="3">
        <f>MAX(intermediate_results[[#This Row], [Team1 laps '[laps']]:[Team9 laps '[laps']]]) - intermediate_results[[#This Row], [Team4 laps '[laps']]]</f>
        <v>0</v>
      </c>
      <c r="X266" s="3">
        <f>MAX(intermediate_results[[#This Row], [Team1 laps '[laps']]:[Team9 laps '[laps']]]) - intermediate_results[[#This Row], [Team5 laps '[laps']]]</f>
        <v>0</v>
      </c>
      <c r="Y266" s="3">
        <f>MAX(intermediate_results[[#This Row], [Team1 laps '[laps']]:[Team9 laps '[laps']]]) - intermediate_results[[#This Row], [Team6 laps '[laps']]]</f>
        <v>0</v>
      </c>
      <c r="Z266" s="3">
        <f>MAX(intermediate_results[[#This Row], [Team1 laps '[laps']]:[Team9 laps '[laps']]]) - intermediate_results[[#This Row], [Team7 laps '[laps']]]</f>
        <v>0</v>
      </c>
      <c r="AA266" s="3">
        <f>MAX(intermediate_results[[#This Row], [Team1 laps '[laps']]:[Team9 laps '[laps']]]) - intermediate_results[[#This Row], [Team8 laps '[laps']]]</f>
        <v>0</v>
      </c>
      <c r="AB266" s="3">
        <f>MAX(intermediate_results[[#This Row], [Team1 laps '[laps']]:[Team9 laps '[laps']]]) - intermediate_results[[#This Row], [Team9 laps '[laps']]]</f>
        <v>0</v>
      </c>
      <c r="AC266" s="3">
        <f>9 * intermediate_results[[#This Row], [All cumulative times '[sec']]] / SUM(intermediate_results[[#This Row], [Team1 laps '[laps']]:[Team9 laps '[laps']]])</f>
        <v>0</v>
      </c>
      <c r="AD266" s="3">
        <f>intermediate_results[[#This Row], [All cumulative times '[sec']]] / intermediate_results[[#This Row], [Team1 laps '[laps']]] - intermediate_results[[#This Row], [Total running average '[sec']]]</f>
        <v>0</v>
      </c>
      <c r="AE266" s="3">
        <f>intermediate_results[[#This Row], [All cumulative times '[sec']]] / intermediate_results[[#This Row], [Team2 laps '[laps']]] - intermediate_results[[#This Row], [Total running average '[sec']]]</f>
        <v>0</v>
      </c>
      <c r="AF266" s="3">
        <f>intermediate_results[[#This Row], [All cumulative times '[sec']]] / intermediate_results[[#This Row], [Team3 laps '[laps']]] - intermediate_results[[#This Row], [Total running average '[sec']]]</f>
        <v>0</v>
      </c>
      <c r="AG266" s="3">
        <f>intermediate_results[[#This Row], [All cumulative times '[sec']]] / intermediate_results[[#This Row], [Team4 laps '[laps']]] - intermediate_results[[#This Row], [Total running average '[sec']]]</f>
        <v>0</v>
      </c>
      <c r="AH266" s="3">
        <f>intermediate_results[[#This Row], [All cumulative times '[sec']]] / intermediate_results[[#This Row], [Team5 laps '[laps']]] - intermediate_results[[#This Row], [Total running average '[sec']]]</f>
        <v>0</v>
      </c>
      <c r="AI266" s="3">
        <f>intermediate_results[[#This Row], [All cumulative times '[sec']]] / intermediate_results[[#This Row], [Team6 laps '[laps']]] - intermediate_results[[#This Row], [Total running average '[sec']]]</f>
        <v>0</v>
      </c>
      <c r="AJ266" s="3">
        <f>intermediate_results[[#This Row], [All cumulative times '[sec']]] / intermediate_results[[#This Row], [Team7 laps '[laps']]] - intermediate_results[[#This Row], [Total running average '[sec']]]</f>
        <v>0</v>
      </c>
      <c r="AK266" s="3">
        <f>intermediate_results[[#This Row], [All cumulative times '[sec']]] / intermediate_results[[#This Row], [Team8 laps '[laps']]] - intermediate_results[[#This Row], [Total running average '[sec']]]</f>
        <v>0</v>
      </c>
      <c r="AL266" s="3">
        <f>intermediate_results[[#This Row], [All cumulative times '[sec']]] / intermediate_results[[#This Row], [Team9 laps '[laps']]] - intermediate_results[[#This Row], [Total running average '[sec']]]</f>
        <v>0</v>
      </c>
    </row>
    <row r="267" spans="1:38">
      <c r="A267" s="3">
        <v>1637.64</v>
      </c>
      <c r="B26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7" s="3">
        <f>intermediate_results[[#This Row], [Team1 laps '[laps']]] - intermediate_results[[#This Row], [Team1 laps '[laps']]]</f>
        <v>0</v>
      </c>
      <c r="L267" s="3">
        <f>intermediate_results[[#This Row], [Team1 laps '[laps']]] - intermediate_results[[#This Row], [Team2 laps '[laps']]]</f>
        <v>0</v>
      </c>
      <c r="M267" s="3">
        <f>intermediate_results[[#This Row], [Team1 laps '[laps']]] - intermediate_results[[#This Row], [Team3 laps '[laps']]]</f>
        <v>0</v>
      </c>
      <c r="N267" s="3">
        <f>intermediate_results[[#This Row], [Team1 laps '[laps']]] - intermediate_results[[#This Row], [Team4 laps '[laps']]]</f>
        <v>0</v>
      </c>
      <c r="O267" s="3">
        <f>intermediate_results[[#This Row], [Team1 laps '[laps']]] - intermediate_results[[#This Row], [Team5 laps '[laps']]]</f>
        <v>0</v>
      </c>
      <c r="P267" s="3">
        <f>intermediate_results[[#This Row], [Team1 laps '[laps']]] - intermediate_results[[#This Row], [Team6 laps '[laps']]]</f>
        <v>0</v>
      </c>
      <c r="Q267" s="3">
        <f>intermediate_results[[#This Row], [Team1 laps '[laps']]] - intermediate_results[[#This Row], [Team7 laps '[laps']]]</f>
        <v>0</v>
      </c>
      <c r="R267" s="3">
        <f>intermediate_results[[#This Row], [Team1 laps '[laps']]] - intermediate_results[[#This Row], [Team8 laps '[laps']]]</f>
        <v>0</v>
      </c>
      <c r="S267" s="3">
        <f>intermediate_results[[#This Row], [Team1 laps '[laps']]] - intermediate_results[[#This Row], [Team9 laps '[laps']]]</f>
        <v>0</v>
      </c>
      <c r="T267" s="3">
        <f>MAX(intermediate_results[[#This Row], [Team1 laps '[laps']]:[Team9 laps '[laps']]]) - intermediate_results[[#This Row], [Team1 laps '[laps']]]</f>
        <v>0</v>
      </c>
      <c r="U267" s="3">
        <f>MAX(intermediate_results[[#This Row], [Team1 laps '[laps']]:[Team9 laps '[laps']]]) - intermediate_results[[#This Row], [Team2 laps '[laps']]]</f>
        <v>0</v>
      </c>
      <c r="V267" s="3">
        <f>MAX(intermediate_results[[#This Row], [Team1 laps '[laps']]:[Team9 laps '[laps']]]) - intermediate_results[[#This Row], [Team3 laps '[laps']]]</f>
        <v>0</v>
      </c>
      <c r="W267" s="3">
        <f>MAX(intermediate_results[[#This Row], [Team1 laps '[laps']]:[Team9 laps '[laps']]]) - intermediate_results[[#This Row], [Team4 laps '[laps']]]</f>
        <v>0</v>
      </c>
      <c r="X267" s="3">
        <f>MAX(intermediate_results[[#This Row], [Team1 laps '[laps']]:[Team9 laps '[laps']]]) - intermediate_results[[#This Row], [Team5 laps '[laps']]]</f>
        <v>0</v>
      </c>
      <c r="Y267" s="3">
        <f>MAX(intermediate_results[[#This Row], [Team1 laps '[laps']]:[Team9 laps '[laps']]]) - intermediate_results[[#This Row], [Team6 laps '[laps']]]</f>
        <v>0</v>
      </c>
      <c r="Z267" s="3">
        <f>MAX(intermediate_results[[#This Row], [Team1 laps '[laps']]:[Team9 laps '[laps']]]) - intermediate_results[[#This Row], [Team7 laps '[laps']]]</f>
        <v>0</v>
      </c>
      <c r="AA267" s="3">
        <f>MAX(intermediate_results[[#This Row], [Team1 laps '[laps']]:[Team9 laps '[laps']]]) - intermediate_results[[#This Row], [Team8 laps '[laps']]]</f>
        <v>0</v>
      </c>
      <c r="AB267" s="3">
        <f>MAX(intermediate_results[[#This Row], [Team1 laps '[laps']]:[Team9 laps '[laps']]]) - intermediate_results[[#This Row], [Team9 laps '[laps']]]</f>
        <v>0</v>
      </c>
      <c r="AC267" s="3">
        <f>9 * intermediate_results[[#This Row], [All cumulative times '[sec']]] / SUM(intermediate_results[[#This Row], [Team1 laps '[laps']]:[Team9 laps '[laps']]])</f>
        <v>0</v>
      </c>
      <c r="AD267" s="3">
        <f>intermediate_results[[#This Row], [All cumulative times '[sec']]] / intermediate_results[[#This Row], [Team1 laps '[laps']]] - intermediate_results[[#This Row], [Total running average '[sec']]]</f>
        <v>0</v>
      </c>
      <c r="AE267" s="3">
        <f>intermediate_results[[#This Row], [All cumulative times '[sec']]] / intermediate_results[[#This Row], [Team2 laps '[laps']]] - intermediate_results[[#This Row], [Total running average '[sec']]]</f>
        <v>0</v>
      </c>
      <c r="AF267" s="3">
        <f>intermediate_results[[#This Row], [All cumulative times '[sec']]] / intermediate_results[[#This Row], [Team3 laps '[laps']]] - intermediate_results[[#This Row], [Total running average '[sec']]]</f>
        <v>0</v>
      </c>
      <c r="AG267" s="3">
        <f>intermediate_results[[#This Row], [All cumulative times '[sec']]] / intermediate_results[[#This Row], [Team4 laps '[laps']]] - intermediate_results[[#This Row], [Total running average '[sec']]]</f>
        <v>0</v>
      </c>
      <c r="AH267" s="3">
        <f>intermediate_results[[#This Row], [All cumulative times '[sec']]] / intermediate_results[[#This Row], [Team5 laps '[laps']]] - intermediate_results[[#This Row], [Total running average '[sec']]]</f>
        <v>0</v>
      </c>
      <c r="AI267" s="3">
        <f>intermediate_results[[#This Row], [All cumulative times '[sec']]] / intermediate_results[[#This Row], [Team6 laps '[laps']]] - intermediate_results[[#This Row], [Total running average '[sec']]]</f>
        <v>0</v>
      </c>
      <c r="AJ267" s="3">
        <f>intermediate_results[[#This Row], [All cumulative times '[sec']]] / intermediate_results[[#This Row], [Team7 laps '[laps']]] - intermediate_results[[#This Row], [Total running average '[sec']]]</f>
        <v>0</v>
      </c>
      <c r="AK267" s="3">
        <f>intermediate_results[[#This Row], [All cumulative times '[sec']]] / intermediate_results[[#This Row], [Team8 laps '[laps']]] - intermediate_results[[#This Row], [Total running average '[sec']]]</f>
        <v>0</v>
      </c>
      <c r="AL267" s="3">
        <f>intermediate_results[[#This Row], [All cumulative times '[sec']]] / intermediate_results[[#This Row], [Team9 laps '[laps']]] - intermediate_results[[#This Row], [Total running average '[sec']]]</f>
        <v>0</v>
      </c>
    </row>
    <row r="268" spans="1:38">
      <c r="A268" s="3">
        <v>1646.942</v>
      </c>
      <c r="B26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8" s="3">
        <f>intermediate_results[[#This Row], [Team1 laps '[laps']]] - intermediate_results[[#This Row], [Team1 laps '[laps']]]</f>
        <v>0</v>
      </c>
      <c r="L268" s="3">
        <f>intermediate_results[[#This Row], [Team1 laps '[laps']]] - intermediate_results[[#This Row], [Team2 laps '[laps']]]</f>
        <v>0</v>
      </c>
      <c r="M268" s="3">
        <f>intermediate_results[[#This Row], [Team1 laps '[laps']]] - intermediate_results[[#This Row], [Team3 laps '[laps']]]</f>
        <v>0</v>
      </c>
      <c r="N268" s="3">
        <f>intermediate_results[[#This Row], [Team1 laps '[laps']]] - intermediate_results[[#This Row], [Team4 laps '[laps']]]</f>
        <v>0</v>
      </c>
      <c r="O268" s="3">
        <f>intermediate_results[[#This Row], [Team1 laps '[laps']]] - intermediate_results[[#This Row], [Team5 laps '[laps']]]</f>
        <v>0</v>
      </c>
      <c r="P268" s="3">
        <f>intermediate_results[[#This Row], [Team1 laps '[laps']]] - intermediate_results[[#This Row], [Team6 laps '[laps']]]</f>
        <v>0</v>
      </c>
      <c r="Q268" s="3">
        <f>intermediate_results[[#This Row], [Team1 laps '[laps']]] - intermediate_results[[#This Row], [Team7 laps '[laps']]]</f>
        <v>0</v>
      </c>
      <c r="R268" s="3">
        <f>intermediate_results[[#This Row], [Team1 laps '[laps']]] - intermediate_results[[#This Row], [Team8 laps '[laps']]]</f>
        <v>0</v>
      </c>
      <c r="S268" s="3">
        <f>intermediate_results[[#This Row], [Team1 laps '[laps']]] - intermediate_results[[#This Row], [Team9 laps '[laps']]]</f>
        <v>0</v>
      </c>
      <c r="T268" s="3">
        <f>MAX(intermediate_results[[#This Row], [Team1 laps '[laps']]:[Team9 laps '[laps']]]) - intermediate_results[[#This Row], [Team1 laps '[laps']]]</f>
        <v>0</v>
      </c>
      <c r="U268" s="3">
        <f>MAX(intermediate_results[[#This Row], [Team1 laps '[laps']]:[Team9 laps '[laps']]]) - intermediate_results[[#This Row], [Team2 laps '[laps']]]</f>
        <v>0</v>
      </c>
      <c r="V268" s="3">
        <f>MAX(intermediate_results[[#This Row], [Team1 laps '[laps']]:[Team9 laps '[laps']]]) - intermediate_results[[#This Row], [Team3 laps '[laps']]]</f>
        <v>0</v>
      </c>
      <c r="W268" s="3">
        <f>MAX(intermediate_results[[#This Row], [Team1 laps '[laps']]:[Team9 laps '[laps']]]) - intermediate_results[[#This Row], [Team4 laps '[laps']]]</f>
        <v>0</v>
      </c>
      <c r="X268" s="3">
        <f>MAX(intermediate_results[[#This Row], [Team1 laps '[laps']]:[Team9 laps '[laps']]]) - intermediate_results[[#This Row], [Team5 laps '[laps']]]</f>
        <v>0</v>
      </c>
      <c r="Y268" s="3">
        <f>MAX(intermediate_results[[#This Row], [Team1 laps '[laps']]:[Team9 laps '[laps']]]) - intermediate_results[[#This Row], [Team6 laps '[laps']]]</f>
        <v>0</v>
      </c>
      <c r="Z268" s="3">
        <f>MAX(intermediate_results[[#This Row], [Team1 laps '[laps']]:[Team9 laps '[laps']]]) - intermediate_results[[#This Row], [Team7 laps '[laps']]]</f>
        <v>0</v>
      </c>
      <c r="AA268" s="3">
        <f>MAX(intermediate_results[[#This Row], [Team1 laps '[laps']]:[Team9 laps '[laps']]]) - intermediate_results[[#This Row], [Team8 laps '[laps']]]</f>
        <v>0</v>
      </c>
      <c r="AB268" s="3">
        <f>MAX(intermediate_results[[#This Row], [Team1 laps '[laps']]:[Team9 laps '[laps']]]) - intermediate_results[[#This Row], [Team9 laps '[laps']]]</f>
        <v>0</v>
      </c>
      <c r="AC268" s="3">
        <f>9 * intermediate_results[[#This Row], [All cumulative times '[sec']]] / SUM(intermediate_results[[#This Row], [Team1 laps '[laps']]:[Team9 laps '[laps']]])</f>
        <v>0</v>
      </c>
      <c r="AD268" s="3">
        <f>intermediate_results[[#This Row], [All cumulative times '[sec']]] / intermediate_results[[#This Row], [Team1 laps '[laps']]] - intermediate_results[[#This Row], [Total running average '[sec']]]</f>
        <v>0</v>
      </c>
      <c r="AE268" s="3">
        <f>intermediate_results[[#This Row], [All cumulative times '[sec']]] / intermediate_results[[#This Row], [Team2 laps '[laps']]] - intermediate_results[[#This Row], [Total running average '[sec']]]</f>
        <v>0</v>
      </c>
      <c r="AF268" s="3">
        <f>intermediate_results[[#This Row], [All cumulative times '[sec']]] / intermediate_results[[#This Row], [Team3 laps '[laps']]] - intermediate_results[[#This Row], [Total running average '[sec']]]</f>
        <v>0</v>
      </c>
      <c r="AG268" s="3">
        <f>intermediate_results[[#This Row], [All cumulative times '[sec']]] / intermediate_results[[#This Row], [Team4 laps '[laps']]] - intermediate_results[[#This Row], [Total running average '[sec']]]</f>
        <v>0</v>
      </c>
      <c r="AH268" s="3">
        <f>intermediate_results[[#This Row], [All cumulative times '[sec']]] / intermediate_results[[#This Row], [Team5 laps '[laps']]] - intermediate_results[[#This Row], [Total running average '[sec']]]</f>
        <v>0</v>
      </c>
      <c r="AI268" s="3">
        <f>intermediate_results[[#This Row], [All cumulative times '[sec']]] / intermediate_results[[#This Row], [Team6 laps '[laps']]] - intermediate_results[[#This Row], [Total running average '[sec']]]</f>
        <v>0</v>
      </c>
      <c r="AJ268" s="3">
        <f>intermediate_results[[#This Row], [All cumulative times '[sec']]] / intermediate_results[[#This Row], [Team7 laps '[laps']]] - intermediate_results[[#This Row], [Total running average '[sec']]]</f>
        <v>0</v>
      </c>
      <c r="AK268" s="3">
        <f>intermediate_results[[#This Row], [All cumulative times '[sec']]] / intermediate_results[[#This Row], [Team8 laps '[laps']]] - intermediate_results[[#This Row], [Total running average '[sec']]]</f>
        <v>0</v>
      </c>
      <c r="AL268" s="3">
        <f>intermediate_results[[#This Row], [All cumulative times '[sec']]] / intermediate_results[[#This Row], [Team9 laps '[laps']]] - intermediate_results[[#This Row], [Total running average '[sec']]]</f>
        <v>0</v>
      </c>
    </row>
    <row r="269" spans="1:38">
      <c r="A269" s="3">
        <v>1648.129</v>
      </c>
      <c r="B26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6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6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6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6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6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6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6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6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69" s="3">
        <f>intermediate_results[[#This Row], [Team1 laps '[laps']]] - intermediate_results[[#This Row], [Team1 laps '[laps']]]</f>
        <v>0</v>
      </c>
      <c r="L269" s="3">
        <f>intermediate_results[[#This Row], [Team1 laps '[laps']]] - intermediate_results[[#This Row], [Team2 laps '[laps']]]</f>
        <v>0</v>
      </c>
      <c r="M269" s="3">
        <f>intermediate_results[[#This Row], [Team1 laps '[laps']]] - intermediate_results[[#This Row], [Team3 laps '[laps']]]</f>
        <v>0</v>
      </c>
      <c r="N269" s="3">
        <f>intermediate_results[[#This Row], [Team1 laps '[laps']]] - intermediate_results[[#This Row], [Team4 laps '[laps']]]</f>
        <v>0</v>
      </c>
      <c r="O269" s="3">
        <f>intermediate_results[[#This Row], [Team1 laps '[laps']]] - intermediate_results[[#This Row], [Team5 laps '[laps']]]</f>
        <v>0</v>
      </c>
      <c r="P269" s="3">
        <f>intermediate_results[[#This Row], [Team1 laps '[laps']]] - intermediate_results[[#This Row], [Team6 laps '[laps']]]</f>
        <v>0</v>
      </c>
      <c r="Q269" s="3">
        <f>intermediate_results[[#This Row], [Team1 laps '[laps']]] - intermediate_results[[#This Row], [Team7 laps '[laps']]]</f>
        <v>0</v>
      </c>
      <c r="R269" s="3">
        <f>intermediate_results[[#This Row], [Team1 laps '[laps']]] - intermediate_results[[#This Row], [Team8 laps '[laps']]]</f>
        <v>0</v>
      </c>
      <c r="S269" s="3">
        <f>intermediate_results[[#This Row], [Team1 laps '[laps']]] - intermediate_results[[#This Row], [Team9 laps '[laps']]]</f>
        <v>0</v>
      </c>
      <c r="T269" s="3">
        <f>MAX(intermediate_results[[#This Row], [Team1 laps '[laps']]:[Team9 laps '[laps']]]) - intermediate_results[[#This Row], [Team1 laps '[laps']]]</f>
        <v>0</v>
      </c>
      <c r="U269" s="3">
        <f>MAX(intermediate_results[[#This Row], [Team1 laps '[laps']]:[Team9 laps '[laps']]]) - intermediate_results[[#This Row], [Team2 laps '[laps']]]</f>
        <v>0</v>
      </c>
      <c r="V269" s="3">
        <f>MAX(intermediate_results[[#This Row], [Team1 laps '[laps']]:[Team9 laps '[laps']]]) - intermediate_results[[#This Row], [Team3 laps '[laps']]]</f>
        <v>0</v>
      </c>
      <c r="W269" s="3">
        <f>MAX(intermediate_results[[#This Row], [Team1 laps '[laps']]:[Team9 laps '[laps']]]) - intermediate_results[[#This Row], [Team4 laps '[laps']]]</f>
        <v>0</v>
      </c>
      <c r="X269" s="3">
        <f>MAX(intermediate_results[[#This Row], [Team1 laps '[laps']]:[Team9 laps '[laps']]]) - intermediate_results[[#This Row], [Team5 laps '[laps']]]</f>
        <v>0</v>
      </c>
      <c r="Y269" s="3">
        <f>MAX(intermediate_results[[#This Row], [Team1 laps '[laps']]:[Team9 laps '[laps']]]) - intermediate_results[[#This Row], [Team6 laps '[laps']]]</f>
        <v>0</v>
      </c>
      <c r="Z269" s="3">
        <f>MAX(intermediate_results[[#This Row], [Team1 laps '[laps']]:[Team9 laps '[laps']]]) - intermediate_results[[#This Row], [Team7 laps '[laps']]]</f>
        <v>0</v>
      </c>
      <c r="AA269" s="3">
        <f>MAX(intermediate_results[[#This Row], [Team1 laps '[laps']]:[Team9 laps '[laps']]]) - intermediate_results[[#This Row], [Team8 laps '[laps']]]</f>
        <v>0</v>
      </c>
      <c r="AB269" s="3">
        <f>MAX(intermediate_results[[#This Row], [Team1 laps '[laps']]:[Team9 laps '[laps']]]) - intermediate_results[[#This Row], [Team9 laps '[laps']]]</f>
        <v>0</v>
      </c>
      <c r="AC269" s="3">
        <f>9 * intermediate_results[[#This Row], [All cumulative times '[sec']]] / SUM(intermediate_results[[#This Row], [Team1 laps '[laps']]:[Team9 laps '[laps']]])</f>
        <v>0</v>
      </c>
      <c r="AD269" s="3">
        <f>intermediate_results[[#This Row], [All cumulative times '[sec']]] / intermediate_results[[#This Row], [Team1 laps '[laps']]] - intermediate_results[[#This Row], [Total running average '[sec']]]</f>
        <v>0</v>
      </c>
      <c r="AE269" s="3">
        <f>intermediate_results[[#This Row], [All cumulative times '[sec']]] / intermediate_results[[#This Row], [Team2 laps '[laps']]] - intermediate_results[[#This Row], [Total running average '[sec']]]</f>
        <v>0</v>
      </c>
      <c r="AF269" s="3">
        <f>intermediate_results[[#This Row], [All cumulative times '[sec']]] / intermediate_results[[#This Row], [Team3 laps '[laps']]] - intermediate_results[[#This Row], [Total running average '[sec']]]</f>
        <v>0</v>
      </c>
      <c r="AG269" s="3">
        <f>intermediate_results[[#This Row], [All cumulative times '[sec']]] / intermediate_results[[#This Row], [Team4 laps '[laps']]] - intermediate_results[[#This Row], [Total running average '[sec']]]</f>
        <v>0</v>
      </c>
      <c r="AH269" s="3">
        <f>intermediate_results[[#This Row], [All cumulative times '[sec']]] / intermediate_results[[#This Row], [Team5 laps '[laps']]] - intermediate_results[[#This Row], [Total running average '[sec']]]</f>
        <v>0</v>
      </c>
      <c r="AI269" s="3">
        <f>intermediate_results[[#This Row], [All cumulative times '[sec']]] / intermediate_results[[#This Row], [Team6 laps '[laps']]] - intermediate_results[[#This Row], [Total running average '[sec']]]</f>
        <v>0</v>
      </c>
      <c r="AJ269" s="3">
        <f>intermediate_results[[#This Row], [All cumulative times '[sec']]] / intermediate_results[[#This Row], [Team7 laps '[laps']]] - intermediate_results[[#This Row], [Total running average '[sec']]]</f>
        <v>0</v>
      </c>
      <c r="AK269" s="3">
        <f>intermediate_results[[#This Row], [All cumulative times '[sec']]] / intermediate_results[[#This Row], [Team8 laps '[laps']]] - intermediate_results[[#This Row], [Total running average '[sec']]]</f>
        <v>0</v>
      </c>
      <c r="AL269" s="3">
        <f>intermediate_results[[#This Row], [All cumulative times '[sec']]] / intermediate_results[[#This Row], [Team9 laps '[laps']]] - intermediate_results[[#This Row], [Total running average '[sec']]]</f>
        <v>0</v>
      </c>
    </row>
    <row r="270" spans="1:38">
      <c r="A270" s="3">
        <v>1660.857</v>
      </c>
      <c r="B27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0" s="3">
        <f>intermediate_results[[#This Row], [Team1 laps '[laps']]] - intermediate_results[[#This Row], [Team1 laps '[laps']]]</f>
        <v>0</v>
      </c>
      <c r="L270" s="3">
        <f>intermediate_results[[#This Row], [Team1 laps '[laps']]] - intermediate_results[[#This Row], [Team2 laps '[laps']]]</f>
        <v>0</v>
      </c>
      <c r="M270" s="3">
        <f>intermediate_results[[#This Row], [Team1 laps '[laps']]] - intermediate_results[[#This Row], [Team3 laps '[laps']]]</f>
        <v>0</v>
      </c>
      <c r="N270" s="3">
        <f>intermediate_results[[#This Row], [Team1 laps '[laps']]] - intermediate_results[[#This Row], [Team4 laps '[laps']]]</f>
        <v>0</v>
      </c>
      <c r="O270" s="3">
        <f>intermediate_results[[#This Row], [Team1 laps '[laps']]] - intermediate_results[[#This Row], [Team5 laps '[laps']]]</f>
        <v>0</v>
      </c>
      <c r="P270" s="3">
        <f>intermediate_results[[#This Row], [Team1 laps '[laps']]] - intermediate_results[[#This Row], [Team6 laps '[laps']]]</f>
        <v>0</v>
      </c>
      <c r="Q270" s="3">
        <f>intermediate_results[[#This Row], [Team1 laps '[laps']]] - intermediate_results[[#This Row], [Team7 laps '[laps']]]</f>
        <v>0</v>
      </c>
      <c r="R270" s="3">
        <f>intermediate_results[[#This Row], [Team1 laps '[laps']]] - intermediate_results[[#This Row], [Team8 laps '[laps']]]</f>
        <v>0</v>
      </c>
      <c r="S270" s="3">
        <f>intermediate_results[[#This Row], [Team1 laps '[laps']]] - intermediate_results[[#This Row], [Team9 laps '[laps']]]</f>
        <v>0</v>
      </c>
      <c r="T270" s="3">
        <f>MAX(intermediate_results[[#This Row], [Team1 laps '[laps']]:[Team9 laps '[laps']]]) - intermediate_results[[#This Row], [Team1 laps '[laps']]]</f>
        <v>0</v>
      </c>
      <c r="U270" s="3">
        <f>MAX(intermediate_results[[#This Row], [Team1 laps '[laps']]:[Team9 laps '[laps']]]) - intermediate_results[[#This Row], [Team2 laps '[laps']]]</f>
        <v>0</v>
      </c>
      <c r="V270" s="3">
        <f>MAX(intermediate_results[[#This Row], [Team1 laps '[laps']]:[Team9 laps '[laps']]]) - intermediate_results[[#This Row], [Team3 laps '[laps']]]</f>
        <v>0</v>
      </c>
      <c r="W270" s="3">
        <f>MAX(intermediate_results[[#This Row], [Team1 laps '[laps']]:[Team9 laps '[laps']]]) - intermediate_results[[#This Row], [Team4 laps '[laps']]]</f>
        <v>0</v>
      </c>
      <c r="X270" s="3">
        <f>MAX(intermediate_results[[#This Row], [Team1 laps '[laps']]:[Team9 laps '[laps']]]) - intermediate_results[[#This Row], [Team5 laps '[laps']]]</f>
        <v>0</v>
      </c>
      <c r="Y270" s="3">
        <f>MAX(intermediate_results[[#This Row], [Team1 laps '[laps']]:[Team9 laps '[laps']]]) - intermediate_results[[#This Row], [Team6 laps '[laps']]]</f>
        <v>0</v>
      </c>
      <c r="Z270" s="3">
        <f>MAX(intermediate_results[[#This Row], [Team1 laps '[laps']]:[Team9 laps '[laps']]]) - intermediate_results[[#This Row], [Team7 laps '[laps']]]</f>
        <v>0</v>
      </c>
      <c r="AA270" s="3">
        <f>MAX(intermediate_results[[#This Row], [Team1 laps '[laps']]:[Team9 laps '[laps']]]) - intermediate_results[[#This Row], [Team8 laps '[laps']]]</f>
        <v>0</v>
      </c>
      <c r="AB270" s="3">
        <f>MAX(intermediate_results[[#This Row], [Team1 laps '[laps']]:[Team9 laps '[laps']]]) - intermediate_results[[#This Row], [Team9 laps '[laps']]]</f>
        <v>0</v>
      </c>
      <c r="AC270" s="3">
        <f>9 * intermediate_results[[#This Row], [All cumulative times '[sec']]] / SUM(intermediate_results[[#This Row], [Team1 laps '[laps']]:[Team9 laps '[laps']]])</f>
        <v>0</v>
      </c>
      <c r="AD270" s="3">
        <f>intermediate_results[[#This Row], [All cumulative times '[sec']]] / intermediate_results[[#This Row], [Team1 laps '[laps']]] - intermediate_results[[#This Row], [Total running average '[sec']]]</f>
        <v>0</v>
      </c>
      <c r="AE270" s="3">
        <f>intermediate_results[[#This Row], [All cumulative times '[sec']]] / intermediate_results[[#This Row], [Team2 laps '[laps']]] - intermediate_results[[#This Row], [Total running average '[sec']]]</f>
        <v>0</v>
      </c>
      <c r="AF270" s="3">
        <f>intermediate_results[[#This Row], [All cumulative times '[sec']]] / intermediate_results[[#This Row], [Team3 laps '[laps']]] - intermediate_results[[#This Row], [Total running average '[sec']]]</f>
        <v>0</v>
      </c>
      <c r="AG270" s="3">
        <f>intermediate_results[[#This Row], [All cumulative times '[sec']]] / intermediate_results[[#This Row], [Team4 laps '[laps']]] - intermediate_results[[#This Row], [Total running average '[sec']]]</f>
        <v>0</v>
      </c>
      <c r="AH270" s="3">
        <f>intermediate_results[[#This Row], [All cumulative times '[sec']]] / intermediate_results[[#This Row], [Team5 laps '[laps']]] - intermediate_results[[#This Row], [Total running average '[sec']]]</f>
        <v>0</v>
      </c>
      <c r="AI270" s="3">
        <f>intermediate_results[[#This Row], [All cumulative times '[sec']]] / intermediate_results[[#This Row], [Team6 laps '[laps']]] - intermediate_results[[#This Row], [Total running average '[sec']]]</f>
        <v>0</v>
      </c>
      <c r="AJ270" s="3">
        <f>intermediate_results[[#This Row], [All cumulative times '[sec']]] / intermediate_results[[#This Row], [Team7 laps '[laps']]] - intermediate_results[[#This Row], [Total running average '[sec']]]</f>
        <v>0</v>
      </c>
      <c r="AK270" s="3">
        <f>intermediate_results[[#This Row], [All cumulative times '[sec']]] / intermediate_results[[#This Row], [Team8 laps '[laps']]] - intermediate_results[[#This Row], [Total running average '[sec']]]</f>
        <v>0</v>
      </c>
      <c r="AL270" s="3">
        <f>intermediate_results[[#This Row], [All cumulative times '[sec']]] / intermediate_results[[#This Row], [Team9 laps '[laps']]] - intermediate_results[[#This Row], [Total running average '[sec']]]</f>
        <v>0</v>
      </c>
    </row>
    <row r="271" spans="1:38">
      <c r="A271" s="3">
        <v>1663.257</v>
      </c>
      <c r="B27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1" s="3">
        <f>intermediate_results[[#This Row], [Team1 laps '[laps']]] - intermediate_results[[#This Row], [Team1 laps '[laps']]]</f>
        <v>0</v>
      </c>
      <c r="L271" s="3">
        <f>intermediate_results[[#This Row], [Team1 laps '[laps']]] - intermediate_results[[#This Row], [Team2 laps '[laps']]]</f>
        <v>0</v>
      </c>
      <c r="M271" s="3">
        <f>intermediate_results[[#This Row], [Team1 laps '[laps']]] - intermediate_results[[#This Row], [Team3 laps '[laps']]]</f>
        <v>0</v>
      </c>
      <c r="N271" s="3">
        <f>intermediate_results[[#This Row], [Team1 laps '[laps']]] - intermediate_results[[#This Row], [Team4 laps '[laps']]]</f>
        <v>0</v>
      </c>
      <c r="O271" s="3">
        <f>intermediate_results[[#This Row], [Team1 laps '[laps']]] - intermediate_results[[#This Row], [Team5 laps '[laps']]]</f>
        <v>0</v>
      </c>
      <c r="P271" s="3">
        <f>intermediate_results[[#This Row], [Team1 laps '[laps']]] - intermediate_results[[#This Row], [Team6 laps '[laps']]]</f>
        <v>0</v>
      </c>
      <c r="Q271" s="3">
        <f>intermediate_results[[#This Row], [Team1 laps '[laps']]] - intermediate_results[[#This Row], [Team7 laps '[laps']]]</f>
        <v>0</v>
      </c>
      <c r="R271" s="3">
        <f>intermediate_results[[#This Row], [Team1 laps '[laps']]] - intermediate_results[[#This Row], [Team8 laps '[laps']]]</f>
        <v>0</v>
      </c>
      <c r="S271" s="3">
        <f>intermediate_results[[#This Row], [Team1 laps '[laps']]] - intermediate_results[[#This Row], [Team9 laps '[laps']]]</f>
        <v>0</v>
      </c>
      <c r="T271" s="3">
        <f>MAX(intermediate_results[[#This Row], [Team1 laps '[laps']]:[Team9 laps '[laps']]]) - intermediate_results[[#This Row], [Team1 laps '[laps']]]</f>
        <v>0</v>
      </c>
      <c r="U271" s="3">
        <f>MAX(intermediate_results[[#This Row], [Team1 laps '[laps']]:[Team9 laps '[laps']]]) - intermediate_results[[#This Row], [Team2 laps '[laps']]]</f>
        <v>0</v>
      </c>
      <c r="V271" s="3">
        <f>MAX(intermediate_results[[#This Row], [Team1 laps '[laps']]:[Team9 laps '[laps']]]) - intermediate_results[[#This Row], [Team3 laps '[laps']]]</f>
        <v>0</v>
      </c>
      <c r="W271" s="3">
        <f>MAX(intermediate_results[[#This Row], [Team1 laps '[laps']]:[Team9 laps '[laps']]]) - intermediate_results[[#This Row], [Team4 laps '[laps']]]</f>
        <v>0</v>
      </c>
      <c r="X271" s="3">
        <f>MAX(intermediate_results[[#This Row], [Team1 laps '[laps']]:[Team9 laps '[laps']]]) - intermediate_results[[#This Row], [Team5 laps '[laps']]]</f>
        <v>0</v>
      </c>
      <c r="Y271" s="3">
        <f>MAX(intermediate_results[[#This Row], [Team1 laps '[laps']]:[Team9 laps '[laps']]]) - intermediate_results[[#This Row], [Team6 laps '[laps']]]</f>
        <v>0</v>
      </c>
      <c r="Z271" s="3">
        <f>MAX(intermediate_results[[#This Row], [Team1 laps '[laps']]:[Team9 laps '[laps']]]) - intermediate_results[[#This Row], [Team7 laps '[laps']]]</f>
        <v>0</v>
      </c>
      <c r="AA271" s="3">
        <f>MAX(intermediate_results[[#This Row], [Team1 laps '[laps']]:[Team9 laps '[laps']]]) - intermediate_results[[#This Row], [Team8 laps '[laps']]]</f>
        <v>0</v>
      </c>
      <c r="AB271" s="3">
        <f>MAX(intermediate_results[[#This Row], [Team1 laps '[laps']]:[Team9 laps '[laps']]]) - intermediate_results[[#This Row], [Team9 laps '[laps']]]</f>
        <v>0</v>
      </c>
      <c r="AC271" s="3">
        <f>9 * intermediate_results[[#This Row], [All cumulative times '[sec']]] / SUM(intermediate_results[[#This Row], [Team1 laps '[laps']]:[Team9 laps '[laps']]])</f>
        <v>0</v>
      </c>
      <c r="AD271" s="3">
        <f>intermediate_results[[#This Row], [All cumulative times '[sec']]] / intermediate_results[[#This Row], [Team1 laps '[laps']]] - intermediate_results[[#This Row], [Total running average '[sec']]]</f>
        <v>0</v>
      </c>
      <c r="AE271" s="3">
        <f>intermediate_results[[#This Row], [All cumulative times '[sec']]] / intermediate_results[[#This Row], [Team2 laps '[laps']]] - intermediate_results[[#This Row], [Total running average '[sec']]]</f>
        <v>0</v>
      </c>
      <c r="AF271" s="3">
        <f>intermediate_results[[#This Row], [All cumulative times '[sec']]] / intermediate_results[[#This Row], [Team3 laps '[laps']]] - intermediate_results[[#This Row], [Total running average '[sec']]]</f>
        <v>0</v>
      </c>
      <c r="AG271" s="3">
        <f>intermediate_results[[#This Row], [All cumulative times '[sec']]] / intermediate_results[[#This Row], [Team4 laps '[laps']]] - intermediate_results[[#This Row], [Total running average '[sec']]]</f>
        <v>0</v>
      </c>
      <c r="AH271" s="3">
        <f>intermediate_results[[#This Row], [All cumulative times '[sec']]] / intermediate_results[[#This Row], [Team5 laps '[laps']]] - intermediate_results[[#This Row], [Total running average '[sec']]]</f>
        <v>0</v>
      </c>
      <c r="AI271" s="3">
        <f>intermediate_results[[#This Row], [All cumulative times '[sec']]] / intermediate_results[[#This Row], [Team6 laps '[laps']]] - intermediate_results[[#This Row], [Total running average '[sec']]]</f>
        <v>0</v>
      </c>
      <c r="AJ271" s="3">
        <f>intermediate_results[[#This Row], [All cumulative times '[sec']]] / intermediate_results[[#This Row], [Team7 laps '[laps']]] - intermediate_results[[#This Row], [Total running average '[sec']]]</f>
        <v>0</v>
      </c>
      <c r="AK271" s="3">
        <f>intermediate_results[[#This Row], [All cumulative times '[sec']]] / intermediate_results[[#This Row], [Team8 laps '[laps']]] - intermediate_results[[#This Row], [Total running average '[sec']]]</f>
        <v>0</v>
      </c>
      <c r="AL271" s="3">
        <f>intermediate_results[[#This Row], [All cumulative times '[sec']]] / intermediate_results[[#This Row], [Team9 laps '[laps']]] - intermediate_results[[#This Row], [Total running average '[sec']]]</f>
        <v>0</v>
      </c>
    </row>
    <row r="272" spans="1:38">
      <c r="A272" s="3">
        <v>1666.908</v>
      </c>
      <c r="B27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2" s="3">
        <f>intermediate_results[[#This Row], [Team1 laps '[laps']]] - intermediate_results[[#This Row], [Team1 laps '[laps']]]</f>
        <v>0</v>
      </c>
      <c r="L272" s="3">
        <f>intermediate_results[[#This Row], [Team1 laps '[laps']]] - intermediate_results[[#This Row], [Team2 laps '[laps']]]</f>
        <v>0</v>
      </c>
      <c r="M272" s="3">
        <f>intermediate_results[[#This Row], [Team1 laps '[laps']]] - intermediate_results[[#This Row], [Team3 laps '[laps']]]</f>
        <v>0</v>
      </c>
      <c r="N272" s="3">
        <f>intermediate_results[[#This Row], [Team1 laps '[laps']]] - intermediate_results[[#This Row], [Team4 laps '[laps']]]</f>
        <v>0</v>
      </c>
      <c r="O272" s="3">
        <f>intermediate_results[[#This Row], [Team1 laps '[laps']]] - intermediate_results[[#This Row], [Team5 laps '[laps']]]</f>
        <v>0</v>
      </c>
      <c r="P272" s="3">
        <f>intermediate_results[[#This Row], [Team1 laps '[laps']]] - intermediate_results[[#This Row], [Team6 laps '[laps']]]</f>
        <v>0</v>
      </c>
      <c r="Q272" s="3">
        <f>intermediate_results[[#This Row], [Team1 laps '[laps']]] - intermediate_results[[#This Row], [Team7 laps '[laps']]]</f>
        <v>0</v>
      </c>
      <c r="R272" s="3">
        <f>intermediate_results[[#This Row], [Team1 laps '[laps']]] - intermediate_results[[#This Row], [Team8 laps '[laps']]]</f>
        <v>0</v>
      </c>
      <c r="S272" s="3">
        <f>intermediate_results[[#This Row], [Team1 laps '[laps']]] - intermediate_results[[#This Row], [Team9 laps '[laps']]]</f>
        <v>0</v>
      </c>
      <c r="T272" s="3">
        <f>MAX(intermediate_results[[#This Row], [Team1 laps '[laps']]:[Team9 laps '[laps']]]) - intermediate_results[[#This Row], [Team1 laps '[laps']]]</f>
        <v>0</v>
      </c>
      <c r="U272" s="3">
        <f>MAX(intermediate_results[[#This Row], [Team1 laps '[laps']]:[Team9 laps '[laps']]]) - intermediate_results[[#This Row], [Team2 laps '[laps']]]</f>
        <v>0</v>
      </c>
      <c r="V272" s="3">
        <f>MAX(intermediate_results[[#This Row], [Team1 laps '[laps']]:[Team9 laps '[laps']]]) - intermediate_results[[#This Row], [Team3 laps '[laps']]]</f>
        <v>0</v>
      </c>
      <c r="W272" s="3">
        <f>MAX(intermediate_results[[#This Row], [Team1 laps '[laps']]:[Team9 laps '[laps']]]) - intermediate_results[[#This Row], [Team4 laps '[laps']]]</f>
        <v>0</v>
      </c>
      <c r="X272" s="3">
        <f>MAX(intermediate_results[[#This Row], [Team1 laps '[laps']]:[Team9 laps '[laps']]]) - intermediate_results[[#This Row], [Team5 laps '[laps']]]</f>
        <v>0</v>
      </c>
      <c r="Y272" s="3">
        <f>MAX(intermediate_results[[#This Row], [Team1 laps '[laps']]:[Team9 laps '[laps']]]) - intermediate_results[[#This Row], [Team6 laps '[laps']]]</f>
        <v>0</v>
      </c>
      <c r="Z272" s="3">
        <f>MAX(intermediate_results[[#This Row], [Team1 laps '[laps']]:[Team9 laps '[laps']]]) - intermediate_results[[#This Row], [Team7 laps '[laps']]]</f>
        <v>0</v>
      </c>
      <c r="AA272" s="3">
        <f>MAX(intermediate_results[[#This Row], [Team1 laps '[laps']]:[Team9 laps '[laps']]]) - intermediate_results[[#This Row], [Team8 laps '[laps']]]</f>
        <v>0</v>
      </c>
      <c r="AB272" s="3">
        <f>MAX(intermediate_results[[#This Row], [Team1 laps '[laps']]:[Team9 laps '[laps']]]) - intermediate_results[[#This Row], [Team9 laps '[laps']]]</f>
        <v>0</v>
      </c>
      <c r="AC272" s="3">
        <f>9 * intermediate_results[[#This Row], [All cumulative times '[sec']]] / SUM(intermediate_results[[#This Row], [Team1 laps '[laps']]:[Team9 laps '[laps']]])</f>
        <v>0</v>
      </c>
      <c r="AD272" s="3">
        <f>intermediate_results[[#This Row], [All cumulative times '[sec']]] / intermediate_results[[#This Row], [Team1 laps '[laps']]] - intermediate_results[[#This Row], [Total running average '[sec']]]</f>
        <v>0</v>
      </c>
      <c r="AE272" s="3">
        <f>intermediate_results[[#This Row], [All cumulative times '[sec']]] / intermediate_results[[#This Row], [Team2 laps '[laps']]] - intermediate_results[[#This Row], [Total running average '[sec']]]</f>
        <v>0</v>
      </c>
      <c r="AF272" s="3">
        <f>intermediate_results[[#This Row], [All cumulative times '[sec']]] / intermediate_results[[#This Row], [Team3 laps '[laps']]] - intermediate_results[[#This Row], [Total running average '[sec']]]</f>
        <v>0</v>
      </c>
      <c r="AG272" s="3">
        <f>intermediate_results[[#This Row], [All cumulative times '[sec']]] / intermediate_results[[#This Row], [Team4 laps '[laps']]] - intermediate_results[[#This Row], [Total running average '[sec']]]</f>
        <v>0</v>
      </c>
      <c r="AH272" s="3">
        <f>intermediate_results[[#This Row], [All cumulative times '[sec']]] / intermediate_results[[#This Row], [Team5 laps '[laps']]] - intermediate_results[[#This Row], [Total running average '[sec']]]</f>
        <v>0</v>
      </c>
      <c r="AI272" s="3">
        <f>intermediate_results[[#This Row], [All cumulative times '[sec']]] / intermediate_results[[#This Row], [Team6 laps '[laps']]] - intermediate_results[[#This Row], [Total running average '[sec']]]</f>
        <v>0</v>
      </c>
      <c r="AJ272" s="3">
        <f>intermediate_results[[#This Row], [All cumulative times '[sec']]] / intermediate_results[[#This Row], [Team7 laps '[laps']]] - intermediate_results[[#This Row], [Total running average '[sec']]]</f>
        <v>0</v>
      </c>
      <c r="AK272" s="3">
        <f>intermediate_results[[#This Row], [All cumulative times '[sec']]] / intermediate_results[[#This Row], [Team8 laps '[laps']]] - intermediate_results[[#This Row], [Total running average '[sec']]]</f>
        <v>0</v>
      </c>
      <c r="AL272" s="3">
        <f>intermediate_results[[#This Row], [All cumulative times '[sec']]] / intermediate_results[[#This Row], [Team9 laps '[laps']]] - intermediate_results[[#This Row], [Total running average '[sec']]]</f>
        <v>0</v>
      </c>
    </row>
    <row r="273" spans="1:38">
      <c r="A273" s="3">
        <v>1686.402</v>
      </c>
      <c r="B27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3" s="3">
        <f>intermediate_results[[#This Row], [Team1 laps '[laps']]] - intermediate_results[[#This Row], [Team1 laps '[laps']]]</f>
        <v>0</v>
      </c>
      <c r="L273" s="3">
        <f>intermediate_results[[#This Row], [Team1 laps '[laps']]] - intermediate_results[[#This Row], [Team2 laps '[laps']]]</f>
        <v>0</v>
      </c>
      <c r="M273" s="3">
        <f>intermediate_results[[#This Row], [Team1 laps '[laps']]] - intermediate_results[[#This Row], [Team3 laps '[laps']]]</f>
        <v>0</v>
      </c>
      <c r="N273" s="3">
        <f>intermediate_results[[#This Row], [Team1 laps '[laps']]] - intermediate_results[[#This Row], [Team4 laps '[laps']]]</f>
        <v>0</v>
      </c>
      <c r="O273" s="3">
        <f>intermediate_results[[#This Row], [Team1 laps '[laps']]] - intermediate_results[[#This Row], [Team5 laps '[laps']]]</f>
        <v>0</v>
      </c>
      <c r="P273" s="3">
        <f>intermediate_results[[#This Row], [Team1 laps '[laps']]] - intermediate_results[[#This Row], [Team6 laps '[laps']]]</f>
        <v>0</v>
      </c>
      <c r="Q273" s="3">
        <f>intermediate_results[[#This Row], [Team1 laps '[laps']]] - intermediate_results[[#This Row], [Team7 laps '[laps']]]</f>
        <v>0</v>
      </c>
      <c r="R273" s="3">
        <f>intermediate_results[[#This Row], [Team1 laps '[laps']]] - intermediate_results[[#This Row], [Team8 laps '[laps']]]</f>
        <v>0</v>
      </c>
      <c r="S273" s="3">
        <f>intermediate_results[[#This Row], [Team1 laps '[laps']]] - intermediate_results[[#This Row], [Team9 laps '[laps']]]</f>
        <v>0</v>
      </c>
      <c r="T273" s="3">
        <f>MAX(intermediate_results[[#This Row], [Team1 laps '[laps']]:[Team9 laps '[laps']]]) - intermediate_results[[#This Row], [Team1 laps '[laps']]]</f>
        <v>0</v>
      </c>
      <c r="U273" s="3">
        <f>MAX(intermediate_results[[#This Row], [Team1 laps '[laps']]:[Team9 laps '[laps']]]) - intermediate_results[[#This Row], [Team2 laps '[laps']]]</f>
        <v>0</v>
      </c>
      <c r="V273" s="3">
        <f>MAX(intermediate_results[[#This Row], [Team1 laps '[laps']]:[Team9 laps '[laps']]]) - intermediate_results[[#This Row], [Team3 laps '[laps']]]</f>
        <v>0</v>
      </c>
      <c r="W273" s="3">
        <f>MAX(intermediate_results[[#This Row], [Team1 laps '[laps']]:[Team9 laps '[laps']]]) - intermediate_results[[#This Row], [Team4 laps '[laps']]]</f>
        <v>0</v>
      </c>
      <c r="X273" s="3">
        <f>MAX(intermediate_results[[#This Row], [Team1 laps '[laps']]:[Team9 laps '[laps']]]) - intermediate_results[[#This Row], [Team5 laps '[laps']]]</f>
        <v>0</v>
      </c>
      <c r="Y273" s="3">
        <f>MAX(intermediate_results[[#This Row], [Team1 laps '[laps']]:[Team9 laps '[laps']]]) - intermediate_results[[#This Row], [Team6 laps '[laps']]]</f>
        <v>0</v>
      </c>
      <c r="Z273" s="3">
        <f>MAX(intermediate_results[[#This Row], [Team1 laps '[laps']]:[Team9 laps '[laps']]]) - intermediate_results[[#This Row], [Team7 laps '[laps']]]</f>
        <v>0</v>
      </c>
      <c r="AA273" s="3">
        <f>MAX(intermediate_results[[#This Row], [Team1 laps '[laps']]:[Team9 laps '[laps']]]) - intermediate_results[[#This Row], [Team8 laps '[laps']]]</f>
        <v>0</v>
      </c>
      <c r="AB273" s="3">
        <f>MAX(intermediate_results[[#This Row], [Team1 laps '[laps']]:[Team9 laps '[laps']]]) - intermediate_results[[#This Row], [Team9 laps '[laps']]]</f>
        <v>0</v>
      </c>
      <c r="AC273" s="3">
        <f>9 * intermediate_results[[#This Row], [All cumulative times '[sec']]] / SUM(intermediate_results[[#This Row], [Team1 laps '[laps']]:[Team9 laps '[laps']]])</f>
        <v>0</v>
      </c>
      <c r="AD273" s="3">
        <f>intermediate_results[[#This Row], [All cumulative times '[sec']]] / intermediate_results[[#This Row], [Team1 laps '[laps']]] - intermediate_results[[#This Row], [Total running average '[sec']]]</f>
        <v>0</v>
      </c>
      <c r="AE273" s="3">
        <f>intermediate_results[[#This Row], [All cumulative times '[sec']]] / intermediate_results[[#This Row], [Team2 laps '[laps']]] - intermediate_results[[#This Row], [Total running average '[sec']]]</f>
        <v>0</v>
      </c>
      <c r="AF273" s="3">
        <f>intermediate_results[[#This Row], [All cumulative times '[sec']]] / intermediate_results[[#This Row], [Team3 laps '[laps']]] - intermediate_results[[#This Row], [Total running average '[sec']]]</f>
        <v>0</v>
      </c>
      <c r="AG273" s="3">
        <f>intermediate_results[[#This Row], [All cumulative times '[sec']]] / intermediate_results[[#This Row], [Team4 laps '[laps']]] - intermediate_results[[#This Row], [Total running average '[sec']]]</f>
        <v>0</v>
      </c>
      <c r="AH273" s="3">
        <f>intermediate_results[[#This Row], [All cumulative times '[sec']]] / intermediate_results[[#This Row], [Team5 laps '[laps']]] - intermediate_results[[#This Row], [Total running average '[sec']]]</f>
        <v>0</v>
      </c>
      <c r="AI273" s="3">
        <f>intermediate_results[[#This Row], [All cumulative times '[sec']]] / intermediate_results[[#This Row], [Team6 laps '[laps']]] - intermediate_results[[#This Row], [Total running average '[sec']]]</f>
        <v>0</v>
      </c>
      <c r="AJ273" s="3">
        <f>intermediate_results[[#This Row], [All cumulative times '[sec']]] / intermediate_results[[#This Row], [Team7 laps '[laps']]] - intermediate_results[[#This Row], [Total running average '[sec']]]</f>
        <v>0</v>
      </c>
      <c r="AK273" s="3">
        <f>intermediate_results[[#This Row], [All cumulative times '[sec']]] / intermediate_results[[#This Row], [Team8 laps '[laps']]] - intermediate_results[[#This Row], [Total running average '[sec']]]</f>
        <v>0</v>
      </c>
      <c r="AL273" s="3">
        <f>intermediate_results[[#This Row], [All cumulative times '[sec']]] / intermediate_results[[#This Row], [Team9 laps '[laps']]] - intermediate_results[[#This Row], [Total running average '[sec']]]</f>
        <v>0</v>
      </c>
    </row>
    <row r="274" spans="1:38">
      <c r="A274" s="3">
        <v>1688.105</v>
      </c>
      <c r="B27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4" s="3">
        <f>intermediate_results[[#This Row], [Team1 laps '[laps']]] - intermediate_results[[#This Row], [Team1 laps '[laps']]]</f>
        <v>0</v>
      </c>
      <c r="L274" s="3">
        <f>intermediate_results[[#This Row], [Team1 laps '[laps']]] - intermediate_results[[#This Row], [Team2 laps '[laps']]]</f>
        <v>0</v>
      </c>
      <c r="M274" s="3">
        <f>intermediate_results[[#This Row], [Team1 laps '[laps']]] - intermediate_results[[#This Row], [Team3 laps '[laps']]]</f>
        <v>0</v>
      </c>
      <c r="N274" s="3">
        <f>intermediate_results[[#This Row], [Team1 laps '[laps']]] - intermediate_results[[#This Row], [Team4 laps '[laps']]]</f>
        <v>0</v>
      </c>
      <c r="O274" s="3">
        <f>intermediate_results[[#This Row], [Team1 laps '[laps']]] - intermediate_results[[#This Row], [Team5 laps '[laps']]]</f>
        <v>0</v>
      </c>
      <c r="P274" s="3">
        <f>intermediate_results[[#This Row], [Team1 laps '[laps']]] - intermediate_results[[#This Row], [Team6 laps '[laps']]]</f>
        <v>0</v>
      </c>
      <c r="Q274" s="3">
        <f>intermediate_results[[#This Row], [Team1 laps '[laps']]] - intermediate_results[[#This Row], [Team7 laps '[laps']]]</f>
        <v>0</v>
      </c>
      <c r="R274" s="3">
        <f>intermediate_results[[#This Row], [Team1 laps '[laps']]] - intermediate_results[[#This Row], [Team8 laps '[laps']]]</f>
        <v>0</v>
      </c>
      <c r="S274" s="3">
        <f>intermediate_results[[#This Row], [Team1 laps '[laps']]] - intermediate_results[[#This Row], [Team9 laps '[laps']]]</f>
        <v>0</v>
      </c>
      <c r="T274" s="3">
        <f>MAX(intermediate_results[[#This Row], [Team1 laps '[laps']]:[Team9 laps '[laps']]]) - intermediate_results[[#This Row], [Team1 laps '[laps']]]</f>
        <v>0</v>
      </c>
      <c r="U274" s="3">
        <f>MAX(intermediate_results[[#This Row], [Team1 laps '[laps']]:[Team9 laps '[laps']]]) - intermediate_results[[#This Row], [Team2 laps '[laps']]]</f>
        <v>0</v>
      </c>
      <c r="V274" s="3">
        <f>MAX(intermediate_results[[#This Row], [Team1 laps '[laps']]:[Team9 laps '[laps']]]) - intermediate_results[[#This Row], [Team3 laps '[laps']]]</f>
        <v>0</v>
      </c>
      <c r="W274" s="3">
        <f>MAX(intermediate_results[[#This Row], [Team1 laps '[laps']]:[Team9 laps '[laps']]]) - intermediate_results[[#This Row], [Team4 laps '[laps']]]</f>
        <v>0</v>
      </c>
      <c r="X274" s="3">
        <f>MAX(intermediate_results[[#This Row], [Team1 laps '[laps']]:[Team9 laps '[laps']]]) - intermediate_results[[#This Row], [Team5 laps '[laps']]]</f>
        <v>0</v>
      </c>
      <c r="Y274" s="3">
        <f>MAX(intermediate_results[[#This Row], [Team1 laps '[laps']]:[Team9 laps '[laps']]]) - intermediate_results[[#This Row], [Team6 laps '[laps']]]</f>
        <v>0</v>
      </c>
      <c r="Z274" s="3">
        <f>MAX(intermediate_results[[#This Row], [Team1 laps '[laps']]:[Team9 laps '[laps']]]) - intermediate_results[[#This Row], [Team7 laps '[laps']]]</f>
        <v>0</v>
      </c>
      <c r="AA274" s="3">
        <f>MAX(intermediate_results[[#This Row], [Team1 laps '[laps']]:[Team9 laps '[laps']]]) - intermediate_results[[#This Row], [Team8 laps '[laps']]]</f>
        <v>0</v>
      </c>
      <c r="AB274" s="3">
        <f>MAX(intermediate_results[[#This Row], [Team1 laps '[laps']]:[Team9 laps '[laps']]]) - intermediate_results[[#This Row], [Team9 laps '[laps']]]</f>
        <v>0</v>
      </c>
      <c r="AC274" s="3">
        <f>9 * intermediate_results[[#This Row], [All cumulative times '[sec']]] / SUM(intermediate_results[[#This Row], [Team1 laps '[laps']]:[Team9 laps '[laps']]])</f>
        <v>0</v>
      </c>
      <c r="AD274" s="3">
        <f>intermediate_results[[#This Row], [All cumulative times '[sec']]] / intermediate_results[[#This Row], [Team1 laps '[laps']]] - intermediate_results[[#This Row], [Total running average '[sec']]]</f>
        <v>0</v>
      </c>
      <c r="AE274" s="3">
        <f>intermediate_results[[#This Row], [All cumulative times '[sec']]] / intermediate_results[[#This Row], [Team2 laps '[laps']]] - intermediate_results[[#This Row], [Total running average '[sec']]]</f>
        <v>0</v>
      </c>
      <c r="AF274" s="3">
        <f>intermediate_results[[#This Row], [All cumulative times '[sec']]] / intermediate_results[[#This Row], [Team3 laps '[laps']]] - intermediate_results[[#This Row], [Total running average '[sec']]]</f>
        <v>0</v>
      </c>
      <c r="AG274" s="3">
        <f>intermediate_results[[#This Row], [All cumulative times '[sec']]] / intermediate_results[[#This Row], [Team4 laps '[laps']]] - intermediate_results[[#This Row], [Total running average '[sec']]]</f>
        <v>0</v>
      </c>
      <c r="AH274" s="3">
        <f>intermediate_results[[#This Row], [All cumulative times '[sec']]] / intermediate_results[[#This Row], [Team5 laps '[laps']]] - intermediate_results[[#This Row], [Total running average '[sec']]]</f>
        <v>0</v>
      </c>
      <c r="AI274" s="3">
        <f>intermediate_results[[#This Row], [All cumulative times '[sec']]] / intermediate_results[[#This Row], [Team6 laps '[laps']]] - intermediate_results[[#This Row], [Total running average '[sec']]]</f>
        <v>0</v>
      </c>
      <c r="AJ274" s="3">
        <f>intermediate_results[[#This Row], [All cumulative times '[sec']]] / intermediate_results[[#This Row], [Team7 laps '[laps']]] - intermediate_results[[#This Row], [Total running average '[sec']]]</f>
        <v>0</v>
      </c>
      <c r="AK274" s="3">
        <f>intermediate_results[[#This Row], [All cumulative times '[sec']]] / intermediate_results[[#This Row], [Team8 laps '[laps']]] - intermediate_results[[#This Row], [Total running average '[sec']]]</f>
        <v>0</v>
      </c>
      <c r="AL274" s="3">
        <f>intermediate_results[[#This Row], [All cumulative times '[sec']]] / intermediate_results[[#This Row], [Team9 laps '[laps']]] - intermediate_results[[#This Row], [Total running average '[sec']]]</f>
        <v>0</v>
      </c>
    </row>
    <row r="275" spans="1:38">
      <c r="A275" s="3">
        <v>1692.096</v>
      </c>
      <c r="B27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5" s="3">
        <f>intermediate_results[[#This Row], [Team1 laps '[laps']]] - intermediate_results[[#This Row], [Team1 laps '[laps']]]</f>
        <v>0</v>
      </c>
      <c r="L275" s="3">
        <f>intermediate_results[[#This Row], [Team1 laps '[laps']]] - intermediate_results[[#This Row], [Team2 laps '[laps']]]</f>
        <v>0</v>
      </c>
      <c r="M275" s="3">
        <f>intermediate_results[[#This Row], [Team1 laps '[laps']]] - intermediate_results[[#This Row], [Team3 laps '[laps']]]</f>
        <v>0</v>
      </c>
      <c r="N275" s="3">
        <f>intermediate_results[[#This Row], [Team1 laps '[laps']]] - intermediate_results[[#This Row], [Team4 laps '[laps']]]</f>
        <v>0</v>
      </c>
      <c r="O275" s="3">
        <f>intermediate_results[[#This Row], [Team1 laps '[laps']]] - intermediate_results[[#This Row], [Team5 laps '[laps']]]</f>
        <v>0</v>
      </c>
      <c r="P275" s="3">
        <f>intermediate_results[[#This Row], [Team1 laps '[laps']]] - intermediate_results[[#This Row], [Team6 laps '[laps']]]</f>
        <v>0</v>
      </c>
      <c r="Q275" s="3">
        <f>intermediate_results[[#This Row], [Team1 laps '[laps']]] - intermediate_results[[#This Row], [Team7 laps '[laps']]]</f>
        <v>0</v>
      </c>
      <c r="R275" s="3">
        <f>intermediate_results[[#This Row], [Team1 laps '[laps']]] - intermediate_results[[#This Row], [Team8 laps '[laps']]]</f>
        <v>0</v>
      </c>
      <c r="S275" s="3">
        <f>intermediate_results[[#This Row], [Team1 laps '[laps']]] - intermediate_results[[#This Row], [Team9 laps '[laps']]]</f>
        <v>0</v>
      </c>
      <c r="T275" s="3">
        <f>MAX(intermediate_results[[#This Row], [Team1 laps '[laps']]:[Team9 laps '[laps']]]) - intermediate_results[[#This Row], [Team1 laps '[laps']]]</f>
        <v>0</v>
      </c>
      <c r="U275" s="3">
        <f>MAX(intermediate_results[[#This Row], [Team1 laps '[laps']]:[Team9 laps '[laps']]]) - intermediate_results[[#This Row], [Team2 laps '[laps']]]</f>
        <v>0</v>
      </c>
      <c r="V275" s="3">
        <f>MAX(intermediate_results[[#This Row], [Team1 laps '[laps']]:[Team9 laps '[laps']]]) - intermediate_results[[#This Row], [Team3 laps '[laps']]]</f>
        <v>0</v>
      </c>
      <c r="W275" s="3">
        <f>MAX(intermediate_results[[#This Row], [Team1 laps '[laps']]:[Team9 laps '[laps']]]) - intermediate_results[[#This Row], [Team4 laps '[laps']]]</f>
        <v>0</v>
      </c>
      <c r="X275" s="3">
        <f>MAX(intermediate_results[[#This Row], [Team1 laps '[laps']]:[Team9 laps '[laps']]]) - intermediate_results[[#This Row], [Team5 laps '[laps']]]</f>
        <v>0</v>
      </c>
      <c r="Y275" s="3">
        <f>MAX(intermediate_results[[#This Row], [Team1 laps '[laps']]:[Team9 laps '[laps']]]) - intermediate_results[[#This Row], [Team6 laps '[laps']]]</f>
        <v>0</v>
      </c>
      <c r="Z275" s="3">
        <f>MAX(intermediate_results[[#This Row], [Team1 laps '[laps']]:[Team9 laps '[laps']]]) - intermediate_results[[#This Row], [Team7 laps '[laps']]]</f>
        <v>0</v>
      </c>
      <c r="AA275" s="3">
        <f>MAX(intermediate_results[[#This Row], [Team1 laps '[laps']]:[Team9 laps '[laps']]]) - intermediate_results[[#This Row], [Team8 laps '[laps']]]</f>
        <v>0</v>
      </c>
      <c r="AB275" s="3">
        <f>MAX(intermediate_results[[#This Row], [Team1 laps '[laps']]:[Team9 laps '[laps']]]) - intermediate_results[[#This Row], [Team9 laps '[laps']]]</f>
        <v>0</v>
      </c>
      <c r="AC275" s="3">
        <f>9 * intermediate_results[[#This Row], [All cumulative times '[sec']]] / SUM(intermediate_results[[#This Row], [Team1 laps '[laps']]:[Team9 laps '[laps']]])</f>
        <v>0</v>
      </c>
      <c r="AD275" s="3">
        <f>intermediate_results[[#This Row], [All cumulative times '[sec']]] / intermediate_results[[#This Row], [Team1 laps '[laps']]] - intermediate_results[[#This Row], [Total running average '[sec']]]</f>
        <v>0</v>
      </c>
      <c r="AE275" s="3">
        <f>intermediate_results[[#This Row], [All cumulative times '[sec']]] / intermediate_results[[#This Row], [Team2 laps '[laps']]] - intermediate_results[[#This Row], [Total running average '[sec']]]</f>
        <v>0</v>
      </c>
      <c r="AF275" s="3">
        <f>intermediate_results[[#This Row], [All cumulative times '[sec']]] / intermediate_results[[#This Row], [Team3 laps '[laps']]] - intermediate_results[[#This Row], [Total running average '[sec']]]</f>
        <v>0</v>
      </c>
      <c r="AG275" s="3">
        <f>intermediate_results[[#This Row], [All cumulative times '[sec']]] / intermediate_results[[#This Row], [Team4 laps '[laps']]] - intermediate_results[[#This Row], [Total running average '[sec']]]</f>
        <v>0</v>
      </c>
      <c r="AH275" s="3">
        <f>intermediate_results[[#This Row], [All cumulative times '[sec']]] / intermediate_results[[#This Row], [Team5 laps '[laps']]] - intermediate_results[[#This Row], [Total running average '[sec']]]</f>
        <v>0</v>
      </c>
      <c r="AI275" s="3">
        <f>intermediate_results[[#This Row], [All cumulative times '[sec']]] / intermediate_results[[#This Row], [Team6 laps '[laps']]] - intermediate_results[[#This Row], [Total running average '[sec']]]</f>
        <v>0</v>
      </c>
      <c r="AJ275" s="3">
        <f>intermediate_results[[#This Row], [All cumulative times '[sec']]] / intermediate_results[[#This Row], [Team7 laps '[laps']]] - intermediate_results[[#This Row], [Total running average '[sec']]]</f>
        <v>0</v>
      </c>
      <c r="AK275" s="3">
        <f>intermediate_results[[#This Row], [All cumulative times '[sec']]] / intermediate_results[[#This Row], [Team8 laps '[laps']]] - intermediate_results[[#This Row], [Total running average '[sec']]]</f>
        <v>0</v>
      </c>
      <c r="AL275" s="3">
        <f>intermediate_results[[#This Row], [All cumulative times '[sec']]] / intermediate_results[[#This Row], [Team9 laps '[laps']]] - intermediate_results[[#This Row], [Total running average '[sec']]]</f>
        <v>0</v>
      </c>
    </row>
    <row r="276" spans="1:38">
      <c r="A276" s="3">
        <v>1693.64</v>
      </c>
      <c r="B27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6" s="3">
        <f>intermediate_results[[#This Row], [Team1 laps '[laps']]] - intermediate_results[[#This Row], [Team1 laps '[laps']]]</f>
        <v>0</v>
      </c>
      <c r="L276" s="3">
        <f>intermediate_results[[#This Row], [Team1 laps '[laps']]] - intermediate_results[[#This Row], [Team2 laps '[laps']]]</f>
        <v>0</v>
      </c>
      <c r="M276" s="3">
        <f>intermediate_results[[#This Row], [Team1 laps '[laps']]] - intermediate_results[[#This Row], [Team3 laps '[laps']]]</f>
        <v>0</v>
      </c>
      <c r="N276" s="3">
        <f>intermediate_results[[#This Row], [Team1 laps '[laps']]] - intermediate_results[[#This Row], [Team4 laps '[laps']]]</f>
        <v>0</v>
      </c>
      <c r="O276" s="3">
        <f>intermediate_results[[#This Row], [Team1 laps '[laps']]] - intermediate_results[[#This Row], [Team5 laps '[laps']]]</f>
        <v>0</v>
      </c>
      <c r="P276" s="3">
        <f>intermediate_results[[#This Row], [Team1 laps '[laps']]] - intermediate_results[[#This Row], [Team6 laps '[laps']]]</f>
        <v>0</v>
      </c>
      <c r="Q276" s="3">
        <f>intermediate_results[[#This Row], [Team1 laps '[laps']]] - intermediate_results[[#This Row], [Team7 laps '[laps']]]</f>
        <v>0</v>
      </c>
      <c r="R276" s="3">
        <f>intermediate_results[[#This Row], [Team1 laps '[laps']]] - intermediate_results[[#This Row], [Team8 laps '[laps']]]</f>
        <v>0</v>
      </c>
      <c r="S276" s="3">
        <f>intermediate_results[[#This Row], [Team1 laps '[laps']]] - intermediate_results[[#This Row], [Team9 laps '[laps']]]</f>
        <v>0</v>
      </c>
      <c r="T276" s="3">
        <f>MAX(intermediate_results[[#This Row], [Team1 laps '[laps']]:[Team9 laps '[laps']]]) - intermediate_results[[#This Row], [Team1 laps '[laps']]]</f>
        <v>0</v>
      </c>
      <c r="U276" s="3">
        <f>MAX(intermediate_results[[#This Row], [Team1 laps '[laps']]:[Team9 laps '[laps']]]) - intermediate_results[[#This Row], [Team2 laps '[laps']]]</f>
        <v>0</v>
      </c>
      <c r="V276" s="3">
        <f>MAX(intermediate_results[[#This Row], [Team1 laps '[laps']]:[Team9 laps '[laps']]]) - intermediate_results[[#This Row], [Team3 laps '[laps']]]</f>
        <v>0</v>
      </c>
      <c r="W276" s="3">
        <f>MAX(intermediate_results[[#This Row], [Team1 laps '[laps']]:[Team9 laps '[laps']]]) - intermediate_results[[#This Row], [Team4 laps '[laps']]]</f>
        <v>0</v>
      </c>
      <c r="X276" s="3">
        <f>MAX(intermediate_results[[#This Row], [Team1 laps '[laps']]:[Team9 laps '[laps']]]) - intermediate_results[[#This Row], [Team5 laps '[laps']]]</f>
        <v>0</v>
      </c>
      <c r="Y276" s="3">
        <f>MAX(intermediate_results[[#This Row], [Team1 laps '[laps']]:[Team9 laps '[laps']]]) - intermediate_results[[#This Row], [Team6 laps '[laps']]]</f>
        <v>0</v>
      </c>
      <c r="Z276" s="3">
        <f>MAX(intermediate_results[[#This Row], [Team1 laps '[laps']]:[Team9 laps '[laps']]]) - intermediate_results[[#This Row], [Team7 laps '[laps']]]</f>
        <v>0</v>
      </c>
      <c r="AA276" s="3">
        <f>MAX(intermediate_results[[#This Row], [Team1 laps '[laps']]:[Team9 laps '[laps']]]) - intermediate_results[[#This Row], [Team8 laps '[laps']]]</f>
        <v>0</v>
      </c>
      <c r="AB276" s="3">
        <f>MAX(intermediate_results[[#This Row], [Team1 laps '[laps']]:[Team9 laps '[laps']]]) - intermediate_results[[#This Row], [Team9 laps '[laps']]]</f>
        <v>0</v>
      </c>
      <c r="AC276" s="3">
        <f>9 * intermediate_results[[#This Row], [All cumulative times '[sec']]] / SUM(intermediate_results[[#This Row], [Team1 laps '[laps']]:[Team9 laps '[laps']]])</f>
        <v>0</v>
      </c>
      <c r="AD276" s="3">
        <f>intermediate_results[[#This Row], [All cumulative times '[sec']]] / intermediate_results[[#This Row], [Team1 laps '[laps']]] - intermediate_results[[#This Row], [Total running average '[sec']]]</f>
        <v>0</v>
      </c>
      <c r="AE276" s="3">
        <f>intermediate_results[[#This Row], [All cumulative times '[sec']]] / intermediate_results[[#This Row], [Team2 laps '[laps']]] - intermediate_results[[#This Row], [Total running average '[sec']]]</f>
        <v>0</v>
      </c>
      <c r="AF276" s="3">
        <f>intermediate_results[[#This Row], [All cumulative times '[sec']]] / intermediate_results[[#This Row], [Team3 laps '[laps']]] - intermediate_results[[#This Row], [Total running average '[sec']]]</f>
        <v>0</v>
      </c>
      <c r="AG276" s="3">
        <f>intermediate_results[[#This Row], [All cumulative times '[sec']]] / intermediate_results[[#This Row], [Team4 laps '[laps']]] - intermediate_results[[#This Row], [Total running average '[sec']]]</f>
        <v>0</v>
      </c>
      <c r="AH276" s="3">
        <f>intermediate_results[[#This Row], [All cumulative times '[sec']]] / intermediate_results[[#This Row], [Team5 laps '[laps']]] - intermediate_results[[#This Row], [Total running average '[sec']]]</f>
        <v>0</v>
      </c>
      <c r="AI276" s="3">
        <f>intermediate_results[[#This Row], [All cumulative times '[sec']]] / intermediate_results[[#This Row], [Team6 laps '[laps']]] - intermediate_results[[#This Row], [Total running average '[sec']]]</f>
        <v>0</v>
      </c>
      <c r="AJ276" s="3">
        <f>intermediate_results[[#This Row], [All cumulative times '[sec']]] / intermediate_results[[#This Row], [Team7 laps '[laps']]] - intermediate_results[[#This Row], [Total running average '[sec']]]</f>
        <v>0</v>
      </c>
      <c r="AK276" s="3">
        <f>intermediate_results[[#This Row], [All cumulative times '[sec']]] / intermediate_results[[#This Row], [Team8 laps '[laps']]] - intermediate_results[[#This Row], [Total running average '[sec']]]</f>
        <v>0</v>
      </c>
      <c r="AL276" s="3">
        <f>intermediate_results[[#This Row], [All cumulative times '[sec']]] / intermediate_results[[#This Row], [Team9 laps '[laps']]] - intermediate_results[[#This Row], [Total running average '[sec']]]</f>
        <v>0</v>
      </c>
    </row>
    <row r="277" spans="1:38">
      <c r="A277" s="3">
        <v>1700.982</v>
      </c>
      <c r="B27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7" s="3">
        <f>intermediate_results[[#This Row], [Team1 laps '[laps']]] - intermediate_results[[#This Row], [Team1 laps '[laps']]]</f>
        <v>0</v>
      </c>
      <c r="L277" s="3">
        <f>intermediate_results[[#This Row], [Team1 laps '[laps']]] - intermediate_results[[#This Row], [Team2 laps '[laps']]]</f>
        <v>0</v>
      </c>
      <c r="M277" s="3">
        <f>intermediate_results[[#This Row], [Team1 laps '[laps']]] - intermediate_results[[#This Row], [Team3 laps '[laps']]]</f>
        <v>0</v>
      </c>
      <c r="N277" s="3">
        <f>intermediate_results[[#This Row], [Team1 laps '[laps']]] - intermediate_results[[#This Row], [Team4 laps '[laps']]]</f>
        <v>0</v>
      </c>
      <c r="O277" s="3">
        <f>intermediate_results[[#This Row], [Team1 laps '[laps']]] - intermediate_results[[#This Row], [Team5 laps '[laps']]]</f>
        <v>0</v>
      </c>
      <c r="P277" s="3">
        <f>intermediate_results[[#This Row], [Team1 laps '[laps']]] - intermediate_results[[#This Row], [Team6 laps '[laps']]]</f>
        <v>0</v>
      </c>
      <c r="Q277" s="3">
        <f>intermediate_results[[#This Row], [Team1 laps '[laps']]] - intermediate_results[[#This Row], [Team7 laps '[laps']]]</f>
        <v>0</v>
      </c>
      <c r="R277" s="3">
        <f>intermediate_results[[#This Row], [Team1 laps '[laps']]] - intermediate_results[[#This Row], [Team8 laps '[laps']]]</f>
        <v>0</v>
      </c>
      <c r="S277" s="3">
        <f>intermediate_results[[#This Row], [Team1 laps '[laps']]] - intermediate_results[[#This Row], [Team9 laps '[laps']]]</f>
        <v>0</v>
      </c>
      <c r="T277" s="3">
        <f>MAX(intermediate_results[[#This Row], [Team1 laps '[laps']]:[Team9 laps '[laps']]]) - intermediate_results[[#This Row], [Team1 laps '[laps']]]</f>
        <v>0</v>
      </c>
      <c r="U277" s="3">
        <f>MAX(intermediate_results[[#This Row], [Team1 laps '[laps']]:[Team9 laps '[laps']]]) - intermediate_results[[#This Row], [Team2 laps '[laps']]]</f>
        <v>0</v>
      </c>
      <c r="V277" s="3">
        <f>MAX(intermediate_results[[#This Row], [Team1 laps '[laps']]:[Team9 laps '[laps']]]) - intermediate_results[[#This Row], [Team3 laps '[laps']]]</f>
        <v>0</v>
      </c>
      <c r="W277" s="3">
        <f>MAX(intermediate_results[[#This Row], [Team1 laps '[laps']]:[Team9 laps '[laps']]]) - intermediate_results[[#This Row], [Team4 laps '[laps']]]</f>
        <v>0</v>
      </c>
      <c r="X277" s="3">
        <f>MAX(intermediate_results[[#This Row], [Team1 laps '[laps']]:[Team9 laps '[laps']]]) - intermediate_results[[#This Row], [Team5 laps '[laps']]]</f>
        <v>0</v>
      </c>
      <c r="Y277" s="3">
        <f>MAX(intermediate_results[[#This Row], [Team1 laps '[laps']]:[Team9 laps '[laps']]]) - intermediate_results[[#This Row], [Team6 laps '[laps']]]</f>
        <v>0</v>
      </c>
      <c r="Z277" s="3">
        <f>MAX(intermediate_results[[#This Row], [Team1 laps '[laps']]:[Team9 laps '[laps']]]) - intermediate_results[[#This Row], [Team7 laps '[laps']]]</f>
        <v>0</v>
      </c>
      <c r="AA277" s="3">
        <f>MAX(intermediate_results[[#This Row], [Team1 laps '[laps']]:[Team9 laps '[laps']]]) - intermediate_results[[#This Row], [Team8 laps '[laps']]]</f>
        <v>0</v>
      </c>
      <c r="AB277" s="3">
        <f>MAX(intermediate_results[[#This Row], [Team1 laps '[laps']]:[Team9 laps '[laps']]]) - intermediate_results[[#This Row], [Team9 laps '[laps']]]</f>
        <v>0</v>
      </c>
      <c r="AC277" s="3">
        <f>9 * intermediate_results[[#This Row], [All cumulative times '[sec']]] / SUM(intermediate_results[[#This Row], [Team1 laps '[laps']]:[Team9 laps '[laps']]])</f>
        <v>0</v>
      </c>
      <c r="AD277" s="3">
        <f>intermediate_results[[#This Row], [All cumulative times '[sec']]] / intermediate_results[[#This Row], [Team1 laps '[laps']]] - intermediate_results[[#This Row], [Total running average '[sec']]]</f>
        <v>0</v>
      </c>
      <c r="AE277" s="3">
        <f>intermediate_results[[#This Row], [All cumulative times '[sec']]] / intermediate_results[[#This Row], [Team2 laps '[laps']]] - intermediate_results[[#This Row], [Total running average '[sec']]]</f>
        <v>0</v>
      </c>
      <c r="AF277" s="3">
        <f>intermediate_results[[#This Row], [All cumulative times '[sec']]] / intermediate_results[[#This Row], [Team3 laps '[laps']]] - intermediate_results[[#This Row], [Total running average '[sec']]]</f>
        <v>0</v>
      </c>
      <c r="AG277" s="3">
        <f>intermediate_results[[#This Row], [All cumulative times '[sec']]] / intermediate_results[[#This Row], [Team4 laps '[laps']]] - intermediate_results[[#This Row], [Total running average '[sec']]]</f>
        <v>0</v>
      </c>
      <c r="AH277" s="3">
        <f>intermediate_results[[#This Row], [All cumulative times '[sec']]] / intermediate_results[[#This Row], [Team5 laps '[laps']]] - intermediate_results[[#This Row], [Total running average '[sec']]]</f>
        <v>0</v>
      </c>
      <c r="AI277" s="3">
        <f>intermediate_results[[#This Row], [All cumulative times '[sec']]] / intermediate_results[[#This Row], [Team6 laps '[laps']]] - intermediate_results[[#This Row], [Total running average '[sec']]]</f>
        <v>0</v>
      </c>
      <c r="AJ277" s="3">
        <f>intermediate_results[[#This Row], [All cumulative times '[sec']]] / intermediate_results[[#This Row], [Team7 laps '[laps']]] - intermediate_results[[#This Row], [Total running average '[sec']]]</f>
        <v>0</v>
      </c>
      <c r="AK277" s="3">
        <f>intermediate_results[[#This Row], [All cumulative times '[sec']]] / intermediate_results[[#This Row], [Team8 laps '[laps']]] - intermediate_results[[#This Row], [Total running average '[sec']]]</f>
        <v>0</v>
      </c>
      <c r="AL277" s="3">
        <f>intermediate_results[[#This Row], [All cumulative times '[sec']]] / intermediate_results[[#This Row], [Team9 laps '[laps']]] - intermediate_results[[#This Row], [Total running average '[sec']]]</f>
        <v>0</v>
      </c>
    </row>
    <row r="278" spans="1:38">
      <c r="A278" s="3">
        <v>1701.133</v>
      </c>
      <c r="B27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8" s="3">
        <f>intermediate_results[[#This Row], [Team1 laps '[laps']]] - intermediate_results[[#This Row], [Team1 laps '[laps']]]</f>
        <v>0</v>
      </c>
      <c r="L278" s="3">
        <f>intermediate_results[[#This Row], [Team1 laps '[laps']]] - intermediate_results[[#This Row], [Team2 laps '[laps']]]</f>
        <v>0</v>
      </c>
      <c r="M278" s="3">
        <f>intermediate_results[[#This Row], [Team1 laps '[laps']]] - intermediate_results[[#This Row], [Team3 laps '[laps']]]</f>
        <v>0</v>
      </c>
      <c r="N278" s="3">
        <f>intermediate_results[[#This Row], [Team1 laps '[laps']]] - intermediate_results[[#This Row], [Team4 laps '[laps']]]</f>
        <v>0</v>
      </c>
      <c r="O278" s="3">
        <f>intermediate_results[[#This Row], [Team1 laps '[laps']]] - intermediate_results[[#This Row], [Team5 laps '[laps']]]</f>
        <v>0</v>
      </c>
      <c r="P278" s="3">
        <f>intermediate_results[[#This Row], [Team1 laps '[laps']]] - intermediate_results[[#This Row], [Team6 laps '[laps']]]</f>
        <v>0</v>
      </c>
      <c r="Q278" s="3">
        <f>intermediate_results[[#This Row], [Team1 laps '[laps']]] - intermediate_results[[#This Row], [Team7 laps '[laps']]]</f>
        <v>0</v>
      </c>
      <c r="R278" s="3">
        <f>intermediate_results[[#This Row], [Team1 laps '[laps']]] - intermediate_results[[#This Row], [Team8 laps '[laps']]]</f>
        <v>0</v>
      </c>
      <c r="S278" s="3">
        <f>intermediate_results[[#This Row], [Team1 laps '[laps']]] - intermediate_results[[#This Row], [Team9 laps '[laps']]]</f>
        <v>0</v>
      </c>
      <c r="T278" s="3">
        <f>MAX(intermediate_results[[#This Row], [Team1 laps '[laps']]:[Team9 laps '[laps']]]) - intermediate_results[[#This Row], [Team1 laps '[laps']]]</f>
        <v>0</v>
      </c>
      <c r="U278" s="3">
        <f>MAX(intermediate_results[[#This Row], [Team1 laps '[laps']]:[Team9 laps '[laps']]]) - intermediate_results[[#This Row], [Team2 laps '[laps']]]</f>
        <v>0</v>
      </c>
      <c r="V278" s="3">
        <f>MAX(intermediate_results[[#This Row], [Team1 laps '[laps']]:[Team9 laps '[laps']]]) - intermediate_results[[#This Row], [Team3 laps '[laps']]]</f>
        <v>0</v>
      </c>
      <c r="W278" s="3">
        <f>MAX(intermediate_results[[#This Row], [Team1 laps '[laps']]:[Team9 laps '[laps']]]) - intermediate_results[[#This Row], [Team4 laps '[laps']]]</f>
        <v>0</v>
      </c>
      <c r="X278" s="3">
        <f>MAX(intermediate_results[[#This Row], [Team1 laps '[laps']]:[Team9 laps '[laps']]]) - intermediate_results[[#This Row], [Team5 laps '[laps']]]</f>
        <v>0</v>
      </c>
      <c r="Y278" s="3">
        <f>MAX(intermediate_results[[#This Row], [Team1 laps '[laps']]:[Team9 laps '[laps']]]) - intermediate_results[[#This Row], [Team6 laps '[laps']]]</f>
        <v>0</v>
      </c>
      <c r="Z278" s="3">
        <f>MAX(intermediate_results[[#This Row], [Team1 laps '[laps']]:[Team9 laps '[laps']]]) - intermediate_results[[#This Row], [Team7 laps '[laps']]]</f>
        <v>0</v>
      </c>
      <c r="AA278" s="3">
        <f>MAX(intermediate_results[[#This Row], [Team1 laps '[laps']]:[Team9 laps '[laps']]]) - intermediate_results[[#This Row], [Team8 laps '[laps']]]</f>
        <v>0</v>
      </c>
      <c r="AB278" s="3">
        <f>MAX(intermediate_results[[#This Row], [Team1 laps '[laps']]:[Team9 laps '[laps']]]) - intermediate_results[[#This Row], [Team9 laps '[laps']]]</f>
        <v>0</v>
      </c>
      <c r="AC278" s="3">
        <f>9 * intermediate_results[[#This Row], [All cumulative times '[sec']]] / SUM(intermediate_results[[#This Row], [Team1 laps '[laps']]:[Team9 laps '[laps']]])</f>
        <v>0</v>
      </c>
      <c r="AD278" s="3">
        <f>intermediate_results[[#This Row], [All cumulative times '[sec']]] / intermediate_results[[#This Row], [Team1 laps '[laps']]] - intermediate_results[[#This Row], [Total running average '[sec']]]</f>
        <v>0</v>
      </c>
      <c r="AE278" s="3">
        <f>intermediate_results[[#This Row], [All cumulative times '[sec']]] / intermediate_results[[#This Row], [Team2 laps '[laps']]] - intermediate_results[[#This Row], [Total running average '[sec']]]</f>
        <v>0</v>
      </c>
      <c r="AF278" s="3">
        <f>intermediate_results[[#This Row], [All cumulative times '[sec']]] / intermediate_results[[#This Row], [Team3 laps '[laps']]] - intermediate_results[[#This Row], [Total running average '[sec']]]</f>
        <v>0</v>
      </c>
      <c r="AG278" s="3">
        <f>intermediate_results[[#This Row], [All cumulative times '[sec']]] / intermediate_results[[#This Row], [Team4 laps '[laps']]] - intermediate_results[[#This Row], [Total running average '[sec']]]</f>
        <v>0</v>
      </c>
      <c r="AH278" s="3">
        <f>intermediate_results[[#This Row], [All cumulative times '[sec']]] / intermediate_results[[#This Row], [Team5 laps '[laps']]] - intermediate_results[[#This Row], [Total running average '[sec']]]</f>
        <v>0</v>
      </c>
      <c r="AI278" s="3">
        <f>intermediate_results[[#This Row], [All cumulative times '[sec']]] / intermediate_results[[#This Row], [Team6 laps '[laps']]] - intermediate_results[[#This Row], [Total running average '[sec']]]</f>
        <v>0</v>
      </c>
      <c r="AJ278" s="3">
        <f>intermediate_results[[#This Row], [All cumulative times '[sec']]] / intermediate_results[[#This Row], [Team7 laps '[laps']]] - intermediate_results[[#This Row], [Total running average '[sec']]]</f>
        <v>0</v>
      </c>
      <c r="AK278" s="3">
        <f>intermediate_results[[#This Row], [All cumulative times '[sec']]] / intermediate_results[[#This Row], [Team8 laps '[laps']]] - intermediate_results[[#This Row], [Total running average '[sec']]]</f>
        <v>0</v>
      </c>
      <c r="AL278" s="3">
        <f>intermediate_results[[#This Row], [All cumulative times '[sec']]] / intermediate_results[[#This Row], [Team9 laps '[laps']]] - intermediate_results[[#This Row], [Total running average '[sec']]]</f>
        <v>0</v>
      </c>
    </row>
    <row r="279" spans="1:38">
      <c r="A279" s="3">
        <v>1713.537</v>
      </c>
      <c r="B27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7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7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7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7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7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7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7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7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79" s="3">
        <f>intermediate_results[[#This Row], [Team1 laps '[laps']]] - intermediate_results[[#This Row], [Team1 laps '[laps']]]</f>
        <v>0</v>
      </c>
      <c r="L279" s="3">
        <f>intermediate_results[[#This Row], [Team1 laps '[laps']]] - intermediate_results[[#This Row], [Team2 laps '[laps']]]</f>
        <v>0</v>
      </c>
      <c r="M279" s="3">
        <f>intermediate_results[[#This Row], [Team1 laps '[laps']]] - intermediate_results[[#This Row], [Team3 laps '[laps']]]</f>
        <v>0</v>
      </c>
      <c r="N279" s="3">
        <f>intermediate_results[[#This Row], [Team1 laps '[laps']]] - intermediate_results[[#This Row], [Team4 laps '[laps']]]</f>
        <v>0</v>
      </c>
      <c r="O279" s="3">
        <f>intermediate_results[[#This Row], [Team1 laps '[laps']]] - intermediate_results[[#This Row], [Team5 laps '[laps']]]</f>
        <v>0</v>
      </c>
      <c r="P279" s="3">
        <f>intermediate_results[[#This Row], [Team1 laps '[laps']]] - intermediate_results[[#This Row], [Team6 laps '[laps']]]</f>
        <v>0</v>
      </c>
      <c r="Q279" s="3">
        <f>intermediate_results[[#This Row], [Team1 laps '[laps']]] - intermediate_results[[#This Row], [Team7 laps '[laps']]]</f>
        <v>0</v>
      </c>
      <c r="R279" s="3">
        <f>intermediate_results[[#This Row], [Team1 laps '[laps']]] - intermediate_results[[#This Row], [Team8 laps '[laps']]]</f>
        <v>0</v>
      </c>
      <c r="S279" s="3">
        <f>intermediate_results[[#This Row], [Team1 laps '[laps']]] - intermediate_results[[#This Row], [Team9 laps '[laps']]]</f>
        <v>0</v>
      </c>
      <c r="T279" s="3">
        <f>MAX(intermediate_results[[#This Row], [Team1 laps '[laps']]:[Team9 laps '[laps']]]) - intermediate_results[[#This Row], [Team1 laps '[laps']]]</f>
        <v>0</v>
      </c>
      <c r="U279" s="3">
        <f>MAX(intermediate_results[[#This Row], [Team1 laps '[laps']]:[Team9 laps '[laps']]]) - intermediate_results[[#This Row], [Team2 laps '[laps']]]</f>
        <v>0</v>
      </c>
      <c r="V279" s="3">
        <f>MAX(intermediate_results[[#This Row], [Team1 laps '[laps']]:[Team9 laps '[laps']]]) - intermediate_results[[#This Row], [Team3 laps '[laps']]]</f>
        <v>0</v>
      </c>
      <c r="W279" s="3">
        <f>MAX(intermediate_results[[#This Row], [Team1 laps '[laps']]:[Team9 laps '[laps']]]) - intermediate_results[[#This Row], [Team4 laps '[laps']]]</f>
        <v>0</v>
      </c>
      <c r="X279" s="3">
        <f>MAX(intermediate_results[[#This Row], [Team1 laps '[laps']]:[Team9 laps '[laps']]]) - intermediate_results[[#This Row], [Team5 laps '[laps']]]</f>
        <v>0</v>
      </c>
      <c r="Y279" s="3">
        <f>MAX(intermediate_results[[#This Row], [Team1 laps '[laps']]:[Team9 laps '[laps']]]) - intermediate_results[[#This Row], [Team6 laps '[laps']]]</f>
        <v>0</v>
      </c>
      <c r="Z279" s="3">
        <f>MAX(intermediate_results[[#This Row], [Team1 laps '[laps']]:[Team9 laps '[laps']]]) - intermediate_results[[#This Row], [Team7 laps '[laps']]]</f>
        <v>0</v>
      </c>
      <c r="AA279" s="3">
        <f>MAX(intermediate_results[[#This Row], [Team1 laps '[laps']]:[Team9 laps '[laps']]]) - intermediate_results[[#This Row], [Team8 laps '[laps']]]</f>
        <v>0</v>
      </c>
      <c r="AB279" s="3">
        <f>MAX(intermediate_results[[#This Row], [Team1 laps '[laps']]:[Team9 laps '[laps']]]) - intermediate_results[[#This Row], [Team9 laps '[laps']]]</f>
        <v>0</v>
      </c>
      <c r="AC279" s="3">
        <f>9 * intermediate_results[[#This Row], [All cumulative times '[sec']]] / SUM(intermediate_results[[#This Row], [Team1 laps '[laps']]:[Team9 laps '[laps']]])</f>
        <v>0</v>
      </c>
      <c r="AD279" s="3">
        <f>intermediate_results[[#This Row], [All cumulative times '[sec']]] / intermediate_results[[#This Row], [Team1 laps '[laps']]] - intermediate_results[[#This Row], [Total running average '[sec']]]</f>
        <v>0</v>
      </c>
      <c r="AE279" s="3">
        <f>intermediate_results[[#This Row], [All cumulative times '[sec']]] / intermediate_results[[#This Row], [Team2 laps '[laps']]] - intermediate_results[[#This Row], [Total running average '[sec']]]</f>
        <v>0</v>
      </c>
      <c r="AF279" s="3">
        <f>intermediate_results[[#This Row], [All cumulative times '[sec']]] / intermediate_results[[#This Row], [Team3 laps '[laps']]] - intermediate_results[[#This Row], [Total running average '[sec']]]</f>
        <v>0</v>
      </c>
      <c r="AG279" s="3">
        <f>intermediate_results[[#This Row], [All cumulative times '[sec']]] / intermediate_results[[#This Row], [Team4 laps '[laps']]] - intermediate_results[[#This Row], [Total running average '[sec']]]</f>
        <v>0</v>
      </c>
      <c r="AH279" s="3">
        <f>intermediate_results[[#This Row], [All cumulative times '[sec']]] / intermediate_results[[#This Row], [Team5 laps '[laps']]] - intermediate_results[[#This Row], [Total running average '[sec']]]</f>
        <v>0</v>
      </c>
      <c r="AI279" s="3">
        <f>intermediate_results[[#This Row], [All cumulative times '[sec']]] / intermediate_results[[#This Row], [Team6 laps '[laps']]] - intermediate_results[[#This Row], [Total running average '[sec']]]</f>
        <v>0</v>
      </c>
      <c r="AJ279" s="3">
        <f>intermediate_results[[#This Row], [All cumulative times '[sec']]] / intermediate_results[[#This Row], [Team7 laps '[laps']]] - intermediate_results[[#This Row], [Total running average '[sec']]]</f>
        <v>0</v>
      </c>
      <c r="AK279" s="3">
        <f>intermediate_results[[#This Row], [All cumulative times '[sec']]] / intermediate_results[[#This Row], [Team8 laps '[laps']]] - intermediate_results[[#This Row], [Total running average '[sec']]]</f>
        <v>0</v>
      </c>
      <c r="AL279" s="3">
        <f>intermediate_results[[#This Row], [All cumulative times '[sec']]] / intermediate_results[[#This Row], [Team9 laps '[laps']]] - intermediate_results[[#This Row], [Total running average '[sec']]]</f>
        <v>0</v>
      </c>
    </row>
    <row r="280" spans="1:38">
      <c r="A280" s="3">
        <v>1717.67</v>
      </c>
      <c r="B28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0" s="3">
        <f>intermediate_results[[#This Row], [Team1 laps '[laps']]] - intermediate_results[[#This Row], [Team1 laps '[laps']]]</f>
        <v>0</v>
      </c>
      <c r="L280" s="3">
        <f>intermediate_results[[#This Row], [Team1 laps '[laps']]] - intermediate_results[[#This Row], [Team2 laps '[laps']]]</f>
        <v>0</v>
      </c>
      <c r="M280" s="3">
        <f>intermediate_results[[#This Row], [Team1 laps '[laps']]] - intermediate_results[[#This Row], [Team3 laps '[laps']]]</f>
        <v>0</v>
      </c>
      <c r="N280" s="3">
        <f>intermediate_results[[#This Row], [Team1 laps '[laps']]] - intermediate_results[[#This Row], [Team4 laps '[laps']]]</f>
        <v>0</v>
      </c>
      <c r="O280" s="3">
        <f>intermediate_results[[#This Row], [Team1 laps '[laps']]] - intermediate_results[[#This Row], [Team5 laps '[laps']]]</f>
        <v>0</v>
      </c>
      <c r="P280" s="3">
        <f>intermediate_results[[#This Row], [Team1 laps '[laps']]] - intermediate_results[[#This Row], [Team6 laps '[laps']]]</f>
        <v>0</v>
      </c>
      <c r="Q280" s="3">
        <f>intermediate_results[[#This Row], [Team1 laps '[laps']]] - intermediate_results[[#This Row], [Team7 laps '[laps']]]</f>
        <v>0</v>
      </c>
      <c r="R280" s="3">
        <f>intermediate_results[[#This Row], [Team1 laps '[laps']]] - intermediate_results[[#This Row], [Team8 laps '[laps']]]</f>
        <v>0</v>
      </c>
      <c r="S280" s="3">
        <f>intermediate_results[[#This Row], [Team1 laps '[laps']]] - intermediate_results[[#This Row], [Team9 laps '[laps']]]</f>
        <v>0</v>
      </c>
      <c r="T280" s="3">
        <f>MAX(intermediate_results[[#This Row], [Team1 laps '[laps']]:[Team9 laps '[laps']]]) - intermediate_results[[#This Row], [Team1 laps '[laps']]]</f>
        <v>0</v>
      </c>
      <c r="U280" s="3">
        <f>MAX(intermediate_results[[#This Row], [Team1 laps '[laps']]:[Team9 laps '[laps']]]) - intermediate_results[[#This Row], [Team2 laps '[laps']]]</f>
        <v>0</v>
      </c>
      <c r="V280" s="3">
        <f>MAX(intermediate_results[[#This Row], [Team1 laps '[laps']]:[Team9 laps '[laps']]]) - intermediate_results[[#This Row], [Team3 laps '[laps']]]</f>
        <v>0</v>
      </c>
      <c r="W280" s="3">
        <f>MAX(intermediate_results[[#This Row], [Team1 laps '[laps']]:[Team9 laps '[laps']]]) - intermediate_results[[#This Row], [Team4 laps '[laps']]]</f>
        <v>0</v>
      </c>
      <c r="X280" s="3">
        <f>MAX(intermediate_results[[#This Row], [Team1 laps '[laps']]:[Team9 laps '[laps']]]) - intermediate_results[[#This Row], [Team5 laps '[laps']]]</f>
        <v>0</v>
      </c>
      <c r="Y280" s="3">
        <f>MAX(intermediate_results[[#This Row], [Team1 laps '[laps']]:[Team9 laps '[laps']]]) - intermediate_results[[#This Row], [Team6 laps '[laps']]]</f>
        <v>0</v>
      </c>
      <c r="Z280" s="3">
        <f>MAX(intermediate_results[[#This Row], [Team1 laps '[laps']]:[Team9 laps '[laps']]]) - intermediate_results[[#This Row], [Team7 laps '[laps']]]</f>
        <v>0</v>
      </c>
      <c r="AA280" s="3">
        <f>MAX(intermediate_results[[#This Row], [Team1 laps '[laps']]:[Team9 laps '[laps']]]) - intermediate_results[[#This Row], [Team8 laps '[laps']]]</f>
        <v>0</v>
      </c>
      <c r="AB280" s="3">
        <f>MAX(intermediate_results[[#This Row], [Team1 laps '[laps']]:[Team9 laps '[laps']]]) - intermediate_results[[#This Row], [Team9 laps '[laps']]]</f>
        <v>0</v>
      </c>
      <c r="AC280" s="3">
        <f>9 * intermediate_results[[#This Row], [All cumulative times '[sec']]] / SUM(intermediate_results[[#This Row], [Team1 laps '[laps']]:[Team9 laps '[laps']]])</f>
        <v>0</v>
      </c>
      <c r="AD280" s="3">
        <f>intermediate_results[[#This Row], [All cumulative times '[sec']]] / intermediate_results[[#This Row], [Team1 laps '[laps']]] - intermediate_results[[#This Row], [Total running average '[sec']]]</f>
        <v>0</v>
      </c>
      <c r="AE280" s="3">
        <f>intermediate_results[[#This Row], [All cumulative times '[sec']]] / intermediate_results[[#This Row], [Team2 laps '[laps']]] - intermediate_results[[#This Row], [Total running average '[sec']]]</f>
        <v>0</v>
      </c>
      <c r="AF280" s="3">
        <f>intermediate_results[[#This Row], [All cumulative times '[sec']]] / intermediate_results[[#This Row], [Team3 laps '[laps']]] - intermediate_results[[#This Row], [Total running average '[sec']]]</f>
        <v>0</v>
      </c>
      <c r="AG280" s="3">
        <f>intermediate_results[[#This Row], [All cumulative times '[sec']]] / intermediate_results[[#This Row], [Team4 laps '[laps']]] - intermediate_results[[#This Row], [Total running average '[sec']]]</f>
        <v>0</v>
      </c>
      <c r="AH280" s="3">
        <f>intermediate_results[[#This Row], [All cumulative times '[sec']]] / intermediate_results[[#This Row], [Team5 laps '[laps']]] - intermediate_results[[#This Row], [Total running average '[sec']]]</f>
        <v>0</v>
      </c>
      <c r="AI280" s="3">
        <f>intermediate_results[[#This Row], [All cumulative times '[sec']]] / intermediate_results[[#This Row], [Team6 laps '[laps']]] - intermediate_results[[#This Row], [Total running average '[sec']]]</f>
        <v>0</v>
      </c>
      <c r="AJ280" s="3">
        <f>intermediate_results[[#This Row], [All cumulative times '[sec']]] / intermediate_results[[#This Row], [Team7 laps '[laps']]] - intermediate_results[[#This Row], [Total running average '[sec']]]</f>
        <v>0</v>
      </c>
      <c r="AK280" s="3">
        <f>intermediate_results[[#This Row], [All cumulative times '[sec']]] / intermediate_results[[#This Row], [Team8 laps '[laps']]] - intermediate_results[[#This Row], [Total running average '[sec']]]</f>
        <v>0</v>
      </c>
      <c r="AL280" s="3">
        <f>intermediate_results[[#This Row], [All cumulative times '[sec']]] / intermediate_results[[#This Row], [Team9 laps '[laps']]] - intermediate_results[[#This Row], [Total running average '[sec']]]</f>
        <v>0</v>
      </c>
    </row>
    <row r="281" spans="1:38">
      <c r="A281" s="3">
        <v>1720.119</v>
      </c>
      <c r="B28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1" s="3">
        <f>intermediate_results[[#This Row], [Team1 laps '[laps']]] - intermediate_results[[#This Row], [Team1 laps '[laps']]]</f>
        <v>0</v>
      </c>
      <c r="L281" s="3">
        <f>intermediate_results[[#This Row], [Team1 laps '[laps']]] - intermediate_results[[#This Row], [Team2 laps '[laps']]]</f>
        <v>0</v>
      </c>
      <c r="M281" s="3">
        <f>intermediate_results[[#This Row], [Team1 laps '[laps']]] - intermediate_results[[#This Row], [Team3 laps '[laps']]]</f>
        <v>0</v>
      </c>
      <c r="N281" s="3">
        <f>intermediate_results[[#This Row], [Team1 laps '[laps']]] - intermediate_results[[#This Row], [Team4 laps '[laps']]]</f>
        <v>0</v>
      </c>
      <c r="O281" s="3">
        <f>intermediate_results[[#This Row], [Team1 laps '[laps']]] - intermediate_results[[#This Row], [Team5 laps '[laps']]]</f>
        <v>0</v>
      </c>
      <c r="P281" s="3">
        <f>intermediate_results[[#This Row], [Team1 laps '[laps']]] - intermediate_results[[#This Row], [Team6 laps '[laps']]]</f>
        <v>0</v>
      </c>
      <c r="Q281" s="3">
        <f>intermediate_results[[#This Row], [Team1 laps '[laps']]] - intermediate_results[[#This Row], [Team7 laps '[laps']]]</f>
        <v>0</v>
      </c>
      <c r="R281" s="3">
        <f>intermediate_results[[#This Row], [Team1 laps '[laps']]] - intermediate_results[[#This Row], [Team8 laps '[laps']]]</f>
        <v>0</v>
      </c>
      <c r="S281" s="3">
        <f>intermediate_results[[#This Row], [Team1 laps '[laps']]] - intermediate_results[[#This Row], [Team9 laps '[laps']]]</f>
        <v>0</v>
      </c>
      <c r="T281" s="3">
        <f>MAX(intermediate_results[[#This Row], [Team1 laps '[laps']]:[Team9 laps '[laps']]]) - intermediate_results[[#This Row], [Team1 laps '[laps']]]</f>
        <v>0</v>
      </c>
      <c r="U281" s="3">
        <f>MAX(intermediate_results[[#This Row], [Team1 laps '[laps']]:[Team9 laps '[laps']]]) - intermediate_results[[#This Row], [Team2 laps '[laps']]]</f>
        <v>0</v>
      </c>
      <c r="V281" s="3">
        <f>MAX(intermediate_results[[#This Row], [Team1 laps '[laps']]:[Team9 laps '[laps']]]) - intermediate_results[[#This Row], [Team3 laps '[laps']]]</f>
        <v>0</v>
      </c>
      <c r="W281" s="3">
        <f>MAX(intermediate_results[[#This Row], [Team1 laps '[laps']]:[Team9 laps '[laps']]]) - intermediate_results[[#This Row], [Team4 laps '[laps']]]</f>
        <v>0</v>
      </c>
      <c r="X281" s="3">
        <f>MAX(intermediate_results[[#This Row], [Team1 laps '[laps']]:[Team9 laps '[laps']]]) - intermediate_results[[#This Row], [Team5 laps '[laps']]]</f>
        <v>0</v>
      </c>
      <c r="Y281" s="3">
        <f>MAX(intermediate_results[[#This Row], [Team1 laps '[laps']]:[Team9 laps '[laps']]]) - intermediate_results[[#This Row], [Team6 laps '[laps']]]</f>
        <v>0</v>
      </c>
      <c r="Z281" s="3">
        <f>MAX(intermediate_results[[#This Row], [Team1 laps '[laps']]:[Team9 laps '[laps']]]) - intermediate_results[[#This Row], [Team7 laps '[laps']]]</f>
        <v>0</v>
      </c>
      <c r="AA281" s="3">
        <f>MAX(intermediate_results[[#This Row], [Team1 laps '[laps']]:[Team9 laps '[laps']]]) - intermediate_results[[#This Row], [Team8 laps '[laps']]]</f>
        <v>0</v>
      </c>
      <c r="AB281" s="3">
        <f>MAX(intermediate_results[[#This Row], [Team1 laps '[laps']]:[Team9 laps '[laps']]]) - intermediate_results[[#This Row], [Team9 laps '[laps']]]</f>
        <v>0</v>
      </c>
      <c r="AC281" s="3">
        <f>9 * intermediate_results[[#This Row], [All cumulative times '[sec']]] / SUM(intermediate_results[[#This Row], [Team1 laps '[laps']]:[Team9 laps '[laps']]])</f>
        <v>0</v>
      </c>
      <c r="AD281" s="3">
        <f>intermediate_results[[#This Row], [All cumulative times '[sec']]] / intermediate_results[[#This Row], [Team1 laps '[laps']]] - intermediate_results[[#This Row], [Total running average '[sec']]]</f>
        <v>0</v>
      </c>
      <c r="AE281" s="3">
        <f>intermediate_results[[#This Row], [All cumulative times '[sec']]] / intermediate_results[[#This Row], [Team2 laps '[laps']]] - intermediate_results[[#This Row], [Total running average '[sec']]]</f>
        <v>0</v>
      </c>
      <c r="AF281" s="3">
        <f>intermediate_results[[#This Row], [All cumulative times '[sec']]] / intermediate_results[[#This Row], [Team3 laps '[laps']]] - intermediate_results[[#This Row], [Total running average '[sec']]]</f>
        <v>0</v>
      </c>
      <c r="AG281" s="3">
        <f>intermediate_results[[#This Row], [All cumulative times '[sec']]] / intermediate_results[[#This Row], [Team4 laps '[laps']]] - intermediate_results[[#This Row], [Total running average '[sec']]]</f>
        <v>0</v>
      </c>
      <c r="AH281" s="3">
        <f>intermediate_results[[#This Row], [All cumulative times '[sec']]] / intermediate_results[[#This Row], [Team5 laps '[laps']]] - intermediate_results[[#This Row], [Total running average '[sec']]]</f>
        <v>0</v>
      </c>
      <c r="AI281" s="3">
        <f>intermediate_results[[#This Row], [All cumulative times '[sec']]] / intermediate_results[[#This Row], [Team6 laps '[laps']]] - intermediate_results[[#This Row], [Total running average '[sec']]]</f>
        <v>0</v>
      </c>
      <c r="AJ281" s="3">
        <f>intermediate_results[[#This Row], [All cumulative times '[sec']]] / intermediate_results[[#This Row], [Team7 laps '[laps']]] - intermediate_results[[#This Row], [Total running average '[sec']]]</f>
        <v>0</v>
      </c>
      <c r="AK281" s="3">
        <f>intermediate_results[[#This Row], [All cumulative times '[sec']]] / intermediate_results[[#This Row], [Team8 laps '[laps']]] - intermediate_results[[#This Row], [Total running average '[sec']]]</f>
        <v>0</v>
      </c>
      <c r="AL281" s="3">
        <f>intermediate_results[[#This Row], [All cumulative times '[sec']]] / intermediate_results[[#This Row], [Team9 laps '[laps']]] - intermediate_results[[#This Row], [Total running average '[sec']]]</f>
        <v>0</v>
      </c>
    </row>
    <row r="282" spans="1:38">
      <c r="A282" s="3">
        <v>1738.673</v>
      </c>
      <c r="B28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2" s="3">
        <f>intermediate_results[[#This Row], [Team1 laps '[laps']]] - intermediate_results[[#This Row], [Team1 laps '[laps']]]</f>
        <v>0</v>
      </c>
      <c r="L282" s="3">
        <f>intermediate_results[[#This Row], [Team1 laps '[laps']]] - intermediate_results[[#This Row], [Team2 laps '[laps']]]</f>
        <v>0</v>
      </c>
      <c r="M282" s="3">
        <f>intermediate_results[[#This Row], [Team1 laps '[laps']]] - intermediate_results[[#This Row], [Team3 laps '[laps']]]</f>
        <v>0</v>
      </c>
      <c r="N282" s="3">
        <f>intermediate_results[[#This Row], [Team1 laps '[laps']]] - intermediate_results[[#This Row], [Team4 laps '[laps']]]</f>
        <v>0</v>
      </c>
      <c r="O282" s="3">
        <f>intermediate_results[[#This Row], [Team1 laps '[laps']]] - intermediate_results[[#This Row], [Team5 laps '[laps']]]</f>
        <v>0</v>
      </c>
      <c r="P282" s="3">
        <f>intermediate_results[[#This Row], [Team1 laps '[laps']]] - intermediate_results[[#This Row], [Team6 laps '[laps']]]</f>
        <v>0</v>
      </c>
      <c r="Q282" s="3">
        <f>intermediate_results[[#This Row], [Team1 laps '[laps']]] - intermediate_results[[#This Row], [Team7 laps '[laps']]]</f>
        <v>0</v>
      </c>
      <c r="R282" s="3">
        <f>intermediate_results[[#This Row], [Team1 laps '[laps']]] - intermediate_results[[#This Row], [Team8 laps '[laps']]]</f>
        <v>0</v>
      </c>
      <c r="S282" s="3">
        <f>intermediate_results[[#This Row], [Team1 laps '[laps']]] - intermediate_results[[#This Row], [Team9 laps '[laps']]]</f>
        <v>0</v>
      </c>
      <c r="T282" s="3">
        <f>MAX(intermediate_results[[#This Row], [Team1 laps '[laps']]:[Team9 laps '[laps']]]) - intermediate_results[[#This Row], [Team1 laps '[laps']]]</f>
        <v>0</v>
      </c>
      <c r="U282" s="3">
        <f>MAX(intermediate_results[[#This Row], [Team1 laps '[laps']]:[Team9 laps '[laps']]]) - intermediate_results[[#This Row], [Team2 laps '[laps']]]</f>
        <v>0</v>
      </c>
      <c r="V282" s="3">
        <f>MAX(intermediate_results[[#This Row], [Team1 laps '[laps']]:[Team9 laps '[laps']]]) - intermediate_results[[#This Row], [Team3 laps '[laps']]]</f>
        <v>0</v>
      </c>
      <c r="W282" s="3">
        <f>MAX(intermediate_results[[#This Row], [Team1 laps '[laps']]:[Team9 laps '[laps']]]) - intermediate_results[[#This Row], [Team4 laps '[laps']]]</f>
        <v>0</v>
      </c>
      <c r="X282" s="3">
        <f>MAX(intermediate_results[[#This Row], [Team1 laps '[laps']]:[Team9 laps '[laps']]]) - intermediate_results[[#This Row], [Team5 laps '[laps']]]</f>
        <v>0</v>
      </c>
      <c r="Y282" s="3">
        <f>MAX(intermediate_results[[#This Row], [Team1 laps '[laps']]:[Team9 laps '[laps']]]) - intermediate_results[[#This Row], [Team6 laps '[laps']]]</f>
        <v>0</v>
      </c>
      <c r="Z282" s="3">
        <f>MAX(intermediate_results[[#This Row], [Team1 laps '[laps']]:[Team9 laps '[laps']]]) - intermediate_results[[#This Row], [Team7 laps '[laps']]]</f>
        <v>0</v>
      </c>
      <c r="AA282" s="3">
        <f>MAX(intermediate_results[[#This Row], [Team1 laps '[laps']]:[Team9 laps '[laps']]]) - intermediate_results[[#This Row], [Team8 laps '[laps']]]</f>
        <v>0</v>
      </c>
      <c r="AB282" s="3">
        <f>MAX(intermediate_results[[#This Row], [Team1 laps '[laps']]:[Team9 laps '[laps']]]) - intermediate_results[[#This Row], [Team9 laps '[laps']]]</f>
        <v>0</v>
      </c>
      <c r="AC282" s="3">
        <f>9 * intermediate_results[[#This Row], [All cumulative times '[sec']]] / SUM(intermediate_results[[#This Row], [Team1 laps '[laps']]:[Team9 laps '[laps']]])</f>
        <v>0</v>
      </c>
      <c r="AD282" s="3">
        <f>intermediate_results[[#This Row], [All cumulative times '[sec']]] / intermediate_results[[#This Row], [Team1 laps '[laps']]] - intermediate_results[[#This Row], [Total running average '[sec']]]</f>
        <v>0</v>
      </c>
      <c r="AE282" s="3">
        <f>intermediate_results[[#This Row], [All cumulative times '[sec']]] / intermediate_results[[#This Row], [Team2 laps '[laps']]] - intermediate_results[[#This Row], [Total running average '[sec']]]</f>
        <v>0</v>
      </c>
      <c r="AF282" s="3">
        <f>intermediate_results[[#This Row], [All cumulative times '[sec']]] / intermediate_results[[#This Row], [Team3 laps '[laps']]] - intermediate_results[[#This Row], [Total running average '[sec']]]</f>
        <v>0</v>
      </c>
      <c r="AG282" s="3">
        <f>intermediate_results[[#This Row], [All cumulative times '[sec']]] / intermediate_results[[#This Row], [Team4 laps '[laps']]] - intermediate_results[[#This Row], [Total running average '[sec']]]</f>
        <v>0</v>
      </c>
      <c r="AH282" s="3">
        <f>intermediate_results[[#This Row], [All cumulative times '[sec']]] / intermediate_results[[#This Row], [Team5 laps '[laps']]] - intermediate_results[[#This Row], [Total running average '[sec']]]</f>
        <v>0</v>
      </c>
      <c r="AI282" s="3">
        <f>intermediate_results[[#This Row], [All cumulative times '[sec']]] / intermediate_results[[#This Row], [Team6 laps '[laps']]] - intermediate_results[[#This Row], [Total running average '[sec']]]</f>
        <v>0</v>
      </c>
      <c r="AJ282" s="3">
        <f>intermediate_results[[#This Row], [All cumulative times '[sec']]] / intermediate_results[[#This Row], [Team7 laps '[laps']]] - intermediate_results[[#This Row], [Total running average '[sec']]]</f>
        <v>0</v>
      </c>
      <c r="AK282" s="3">
        <f>intermediate_results[[#This Row], [All cumulative times '[sec']]] / intermediate_results[[#This Row], [Team8 laps '[laps']]] - intermediate_results[[#This Row], [Total running average '[sec']]]</f>
        <v>0</v>
      </c>
      <c r="AL282" s="3">
        <f>intermediate_results[[#This Row], [All cumulative times '[sec']]] / intermediate_results[[#This Row], [Team9 laps '[laps']]] - intermediate_results[[#This Row], [Total running average '[sec']]]</f>
        <v>0</v>
      </c>
    </row>
    <row r="283" spans="1:38">
      <c r="A283" s="3">
        <v>1741.722</v>
      </c>
      <c r="B28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3" s="3">
        <f>intermediate_results[[#This Row], [Team1 laps '[laps']]] - intermediate_results[[#This Row], [Team1 laps '[laps']]]</f>
        <v>0</v>
      </c>
      <c r="L283" s="3">
        <f>intermediate_results[[#This Row], [Team1 laps '[laps']]] - intermediate_results[[#This Row], [Team2 laps '[laps']]]</f>
        <v>0</v>
      </c>
      <c r="M283" s="3">
        <f>intermediate_results[[#This Row], [Team1 laps '[laps']]] - intermediate_results[[#This Row], [Team3 laps '[laps']]]</f>
        <v>0</v>
      </c>
      <c r="N283" s="3">
        <f>intermediate_results[[#This Row], [Team1 laps '[laps']]] - intermediate_results[[#This Row], [Team4 laps '[laps']]]</f>
        <v>0</v>
      </c>
      <c r="O283" s="3">
        <f>intermediate_results[[#This Row], [Team1 laps '[laps']]] - intermediate_results[[#This Row], [Team5 laps '[laps']]]</f>
        <v>0</v>
      </c>
      <c r="P283" s="3">
        <f>intermediate_results[[#This Row], [Team1 laps '[laps']]] - intermediate_results[[#This Row], [Team6 laps '[laps']]]</f>
        <v>0</v>
      </c>
      <c r="Q283" s="3">
        <f>intermediate_results[[#This Row], [Team1 laps '[laps']]] - intermediate_results[[#This Row], [Team7 laps '[laps']]]</f>
        <v>0</v>
      </c>
      <c r="R283" s="3">
        <f>intermediate_results[[#This Row], [Team1 laps '[laps']]] - intermediate_results[[#This Row], [Team8 laps '[laps']]]</f>
        <v>0</v>
      </c>
      <c r="S283" s="3">
        <f>intermediate_results[[#This Row], [Team1 laps '[laps']]] - intermediate_results[[#This Row], [Team9 laps '[laps']]]</f>
        <v>0</v>
      </c>
      <c r="T283" s="3">
        <f>MAX(intermediate_results[[#This Row], [Team1 laps '[laps']]:[Team9 laps '[laps']]]) - intermediate_results[[#This Row], [Team1 laps '[laps']]]</f>
        <v>0</v>
      </c>
      <c r="U283" s="3">
        <f>MAX(intermediate_results[[#This Row], [Team1 laps '[laps']]:[Team9 laps '[laps']]]) - intermediate_results[[#This Row], [Team2 laps '[laps']]]</f>
        <v>0</v>
      </c>
      <c r="V283" s="3">
        <f>MAX(intermediate_results[[#This Row], [Team1 laps '[laps']]:[Team9 laps '[laps']]]) - intermediate_results[[#This Row], [Team3 laps '[laps']]]</f>
        <v>0</v>
      </c>
      <c r="W283" s="3">
        <f>MAX(intermediate_results[[#This Row], [Team1 laps '[laps']]:[Team9 laps '[laps']]]) - intermediate_results[[#This Row], [Team4 laps '[laps']]]</f>
        <v>0</v>
      </c>
      <c r="X283" s="3">
        <f>MAX(intermediate_results[[#This Row], [Team1 laps '[laps']]:[Team9 laps '[laps']]]) - intermediate_results[[#This Row], [Team5 laps '[laps']]]</f>
        <v>0</v>
      </c>
      <c r="Y283" s="3">
        <f>MAX(intermediate_results[[#This Row], [Team1 laps '[laps']]:[Team9 laps '[laps']]]) - intermediate_results[[#This Row], [Team6 laps '[laps']]]</f>
        <v>0</v>
      </c>
      <c r="Z283" s="3">
        <f>MAX(intermediate_results[[#This Row], [Team1 laps '[laps']]:[Team9 laps '[laps']]]) - intermediate_results[[#This Row], [Team7 laps '[laps']]]</f>
        <v>0</v>
      </c>
      <c r="AA283" s="3">
        <f>MAX(intermediate_results[[#This Row], [Team1 laps '[laps']]:[Team9 laps '[laps']]]) - intermediate_results[[#This Row], [Team8 laps '[laps']]]</f>
        <v>0</v>
      </c>
      <c r="AB283" s="3">
        <f>MAX(intermediate_results[[#This Row], [Team1 laps '[laps']]:[Team9 laps '[laps']]]) - intermediate_results[[#This Row], [Team9 laps '[laps']]]</f>
        <v>0</v>
      </c>
      <c r="AC283" s="3">
        <f>9 * intermediate_results[[#This Row], [All cumulative times '[sec']]] / SUM(intermediate_results[[#This Row], [Team1 laps '[laps']]:[Team9 laps '[laps']]])</f>
        <v>0</v>
      </c>
      <c r="AD283" s="3">
        <f>intermediate_results[[#This Row], [All cumulative times '[sec']]] / intermediate_results[[#This Row], [Team1 laps '[laps']]] - intermediate_results[[#This Row], [Total running average '[sec']]]</f>
        <v>0</v>
      </c>
      <c r="AE283" s="3">
        <f>intermediate_results[[#This Row], [All cumulative times '[sec']]] / intermediate_results[[#This Row], [Team2 laps '[laps']]] - intermediate_results[[#This Row], [Total running average '[sec']]]</f>
        <v>0</v>
      </c>
      <c r="AF283" s="3">
        <f>intermediate_results[[#This Row], [All cumulative times '[sec']]] / intermediate_results[[#This Row], [Team3 laps '[laps']]] - intermediate_results[[#This Row], [Total running average '[sec']]]</f>
        <v>0</v>
      </c>
      <c r="AG283" s="3">
        <f>intermediate_results[[#This Row], [All cumulative times '[sec']]] / intermediate_results[[#This Row], [Team4 laps '[laps']]] - intermediate_results[[#This Row], [Total running average '[sec']]]</f>
        <v>0</v>
      </c>
      <c r="AH283" s="3">
        <f>intermediate_results[[#This Row], [All cumulative times '[sec']]] / intermediate_results[[#This Row], [Team5 laps '[laps']]] - intermediate_results[[#This Row], [Total running average '[sec']]]</f>
        <v>0</v>
      </c>
      <c r="AI283" s="3">
        <f>intermediate_results[[#This Row], [All cumulative times '[sec']]] / intermediate_results[[#This Row], [Team6 laps '[laps']]] - intermediate_results[[#This Row], [Total running average '[sec']]]</f>
        <v>0</v>
      </c>
      <c r="AJ283" s="3">
        <f>intermediate_results[[#This Row], [All cumulative times '[sec']]] / intermediate_results[[#This Row], [Team7 laps '[laps']]] - intermediate_results[[#This Row], [Total running average '[sec']]]</f>
        <v>0</v>
      </c>
      <c r="AK283" s="3">
        <f>intermediate_results[[#This Row], [All cumulative times '[sec']]] / intermediate_results[[#This Row], [Team8 laps '[laps']]] - intermediate_results[[#This Row], [Total running average '[sec']]]</f>
        <v>0</v>
      </c>
      <c r="AL283" s="3">
        <f>intermediate_results[[#This Row], [All cumulative times '[sec']]] / intermediate_results[[#This Row], [Team9 laps '[laps']]] - intermediate_results[[#This Row], [Total running average '[sec']]]</f>
        <v>0</v>
      </c>
    </row>
    <row r="284" spans="1:38">
      <c r="A284" s="3">
        <v>1748.475</v>
      </c>
      <c r="B28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4" s="3">
        <f>intermediate_results[[#This Row], [Team1 laps '[laps']]] - intermediate_results[[#This Row], [Team1 laps '[laps']]]</f>
        <v>0</v>
      </c>
      <c r="L284" s="3">
        <f>intermediate_results[[#This Row], [Team1 laps '[laps']]] - intermediate_results[[#This Row], [Team2 laps '[laps']]]</f>
        <v>0</v>
      </c>
      <c r="M284" s="3">
        <f>intermediate_results[[#This Row], [Team1 laps '[laps']]] - intermediate_results[[#This Row], [Team3 laps '[laps']]]</f>
        <v>0</v>
      </c>
      <c r="N284" s="3">
        <f>intermediate_results[[#This Row], [Team1 laps '[laps']]] - intermediate_results[[#This Row], [Team4 laps '[laps']]]</f>
        <v>0</v>
      </c>
      <c r="O284" s="3">
        <f>intermediate_results[[#This Row], [Team1 laps '[laps']]] - intermediate_results[[#This Row], [Team5 laps '[laps']]]</f>
        <v>0</v>
      </c>
      <c r="P284" s="3">
        <f>intermediate_results[[#This Row], [Team1 laps '[laps']]] - intermediate_results[[#This Row], [Team6 laps '[laps']]]</f>
        <v>0</v>
      </c>
      <c r="Q284" s="3">
        <f>intermediate_results[[#This Row], [Team1 laps '[laps']]] - intermediate_results[[#This Row], [Team7 laps '[laps']]]</f>
        <v>0</v>
      </c>
      <c r="R284" s="3">
        <f>intermediate_results[[#This Row], [Team1 laps '[laps']]] - intermediate_results[[#This Row], [Team8 laps '[laps']]]</f>
        <v>0</v>
      </c>
      <c r="S284" s="3">
        <f>intermediate_results[[#This Row], [Team1 laps '[laps']]] - intermediate_results[[#This Row], [Team9 laps '[laps']]]</f>
        <v>0</v>
      </c>
      <c r="T284" s="3">
        <f>MAX(intermediate_results[[#This Row], [Team1 laps '[laps']]:[Team9 laps '[laps']]]) - intermediate_results[[#This Row], [Team1 laps '[laps']]]</f>
        <v>0</v>
      </c>
      <c r="U284" s="3">
        <f>MAX(intermediate_results[[#This Row], [Team1 laps '[laps']]:[Team9 laps '[laps']]]) - intermediate_results[[#This Row], [Team2 laps '[laps']]]</f>
        <v>0</v>
      </c>
      <c r="V284" s="3">
        <f>MAX(intermediate_results[[#This Row], [Team1 laps '[laps']]:[Team9 laps '[laps']]]) - intermediate_results[[#This Row], [Team3 laps '[laps']]]</f>
        <v>0</v>
      </c>
      <c r="W284" s="3">
        <f>MAX(intermediate_results[[#This Row], [Team1 laps '[laps']]:[Team9 laps '[laps']]]) - intermediate_results[[#This Row], [Team4 laps '[laps']]]</f>
        <v>0</v>
      </c>
      <c r="X284" s="3">
        <f>MAX(intermediate_results[[#This Row], [Team1 laps '[laps']]:[Team9 laps '[laps']]]) - intermediate_results[[#This Row], [Team5 laps '[laps']]]</f>
        <v>0</v>
      </c>
      <c r="Y284" s="3">
        <f>MAX(intermediate_results[[#This Row], [Team1 laps '[laps']]:[Team9 laps '[laps']]]) - intermediate_results[[#This Row], [Team6 laps '[laps']]]</f>
        <v>0</v>
      </c>
      <c r="Z284" s="3">
        <f>MAX(intermediate_results[[#This Row], [Team1 laps '[laps']]:[Team9 laps '[laps']]]) - intermediate_results[[#This Row], [Team7 laps '[laps']]]</f>
        <v>0</v>
      </c>
      <c r="AA284" s="3">
        <f>MAX(intermediate_results[[#This Row], [Team1 laps '[laps']]:[Team9 laps '[laps']]]) - intermediate_results[[#This Row], [Team8 laps '[laps']]]</f>
        <v>0</v>
      </c>
      <c r="AB284" s="3">
        <f>MAX(intermediate_results[[#This Row], [Team1 laps '[laps']]:[Team9 laps '[laps']]]) - intermediate_results[[#This Row], [Team9 laps '[laps']]]</f>
        <v>0</v>
      </c>
      <c r="AC284" s="3">
        <f>9 * intermediate_results[[#This Row], [All cumulative times '[sec']]] / SUM(intermediate_results[[#This Row], [Team1 laps '[laps']]:[Team9 laps '[laps']]])</f>
        <v>0</v>
      </c>
      <c r="AD284" s="3">
        <f>intermediate_results[[#This Row], [All cumulative times '[sec']]] / intermediate_results[[#This Row], [Team1 laps '[laps']]] - intermediate_results[[#This Row], [Total running average '[sec']]]</f>
        <v>0</v>
      </c>
      <c r="AE284" s="3">
        <f>intermediate_results[[#This Row], [All cumulative times '[sec']]] / intermediate_results[[#This Row], [Team2 laps '[laps']]] - intermediate_results[[#This Row], [Total running average '[sec']]]</f>
        <v>0</v>
      </c>
      <c r="AF284" s="3">
        <f>intermediate_results[[#This Row], [All cumulative times '[sec']]] / intermediate_results[[#This Row], [Team3 laps '[laps']]] - intermediate_results[[#This Row], [Total running average '[sec']]]</f>
        <v>0</v>
      </c>
      <c r="AG284" s="3">
        <f>intermediate_results[[#This Row], [All cumulative times '[sec']]] / intermediate_results[[#This Row], [Team4 laps '[laps']]] - intermediate_results[[#This Row], [Total running average '[sec']]]</f>
        <v>0</v>
      </c>
      <c r="AH284" s="3">
        <f>intermediate_results[[#This Row], [All cumulative times '[sec']]] / intermediate_results[[#This Row], [Team5 laps '[laps']]] - intermediate_results[[#This Row], [Total running average '[sec']]]</f>
        <v>0</v>
      </c>
      <c r="AI284" s="3">
        <f>intermediate_results[[#This Row], [All cumulative times '[sec']]] / intermediate_results[[#This Row], [Team6 laps '[laps']]] - intermediate_results[[#This Row], [Total running average '[sec']]]</f>
        <v>0</v>
      </c>
      <c r="AJ284" s="3">
        <f>intermediate_results[[#This Row], [All cumulative times '[sec']]] / intermediate_results[[#This Row], [Team7 laps '[laps']]] - intermediate_results[[#This Row], [Total running average '[sec']]]</f>
        <v>0</v>
      </c>
      <c r="AK284" s="3">
        <f>intermediate_results[[#This Row], [All cumulative times '[sec']]] / intermediate_results[[#This Row], [Team8 laps '[laps']]] - intermediate_results[[#This Row], [Total running average '[sec']]]</f>
        <v>0</v>
      </c>
      <c r="AL284" s="3">
        <f>intermediate_results[[#This Row], [All cumulative times '[sec']]] / intermediate_results[[#This Row], [Team9 laps '[laps']]] - intermediate_results[[#This Row], [Total running average '[sec']]]</f>
        <v>0</v>
      </c>
    </row>
    <row r="285" spans="1:38">
      <c r="A285" s="3">
        <v>1748.867</v>
      </c>
      <c r="B28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5" s="3">
        <f>intermediate_results[[#This Row], [Team1 laps '[laps']]] - intermediate_results[[#This Row], [Team1 laps '[laps']]]</f>
        <v>0</v>
      </c>
      <c r="L285" s="3">
        <f>intermediate_results[[#This Row], [Team1 laps '[laps']]] - intermediate_results[[#This Row], [Team2 laps '[laps']]]</f>
        <v>0</v>
      </c>
      <c r="M285" s="3">
        <f>intermediate_results[[#This Row], [Team1 laps '[laps']]] - intermediate_results[[#This Row], [Team3 laps '[laps']]]</f>
        <v>0</v>
      </c>
      <c r="N285" s="3">
        <f>intermediate_results[[#This Row], [Team1 laps '[laps']]] - intermediate_results[[#This Row], [Team4 laps '[laps']]]</f>
        <v>0</v>
      </c>
      <c r="O285" s="3">
        <f>intermediate_results[[#This Row], [Team1 laps '[laps']]] - intermediate_results[[#This Row], [Team5 laps '[laps']]]</f>
        <v>0</v>
      </c>
      <c r="P285" s="3">
        <f>intermediate_results[[#This Row], [Team1 laps '[laps']]] - intermediate_results[[#This Row], [Team6 laps '[laps']]]</f>
        <v>0</v>
      </c>
      <c r="Q285" s="3">
        <f>intermediate_results[[#This Row], [Team1 laps '[laps']]] - intermediate_results[[#This Row], [Team7 laps '[laps']]]</f>
        <v>0</v>
      </c>
      <c r="R285" s="3">
        <f>intermediate_results[[#This Row], [Team1 laps '[laps']]] - intermediate_results[[#This Row], [Team8 laps '[laps']]]</f>
        <v>0</v>
      </c>
      <c r="S285" s="3">
        <f>intermediate_results[[#This Row], [Team1 laps '[laps']]] - intermediate_results[[#This Row], [Team9 laps '[laps']]]</f>
        <v>0</v>
      </c>
      <c r="T285" s="3">
        <f>MAX(intermediate_results[[#This Row], [Team1 laps '[laps']]:[Team9 laps '[laps']]]) - intermediate_results[[#This Row], [Team1 laps '[laps']]]</f>
        <v>0</v>
      </c>
      <c r="U285" s="3">
        <f>MAX(intermediate_results[[#This Row], [Team1 laps '[laps']]:[Team9 laps '[laps']]]) - intermediate_results[[#This Row], [Team2 laps '[laps']]]</f>
        <v>0</v>
      </c>
      <c r="V285" s="3">
        <f>MAX(intermediate_results[[#This Row], [Team1 laps '[laps']]:[Team9 laps '[laps']]]) - intermediate_results[[#This Row], [Team3 laps '[laps']]]</f>
        <v>0</v>
      </c>
      <c r="W285" s="3">
        <f>MAX(intermediate_results[[#This Row], [Team1 laps '[laps']]:[Team9 laps '[laps']]]) - intermediate_results[[#This Row], [Team4 laps '[laps']]]</f>
        <v>0</v>
      </c>
      <c r="X285" s="3">
        <f>MAX(intermediate_results[[#This Row], [Team1 laps '[laps']]:[Team9 laps '[laps']]]) - intermediate_results[[#This Row], [Team5 laps '[laps']]]</f>
        <v>0</v>
      </c>
      <c r="Y285" s="3">
        <f>MAX(intermediate_results[[#This Row], [Team1 laps '[laps']]:[Team9 laps '[laps']]]) - intermediate_results[[#This Row], [Team6 laps '[laps']]]</f>
        <v>0</v>
      </c>
      <c r="Z285" s="3">
        <f>MAX(intermediate_results[[#This Row], [Team1 laps '[laps']]:[Team9 laps '[laps']]]) - intermediate_results[[#This Row], [Team7 laps '[laps']]]</f>
        <v>0</v>
      </c>
      <c r="AA285" s="3">
        <f>MAX(intermediate_results[[#This Row], [Team1 laps '[laps']]:[Team9 laps '[laps']]]) - intermediate_results[[#This Row], [Team8 laps '[laps']]]</f>
        <v>0</v>
      </c>
      <c r="AB285" s="3">
        <f>MAX(intermediate_results[[#This Row], [Team1 laps '[laps']]:[Team9 laps '[laps']]]) - intermediate_results[[#This Row], [Team9 laps '[laps']]]</f>
        <v>0</v>
      </c>
      <c r="AC285" s="3">
        <f>9 * intermediate_results[[#This Row], [All cumulative times '[sec']]] / SUM(intermediate_results[[#This Row], [Team1 laps '[laps']]:[Team9 laps '[laps']]])</f>
        <v>0</v>
      </c>
      <c r="AD285" s="3">
        <f>intermediate_results[[#This Row], [All cumulative times '[sec']]] / intermediate_results[[#This Row], [Team1 laps '[laps']]] - intermediate_results[[#This Row], [Total running average '[sec']]]</f>
        <v>0</v>
      </c>
      <c r="AE285" s="3">
        <f>intermediate_results[[#This Row], [All cumulative times '[sec']]] / intermediate_results[[#This Row], [Team2 laps '[laps']]] - intermediate_results[[#This Row], [Total running average '[sec']]]</f>
        <v>0</v>
      </c>
      <c r="AF285" s="3">
        <f>intermediate_results[[#This Row], [All cumulative times '[sec']]] / intermediate_results[[#This Row], [Team3 laps '[laps']]] - intermediate_results[[#This Row], [Total running average '[sec']]]</f>
        <v>0</v>
      </c>
      <c r="AG285" s="3">
        <f>intermediate_results[[#This Row], [All cumulative times '[sec']]] / intermediate_results[[#This Row], [Team4 laps '[laps']]] - intermediate_results[[#This Row], [Total running average '[sec']]]</f>
        <v>0</v>
      </c>
      <c r="AH285" s="3">
        <f>intermediate_results[[#This Row], [All cumulative times '[sec']]] / intermediate_results[[#This Row], [Team5 laps '[laps']]] - intermediate_results[[#This Row], [Total running average '[sec']]]</f>
        <v>0</v>
      </c>
      <c r="AI285" s="3">
        <f>intermediate_results[[#This Row], [All cumulative times '[sec']]] / intermediate_results[[#This Row], [Team6 laps '[laps']]] - intermediate_results[[#This Row], [Total running average '[sec']]]</f>
        <v>0</v>
      </c>
      <c r="AJ285" s="3">
        <f>intermediate_results[[#This Row], [All cumulative times '[sec']]] / intermediate_results[[#This Row], [Team7 laps '[laps']]] - intermediate_results[[#This Row], [Total running average '[sec']]]</f>
        <v>0</v>
      </c>
      <c r="AK285" s="3">
        <f>intermediate_results[[#This Row], [All cumulative times '[sec']]] / intermediate_results[[#This Row], [Team8 laps '[laps']]] - intermediate_results[[#This Row], [Total running average '[sec']]]</f>
        <v>0</v>
      </c>
      <c r="AL285" s="3">
        <f>intermediate_results[[#This Row], [All cumulative times '[sec']]] / intermediate_results[[#This Row], [Team9 laps '[laps']]] - intermediate_results[[#This Row], [Total running average '[sec']]]</f>
        <v>0</v>
      </c>
    </row>
    <row r="286" spans="1:38">
      <c r="A286" s="3">
        <v>1755.235</v>
      </c>
      <c r="B28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6" s="3">
        <f>intermediate_results[[#This Row], [Team1 laps '[laps']]] - intermediate_results[[#This Row], [Team1 laps '[laps']]]</f>
        <v>0</v>
      </c>
      <c r="L286" s="3">
        <f>intermediate_results[[#This Row], [Team1 laps '[laps']]] - intermediate_results[[#This Row], [Team2 laps '[laps']]]</f>
        <v>0</v>
      </c>
      <c r="M286" s="3">
        <f>intermediate_results[[#This Row], [Team1 laps '[laps']]] - intermediate_results[[#This Row], [Team3 laps '[laps']]]</f>
        <v>0</v>
      </c>
      <c r="N286" s="3">
        <f>intermediate_results[[#This Row], [Team1 laps '[laps']]] - intermediate_results[[#This Row], [Team4 laps '[laps']]]</f>
        <v>0</v>
      </c>
      <c r="O286" s="3">
        <f>intermediate_results[[#This Row], [Team1 laps '[laps']]] - intermediate_results[[#This Row], [Team5 laps '[laps']]]</f>
        <v>0</v>
      </c>
      <c r="P286" s="3">
        <f>intermediate_results[[#This Row], [Team1 laps '[laps']]] - intermediate_results[[#This Row], [Team6 laps '[laps']]]</f>
        <v>0</v>
      </c>
      <c r="Q286" s="3">
        <f>intermediate_results[[#This Row], [Team1 laps '[laps']]] - intermediate_results[[#This Row], [Team7 laps '[laps']]]</f>
        <v>0</v>
      </c>
      <c r="R286" s="3">
        <f>intermediate_results[[#This Row], [Team1 laps '[laps']]] - intermediate_results[[#This Row], [Team8 laps '[laps']]]</f>
        <v>0</v>
      </c>
      <c r="S286" s="3">
        <f>intermediate_results[[#This Row], [Team1 laps '[laps']]] - intermediate_results[[#This Row], [Team9 laps '[laps']]]</f>
        <v>0</v>
      </c>
      <c r="T286" s="3">
        <f>MAX(intermediate_results[[#This Row], [Team1 laps '[laps']]:[Team9 laps '[laps']]]) - intermediate_results[[#This Row], [Team1 laps '[laps']]]</f>
        <v>0</v>
      </c>
      <c r="U286" s="3">
        <f>MAX(intermediate_results[[#This Row], [Team1 laps '[laps']]:[Team9 laps '[laps']]]) - intermediate_results[[#This Row], [Team2 laps '[laps']]]</f>
        <v>0</v>
      </c>
      <c r="V286" s="3">
        <f>MAX(intermediate_results[[#This Row], [Team1 laps '[laps']]:[Team9 laps '[laps']]]) - intermediate_results[[#This Row], [Team3 laps '[laps']]]</f>
        <v>0</v>
      </c>
      <c r="W286" s="3">
        <f>MAX(intermediate_results[[#This Row], [Team1 laps '[laps']]:[Team9 laps '[laps']]]) - intermediate_results[[#This Row], [Team4 laps '[laps']]]</f>
        <v>0</v>
      </c>
      <c r="X286" s="3">
        <f>MAX(intermediate_results[[#This Row], [Team1 laps '[laps']]:[Team9 laps '[laps']]]) - intermediate_results[[#This Row], [Team5 laps '[laps']]]</f>
        <v>0</v>
      </c>
      <c r="Y286" s="3">
        <f>MAX(intermediate_results[[#This Row], [Team1 laps '[laps']]:[Team9 laps '[laps']]]) - intermediate_results[[#This Row], [Team6 laps '[laps']]]</f>
        <v>0</v>
      </c>
      <c r="Z286" s="3">
        <f>MAX(intermediate_results[[#This Row], [Team1 laps '[laps']]:[Team9 laps '[laps']]]) - intermediate_results[[#This Row], [Team7 laps '[laps']]]</f>
        <v>0</v>
      </c>
      <c r="AA286" s="3">
        <f>MAX(intermediate_results[[#This Row], [Team1 laps '[laps']]:[Team9 laps '[laps']]]) - intermediate_results[[#This Row], [Team8 laps '[laps']]]</f>
        <v>0</v>
      </c>
      <c r="AB286" s="3">
        <f>MAX(intermediate_results[[#This Row], [Team1 laps '[laps']]:[Team9 laps '[laps']]]) - intermediate_results[[#This Row], [Team9 laps '[laps']]]</f>
        <v>0</v>
      </c>
      <c r="AC286" s="3">
        <f>9 * intermediate_results[[#This Row], [All cumulative times '[sec']]] / SUM(intermediate_results[[#This Row], [Team1 laps '[laps']]:[Team9 laps '[laps']]])</f>
        <v>0</v>
      </c>
      <c r="AD286" s="3">
        <f>intermediate_results[[#This Row], [All cumulative times '[sec']]] / intermediate_results[[#This Row], [Team1 laps '[laps']]] - intermediate_results[[#This Row], [Total running average '[sec']]]</f>
        <v>0</v>
      </c>
      <c r="AE286" s="3">
        <f>intermediate_results[[#This Row], [All cumulative times '[sec']]] / intermediate_results[[#This Row], [Team2 laps '[laps']]] - intermediate_results[[#This Row], [Total running average '[sec']]]</f>
        <v>0</v>
      </c>
      <c r="AF286" s="3">
        <f>intermediate_results[[#This Row], [All cumulative times '[sec']]] / intermediate_results[[#This Row], [Team3 laps '[laps']]] - intermediate_results[[#This Row], [Total running average '[sec']]]</f>
        <v>0</v>
      </c>
      <c r="AG286" s="3">
        <f>intermediate_results[[#This Row], [All cumulative times '[sec']]] / intermediate_results[[#This Row], [Team4 laps '[laps']]] - intermediate_results[[#This Row], [Total running average '[sec']]]</f>
        <v>0</v>
      </c>
      <c r="AH286" s="3">
        <f>intermediate_results[[#This Row], [All cumulative times '[sec']]] / intermediate_results[[#This Row], [Team5 laps '[laps']]] - intermediate_results[[#This Row], [Total running average '[sec']]]</f>
        <v>0</v>
      </c>
      <c r="AI286" s="3">
        <f>intermediate_results[[#This Row], [All cumulative times '[sec']]] / intermediate_results[[#This Row], [Team6 laps '[laps']]] - intermediate_results[[#This Row], [Total running average '[sec']]]</f>
        <v>0</v>
      </c>
      <c r="AJ286" s="3">
        <f>intermediate_results[[#This Row], [All cumulative times '[sec']]] / intermediate_results[[#This Row], [Team7 laps '[laps']]] - intermediate_results[[#This Row], [Total running average '[sec']]]</f>
        <v>0</v>
      </c>
      <c r="AK286" s="3">
        <f>intermediate_results[[#This Row], [All cumulative times '[sec']]] / intermediate_results[[#This Row], [Team8 laps '[laps']]] - intermediate_results[[#This Row], [Total running average '[sec']]]</f>
        <v>0</v>
      </c>
      <c r="AL286" s="3">
        <f>intermediate_results[[#This Row], [All cumulative times '[sec']]] / intermediate_results[[#This Row], [Team9 laps '[laps']]] - intermediate_results[[#This Row], [Total running average '[sec']]]</f>
        <v>0</v>
      </c>
    </row>
    <row r="287" spans="1:38">
      <c r="A287" s="3">
        <v>1755.244</v>
      </c>
      <c r="B28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7" s="3">
        <f>intermediate_results[[#This Row], [Team1 laps '[laps']]] - intermediate_results[[#This Row], [Team1 laps '[laps']]]</f>
        <v>0</v>
      </c>
      <c r="L287" s="3">
        <f>intermediate_results[[#This Row], [Team1 laps '[laps']]] - intermediate_results[[#This Row], [Team2 laps '[laps']]]</f>
        <v>0</v>
      </c>
      <c r="M287" s="3">
        <f>intermediate_results[[#This Row], [Team1 laps '[laps']]] - intermediate_results[[#This Row], [Team3 laps '[laps']]]</f>
        <v>0</v>
      </c>
      <c r="N287" s="3">
        <f>intermediate_results[[#This Row], [Team1 laps '[laps']]] - intermediate_results[[#This Row], [Team4 laps '[laps']]]</f>
        <v>0</v>
      </c>
      <c r="O287" s="3">
        <f>intermediate_results[[#This Row], [Team1 laps '[laps']]] - intermediate_results[[#This Row], [Team5 laps '[laps']]]</f>
        <v>0</v>
      </c>
      <c r="P287" s="3">
        <f>intermediate_results[[#This Row], [Team1 laps '[laps']]] - intermediate_results[[#This Row], [Team6 laps '[laps']]]</f>
        <v>0</v>
      </c>
      <c r="Q287" s="3">
        <f>intermediate_results[[#This Row], [Team1 laps '[laps']]] - intermediate_results[[#This Row], [Team7 laps '[laps']]]</f>
        <v>0</v>
      </c>
      <c r="R287" s="3">
        <f>intermediate_results[[#This Row], [Team1 laps '[laps']]] - intermediate_results[[#This Row], [Team8 laps '[laps']]]</f>
        <v>0</v>
      </c>
      <c r="S287" s="3">
        <f>intermediate_results[[#This Row], [Team1 laps '[laps']]] - intermediate_results[[#This Row], [Team9 laps '[laps']]]</f>
        <v>0</v>
      </c>
      <c r="T287" s="3">
        <f>MAX(intermediate_results[[#This Row], [Team1 laps '[laps']]:[Team9 laps '[laps']]]) - intermediate_results[[#This Row], [Team1 laps '[laps']]]</f>
        <v>0</v>
      </c>
      <c r="U287" s="3">
        <f>MAX(intermediate_results[[#This Row], [Team1 laps '[laps']]:[Team9 laps '[laps']]]) - intermediate_results[[#This Row], [Team2 laps '[laps']]]</f>
        <v>0</v>
      </c>
      <c r="V287" s="3">
        <f>MAX(intermediate_results[[#This Row], [Team1 laps '[laps']]:[Team9 laps '[laps']]]) - intermediate_results[[#This Row], [Team3 laps '[laps']]]</f>
        <v>0</v>
      </c>
      <c r="W287" s="3">
        <f>MAX(intermediate_results[[#This Row], [Team1 laps '[laps']]:[Team9 laps '[laps']]]) - intermediate_results[[#This Row], [Team4 laps '[laps']]]</f>
        <v>0</v>
      </c>
      <c r="X287" s="3">
        <f>MAX(intermediate_results[[#This Row], [Team1 laps '[laps']]:[Team9 laps '[laps']]]) - intermediate_results[[#This Row], [Team5 laps '[laps']]]</f>
        <v>0</v>
      </c>
      <c r="Y287" s="3">
        <f>MAX(intermediate_results[[#This Row], [Team1 laps '[laps']]:[Team9 laps '[laps']]]) - intermediate_results[[#This Row], [Team6 laps '[laps']]]</f>
        <v>0</v>
      </c>
      <c r="Z287" s="3">
        <f>MAX(intermediate_results[[#This Row], [Team1 laps '[laps']]:[Team9 laps '[laps']]]) - intermediate_results[[#This Row], [Team7 laps '[laps']]]</f>
        <v>0</v>
      </c>
      <c r="AA287" s="3">
        <f>MAX(intermediate_results[[#This Row], [Team1 laps '[laps']]:[Team9 laps '[laps']]]) - intermediate_results[[#This Row], [Team8 laps '[laps']]]</f>
        <v>0</v>
      </c>
      <c r="AB287" s="3">
        <f>MAX(intermediate_results[[#This Row], [Team1 laps '[laps']]:[Team9 laps '[laps']]]) - intermediate_results[[#This Row], [Team9 laps '[laps']]]</f>
        <v>0</v>
      </c>
      <c r="AC287" s="3">
        <f>9 * intermediate_results[[#This Row], [All cumulative times '[sec']]] / SUM(intermediate_results[[#This Row], [Team1 laps '[laps']]:[Team9 laps '[laps']]])</f>
        <v>0</v>
      </c>
      <c r="AD287" s="3">
        <f>intermediate_results[[#This Row], [All cumulative times '[sec']]] / intermediate_results[[#This Row], [Team1 laps '[laps']]] - intermediate_results[[#This Row], [Total running average '[sec']]]</f>
        <v>0</v>
      </c>
      <c r="AE287" s="3">
        <f>intermediate_results[[#This Row], [All cumulative times '[sec']]] / intermediate_results[[#This Row], [Team2 laps '[laps']]] - intermediate_results[[#This Row], [Total running average '[sec']]]</f>
        <v>0</v>
      </c>
      <c r="AF287" s="3">
        <f>intermediate_results[[#This Row], [All cumulative times '[sec']]] / intermediate_results[[#This Row], [Team3 laps '[laps']]] - intermediate_results[[#This Row], [Total running average '[sec']]]</f>
        <v>0</v>
      </c>
      <c r="AG287" s="3">
        <f>intermediate_results[[#This Row], [All cumulative times '[sec']]] / intermediate_results[[#This Row], [Team4 laps '[laps']]] - intermediate_results[[#This Row], [Total running average '[sec']]]</f>
        <v>0</v>
      </c>
      <c r="AH287" s="3">
        <f>intermediate_results[[#This Row], [All cumulative times '[sec']]] / intermediate_results[[#This Row], [Team5 laps '[laps']]] - intermediate_results[[#This Row], [Total running average '[sec']]]</f>
        <v>0</v>
      </c>
      <c r="AI287" s="3">
        <f>intermediate_results[[#This Row], [All cumulative times '[sec']]] / intermediate_results[[#This Row], [Team6 laps '[laps']]] - intermediate_results[[#This Row], [Total running average '[sec']]]</f>
        <v>0</v>
      </c>
      <c r="AJ287" s="3">
        <f>intermediate_results[[#This Row], [All cumulative times '[sec']]] / intermediate_results[[#This Row], [Team7 laps '[laps']]] - intermediate_results[[#This Row], [Total running average '[sec']]]</f>
        <v>0</v>
      </c>
      <c r="AK287" s="3">
        <f>intermediate_results[[#This Row], [All cumulative times '[sec']]] / intermediate_results[[#This Row], [Team8 laps '[laps']]] - intermediate_results[[#This Row], [Total running average '[sec']]]</f>
        <v>0</v>
      </c>
      <c r="AL287" s="3">
        <f>intermediate_results[[#This Row], [All cumulative times '[sec']]] / intermediate_results[[#This Row], [Team9 laps '[laps']]] - intermediate_results[[#This Row], [Total running average '[sec']]]</f>
        <v>0</v>
      </c>
    </row>
    <row r="288" spans="1:38">
      <c r="A288" s="3">
        <v>1766.07</v>
      </c>
      <c r="B28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8" s="3">
        <f>intermediate_results[[#This Row], [Team1 laps '[laps']]] - intermediate_results[[#This Row], [Team1 laps '[laps']]]</f>
        <v>0</v>
      </c>
      <c r="L288" s="3">
        <f>intermediate_results[[#This Row], [Team1 laps '[laps']]] - intermediate_results[[#This Row], [Team2 laps '[laps']]]</f>
        <v>0</v>
      </c>
      <c r="M288" s="3">
        <f>intermediate_results[[#This Row], [Team1 laps '[laps']]] - intermediate_results[[#This Row], [Team3 laps '[laps']]]</f>
        <v>0</v>
      </c>
      <c r="N288" s="3">
        <f>intermediate_results[[#This Row], [Team1 laps '[laps']]] - intermediate_results[[#This Row], [Team4 laps '[laps']]]</f>
        <v>0</v>
      </c>
      <c r="O288" s="3">
        <f>intermediate_results[[#This Row], [Team1 laps '[laps']]] - intermediate_results[[#This Row], [Team5 laps '[laps']]]</f>
        <v>0</v>
      </c>
      <c r="P288" s="3">
        <f>intermediate_results[[#This Row], [Team1 laps '[laps']]] - intermediate_results[[#This Row], [Team6 laps '[laps']]]</f>
        <v>0</v>
      </c>
      <c r="Q288" s="3">
        <f>intermediate_results[[#This Row], [Team1 laps '[laps']]] - intermediate_results[[#This Row], [Team7 laps '[laps']]]</f>
        <v>0</v>
      </c>
      <c r="R288" s="3">
        <f>intermediate_results[[#This Row], [Team1 laps '[laps']]] - intermediate_results[[#This Row], [Team8 laps '[laps']]]</f>
        <v>0</v>
      </c>
      <c r="S288" s="3">
        <f>intermediate_results[[#This Row], [Team1 laps '[laps']]] - intermediate_results[[#This Row], [Team9 laps '[laps']]]</f>
        <v>0</v>
      </c>
      <c r="T288" s="3">
        <f>MAX(intermediate_results[[#This Row], [Team1 laps '[laps']]:[Team9 laps '[laps']]]) - intermediate_results[[#This Row], [Team1 laps '[laps']]]</f>
        <v>0</v>
      </c>
      <c r="U288" s="3">
        <f>MAX(intermediate_results[[#This Row], [Team1 laps '[laps']]:[Team9 laps '[laps']]]) - intermediate_results[[#This Row], [Team2 laps '[laps']]]</f>
        <v>0</v>
      </c>
      <c r="V288" s="3">
        <f>MAX(intermediate_results[[#This Row], [Team1 laps '[laps']]:[Team9 laps '[laps']]]) - intermediate_results[[#This Row], [Team3 laps '[laps']]]</f>
        <v>0</v>
      </c>
      <c r="W288" s="3">
        <f>MAX(intermediate_results[[#This Row], [Team1 laps '[laps']]:[Team9 laps '[laps']]]) - intermediate_results[[#This Row], [Team4 laps '[laps']]]</f>
        <v>0</v>
      </c>
      <c r="X288" s="3">
        <f>MAX(intermediate_results[[#This Row], [Team1 laps '[laps']]:[Team9 laps '[laps']]]) - intermediate_results[[#This Row], [Team5 laps '[laps']]]</f>
        <v>0</v>
      </c>
      <c r="Y288" s="3">
        <f>MAX(intermediate_results[[#This Row], [Team1 laps '[laps']]:[Team9 laps '[laps']]]) - intermediate_results[[#This Row], [Team6 laps '[laps']]]</f>
        <v>0</v>
      </c>
      <c r="Z288" s="3">
        <f>MAX(intermediate_results[[#This Row], [Team1 laps '[laps']]:[Team9 laps '[laps']]]) - intermediate_results[[#This Row], [Team7 laps '[laps']]]</f>
        <v>0</v>
      </c>
      <c r="AA288" s="3">
        <f>MAX(intermediate_results[[#This Row], [Team1 laps '[laps']]:[Team9 laps '[laps']]]) - intermediate_results[[#This Row], [Team8 laps '[laps']]]</f>
        <v>0</v>
      </c>
      <c r="AB288" s="3">
        <f>MAX(intermediate_results[[#This Row], [Team1 laps '[laps']]:[Team9 laps '[laps']]]) - intermediate_results[[#This Row], [Team9 laps '[laps']]]</f>
        <v>0</v>
      </c>
      <c r="AC288" s="3">
        <f>9 * intermediate_results[[#This Row], [All cumulative times '[sec']]] / SUM(intermediate_results[[#This Row], [Team1 laps '[laps']]:[Team9 laps '[laps']]])</f>
        <v>0</v>
      </c>
      <c r="AD288" s="3">
        <f>intermediate_results[[#This Row], [All cumulative times '[sec']]] / intermediate_results[[#This Row], [Team1 laps '[laps']]] - intermediate_results[[#This Row], [Total running average '[sec']]]</f>
        <v>0</v>
      </c>
      <c r="AE288" s="3">
        <f>intermediate_results[[#This Row], [All cumulative times '[sec']]] / intermediate_results[[#This Row], [Team2 laps '[laps']]] - intermediate_results[[#This Row], [Total running average '[sec']]]</f>
        <v>0</v>
      </c>
      <c r="AF288" s="3">
        <f>intermediate_results[[#This Row], [All cumulative times '[sec']]] / intermediate_results[[#This Row], [Team3 laps '[laps']]] - intermediate_results[[#This Row], [Total running average '[sec']]]</f>
        <v>0</v>
      </c>
      <c r="AG288" s="3">
        <f>intermediate_results[[#This Row], [All cumulative times '[sec']]] / intermediate_results[[#This Row], [Team4 laps '[laps']]] - intermediate_results[[#This Row], [Total running average '[sec']]]</f>
        <v>0</v>
      </c>
      <c r="AH288" s="3">
        <f>intermediate_results[[#This Row], [All cumulative times '[sec']]] / intermediate_results[[#This Row], [Team5 laps '[laps']]] - intermediate_results[[#This Row], [Total running average '[sec']]]</f>
        <v>0</v>
      </c>
      <c r="AI288" s="3">
        <f>intermediate_results[[#This Row], [All cumulative times '[sec']]] / intermediate_results[[#This Row], [Team6 laps '[laps']]] - intermediate_results[[#This Row], [Total running average '[sec']]]</f>
        <v>0</v>
      </c>
      <c r="AJ288" s="3">
        <f>intermediate_results[[#This Row], [All cumulative times '[sec']]] / intermediate_results[[#This Row], [Team7 laps '[laps']]] - intermediate_results[[#This Row], [Total running average '[sec']]]</f>
        <v>0</v>
      </c>
      <c r="AK288" s="3">
        <f>intermediate_results[[#This Row], [All cumulative times '[sec']]] / intermediate_results[[#This Row], [Team8 laps '[laps']]] - intermediate_results[[#This Row], [Total running average '[sec']]]</f>
        <v>0</v>
      </c>
      <c r="AL288" s="3">
        <f>intermediate_results[[#This Row], [All cumulative times '[sec']]] / intermediate_results[[#This Row], [Team9 laps '[laps']]] - intermediate_results[[#This Row], [Total running average '[sec']]]</f>
        <v>0</v>
      </c>
    </row>
    <row r="289" spans="1:38">
      <c r="A289" s="3">
        <v>1771.639</v>
      </c>
      <c r="B28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8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8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8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8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8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8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8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8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89" s="3">
        <f>intermediate_results[[#This Row], [Team1 laps '[laps']]] - intermediate_results[[#This Row], [Team1 laps '[laps']]]</f>
        <v>0</v>
      </c>
      <c r="L289" s="3">
        <f>intermediate_results[[#This Row], [Team1 laps '[laps']]] - intermediate_results[[#This Row], [Team2 laps '[laps']]]</f>
        <v>0</v>
      </c>
      <c r="M289" s="3">
        <f>intermediate_results[[#This Row], [Team1 laps '[laps']]] - intermediate_results[[#This Row], [Team3 laps '[laps']]]</f>
        <v>0</v>
      </c>
      <c r="N289" s="3">
        <f>intermediate_results[[#This Row], [Team1 laps '[laps']]] - intermediate_results[[#This Row], [Team4 laps '[laps']]]</f>
        <v>0</v>
      </c>
      <c r="O289" s="3">
        <f>intermediate_results[[#This Row], [Team1 laps '[laps']]] - intermediate_results[[#This Row], [Team5 laps '[laps']]]</f>
        <v>0</v>
      </c>
      <c r="P289" s="3">
        <f>intermediate_results[[#This Row], [Team1 laps '[laps']]] - intermediate_results[[#This Row], [Team6 laps '[laps']]]</f>
        <v>0</v>
      </c>
      <c r="Q289" s="3">
        <f>intermediate_results[[#This Row], [Team1 laps '[laps']]] - intermediate_results[[#This Row], [Team7 laps '[laps']]]</f>
        <v>0</v>
      </c>
      <c r="R289" s="3">
        <f>intermediate_results[[#This Row], [Team1 laps '[laps']]] - intermediate_results[[#This Row], [Team8 laps '[laps']]]</f>
        <v>0</v>
      </c>
      <c r="S289" s="3">
        <f>intermediate_results[[#This Row], [Team1 laps '[laps']]] - intermediate_results[[#This Row], [Team9 laps '[laps']]]</f>
        <v>0</v>
      </c>
      <c r="T289" s="3">
        <f>MAX(intermediate_results[[#This Row], [Team1 laps '[laps']]:[Team9 laps '[laps']]]) - intermediate_results[[#This Row], [Team1 laps '[laps']]]</f>
        <v>0</v>
      </c>
      <c r="U289" s="3">
        <f>MAX(intermediate_results[[#This Row], [Team1 laps '[laps']]:[Team9 laps '[laps']]]) - intermediate_results[[#This Row], [Team2 laps '[laps']]]</f>
        <v>0</v>
      </c>
      <c r="V289" s="3">
        <f>MAX(intermediate_results[[#This Row], [Team1 laps '[laps']]:[Team9 laps '[laps']]]) - intermediate_results[[#This Row], [Team3 laps '[laps']]]</f>
        <v>0</v>
      </c>
      <c r="W289" s="3">
        <f>MAX(intermediate_results[[#This Row], [Team1 laps '[laps']]:[Team9 laps '[laps']]]) - intermediate_results[[#This Row], [Team4 laps '[laps']]]</f>
        <v>0</v>
      </c>
      <c r="X289" s="3">
        <f>MAX(intermediate_results[[#This Row], [Team1 laps '[laps']]:[Team9 laps '[laps']]]) - intermediate_results[[#This Row], [Team5 laps '[laps']]]</f>
        <v>0</v>
      </c>
      <c r="Y289" s="3">
        <f>MAX(intermediate_results[[#This Row], [Team1 laps '[laps']]:[Team9 laps '[laps']]]) - intermediate_results[[#This Row], [Team6 laps '[laps']]]</f>
        <v>0</v>
      </c>
      <c r="Z289" s="3">
        <f>MAX(intermediate_results[[#This Row], [Team1 laps '[laps']]:[Team9 laps '[laps']]]) - intermediate_results[[#This Row], [Team7 laps '[laps']]]</f>
        <v>0</v>
      </c>
      <c r="AA289" s="3">
        <f>MAX(intermediate_results[[#This Row], [Team1 laps '[laps']]:[Team9 laps '[laps']]]) - intermediate_results[[#This Row], [Team8 laps '[laps']]]</f>
        <v>0</v>
      </c>
      <c r="AB289" s="3">
        <f>MAX(intermediate_results[[#This Row], [Team1 laps '[laps']]:[Team9 laps '[laps']]]) - intermediate_results[[#This Row], [Team9 laps '[laps']]]</f>
        <v>0</v>
      </c>
      <c r="AC289" s="3">
        <f>9 * intermediate_results[[#This Row], [All cumulative times '[sec']]] / SUM(intermediate_results[[#This Row], [Team1 laps '[laps']]:[Team9 laps '[laps']]])</f>
        <v>0</v>
      </c>
      <c r="AD289" s="3">
        <f>intermediate_results[[#This Row], [All cumulative times '[sec']]] / intermediate_results[[#This Row], [Team1 laps '[laps']]] - intermediate_results[[#This Row], [Total running average '[sec']]]</f>
        <v>0</v>
      </c>
      <c r="AE289" s="3">
        <f>intermediate_results[[#This Row], [All cumulative times '[sec']]] / intermediate_results[[#This Row], [Team2 laps '[laps']]] - intermediate_results[[#This Row], [Total running average '[sec']]]</f>
        <v>0</v>
      </c>
      <c r="AF289" s="3">
        <f>intermediate_results[[#This Row], [All cumulative times '[sec']]] / intermediate_results[[#This Row], [Team3 laps '[laps']]] - intermediate_results[[#This Row], [Total running average '[sec']]]</f>
        <v>0</v>
      </c>
      <c r="AG289" s="3">
        <f>intermediate_results[[#This Row], [All cumulative times '[sec']]] / intermediate_results[[#This Row], [Team4 laps '[laps']]] - intermediate_results[[#This Row], [Total running average '[sec']]]</f>
        <v>0</v>
      </c>
      <c r="AH289" s="3">
        <f>intermediate_results[[#This Row], [All cumulative times '[sec']]] / intermediate_results[[#This Row], [Team5 laps '[laps']]] - intermediate_results[[#This Row], [Total running average '[sec']]]</f>
        <v>0</v>
      </c>
      <c r="AI289" s="3">
        <f>intermediate_results[[#This Row], [All cumulative times '[sec']]] / intermediate_results[[#This Row], [Team6 laps '[laps']]] - intermediate_results[[#This Row], [Total running average '[sec']]]</f>
        <v>0</v>
      </c>
      <c r="AJ289" s="3">
        <f>intermediate_results[[#This Row], [All cumulative times '[sec']]] / intermediate_results[[#This Row], [Team7 laps '[laps']]] - intermediate_results[[#This Row], [Total running average '[sec']]]</f>
        <v>0</v>
      </c>
      <c r="AK289" s="3">
        <f>intermediate_results[[#This Row], [All cumulative times '[sec']]] / intermediate_results[[#This Row], [Team8 laps '[laps']]] - intermediate_results[[#This Row], [Total running average '[sec']]]</f>
        <v>0</v>
      </c>
      <c r="AL289" s="3">
        <f>intermediate_results[[#This Row], [All cumulative times '[sec']]] / intermediate_results[[#This Row], [Team9 laps '[laps']]] - intermediate_results[[#This Row], [Total running average '[sec']]]</f>
        <v>0</v>
      </c>
    </row>
    <row r="290" spans="1:38">
      <c r="A290" s="3">
        <v>1773.888</v>
      </c>
      <c r="B290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0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0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0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0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0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0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0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0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0" s="3">
        <f>intermediate_results[[#This Row], [Team1 laps '[laps']]] - intermediate_results[[#This Row], [Team1 laps '[laps']]]</f>
        <v>0</v>
      </c>
      <c r="L290" s="3">
        <f>intermediate_results[[#This Row], [Team1 laps '[laps']]] - intermediate_results[[#This Row], [Team2 laps '[laps']]]</f>
        <v>0</v>
      </c>
      <c r="M290" s="3">
        <f>intermediate_results[[#This Row], [Team1 laps '[laps']]] - intermediate_results[[#This Row], [Team3 laps '[laps']]]</f>
        <v>0</v>
      </c>
      <c r="N290" s="3">
        <f>intermediate_results[[#This Row], [Team1 laps '[laps']]] - intermediate_results[[#This Row], [Team4 laps '[laps']]]</f>
        <v>0</v>
      </c>
      <c r="O290" s="3">
        <f>intermediate_results[[#This Row], [Team1 laps '[laps']]] - intermediate_results[[#This Row], [Team5 laps '[laps']]]</f>
        <v>0</v>
      </c>
      <c r="P290" s="3">
        <f>intermediate_results[[#This Row], [Team1 laps '[laps']]] - intermediate_results[[#This Row], [Team6 laps '[laps']]]</f>
        <v>0</v>
      </c>
      <c r="Q290" s="3">
        <f>intermediate_results[[#This Row], [Team1 laps '[laps']]] - intermediate_results[[#This Row], [Team7 laps '[laps']]]</f>
        <v>0</v>
      </c>
      <c r="R290" s="3">
        <f>intermediate_results[[#This Row], [Team1 laps '[laps']]] - intermediate_results[[#This Row], [Team8 laps '[laps']]]</f>
        <v>0</v>
      </c>
      <c r="S290" s="3">
        <f>intermediate_results[[#This Row], [Team1 laps '[laps']]] - intermediate_results[[#This Row], [Team9 laps '[laps']]]</f>
        <v>0</v>
      </c>
      <c r="T290" s="3">
        <f>MAX(intermediate_results[[#This Row], [Team1 laps '[laps']]:[Team9 laps '[laps']]]) - intermediate_results[[#This Row], [Team1 laps '[laps']]]</f>
        <v>0</v>
      </c>
      <c r="U290" s="3">
        <f>MAX(intermediate_results[[#This Row], [Team1 laps '[laps']]:[Team9 laps '[laps']]]) - intermediate_results[[#This Row], [Team2 laps '[laps']]]</f>
        <v>0</v>
      </c>
      <c r="V290" s="3">
        <f>MAX(intermediate_results[[#This Row], [Team1 laps '[laps']]:[Team9 laps '[laps']]]) - intermediate_results[[#This Row], [Team3 laps '[laps']]]</f>
        <v>0</v>
      </c>
      <c r="W290" s="3">
        <f>MAX(intermediate_results[[#This Row], [Team1 laps '[laps']]:[Team9 laps '[laps']]]) - intermediate_results[[#This Row], [Team4 laps '[laps']]]</f>
        <v>0</v>
      </c>
      <c r="X290" s="3">
        <f>MAX(intermediate_results[[#This Row], [Team1 laps '[laps']]:[Team9 laps '[laps']]]) - intermediate_results[[#This Row], [Team5 laps '[laps']]]</f>
        <v>0</v>
      </c>
      <c r="Y290" s="3">
        <f>MAX(intermediate_results[[#This Row], [Team1 laps '[laps']]:[Team9 laps '[laps']]]) - intermediate_results[[#This Row], [Team6 laps '[laps']]]</f>
        <v>0</v>
      </c>
      <c r="Z290" s="3">
        <f>MAX(intermediate_results[[#This Row], [Team1 laps '[laps']]:[Team9 laps '[laps']]]) - intermediate_results[[#This Row], [Team7 laps '[laps']]]</f>
        <v>0</v>
      </c>
      <c r="AA290" s="3">
        <f>MAX(intermediate_results[[#This Row], [Team1 laps '[laps']]:[Team9 laps '[laps']]]) - intermediate_results[[#This Row], [Team8 laps '[laps']]]</f>
        <v>0</v>
      </c>
      <c r="AB290" s="3">
        <f>MAX(intermediate_results[[#This Row], [Team1 laps '[laps']]:[Team9 laps '[laps']]]) - intermediate_results[[#This Row], [Team9 laps '[laps']]]</f>
        <v>0</v>
      </c>
      <c r="AC290" s="3">
        <f>9 * intermediate_results[[#This Row], [All cumulative times '[sec']]] / SUM(intermediate_results[[#This Row], [Team1 laps '[laps']]:[Team9 laps '[laps']]])</f>
        <v>0</v>
      </c>
      <c r="AD290" s="3">
        <f>intermediate_results[[#This Row], [All cumulative times '[sec']]] / intermediate_results[[#This Row], [Team1 laps '[laps']]] - intermediate_results[[#This Row], [Total running average '[sec']]]</f>
        <v>0</v>
      </c>
      <c r="AE290" s="3">
        <f>intermediate_results[[#This Row], [All cumulative times '[sec']]] / intermediate_results[[#This Row], [Team2 laps '[laps']]] - intermediate_results[[#This Row], [Total running average '[sec']]]</f>
        <v>0</v>
      </c>
      <c r="AF290" s="3">
        <f>intermediate_results[[#This Row], [All cumulative times '[sec']]] / intermediate_results[[#This Row], [Team3 laps '[laps']]] - intermediate_results[[#This Row], [Total running average '[sec']]]</f>
        <v>0</v>
      </c>
      <c r="AG290" s="3">
        <f>intermediate_results[[#This Row], [All cumulative times '[sec']]] / intermediate_results[[#This Row], [Team4 laps '[laps']]] - intermediate_results[[#This Row], [Total running average '[sec']]]</f>
        <v>0</v>
      </c>
      <c r="AH290" s="3">
        <f>intermediate_results[[#This Row], [All cumulative times '[sec']]] / intermediate_results[[#This Row], [Team5 laps '[laps']]] - intermediate_results[[#This Row], [Total running average '[sec']]]</f>
        <v>0</v>
      </c>
      <c r="AI290" s="3">
        <f>intermediate_results[[#This Row], [All cumulative times '[sec']]] / intermediate_results[[#This Row], [Team6 laps '[laps']]] - intermediate_results[[#This Row], [Total running average '[sec']]]</f>
        <v>0</v>
      </c>
      <c r="AJ290" s="3">
        <f>intermediate_results[[#This Row], [All cumulative times '[sec']]] / intermediate_results[[#This Row], [Team7 laps '[laps']]] - intermediate_results[[#This Row], [Total running average '[sec']]]</f>
        <v>0</v>
      </c>
      <c r="AK290" s="3">
        <f>intermediate_results[[#This Row], [All cumulative times '[sec']]] / intermediate_results[[#This Row], [Team8 laps '[laps']]] - intermediate_results[[#This Row], [Total running average '[sec']]]</f>
        <v>0</v>
      </c>
      <c r="AL290" s="3">
        <f>intermediate_results[[#This Row], [All cumulative times '[sec']]] / intermediate_results[[#This Row], [Team9 laps '[laps']]] - intermediate_results[[#This Row], [Total running average '[sec']]]</f>
        <v>0</v>
      </c>
    </row>
    <row r="291" spans="1:38">
      <c r="A291" s="3">
        <v>1791.074</v>
      </c>
      <c r="B291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1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1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1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1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1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1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1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1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1" s="3">
        <f>intermediate_results[[#This Row], [Team1 laps '[laps']]] - intermediate_results[[#This Row], [Team1 laps '[laps']]]</f>
        <v>0</v>
      </c>
      <c r="L291" s="3">
        <f>intermediate_results[[#This Row], [Team1 laps '[laps']]] - intermediate_results[[#This Row], [Team2 laps '[laps']]]</f>
        <v>0</v>
      </c>
      <c r="M291" s="3">
        <f>intermediate_results[[#This Row], [Team1 laps '[laps']]] - intermediate_results[[#This Row], [Team3 laps '[laps']]]</f>
        <v>0</v>
      </c>
      <c r="N291" s="3">
        <f>intermediate_results[[#This Row], [Team1 laps '[laps']]] - intermediate_results[[#This Row], [Team4 laps '[laps']]]</f>
        <v>0</v>
      </c>
      <c r="O291" s="3">
        <f>intermediate_results[[#This Row], [Team1 laps '[laps']]] - intermediate_results[[#This Row], [Team5 laps '[laps']]]</f>
        <v>0</v>
      </c>
      <c r="P291" s="3">
        <f>intermediate_results[[#This Row], [Team1 laps '[laps']]] - intermediate_results[[#This Row], [Team6 laps '[laps']]]</f>
        <v>0</v>
      </c>
      <c r="Q291" s="3">
        <f>intermediate_results[[#This Row], [Team1 laps '[laps']]] - intermediate_results[[#This Row], [Team7 laps '[laps']]]</f>
        <v>0</v>
      </c>
      <c r="R291" s="3">
        <f>intermediate_results[[#This Row], [Team1 laps '[laps']]] - intermediate_results[[#This Row], [Team8 laps '[laps']]]</f>
        <v>0</v>
      </c>
      <c r="S291" s="3">
        <f>intermediate_results[[#This Row], [Team1 laps '[laps']]] - intermediate_results[[#This Row], [Team9 laps '[laps']]]</f>
        <v>0</v>
      </c>
      <c r="T291" s="3">
        <f>MAX(intermediate_results[[#This Row], [Team1 laps '[laps']]:[Team9 laps '[laps']]]) - intermediate_results[[#This Row], [Team1 laps '[laps']]]</f>
        <v>0</v>
      </c>
      <c r="U291" s="3">
        <f>MAX(intermediate_results[[#This Row], [Team1 laps '[laps']]:[Team9 laps '[laps']]]) - intermediate_results[[#This Row], [Team2 laps '[laps']]]</f>
        <v>0</v>
      </c>
      <c r="V291" s="3">
        <f>MAX(intermediate_results[[#This Row], [Team1 laps '[laps']]:[Team9 laps '[laps']]]) - intermediate_results[[#This Row], [Team3 laps '[laps']]]</f>
        <v>0</v>
      </c>
      <c r="W291" s="3">
        <f>MAX(intermediate_results[[#This Row], [Team1 laps '[laps']]:[Team9 laps '[laps']]]) - intermediate_results[[#This Row], [Team4 laps '[laps']]]</f>
        <v>0</v>
      </c>
      <c r="X291" s="3">
        <f>MAX(intermediate_results[[#This Row], [Team1 laps '[laps']]:[Team9 laps '[laps']]]) - intermediate_results[[#This Row], [Team5 laps '[laps']]]</f>
        <v>0</v>
      </c>
      <c r="Y291" s="3">
        <f>MAX(intermediate_results[[#This Row], [Team1 laps '[laps']]:[Team9 laps '[laps']]]) - intermediate_results[[#This Row], [Team6 laps '[laps']]]</f>
        <v>0</v>
      </c>
      <c r="Z291" s="3">
        <f>MAX(intermediate_results[[#This Row], [Team1 laps '[laps']]:[Team9 laps '[laps']]]) - intermediate_results[[#This Row], [Team7 laps '[laps']]]</f>
        <v>0</v>
      </c>
      <c r="AA291" s="3">
        <f>MAX(intermediate_results[[#This Row], [Team1 laps '[laps']]:[Team9 laps '[laps']]]) - intermediate_results[[#This Row], [Team8 laps '[laps']]]</f>
        <v>0</v>
      </c>
      <c r="AB291" s="3">
        <f>MAX(intermediate_results[[#This Row], [Team1 laps '[laps']]:[Team9 laps '[laps']]]) - intermediate_results[[#This Row], [Team9 laps '[laps']]]</f>
        <v>0</v>
      </c>
      <c r="AC291" s="3">
        <f>9 * intermediate_results[[#This Row], [All cumulative times '[sec']]] / SUM(intermediate_results[[#This Row], [Team1 laps '[laps']]:[Team9 laps '[laps']]])</f>
        <v>0</v>
      </c>
      <c r="AD291" s="3">
        <f>intermediate_results[[#This Row], [All cumulative times '[sec']]] / intermediate_results[[#This Row], [Team1 laps '[laps']]] - intermediate_results[[#This Row], [Total running average '[sec']]]</f>
        <v>0</v>
      </c>
      <c r="AE291" s="3">
        <f>intermediate_results[[#This Row], [All cumulative times '[sec']]] / intermediate_results[[#This Row], [Team2 laps '[laps']]] - intermediate_results[[#This Row], [Total running average '[sec']]]</f>
        <v>0</v>
      </c>
      <c r="AF291" s="3">
        <f>intermediate_results[[#This Row], [All cumulative times '[sec']]] / intermediate_results[[#This Row], [Team3 laps '[laps']]] - intermediate_results[[#This Row], [Total running average '[sec']]]</f>
        <v>0</v>
      </c>
      <c r="AG291" s="3">
        <f>intermediate_results[[#This Row], [All cumulative times '[sec']]] / intermediate_results[[#This Row], [Team4 laps '[laps']]] - intermediate_results[[#This Row], [Total running average '[sec']]]</f>
        <v>0</v>
      </c>
      <c r="AH291" s="3">
        <f>intermediate_results[[#This Row], [All cumulative times '[sec']]] / intermediate_results[[#This Row], [Team5 laps '[laps']]] - intermediate_results[[#This Row], [Total running average '[sec']]]</f>
        <v>0</v>
      </c>
      <c r="AI291" s="3">
        <f>intermediate_results[[#This Row], [All cumulative times '[sec']]] / intermediate_results[[#This Row], [Team6 laps '[laps']]] - intermediate_results[[#This Row], [Total running average '[sec']]]</f>
        <v>0</v>
      </c>
      <c r="AJ291" s="3">
        <f>intermediate_results[[#This Row], [All cumulative times '[sec']]] / intermediate_results[[#This Row], [Team7 laps '[laps']]] - intermediate_results[[#This Row], [Total running average '[sec']]]</f>
        <v>0</v>
      </c>
      <c r="AK291" s="3">
        <f>intermediate_results[[#This Row], [All cumulative times '[sec']]] / intermediate_results[[#This Row], [Team8 laps '[laps']]] - intermediate_results[[#This Row], [Total running average '[sec']]]</f>
        <v>0</v>
      </c>
      <c r="AL291" s="3">
        <f>intermediate_results[[#This Row], [All cumulative times '[sec']]] / intermediate_results[[#This Row], [Team9 laps '[laps']]] - intermediate_results[[#This Row], [Total running average '[sec']]]</f>
        <v>0</v>
      </c>
    </row>
    <row r="292" spans="1:38">
      <c r="A292" s="3">
        <v>1794.713</v>
      </c>
      <c r="B292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2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2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2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2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2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2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2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2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2" s="3">
        <f>intermediate_results[[#This Row], [Team1 laps '[laps']]] - intermediate_results[[#This Row], [Team1 laps '[laps']]]</f>
        <v>0</v>
      </c>
      <c r="L292" s="3">
        <f>intermediate_results[[#This Row], [Team1 laps '[laps']]] - intermediate_results[[#This Row], [Team2 laps '[laps']]]</f>
        <v>0</v>
      </c>
      <c r="M292" s="3">
        <f>intermediate_results[[#This Row], [Team1 laps '[laps']]] - intermediate_results[[#This Row], [Team3 laps '[laps']]]</f>
        <v>0</v>
      </c>
      <c r="N292" s="3">
        <f>intermediate_results[[#This Row], [Team1 laps '[laps']]] - intermediate_results[[#This Row], [Team4 laps '[laps']]]</f>
        <v>0</v>
      </c>
      <c r="O292" s="3">
        <f>intermediate_results[[#This Row], [Team1 laps '[laps']]] - intermediate_results[[#This Row], [Team5 laps '[laps']]]</f>
        <v>0</v>
      </c>
      <c r="P292" s="3">
        <f>intermediate_results[[#This Row], [Team1 laps '[laps']]] - intermediate_results[[#This Row], [Team6 laps '[laps']]]</f>
        <v>0</v>
      </c>
      <c r="Q292" s="3">
        <f>intermediate_results[[#This Row], [Team1 laps '[laps']]] - intermediate_results[[#This Row], [Team7 laps '[laps']]]</f>
        <v>0</v>
      </c>
      <c r="R292" s="3">
        <f>intermediate_results[[#This Row], [Team1 laps '[laps']]] - intermediate_results[[#This Row], [Team8 laps '[laps']]]</f>
        <v>0</v>
      </c>
      <c r="S292" s="3">
        <f>intermediate_results[[#This Row], [Team1 laps '[laps']]] - intermediate_results[[#This Row], [Team9 laps '[laps']]]</f>
        <v>0</v>
      </c>
      <c r="T292" s="3">
        <f>MAX(intermediate_results[[#This Row], [Team1 laps '[laps']]:[Team9 laps '[laps']]]) - intermediate_results[[#This Row], [Team1 laps '[laps']]]</f>
        <v>0</v>
      </c>
      <c r="U292" s="3">
        <f>MAX(intermediate_results[[#This Row], [Team1 laps '[laps']]:[Team9 laps '[laps']]]) - intermediate_results[[#This Row], [Team2 laps '[laps']]]</f>
        <v>0</v>
      </c>
      <c r="V292" s="3">
        <f>MAX(intermediate_results[[#This Row], [Team1 laps '[laps']]:[Team9 laps '[laps']]]) - intermediate_results[[#This Row], [Team3 laps '[laps']]]</f>
        <v>0</v>
      </c>
      <c r="W292" s="3">
        <f>MAX(intermediate_results[[#This Row], [Team1 laps '[laps']]:[Team9 laps '[laps']]]) - intermediate_results[[#This Row], [Team4 laps '[laps']]]</f>
        <v>0</v>
      </c>
      <c r="X292" s="3">
        <f>MAX(intermediate_results[[#This Row], [Team1 laps '[laps']]:[Team9 laps '[laps']]]) - intermediate_results[[#This Row], [Team5 laps '[laps']]]</f>
        <v>0</v>
      </c>
      <c r="Y292" s="3">
        <f>MAX(intermediate_results[[#This Row], [Team1 laps '[laps']]:[Team9 laps '[laps']]]) - intermediate_results[[#This Row], [Team6 laps '[laps']]]</f>
        <v>0</v>
      </c>
      <c r="Z292" s="3">
        <f>MAX(intermediate_results[[#This Row], [Team1 laps '[laps']]:[Team9 laps '[laps']]]) - intermediate_results[[#This Row], [Team7 laps '[laps']]]</f>
        <v>0</v>
      </c>
      <c r="AA292" s="3">
        <f>MAX(intermediate_results[[#This Row], [Team1 laps '[laps']]:[Team9 laps '[laps']]]) - intermediate_results[[#This Row], [Team8 laps '[laps']]]</f>
        <v>0</v>
      </c>
      <c r="AB292" s="3">
        <f>MAX(intermediate_results[[#This Row], [Team1 laps '[laps']]:[Team9 laps '[laps']]]) - intermediate_results[[#This Row], [Team9 laps '[laps']]]</f>
        <v>0</v>
      </c>
      <c r="AC292" s="3">
        <f>9 * intermediate_results[[#This Row], [All cumulative times '[sec']]] / SUM(intermediate_results[[#This Row], [Team1 laps '[laps']]:[Team9 laps '[laps']]])</f>
        <v>0</v>
      </c>
      <c r="AD292" s="3">
        <f>intermediate_results[[#This Row], [All cumulative times '[sec']]] / intermediate_results[[#This Row], [Team1 laps '[laps']]] - intermediate_results[[#This Row], [Total running average '[sec']]]</f>
        <v>0</v>
      </c>
      <c r="AE292" s="3">
        <f>intermediate_results[[#This Row], [All cumulative times '[sec']]] / intermediate_results[[#This Row], [Team2 laps '[laps']]] - intermediate_results[[#This Row], [Total running average '[sec']]]</f>
        <v>0</v>
      </c>
      <c r="AF292" s="3">
        <f>intermediate_results[[#This Row], [All cumulative times '[sec']]] / intermediate_results[[#This Row], [Team3 laps '[laps']]] - intermediate_results[[#This Row], [Total running average '[sec']]]</f>
        <v>0</v>
      </c>
      <c r="AG292" s="3">
        <f>intermediate_results[[#This Row], [All cumulative times '[sec']]] / intermediate_results[[#This Row], [Team4 laps '[laps']]] - intermediate_results[[#This Row], [Total running average '[sec']]]</f>
        <v>0</v>
      </c>
      <c r="AH292" s="3">
        <f>intermediate_results[[#This Row], [All cumulative times '[sec']]] / intermediate_results[[#This Row], [Team5 laps '[laps']]] - intermediate_results[[#This Row], [Total running average '[sec']]]</f>
        <v>0</v>
      </c>
      <c r="AI292" s="3">
        <f>intermediate_results[[#This Row], [All cumulative times '[sec']]] / intermediate_results[[#This Row], [Team6 laps '[laps']]] - intermediate_results[[#This Row], [Total running average '[sec']]]</f>
        <v>0</v>
      </c>
      <c r="AJ292" s="3">
        <f>intermediate_results[[#This Row], [All cumulative times '[sec']]] / intermediate_results[[#This Row], [Team7 laps '[laps']]] - intermediate_results[[#This Row], [Total running average '[sec']]]</f>
        <v>0</v>
      </c>
      <c r="AK292" s="3">
        <f>intermediate_results[[#This Row], [All cumulative times '[sec']]] / intermediate_results[[#This Row], [Team8 laps '[laps']]] - intermediate_results[[#This Row], [Total running average '[sec']]]</f>
        <v>0</v>
      </c>
      <c r="AL292" s="3">
        <f>intermediate_results[[#This Row], [All cumulative times '[sec']]] / intermediate_results[[#This Row], [Team9 laps '[laps']]] - intermediate_results[[#This Row], [Total running average '[sec']]]</f>
        <v>0</v>
      </c>
    </row>
    <row r="293" spans="1:38">
      <c r="A293" s="3">
        <v>1805.02</v>
      </c>
      <c r="B293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3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3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3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3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3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3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3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3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3" s="3">
        <f>intermediate_results[[#This Row], [Team1 laps '[laps']]] - intermediate_results[[#This Row], [Team1 laps '[laps']]]</f>
        <v>0</v>
      </c>
      <c r="L293" s="3">
        <f>intermediate_results[[#This Row], [Team1 laps '[laps']]] - intermediate_results[[#This Row], [Team2 laps '[laps']]]</f>
        <v>0</v>
      </c>
      <c r="M293" s="3">
        <f>intermediate_results[[#This Row], [Team1 laps '[laps']]] - intermediate_results[[#This Row], [Team3 laps '[laps']]]</f>
        <v>0</v>
      </c>
      <c r="N293" s="3">
        <f>intermediate_results[[#This Row], [Team1 laps '[laps']]] - intermediate_results[[#This Row], [Team4 laps '[laps']]]</f>
        <v>0</v>
      </c>
      <c r="O293" s="3">
        <f>intermediate_results[[#This Row], [Team1 laps '[laps']]] - intermediate_results[[#This Row], [Team5 laps '[laps']]]</f>
        <v>0</v>
      </c>
      <c r="P293" s="3">
        <f>intermediate_results[[#This Row], [Team1 laps '[laps']]] - intermediate_results[[#This Row], [Team6 laps '[laps']]]</f>
        <v>0</v>
      </c>
      <c r="Q293" s="3">
        <f>intermediate_results[[#This Row], [Team1 laps '[laps']]] - intermediate_results[[#This Row], [Team7 laps '[laps']]]</f>
        <v>0</v>
      </c>
      <c r="R293" s="3">
        <f>intermediate_results[[#This Row], [Team1 laps '[laps']]] - intermediate_results[[#This Row], [Team8 laps '[laps']]]</f>
        <v>0</v>
      </c>
      <c r="S293" s="3">
        <f>intermediate_results[[#This Row], [Team1 laps '[laps']]] - intermediate_results[[#This Row], [Team9 laps '[laps']]]</f>
        <v>0</v>
      </c>
      <c r="T293" s="3">
        <f>MAX(intermediate_results[[#This Row], [Team1 laps '[laps']]:[Team9 laps '[laps']]]) - intermediate_results[[#This Row], [Team1 laps '[laps']]]</f>
        <v>0</v>
      </c>
      <c r="U293" s="3">
        <f>MAX(intermediate_results[[#This Row], [Team1 laps '[laps']]:[Team9 laps '[laps']]]) - intermediate_results[[#This Row], [Team2 laps '[laps']]]</f>
        <v>0</v>
      </c>
      <c r="V293" s="3">
        <f>MAX(intermediate_results[[#This Row], [Team1 laps '[laps']]:[Team9 laps '[laps']]]) - intermediate_results[[#This Row], [Team3 laps '[laps']]]</f>
        <v>0</v>
      </c>
      <c r="W293" s="3">
        <f>MAX(intermediate_results[[#This Row], [Team1 laps '[laps']]:[Team9 laps '[laps']]]) - intermediate_results[[#This Row], [Team4 laps '[laps']]]</f>
        <v>0</v>
      </c>
      <c r="X293" s="3">
        <f>MAX(intermediate_results[[#This Row], [Team1 laps '[laps']]:[Team9 laps '[laps']]]) - intermediate_results[[#This Row], [Team5 laps '[laps']]]</f>
        <v>0</v>
      </c>
      <c r="Y293" s="3">
        <f>MAX(intermediate_results[[#This Row], [Team1 laps '[laps']]:[Team9 laps '[laps']]]) - intermediate_results[[#This Row], [Team6 laps '[laps']]]</f>
        <v>0</v>
      </c>
      <c r="Z293" s="3">
        <f>MAX(intermediate_results[[#This Row], [Team1 laps '[laps']]:[Team9 laps '[laps']]]) - intermediate_results[[#This Row], [Team7 laps '[laps']]]</f>
        <v>0</v>
      </c>
      <c r="AA293" s="3">
        <f>MAX(intermediate_results[[#This Row], [Team1 laps '[laps']]:[Team9 laps '[laps']]]) - intermediate_results[[#This Row], [Team8 laps '[laps']]]</f>
        <v>0</v>
      </c>
      <c r="AB293" s="3">
        <f>MAX(intermediate_results[[#This Row], [Team1 laps '[laps']]:[Team9 laps '[laps']]]) - intermediate_results[[#This Row], [Team9 laps '[laps']]]</f>
        <v>0</v>
      </c>
      <c r="AC293" s="3">
        <f>9 * intermediate_results[[#This Row], [All cumulative times '[sec']]] / SUM(intermediate_results[[#This Row], [Team1 laps '[laps']]:[Team9 laps '[laps']]])</f>
        <v>0</v>
      </c>
      <c r="AD293" s="3">
        <f>intermediate_results[[#This Row], [All cumulative times '[sec']]] / intermediate_results[[#This Row], [Team1 laps '[laps']]] - intermediate_results[[#This Row], [Total running average '[sec']]]</f>
        <v>0</v>
      </c>
      <c r="AE293" s="3">
        <f>intermediate_results[[#This Row], [All cumulative times '[sec']]] / intermediate_results[[#This Row], [Team2 laps '[laps']]] - intermediate_results[[#This Row], [Total running average '[sec']]]</f>
        <v>0</v>
      </c>
      <c r="AF293" s="3">
        <f>intermediate_results[[#This Row], [All cumulative times '[sec']]] / intermediate_results[[#This Row], [Team3 laps '[laps']]] - intermediate_results[[#This Row], [Total running average '[sec']]]</f>
        <v>0</v>
      </c>
      <c r="AG293" s="3">
        <f>intermediate_results[[#This Row], [All cumulative times '[sec']]] / intermediate_results[[#This Row], [Team4 laps '[laps']]] - intermediate_results[[#This Row], [Total running average '[sec']]]</f>
        <v>0</v>
      </c>
      <c r="AH293" s="3">
        <f>intermediate_results[[#This Row], [All cumulative times '[sec']]] / intermediate_results[[#This Row], [Team5 laps '[laps']]] - intermediate_results[[#This Row], [Total running average '[sec']]]</f>
        <v>0</v>
      </c>
      <c r="AI293" s="3">
        <f>intermediate_results[[#This Row], [All cumulative times '[sec']]] / intermediate_results[[#This Row], [Team6 laps '[laps']]] - intermediate_results[[#This Row], [Total running average '[sec']]]</f>
        <v>0</v>
      </c>
      <c r="AJ293" s="3">
        <f>intermediate_results[[#This Row], [All cumulative times '[sec']]] / intermediate_results[[#This Row], [Team7 laps '[laps']]] - intermediate_results[[#This Row], [Total running average '[sec']]]</f>
        <v>0</v>
      </c>
      <c r="AK293" s="3">
        <f>intermediate_results[[#This Row], [All cumulative times '[sec']]] / intermediate_results[[#This Row], [Team8 laps '[laps']]] - intermediate_results[[#This Row], [Total running average '[sec']]]</f>
        <v>0</v>
      </c>
      <c r="AL293" s="3">
        <f>intermediate_results[[#This Row], [All cumulative times '[sec']]] / intermediate_results[[#This Row], [Team9 laps '[laps']]] - intermediate_results[[#This Row], [Total running average '[sec']]]</f>
        <v>0</v>
      </c>
    </row>
    <row r="294" spans="1:38">
      <c r="A294" s="3">
        <v>1805.871</v>
      </c>
      <c r="B294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4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4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4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4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4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4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4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4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4" s="3">
        <f>intermediate_results[[#This Row], [Team1 laps '[laps']]] - intermediate_results[[#This Row], [Team1 laps '[laps']]]</f>
        <v>0</v>
      </c>
      <c r="L294" s="3">
        <f>intermediate_results[[#This Row], [Team1 laps '[laps']]] - intermediate_results[[#This Row], [Team2 laps '[laps']]]</f>
        <v>0</v>
      </c>
      <c r="M294" s="3">
        <f>intermediate_results[[#This Row], [Team1 laps '[laps']]] - intermediate_results[[#This Row], [Team3 laps '[laps']]]</f>
        <v>0</v>
      </c>
      <c r="N294" s="3">
        <f>intermediate_results[[#This Row], [Team1 laps '[laps']]] - intermediate_results[[#This Row], [Team4 laps '[laps']]]</f>
        <v>0</v>
      </c>
      <c r="O294" s="3">
        <f>intermediate_results[[#This Row], [Team1 laps '[laps']]] - intermediate_results[[#This Row], [Team5 laps '[laps']]]</f>
        <v>0</v>
      </c>
      <c r="P294" s="3">
        <f>intermediate_results[[#This Row], [Team1 laps '[laps']]] - intermediate_results[[#This Row], [Team6 laps '[laps']]]</f>
        <v>0</v>
      </c>
      <c r="Q294" s="3">
        <f>intermediate_results[[#This Row], [Team1 laps '[laps']]] - intermediate_results[[#This Row], [Team7 laps '[laps']]]</f>
        <v>0</v>
      </c>
      <c r="R294" s="3">
        <f>intermediate_results[[#This Row], [Team1 laps '[laps']]] - intermediate_results[[#This Row], [Team8 laps '[laps']]]</f>
        <v>0</v>
      </c>
      <c r="S294" s="3">
        <f>intermediate_results[[#This Row], [Team1 laps '[laps']]] - intermediate_results[[#This Row], [Team9 laps '[laps']]]</f>
        <v>0</v>
      </c>
      <c r="T294" s="3">
        <f>MAX(intermediate_results[[#This Row], [Team1 laps '[laps']]:[Team9 laps '[laps']]]) - intermediate_results[[#This Row], [Team1 laps '[laps']]]</f>
        <v>0</v>
      </c>
      <c r="U294" s="3">
        <f>MAX(intermediate_results[[#This Row], [Team1 laps '[laps']]:[Team9 laps '[laps']]]) - intermediate_results[[#This Row], [Team2 laps '[laps']]]</f>
        <v>0</v>
      </c>
      <c r="V294" s="3">
        <f>MAX(intermediate_results[[#This Row], [Team1 laps '[laps']]:[Team9 laps '[laps']]]) - intermediate_results[[#This Row], [Team3 laps '[laps']]]</f>
        <v>0</v>
      </c>
      <c r="W294" s="3">
        <f>MAX(intermediate_results[[#This Row], [Team1 laps '[laps']]:[Team9 laps '[laps']]]) - intermediate_results[[#This Row], [Team4 laps '[laps']]]</f>
        <v>0</v>
      </c>
      <c r="X294" s="3">
        <f>MAX(intermediate_results[[#This Row], [Team1 laps '[laps']]:[Team9 laps '[laps']]]) - intermediate_results[[#This Row], [Team5 laps '[laps']]]</f>
        <v>0</v>
      </c>
      <c r="Y294" s="3">
        <f>MAX(intermediate_results[[#This Row], [Team1 laps '[laps']]:[Team9 laps '[laps']]]) - intermediate_results[[#This Row], [Team6 laps '[laps']]]</f>
        <v>0</v>
      </c>
      <c r="Z294" s="3">
        <f>MAX(intermediate_results[[#This Row], [Team1 laps '[laps']]:[Team9 laps '[laps']]]) - intermediate_results[[#This Row], [Team7 laps '[laps']]]</f>
        <v>0</v>
      </c>
      <c r="AA294" s="3">
        <f>MAX(intermediate_results[[#This Row], [Team1 laps '[laps']]:[Team9 laps '[laps']]]) - intermediate_results[[#This Row], [Team8 laps '[laps']]]</f>
        <v>0</v>
      </c>
      <c r="AB294" s="3">
        <f>MAX(intermediate_results[[#This Row], [Team1 laps '[laps']]:[Team9 laps '[laps']]]) - intermediate_results[[#This Row], [Team9 laps '[laps']]]</f>
        <v>0</v>
      </c>
      <c r="AC294" s="3">
        <f>9 * intermediate_results[[#This Row], [All cumulative times '[sec']]] / SUM(intermediate_results[[#This Row], [Team1 laps '[laps']]:[Team9 laps '[laps']]])</f>
        <v>0</v>
      </c>
      <c r="AD294" s="3">
        <f>intermediate_results[[#This Row], [All cumulative times '[sec']]] / intermediate_results[[#This Row], [Team1 laps '[laps']]] - intermediate_results[[#This Row], [Total running average '[sec']]]</f>
        <v>0</v>
      </c>
      <c r="AE294" s="3">
        <f>intermediate_results[[#This Row], [All cumulative times '[sec']]] / intermediate_results[[#This Row], [Team2 laps '[laps']]] - intermediate_results[[#This Row], [Total running average '[sec']]]</f>
        <v>0</v>
      </c>
      <c r="AF294" s="3">
        <f>intermediate_results[[#This Row], [All cumulative times '[sec']]] / intermediate_results[[#This Row], [Team3 laps '[laps']]] - intermediate_results[[#This Row], [Total running average '[sec']]]</f>
        <v>0</v>
      </c>
      <c r="AG294" s="3">
        <f>intermediate_results[[#This Row], [All cumulative times '[sec']]] / intermediate_results[[#This Row], [Team4 laps '[laps']]] - intermediate_results[[#This Row], [Total running average '[sec']]]</f>
        <v>0</v>
      </c>
      <c r="AH294" s="3">
        <f>intermediate_results[[#This Row], [All cumulative times '[sec']]] / intermediate_results[[#This Row], [Team5 laps '[laps']]] - intermediate_results[[#This Row], [Total running average '[sec']]]</f>
        <v>0</v>
      </c>
      <c r="AI294" s="3">
        <f>intermediate_results[[#This Row], [All cumulative times '[sec']]] / intermediate_results[[#This Row], [Team6 laps '[laps']]] - intermediate_results[[#This Row], [Total running average '[sec']]]</f>
        <v>0</v>
      </c>
      <c r="AJ294" s="3">
        <f>intermediate_results[[#This Row], [All cumulative times '[sec']]] / intermediate_results[[#This Row], [Team7 laps '[laps']]] - intermediate_results[[#This Row], [Total running average '[sec']]]</f>
        <v>0</v>
      </c>
      <c r="AK294" s="3">
        <f>intermediate_results[[#This Row], [All cumulative times '[sec']]] / intermediate_results[[#This Row], [Team8 laps '[laps']]] - intermediate_results[[#This Row], [Total running average '[sec']]]</f>
        <v>0</v>
      </c>
      <c r="AL294" s="3">
        <f>intermediate_results[[#This Row], [All cumulative times '[sec']]] / intermediate_results[[#This Row], [Team9 laps '[laps']]] - intermediate_results[[#This Row], [Total running average '[sec']]]</f>
        <v>0</v>
      </c>
    </row>
    <row r="295" spans="1:38">
      <c r="A295" s="3">
        <v>1808.583</v>
      </c>
      <c r="B295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5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5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5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5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5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5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5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5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5" s="3">
        <f>intermediate_results[[#This Row], [Team1 laps '[laps']]] - intermediate_results[[#This Row], [Team1 laps '[laps']]]</f>
        <v>0</v>
      </c>
      <c r="L295" s="3">
        <f>intermediate_results[[#This Row], [Team1 laps '[laps']]] - intermediate_results[[#This Row], [Team2 laps '[laps']]]</f>
        <v>0</v>
      </c>
      <c r="M295" s="3">
        <f>intermediate_results[[#This Row], [Team1 laps '[laps']]] - intermediate_results[[#This Row], [Team3 laps '[laps']]]</f>
        <v>0</v>
      </c>
      <c r="N295" s="3">
        <f>intermediate_results[[#This Row], [Team1 laps '[laps']]] - intermediate_results[[#This Row], [Team4 laps '[laps']]]</f>
        <v>0</v>
      </c>
      <c r="O295" s="3">
        <f>intermediate_results[[#This Row], [Team1 laps '[laps']]] - intermediate_results[[#This Row], [Team5 laps '[laps']]]</f>
        <v>0</v>
      </c>
      <c r="P295" s="3">
        <f>intermediate_results[[#This Row], [Team1 laps '[laps']]] - intermediate_results[[#This Row], [Team6 laps '[laps']]]</f>
        <v>0</v>
      </c>
      <c r="Q295" s="3">
        <f>intermediate_results[[#This Row], [Team1 laps '[laps']]] - intermediate_results[[#This Row], [Team7 laps '[laps']]]</f>
        <v>0</v>
      </c>
      <c r="R295" s="3">
        <f>intermediate_results[[#This Row], [Team1 laps '[laps']]] - intermediate_results[[#This Row], [Team8 laps '[laps']]]</f>
        <v>0</v>
      </c>
      <c r="S295" s="3">
        <f>intermediate_results[[#This Row], [Team1 laps '[laps']]] - intermediate_results[[#This Row], [Team9 laps '[laps']]]</f>
        <v>0</v>
      </c>
      <c r="T295" s="3">
        <f>MAX(intermediate_results[[#This Row], [Team1 laps '[laps']]:[Team9 laps '[laps']]]) - intermediate_results[[#This Row], [Team1 laps '[laps']]]</f>
        <v>0</v>
      </c>
      <c r="U295" s="3">
        <f>MAX(intermediate_results[[#This Row], [Team1 laps '[laps']]:[Team9 laps '[laps']]]) - intermediate_results[[#This Row], [Team2 laps '[laps']]]</f>
        <v>0</v>
      </c>
      <c r="V295" s="3">
        <f>MAX(intermediate_results[[#This Row], [Team1 laps '[laps']]:[Team9 laps '[laps']]]) - intermediate_results[[#This Row], [Team3 laps '[laps']]]</f>
        <v>0</v>
      </c>
      <c r="W295" s="3">
        <f>MAX(intermediate_results[[#This Row], [Team1 laps '[laps']]:[Team9 laps '[laps']]]) - intermediate_results[[#This Row], [Team4 laps '[laps']]]</f>
        <v>0</v>
      </c>
      <c r="X295" s="3">
        <f>MAX(intermediate_results[[#This Row], [Team1 laps '[laps']]:[Team9 laps '[laps']]]) - intermediate_results[[#This Row], [Team5 laps '[laps']]]</f>
        <v>0</v>
      </c>
      <c r="Y295" s="3">
        <f>MAX(intermediate_results[[#This Row], [Team1 laps '[laps']]:[Team9 laps '[laps']]]) - intermediate_results[[#This Row], [Team6 laps '[laps']]]</f>
        <v>0</v>
      </c>
      <c r="Z295" s="3">
        <f>MAX(intermediate_results[[#This Row], [Team1 laps '[laps']]:[Team9 laps '[laps']]]) - intermediate_results[[#This Row], [Team7 laps '[laps']]]</f>
        <v>0</v>
      </c>
      <c r="AA295" s="3">
        <f>MAX(intermediate_results[[#This Row], [Team1 laps '[laps']]:[Team9 laps '[laps']]]) - intermediate_results[[#This Row], [Team8 laps '[laps']]]</f>
        <v>0</v>
      </c>
      <c r="AB295" s="3">
        <f>MAX(intermediate_results[[#This Row], [Team1 laps '[laps']]:[Team9 laps '[laps']]]) - intermediate_results[[#This Row], [Team9 laps '[laps']]]</f>
        <v>0</v>
      </c>
      <c r="AC295" s="3">
        <f>9 * intermediate_results[[#This Row], [All cumulative times '[sec']]] / SUM(intermediate_results[[#This Row], [Team1 laps '[laps']]:[Team9 laps '[laps']]])</f>
        <v>0</v>
      </c>
      <c r="AD295" s="3">
        <f>intermediate_results[[#This Row], [All cumulative times '[sec']]] / intermediate_results[[#This Row], [Team1 laps '[laps']]] - intermediate_results[[#This Row], [Total running average '[sec']]]</f>
        <v>0</v>
      </c>
      <c r="AE295" s="3">
        <f>intermediate_results[[#This Row], [All cumulative times '[sec']]] / intermediate_results[[#This Row], [Team2 laps '[laps']]] - intermediate_results[[#This Row], [Total running average '[sec']]]</f>
        <v>0</v>
      </c>
      <c r="AF295" s="3">
        <f>intermediate_results[[#This Row], [All cumulative times '[sec']]] / intermediate_results[[#This Row], [Team3 laps '[laps']]] - intermediate_results[[#This Row], [Total running average '[sec']]]</f>
        <v>0</v>
      </c>
      <c r="AG295" s="3">
        <f>intermediate_results[[#This Row], [All cumulative times '[sec']]] / intermediate_results[[#This Row], [Team4 laps '[laps']]] - intermediate_results[[#This Row], [Total running average '[sec']]]</f>
        <v>0</v>
      </c>
      <c r="AH295" s="3">
        <f>intermediate_results[[#This Row], [All cumulative times '[sec']]] / intermediate_results[[#This Row], [Team5 laps '[laps']]] - intermediate_results[[#This Row], [Total running average '[sec']]]</f>
        <v>0</v>
      </c>
      <c r="AI295" s="3">
        <f>intermediate_results[[#This Row], [All cumulative times '[sec']]] / intermediate_results[[#This Row], [Team6 laps '[laps']]] - intermediate_results[[#This Row], [Total running average '[sec']]]</f>
        <v>0</v>
      </c>
      <c r="AJ295" s="3">
        <f>intermediate_results[[#This Row], [All cumulative times '[sec']]] / intermediate_results[[#This Row], [Team7 laps '[laps']]] - intermediate_results[[#This Row], [Total running average '[sec']]]</f>
        <v>0</v>
      </c>
      <c r="AK295" s="3">
        <f>intermediate_results[[#This Row], [All cumulative times '[sec']]] / intermediate_results[[#This Row], [Team8 laps '[laps']]] - intermediate_results[[#This Row], [Total running average '[sec']]]</f>
        <v>0</v>
      </c>
      <c r="AL295" s="3">
        <f>intermediate_results[[#This Row], [All cumulative times '[sec']]] / intermediate_results[[#This Row], [Team9 laps '[laps']]] - intermediate_results[[#This Row], [Total running average '[sec']]]</f>
        <v>0</v>
      </c>
    </row>
    <row r="296" spans="1:38">
      <c r="A296" s="3">
        <v>1809.447</v>
      </c>
      <c r="B296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6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6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6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6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6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6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6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6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6" s="3">
        <f>intermediate_results[[#This Row], [Team1 laps '[laps']]] - intermediate_results[[#This Row], [Team1 laps '[laps']]]</f>
        <v>0</v>
      </c>
      <c r="L296" s="3">
        <f>intermediate_results[[#This Row], [Team1 laps '[laps']]] - intermediate_results[[#This Row], [Team2 laps '[laps']]]</f>
        <v>0</v>
      </c>
      <c r="M296" s="3">
        <f>intermediate_results[[#This Row], [Team1 laps '[laps']]] - intermediate_results[[#This Row], [Team3 laps '[laps']]]</f>
        <v>0</v>
      </c>
      <c r="N296" s="3">
        <f>intermediate_results[[#This Row], [Team1 laps '[laps']]] - intermediate_results[[#This Row], [Team4 laps '[laps']]]</f>
        <v>0</v>
      </c>
      <c r="O296" s="3">
        <f>intermediate_results[[#This Row], [Team1 laps '[laps']]] - intermediate_results[[#This Row], [Team5 laps '[laps']]]</f>
        <v>0</v>
      </c>
      <c r="P296" s="3">
        <f>intermediate_results[[#This Row], [Team1 laps '[laps']]] - intermediate_results[[#This Row], [Team6 laps '[laps']]]</f>
        <v>0</v>
      </c>
      <c r="Q296" s="3">
        <f>intermediate_results[[#This Row], [Team1 laps '[laps']]] - intermediate_results[[#This Row], [Team7 laps '[laps']]]</f>
        <v>0</v>
      </c>
      <c r="R296" s="3">
        <f>intermediate_results[[#This Row], [Team1 laps '[laps']]] - intermediate_results[[#This Row], [Team8 laps '[laps']]]</f>
        <v>0</v>
      </c>
      <c r="S296" s="3">
        <f>intermediate_results[[#This Row], [Team1 laps '[laps']]] - intermediate_results[[#This Row], [Team9 laps '[laps']]]</f>
        <v>0</v>
      </c>
      <c r="T296" s="3">
        <f>MAX(intermediate_results[[#This Row], [Team1 laps '[laps']]:[Team9 laps '[laps']]]) - intermediate_results[[#This Row], [Team1 laps '[laps']]]</f>
        <v>0</v>
      </c>
      <c r="U296" s="3">
        <f>MAX(intermediate_results[[#This Row], [Team1 laps '[laps']]:[Team9 laps '[laps']]]) - intermediate_results[[#This Row], [Team2 laps '[laps']]]</f>
        <v>0</v>
      </c>
      <c r="V296" s="3">
        <f>MAX(intermediate_results[[#This Row], [Team1 laps '[laps']]:[Team9 laps '[laps']]]) - intermediate_results[[#This Row], [Team3 laps '[laps']]]</f>
        <v>0</v>
      </c>
      <c r="W296" s="3">
        <f>MAX(intermediate_results[[#This Row], [Team1 laps '[laps']]:[Team9 laps '[laps']]]) - intermediate_results[[#This Row], [Team4 laps '[laps']]]</f>
        <v>0</v>
      </c>
      <c r="X296" s="3">
        <f>MAX(intermediate_results[[#This Row], [Team1 laps '[laps']]:[Team9 laps '[laps']]]) - intermediate_results[[#This Row], [Team5 laps '[laps']]]</f>
        <v>0</v>
      </c>
      <c r="Y296" s="3">
        <f>MAX(intermediate_results[[#This Row], [Team1 laps '[laps']]:[Team9 laps '[laps']]]) - intermediate_results[[#This Row], [Team6 laps '[laps']]]</f>
        <v>0</v>
      </c>
      <c r="Z296" s="3">
        <f>MAX(intermediate_results[[#This Row], [Team1 laps '[laps']]:[Team9 laps '[laps']]]) - intermediate_results[[#This Row], [Team7 laps '[laps']]]</f>
        <v>0</v>
      </c>
      <c r="AA296" s="3">
        <f>MAX(intermediate_results[[#This Row], [Team1 laps '[laps']]:[Team9 laps '[laps']]]) - intermediate_results[[#This Row], [Team8 laps '[laps']]]</f>
        <v>0</v>
      </c>
      <c r="AB296" s="3">
        <f>MAX(intermediate_results[[#This Row], [Team1 laps '[laps']]:[Team9 laps '[laps']]]) - intermediate_results[[#This Row], [Team9 laps '[laps']]]</f>
        <v>0</v>
      </c>
      <c r="AC296" s="3">
        <f>9 * intermediate_results[[#This Row], [All cumulative times '[sec']]] / SUM(intermediate_results[[#This Row], [Team1 laps '[laps']]:[Team9 laps '[laps']]])</f>
        <v>0</v>
      </c>
      <c r="AD296" s="3">
        <f>intermediate_results[[#This Row], [All cumulative times '[sec']]] / intermediate_results[[#This Row], [Team1 laps '[laps']]] - intermediate_results[[#This Row], [Total running average '[sec']]]</f>
        <v>0</v>
      </c>
      <c r="AE296" s="3">
        <f>intermediate_results[[#This Row], [All cumulative times '[sec']]] / intermediate_results[[#This Row], [Team2 laps '[laps']]] - intermediate_results[[#This Row], [Total running average '[sec']]]</f>
        <v>0</v>
      </c>
      <c r="AF296" s="3">
        <f>intermediate_results[[#This Row], [All cumulative times '[sec']]] / intermediate_results[[#This Row], [Team3 laps '[laps']]] - intermediate_results[[#This Row], [Total running average '[sec']]]</f>
        <v>0</v>
      </c>
      <c r="AG296" s="3">
        <f>intermediate_results[[#This Row], [All cumulative times '[sec']]] / intermediate_results[[#This Row], [Team4 laps '[laps']]] - intermediate_results[[#This Row], [Total running average '[sec']]]</f>
        <v>0</v>
      </c>
      <c r="AH296" s="3">
        <f>intermediate_results[[#This Row], [All cumulative times '[sec']]] / intermediate_results[[#This Row], [Team5 laps '[laps']]] - intermediate_results[[#This Row], [Total running average '[sec']]]</f>
        <v>0</v>
      </c>
      <c r="AI296" s="3">
        <f>intermediate_results[[#This Row], [All cumulative times '[sec']]] / intermediate_results[[#This Row], [Team6 laps '[laps']]] - intermediate_results[[#This Row], [Total running average '[sec']]]</f>
        <v>0</v>
      </c>
      <c r="AJ296" s="3">
        <f>intermediate_results[[#This Row], [All cumulative times '[sec']]] / intermediate_results[[#This Row], [Team7 laps '[laps']]] - intermediate_results[[#This Row], [Total running average '[sec']]]</f>
        <v>0</v>
      </c>
      <c r="AK296" s="3">
        <f>intermediate_results[[#This Row], [All cumulative times '[sec']]] / intermediate_results[[#This Row], [Team8 laps '[laps']]] - intermediate_results[[#This Row], [Total running average '[sec']]]</f>
        <v>0</v>
      </c>
      <c r="AL296" s="3">
        <f>intermediate_results[[#This Row], [All cumulative times '[sec']]] / intermediate_results[[#This Row], [Team9 laps '[laps']]] - intermediate_results[[#This Row], [Total running average '[sec']]]</f>
        <v>0</v>
      </c>
    </row>
    <row r="297" spans="1:38">
      <c r="A297" s="3">
        <v>1819.822</v>
      </c>
      <c r="B297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7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7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7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7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7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7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7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7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7" s="3">
        <f>intermediate_results[[#This Row], [Team1 laps '[laps']]] - intermediate_results[[#This Row], [Team1 laps '[laps']]]</f>
        <v>0</v>
      </c>
      <c r="L297" s="3">
        <f>intermediate_results[[#This Row], [Team1 laps '[laps']]] - intermediate_results[[#This Row], [Team2 laps '[laps']]]</f>
        <v>0</v>
      </c>
      <c r="M297" s="3">
        <f>intermediate_results[[#This Row], [Team1 laps '[laps']]] - intermediate_results[[#This Row], [Team3 laps '[laps']]]</f>
        <v>0</v>
      </c>
      <c r="N297" s="3">
        <f>intermediate_results[[#This Row], [Team1 laps '[laps']]] - intermediate_results[[#This Row], [Team4 laps '[laps']]]</f>
        <v>0</v>
      </c>
      <c r="O297" s="3">
        <f>intermediate_results[[#This Row], [Team1 laps '[laps']]] - intermediate_results[[#This Row], [Team5 laps '[laps']]]</f>
        <v>0</v>
      </c>
      <c r="P297" s="3">
        <f>intermediate_results[[#This Row], [Team1 laps '[laps']]] - intermediate_results[[#This Row], [Team6 laps '[laps']]]</f>
        <v>0</v>
      </c>
      <c r="Q297" s="3">
        <f>intermediate_results[[#This Row], [Team1 laps '[laps']]] - intermediate_results[[#This Row], [Team7 laps '[laps']]]</f>
        <v>0</v>
      </c>
      <c r="R297" s="3">
        <f>intermediate_results[[#This Row], [Team1 laps '[laps']]] - intermediate_results[[#This Row], [Team8 laps '[laps']]]</f>
        <v>0</v>
      </c>
      <c r="S297" s="3">
        <f>intermediate_results[[#This Row], [Team1 laps '[laps']]] - intermediate_results[[#This Row], [Team9 laps '[laps']]]</f>
        <v>0</v>
      </c>
      <c r="T297" s="3">
        <f>MAX(intermediate_results[[#This Row], [Team1 laps '[laps']]:[Team9 laps '[laps']]]) - intermediate_results[[#This Row], [Team1 laps '[laps']]]</f>
        <v>0</v>
      </c>
      <c r="U297" s="3">
        <f>MAX(intermediate_results[[#This Row], [Team1 laps '[laps']]:[Team9 laps '[laps']]]) - intermediate_results[[#This Row], [Team2 laps '[laps']]]</f>
        <v>0</v>
      </c>
      <c r="V297" s="3">
        <f>MAX(intermediate_results[[#This Row], [Team1 laps '[laps']]:[Team9 laps '[laps']]]) - intermediate_results[[#This Row], [Team3 laps '[laps']]]</f>
        <v>0</v>
      </c>
      <c r="W297" s="3">
        <f>MAX(intermediate_results[[#This Row], [Team1 laps '[laps']]:[Team9 laps '[laps']]]) - intermediate_results[[#This Row], [Team4 laps '[laps']]]</f>
        <v>0</v>
      </c>
      <c r="X297" s="3">
        <f>MAX(intermediate_results[[#This Row], [Team1 laps '[laps']]:[Team9 laps '[laps']]]) - intermediate_results[[#This Row], [Team5 laps '[laps']]]</f>
        <v>0</v>
      </c>
      <c r="Y297" s="3">
        <f>MAX(intermediate_results[[#This Row], [Team1 laps '[laps']]:[Team9 laps '[laps']]]) - intermediate_results[[#This Row], [Team6 laps '[laps']]]</f>
        <v>0</v>
      </c>
      <c r="Z297" s="3">
        <f>MAX(intermediate_results[[#This Row], [Team1 laps '[laps']]:[Team9 laps '[laps']]]) - intermediate_results[[#This Row], [Team7 laps '[laps']]]</f>
        <v>0</v>
      </c>
      <c r="AA297" s="3">
        <f>MAX(intermediate_results[[#This Row], [Team1 laps '[laps']]:[Team9 laps '[laps']]]) - intermediate_results[[#This Row], [Team8 laps '[laps']]]</f>
        <v>0</v>
      </c>
      <c r="AB297" s="3">
        <f>MAX(intermediate_results[[#This Row], [Team1 laps '[laps']]:[Team9 laps '[laps']]]) - intermediate_results[[#This Row], [Team9 laps '[laps']]]</f>
        <v>0</v>
      </c>
      <c r="AC297" s="3">
        <f>9 * intermediate_results[[#This Row], [All cumulative times '[sec']]] / SUM(intermediate_results[[#This Row], [Team1 laps '[laps']]:[Team9 laps '[laps']]])</f>
        <v>0</v>
      </c>
      <c r="AD297" s="3">
        <f>intermediate_results[[#This Row], [All cumulative times '[sec']]] / intermediate_results[[#This Row], [Team1 laps '[laps']]] - intermediate_results[[#This Row], [Total running average '[sec']]]</f>
        <v>0</v>
      </c>
      <c r="AE297" s="3">
        <f>intermediate_results[[#This Row], [All cumulative times '[sec']]] / intermediate_results[[#This Row], [Team2 laps '[laps']]] - intermediate_results[[#This Row], [Total running average '[sec']]]</f>
        <v>0</v>
      </c>
      <c r="AF297" s="3">
        <f>intermediate_results[[#This Row], [All cumulative times '[sec']]] / intermediate_results[[#This Row], [Team3 laps '[laps']]] - intermediate_results[[#This Row], [Total running average '[sec']]]</f>
        <v>0</v>
      </c>
      <c r="AG297" s="3">
        <f>intermediate_results[[#This Row], [All cumulative times '[sec']]] / intermediate_results[[#This Row], [Team4 laps '[laps']]] - intermediate_results[[#This Row], [Total running average '[sec']]]</f>
        <v>0</v>
      </c>
      <c r="AH297" s="3">
        <f>intermediate_results[[#This Row], [All cumulative times '[sec']]] / intermediate_results[[#This Row], [Team5 laps '[laps']]] - intermediate_results[[#This Row], [Total running average '[sec']]]</f>
        <v>0</v>
      </c>
      <c r="AI297" s="3">
        <f>intermediate_results[[#This Row], [All cumulative times '[sec']]] / intermediate_results[[#This Row], [Team6 laps '[laps']]] - intermediate_results[[#This Row], [Total running average '[sec']]]</f>
        <v>0</v>
      </c>
      <c r="AJ297" s="3">
        <f>intermediate_results[[#This Row], [All cumulative times '[sec']]] / intermediate_results[[#This Row], [Team7 laps '[laps']]] - intermediate_results[[#This Row], [Total running average '[sec']]]</f>
        <v>0</v>
      </c>
      <c r="AK297" s="3">
        <f>intermediate_results[[#This Row], [All cumulative times '[sec']]] / intermediate_results[[#This Row], [Team8 laps '[laps']]] - intermediate_results[[#This Row], [Total running average '[sec']]]</f>
        <v>0</v>
      </c>
      <c r="AL297" s="3">
        <f>intermediate_results[[#This Row], [All cumulative times '[sec']]] / intermediate_results[[#This Row], [Team9 laps '[laps']]] - intermediate_results[[#This Row], [Total running average '[sec']]]</f>
        <v>0</v>
      </c>
    </row>
    <row r="298" spans="1:38">
      <c r="A298" s="3">
        <v>1826.442</v>
      </c>
      <c r="B298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8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8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8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8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8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8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8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8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8" s="3">
        <f>intermediate_results[[#This Row], [Team1 laps '[laps']]] - intermediate_results[[#This Row], [Team1 laps '[laps']]]</f>
        <v>0</v>
      </c>
      <c r="L298" s="3">
        <f>intermediate_results[[#This Row], [Team1 laps '[laps']]] - intermediate_results[[#This Row], [Team2 laps '[laps']]]</f>
        <v>0</v>
      </c>
      <c r="M298" s="3">
        <f>intermediate_results[[#This Row], [Team1 laps '[laps']]] - intermediate_results[[#This Row], [Team3 laps '[laps']]]</f>
        <v>0</v>
      </c>
      <c r="N298" s="3">
        <f>intermediate_results[[#This Row], [Team1 laps '[laps']]] - intermediate_results[[#This Row], [Team4 laps '[laps']]]</f>
        <v>0</v>
      </c>
      <c r="O298" s="3">
        <f>intermediate_results[[#This Row], [Team1 laps '[laps']]] - intermediate_results[[#This Row], [Team5 laps '[laps']]]</f>
        <v>0</v>
      </c>
      <c r="P298" s="3">
        <f>intermediate_results[[#This Row], [Team1 laps '[laps']]] - intermediate_results[[#This Row], [Team6 laps '[laps']]]</f>
        <v>0</v>
      </c>
      <c r="Q298" s="3">
        <f>intermediate_results[[#This Row], [Team1 laps '[laps']]] - intermediate_results[[#This Row], [Team7 laps '[laps']]]</f>
        <v>0</v>
      </c>
      <c r="R298" s="3">
        <f>intermediate_results[[#This Row], [Team1 laps '[laps']]] - intermediate_results[[#This Row], [Team8 laps '[laps']]]</f>
        <v>0</v>
      </c>
      <c r="S298" s="3">
        <f>intermediate_results[[#This Row], [Team1 laps '[laps']]] - intermediate_results[[#This Row], [Team9 laps '[laps']]]</f>
        <v>0</v>
      </c>
      <c r="T298" s="3">
        <f>MAX(intermediate_results[[#This Row], [Team1 laps '[laps']]:[Team9 laps '[laps']]]) - intermediate_results[[#This Row], [Team1 laps '[laps']]]</f>
        <v>0</v>
      </c>
      <c r="U298" s="3">
        <f>MAX(intermediate_results[[#This Row], [Team1 laps '[laps']]:[Team9 laps '[laps']]]) - intermediate_results[[#This Row], [Team2 laps '[laps']]]</f>
        <v>0</v>
      </c>
      <c r="V298" s="3">
        <f>MAX(intermediate_results[[#This Row], [Team1 laps '[laps']]:[Team9 laps '[laps']]]) - intermediate_results[[#This Row], [Team3 laps '[laps']]]</f>
        <v>0</v>
      </c>
      <c r="W298" s="3">
        <f>MAX(intermediate_results[[#This Row], [Team1 laps '[laps']]:[Team9 laps '[laps']]]) - intermediate_results[[#This Row], [Team4 laps '[laps']]]</f>
        <v>0</v>
      </c>
      <c r="X298" s="3">
        <f>MAX(intermediate_results[[#This Row], [Team1 laps '[laps']]:[Team9 laps '[laps']]]) - intermediate_results[[#This Row], [Team5 laps '[laps']]]</f>
        <v>0</v>
      </c>
      <c r="Y298" s="3">
        <f>MAX(intermediate_results[[#This Row], [Team1 laps '[laps']]:[Team9 laps '[laps']]]) - intermediate_results[[#This Row], [Team6 laps '[laps']]]</f>
        <v>0</v>
      </c>
      <c r="Z298" s="3">
        <f>MAX(intermediate_results[[#This Row], [Team1 laps '[laps']]:[Team9 laps '[laps']]]) - intermediate_results[[#This Row], [Team7 laps '[laps']]]</f>
        <v>0</v>
      </c>
      <c r="AA298" s="3">
        <f>MAX(intermediate_results[[#This Row], [Team1 laps '[laps']]:[Team9 laps '[laps']]]) - intermediate_results[[#This Row], [Team8 laps '[laps']]]</f>
        <v>0</v>
      </c>
      <c r="AB298" s="3">
        <f>MAX(intermediate_results[[#This Row], [Team1 laps '[laps']]:[Team9 laps '[laps']]]) - intermediate_results[[#This Row], [Team9 laps '[laps']]]</f>
        <v>0</v>
      </c>
      <c r="AC298" s="3">
        <f>9 * intermediate_results[[#This Row], [All cumulative times '[sec']]] / SUM(intermediate_results[[#This Row], [Team1 laps '[laps']]:[Team9 laps '[laps']]])</f>
        <v>0</v>
      </c>
      <c r="AD298" s="3">
        <f>intermediate_results[[#This Row], [All cumulative times '[sec']]] / intermediate_results[[#This Row], [Team1 laps '[laps']]] - intermediate_results[[#This Row], [Total running average '[sec']]]</f>
        <v>0</v>
      </c>
      <c r="AE298" s="3">
        <f>intermediate_results[[#This Row], [All cumulative times '[sec']]] / intermediate_results[[#This Row], [Team2 laps '[laps']]] - intermediate_results[[#This Row], [Total running average '[sec']]]</f>
        <v>0</v>
      </c>
      <c r="AF298" s="3">
        <f>intermediate_results[[#This Row], [All cumulative times '[sec']]] / intermediate_results[[#This Row], [Team3 laps '[laps']]] - intermediate_results[[#This Row], [Total running average '[sec']]]</f>
        <v>0</v>
      </c>
      <c r="AG298" s="3">
        <f>intermediate_results[[#This Row], [All cumulative times '[sec']]] / intermediate_results[[#This Row], [Team4 laps '[laps']]] - intermediate_results[[#This Row], [Total running average '[sec']]]</f>
        <v>0</v>
      </c>
      <c r="AH298" s="3">
        <f>intermediate_results[[#This Row], [All cumulative times '[sec']]] / intermediate_results[[#This Row], [Team5 laps '[laps']]] - intermediate_results[[#This Row], [Total running average '[sec']]]</f>
        <v>0</v>
      </c>
      <c r="AI298" s="3">
        <f>intermediate_results[[#This Row], [All cumulative times '[sec']]] / intermediate_results[[#This Row], [Team6 laps '[laps']]] - intermediate_results[[#This Row], [Total running average '[sec']]]</f>
        <v>0</v>
      </c>
      <c r="AJ298" s="3">
        <f>intermediate_results[[#This Row], [All cumulative times '[sec']]] / intermediate_results[[#This Row], [Team7 laps '[laps']]] - intermediate_results[[#This Row], [Total running average '[sec']]]</f>
        <v>0</v>
      </c>
      <c r="AK298" s="3">
        <f>intermediate_results[[#This Row], [All cumulative times '[sec']]] / intermediate_results[[#This Row], [Team8 laps '[laps']]] - intermediate_results[[#This Row], [Total running average '[sec']]]</f>
        <v>0</v>
      </c>
      <c r="AL298" s="3">
        <f>intermediate_results[[#This Row], [All cumulative times '[sec']]] / intermediate_results[[#This Row], [Team9 laps '[laps']]] - intermediate_results[[#This Row], [Total running average '[sec']]]</f>
        <v>0</v>
      </c>
    </row>
    <row r="299" spans="1:38">
      <c r="A299" s="3">
        <v>1828.609</v>
      </c>
      <c r="B299" s="3">
        <f>IFERROR(MATCH(intermediate_results[[#This Row], [All cumulative times '[sec']]], team1_results[Cumulative time '[sec']], 1), 0) + (intermediate_results[[#This Row], [All cumulative times '[sec']]] - IFERROR(INDEX(team1_results[Cumulative time '[sec']], MATCH(intermediate_results[[#This Row], [All cumulative times '[sec']]], team1_results[Cumulative time '[sec']], 1)), 0)) / IFERROR(INDEX(team1_results[Lap times '[sec']], IFERROR(MATCH(intermediate_results[[#This Row], [All cumulative times '[sec']]], team1_results[Cumulative time '[sec']], 1), 0) + 1), INDEX(team1_results[Running average '[sec']], MATCH(intermediate_results[[#This Row], [All cumulative times '[sec']]], team1_results[Cumulative time '[sec']], 1)))</f>
        <v>0</v>
      </c>
      <c r="C299" s="3">
        <f>IFERROR(MATCH(intermediate_results[[#This Row], [All cumulative times '[sec']]], team2_results[Cumulative time '[sec']], 1), 0) + (intermediate_results[[#This Row], [All cumulative times '[sec']]] - IFERROR(INDEX(team2_results[Cumulative time '[sec']], MATCH(intermediate_results[[#This Row], [All cumulative times '[sec']]], team2_results[Cumulative time '[sec']], 1)), 0)) / IFERROR(INDEX(team2_results[Lap times '[sec']], IFERROR(MATCH(intermediate_results[[#This Row], [All cumulative times '[sec']]], team2_results[Cumulative time '[sec']], 1), 0) + 1), INDEX(team2_results[Running average '[sec']], MATCH(intermediate_results[[#This Row], [All cumulative times '[sec']]], team2_results[Cumulative time '[sec']], 1)))</f>
        <v>0</v>
      </c>
      <c r="D299" s="3">
        <f>IFERROR(MATCH(intermediate_results[[#This Row], [All cumulative times '[sec']]], team3_results[Cumulative time '[sec']], 1), 0) + (intermediate_results[[#This Row], [All cumulative times '[sec']]] - IFERROR(INDEX(team3_results[Cumulative time '[sec']], MATCH(intermediate_results[[#This Row], [All cumulative times '[sec']]], team3_results[Cumulative time '[sec']], 1)), 0)) / IFERROR(INDEX(team3_results[Lap times '[sec']], IFERROR(MATCH(intermediate_results[[#This Row], [All cumulative times '[sec']]], team3_results[Cumulative time '[sec']], 1), 0) + 1), INDEX(team3_results[Running average '[sec']], MATCH(intermediate_results[[#This Row], [All cumulative times '[sec']]], team3_results[Cumulative time '[sec']], 1)))</f>
        <v>0</v>
      </c>
      <c r="E299" s="3">
        <f>IFERROR(MATCH(intermediate_results[[#This Row], [All cumulative times '[sec']]], team4_results[Cumulative time '[sec']], 1), 0) + (intermediate_results[[#This Row], [All cumulative times '[sec']]] - IFERROR(INDEX(team4_results[Cumulative time '[sec']], MATCH(intermediate_results[[#This Row], [All cumulative times '[sec']]], team4_results[Cumulative time '[sec']], 1)), 0)) / IFERROR(INDEX(team4_results[Lap times '[sec']], IFERROR(MATCH(intermediate_results[[#This Row], [All cumulative times '[sec']]], team4_results[Cumulative time '[sec']], 1), 0) + 1), INDEX(team4_results[Running average '[sec']], MATCH(intermediate_results[[#This Row], [All cumulative times '[sec']]], team4_results[Cumulative time '[sec']], 1)))</f>
        <v>0</v>
      </c>
      <c r="F299" s="3">
        <f>IFERROR(MATCH(intermediate_results[[#This Row], [All cumulative times '[sec']]], team5_results[Cumulative time '[sec']], 1), 0) + (intermediate_results[[#This Row], [All cumulative times '[sec']]] - IFERROR(INDEX(team5_results[Cumulative time '[sec']], MATCH(intermediate_results[[#This Row], [All cumulative times '[sec']]], team5_results[Cumulative time '[sec']], 1)), 0)) / IFERROR(INDEX(team5_results[Lap times '[sec']], IFERROR(MATCH(intermediate_results[[#This Row], [All cumulative times '[sec']]], team5_results[Cumulative time '[sec']], 1), 0) + 1), INDEX(team5_results[Running average '[sec']], MATCH(intermediate_results[[#This Row], [All cumulative times '[sec']]], team5_results[Cumulative time '[sec']], 1)))</f>
        <v>0</v>
      </c>
      <c r="G299" s="3">
        <f>IFERROR(MATCH(intermediate_results[[#This Row], [All cumulative times '[sec']]], team6_results[Cumulative time '[sec']], 1), 0) + (intermediate_results[[#This Row], [All cumulative times '[sec']]] - IFERROR(INDEX(team6_results[Cumulative time '[sec']], MATCH(intermediate_results[[#This Row], [All cumulative times '[sec']]], team6_results[Cumulative time '[sec']], 1)), 0)) / IFERROR(INDEX(team6_results[Lap times '[sec']], IFERROR(MATCH(intermediate_results[[#This Row], [All cumulative times '[sec']]], team6_results[Cumulative time '[sec']], 1), 0) + 1), INDEX(team6_results[Running average '[sec']], MATCH(intermediate_results[[#This Row], [All cumulative times '[sec']]], team6_results[Cumulative time '[sec']], 1)))</f>
        <v>0</v>
      </c>
      <c r="H299" s="3">
        <f>IFERROR(MATCH(intermediate_results[[#This Row], [All cumulative times '[sec']]], team7_results[Cumulative time '[sec']], 1), 0) + (intermediate_results[[#This Row], [All cumulative times '[sec']]] - IFERROR(INDEX(team7_results[Cumulative time '[sec']], MATCH(intermediate_results[[#This Row], [All cumulative times '[sec']]], team7_results[Cumulative time '[sec']], 1)), 0)) / IFERROR(INDEX(team7_results[Lap times '[sec']], IFERROR(MATCH(intermediate_results[[#This Row], [All cumulative times '[sec']]], team7_results[Cumulative time '[sec']], 1), 0) + 1), INDEX(team7_results[Running average '[sec']], MATCH(intermediate_results[[#This Row], [All cumulative times '[sec']]], team7_results[Cumulative time '[sec']], 1)))</f>
        <v>0</v>
      </c>
      <c r="I299" s="3">
        <f>IFERROR(MATCH(intermediate_results[[#This Row], [All cumulative times '[sec']]], team8_results[Cumulative time '[sec']], 1), 0) + (intermediate_results[[#This Row], [All cumulative times '[sec']]] - IFERROR(INDEX(team8_results[Cumulative time '[sec']], MATCH(intermediate_results[[#This Row], [All cumulative times '[sec']]], team8_results[Cumulative time '[sec']], 1)), 0)) / IFERROR(INDEX(team8_results[Lap times '[sec']], IFERROR(MATCH(intermediate_results[[#This Row], [All cumulative times '[sec']]], team8_results[Cumulative time '[sec']], 1), 0) + 1), INDEX(team8_results[Running average '[sec']], MATCH(intermediate_results[[#This Row], [All cumulative times '[sec']]], team8_results[Cumulative time '[sec']], 1)))</f>
        <v>0</v>
      </c>
      <c r="J299" s="3">
        <f>IFERROR(MATCH(intermediate_results[[#This Row], [All cumulative times '[sec']]], team9_results[Cumulative time '[sec']], 1), 0) + (intermediate_results[[#This Row], [All cumulative times '[sec']]] - IFERROR(INDEX(team9_results[Cumulative time '[sec']], MATCH(intermediate_results[[#This Row], [All cumulative times '[sec']]], team9_results[Cumulative time '[sec']], 1)), 0)) / IFERROR(INDEX(team9_results[Lap times '[sec']], IFERROR(MATCH(intermediate_results[[#This Row], [All cumulative times '[sec']]], team9_results[Cumulative time '[sec']], 1), 0) + 1), INDEX(team9_results[Running average '[sec']], MATCH(intermediate_results[[#This Row], [All cumulative times '[sec']]], team9_results[Cumulative time '[sec']], 1)))</f>
        <v>0</v>
      </c>
      <c r="K299" s="3">
        <f>intermediate_results[[#This Row], [Team1 laps '[laps']]] - intermediate_results[[#This Row], [Team1 laps '[laps']]]</f>
        <v>0</v>
      </c>
      <c r="L299" s="3">
        <f>intermediate_results[[#This Row], [Team1 laps '[laps']]] - intermediate_results[[#This Row], [Team2 laps '[laps']]]</f>
        <v>0</v>
      </c>
      <c r="M299" s="3">
        <f>intermediate_results[[#This Row], [Team1 laps '[laps']]] - intermediate_results[[#This Row], [Team3 laps '[laps']]]</f>
        <v>0</v>
      </c>
      <c r="N299" s="3">
        <f>intermediate_results[[#This Row], [Team1 laps '[laps']]] - intermediate_results[[#This Row], [Team4 laps '[laps']]]</f>
        <v>0</v>
      </c>
      <c r="O299" s="3">
        <f>intermediate_results[[#This Row], [Team1 laps '[laps']]] - intermediate_results[[#This Row], [Team5 laps '[laps']]]</f>
        <v>0</v>
      </c>
      <c r="P299" s="3">
        <f>intermediate_results[[#This Row], [Team1 laps '[laps']]] - intermediate_results[[#This Row], [Team6 laps '[laps']]]</f>
        <v>0</v>
      </c>
      <c r="Q299" s="3">
        <f>intermediate_results[[#This Row], [Team1 laps '[laps']]] - intermediate_results[[#This Row], [Team7 laps '[laps']]]</f>
        <v>0</v>
      </c>
      <c r="R299" s="3">
        <f>intermediate_results[[#This Row], [Team1 laps '[laps']]] - intermediate_results[[#This Row], [Team8 laps '[laps']]]</f>
        <v>0</v>
      </c>
      <c r="S299" s="3">
        <f>intermediate_results[[#This Row], [Team1 laps '[laps']]] - intermediate_results[[#This Row], [Team9 laps '[laps']]]</f>
        <v>0</v>
      </c>
      <c r="T299" s="3">
        <f>MAX(intermediate_results[[#This Row], [Team1 laps '[laps']]:[Team9 laps '[laps']]]) - intermediate_results[[#This Row], [Team1 laps '[laps']]]</f>
        <v>0</v>
      </c>
      <c r="U299" s="3">
        <f>MAX(intermediate_results[[#This Row], [Team1 laps '[laps']]:[Team9 laps '[laps']]]) - intermediate_results[[#This Row], [Team2 laps '[laps']]]</f>
        <v>0</v>
      </c>
      <c r="V299" s="3">
        <f>MAX(intermediate_results[[#This Row], [Team1 laps '[laps']]:[Team9 laps '[laps']]]) - intermediate_results[[#This Row], [Team3 laps '[laps']]]</f>
        <v>0</v>
      </c>
      <c r="W299" s="3">
        <f>MAX(intermediate_results[[#This Row], [Team1 laps '[laps']]:[Team9 laps '[laps']]]) - intermediate_results[[#This Row], [Team4 laps '[laps']]]</f>
        <v>0</v>
      </c>
      <c r="X299" s="3">
        <f>MAX(intermediate_results[[#This Row], [Team1 laps '[laps']]:[Team9 laps '[laps']]]) - intermediate_results[[#This Row], [Team5 laps '[laps']]]</f>
        <v>0</v>
      </c>
      <c r="Y299" s="3">
        <f>MAX(intermediate_results[[#This Row], [Team1 laps '[laps']]:[Team9 laps '[laps']]]) - intermediate_results[[#This Row], [Team6 laps '[laps']]]</f>
        <v>0</v>
      </c>
      <c r="Z299" s="3">
        <f>MAX(intermediate_results[[#This Row], [Team1 laps '[laps']]:[Team9 laps '[laps']]]) - intermediate_results[[#This Row], [Team7 laps '[laps']]]</f>
        <v>0</v>
      </c>
      <c r="AA299" s="3">
        <f>MAX(intermediate_results[[#This Row], [Team1 laps '[laps']]:[Team9 laps '[laps']]]) - intermediate_results[[#This Row], [Team8 laps '[laps']]]</f>
        <v>0</v>
      </c>
      <c r="AB299" s="3">
        <f>MAX(intermediate_results[[#This Row], [Team1 laps '[laps']]:[Team9 laps '[laps']]]) - intermediate_results[[#This Row], [Team9 laps '[laps']]]</f>
        <v>0</v>
      </c>
      <c r="AC299" s="3">
        <f>9 * intermediate_results[[#This Row], [All cumulative times '[sec']]] / SUM(intermediate_results[[#This Row], [Team1 laps '[laps']]:[Team9 laps '[laps']]])</f>
        <v>0</v>
      </c>
      <c r="AD299" s="3">
        <f>intermediate_results[[#This Row], [All cumulative times '[sec']]] / intermediate_results[[#This Row], [Team1 laps '[laps']]] - intermediate_results[[#This Row], [Total running average '[sec']]]</f>
        <v>0</v>
      </c>
      <c r="AE299" s="3">
        <f>intermediate_results[[#This Row], [All cumulative times '[sec']]] / intermediate_results[[#This Row], [Team2 laps '[laps']]] - intermediate_results[[#This Row], [Total running average '[sec']]]</f>
        <v>0</v>
      </c>
      <c r="AF299" s="3">
        <f>intermediate_results[[#This Row], [All cumulative times '[sec']]] / intermediate_results[[#This Row], [Team3 laps '[laps']]] - intermediate_results[[#This Row], [Total running average '[sec']]]</f>
        <v>0</v>
      </c>
      <c r="AG299" s="3">
        <f>intermediate_results[[#This Row], [All cumulative times '[sec']]] / intermediate_results[[#This Row], [Team4 laps '[laps']]] - intermediate_results[[#This Row], [Total running average '[sec']]]</f>
        <v>0</v>
      </c>
      <c r="AH299" s="3">
        <f>intermediate_results[[#This Row], [All cumulative times '[sec']]] / intermediate_results[[#This Row], [Team5 laps '[laps']]] - intermediate_results[[#This Row], [Total running average '[sec']]]</f>
        <v>0</v>
      </c>
      <c r="AI299" s="3">
        <f>intermediate_results[[#This Row], [All cumulative times '[sec']]] / intermediate_results[[#This Row], [Team6 laps '[laps']]] - intermediate_results[[#This Row], [Total running average '[sec']]]</f>
        <v>0</v>
      </c>
      <c r="AJ299" s="3">
        <f>intermediate_results[[#This Row], [All cumulative times '[sec']]] / intermediate_results[[#This Row], [Team7 laps '[laps']]] - intermediate_results[[#This Row], [Total running average '[sec']]]</f>
        <v>0</v>
      </c>
      <c r="AK299" s="3">
        <f>intermediate_results[[#This Row], [All cumulative times '[sec']]] / intermediate_results[[#This Row], [Team8 laps '[laps']]] - intermediate_results[[#This Row], [Total running average '[sec']]]</f>
        <v>0</v>
      </c>
      <c r="AL299" s="3">
        <f>intermediate_results[[#This Row], [All cumulative times '[sec']]] / intermediate_results[[#This Row], [Team9 laps '[laps']]] - intermediate_results[[#This Row], [Total running average '[sec']]]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race_data</vt:lpstr>
      <vt:lpstr>intermediate_data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2026-01-07T21:48:33Z</dcterms:created>
  <dcterms:modified xsi:type="dcterms:W3CDTF">2026-01-07T21:48:33Z</dcterms:modified>
</cp:coreProperties>
</file>